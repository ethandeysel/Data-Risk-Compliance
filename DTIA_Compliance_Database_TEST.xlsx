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me" sheetId="1" state="visible" r:id="rId1"/>
    <sheet xmlns:r="http://schemas.openxmlformats.org/officeDocument/2006/relationships" name="Query" sheetId="2" state="visible" r:id="rId2"/>
    <sheet xmlns:r="http://schemas.openxmlformats.org/officeDocument/2006/relationships" name="Data Transfer" sheetId="3" state="visible" r:id="rId3"/>
    <sheet xmlns:r="http://schemas.openxmlformats.org/officeDocument/2006/relationships" name="Compliance Database" sheetId="4" state="visible" r:id="rId4"/>
    <sheet xmlns:r="http://schemas.openxmlformats.org/officeDocument/2006/relationships" name="Acts" sheetId="5" state="visible" r:id="rId5"/>
    <sheet xmlns:r="http://schemas.openxmlformats.org/officeDocument/2006/relationships" name="Regulators" sheetId="6" state="visible" r:id="rId6"/>
    <sheet xmlns:r="http://schemas.openxmlformats.org/officeDocument/2006/relationships" name="Topics" sheetId="7" state="visible" r:id="rId7"/>
    <sheet xmlns:r="http://schemas.openxmlformats.org/officeDocument/2006/relationships" name="Lists" sheetId="8" state="hidden" r:id="rId8"/>
    <sheet xmlns:r="http://schemas.openxmlformats.org/officeDocument/2006/relationships" name="Engine" sheetId="9" state="hidden" r:id="rId9"/>
    <sheet xmlns:r="http://schemas.openxmlformats.org/officeDocument/2006/relationships" name="Transfer Engine" sheetId="10" state="hidden"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1"/>
    </font>
    <font>
      <color rgb="000563C1"/>
      <u val="single"/>
    </font>
    <font>
      <b val="1"/>
      <color rgb="00FFFFFF"/>
      <sz val="16"/>
    </font>
    <font>
      <i val="1"/>
    </font>
    <font>
      <b val="1"/>
    </font>
    <font>
      <b val="1"/>
      <sz val="13"/>
    </font>
  </fonts>
  <fills count="4">
    <fill>
      <patternFill/>
    </fill>
    <fill>
      <patternFill patternType="gray125"/>
    </fill>
    <fill>
      <patternFill patternType="solid">
        <fgColor rgb="00D9EAD3"/>
      </patternFill>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3" fillId="3" borderId="0" pivotButton="0" quotePrefix="0" xfId="0"/>
    <xf numFmtId="0" fontId="5" fillId="0" borderId="0" pivotButton="0" quotePrefix="0" xfId="0"/>
    <xf numFmtId="0" fontId="6" fillId="0" borderId="0" pivotButton="0" quotePrefix="0" xfId="0"/>
    <xf numFmtId="0" fontId="0" fillId="0" borderId="0" applyAlignment="1" pivotButton="0" quotePrefix="0" xfId="0">
      <alignment wrapText="1"/>
    </xf>
    <xf numFmtId="0" fontId="4" fillId="0" borderId="0" pivotButton="0" quotePrefix="0" xfId="0"/>
    <xf numFmtId="0" fontId="0" fillId="2" borderId="0" pivotButton="0" quotePrefix="0" xfId="0"/>
    <xf numFmtId="0" fontId="1" fillId="2" borderId="0" pivotButton="0" quotePrefix="0" xfId="0"/>
    <xf numFmtId="0" fontId="0" fillId="0" borderId="0" applyAlignment="1" pivotButton="0" quotePrefix="0" xfId="0">
      <alignment vertical="top" wrapText="1"/>
    </xf>
    <xf numFmtId="0" fontId="1" fillId="2" borderId="1" applyAlignment="1" pivotButton="0" quotePrefix="0" xfId="0">
      <alignment horizontal="center" vertic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ComplianceTable" displayName="ComplianceTable" ref="A1:P679" headerRowCount="1">
  <autoFilter ref="A1:P679"/>
  <tableColumns count="16">
    <tableColumn id="1" name="Country"/>
    <tableColumn id="2" name="Act"/>
    <tableColumn id="3" name="Section"/>
    <tableColumn id="4" name="Heading"/>
    <tableColumn id="5" name="Pages"/>
    <tableColumn id="6" name="Category"/>
    <tableColumn id="7" name="Financial Relevance"/>
    <tableColumn id="8" name="Confidence"/>
    <tableColumn id="9" name="Topics"/>
    <tableColumn id="10" name="Data Types"/>
    <tableColumn id="11" name="Authority"/>
    <tableColumn id="12" name="Summary"/>
    <tableColumn id="13" name="DTIA Summary"/>
    <tableColumn id="14" name="Requirements"/>
    <tableColumn id="15" name="Source Quote"/>
    <tableColumn id="16" name="Source"/>
  </tableColumns>
  <tableStyleInfo name="TableStyleMedium2" showFirstColumn="0" showLastColumn="0" showRowStripes="1" showColumnStripes="0"/>
</table>
</file>

<file path=xl/tables/table2.xml><?xml version="1.0" encoding="utf-8"?>
<table xmlns="http://schemas.openxmlformats.org/spreadsheetml/2006/main" id="2" name="ActsTable" displayName="ActsTable" ref="A1:F52" headerRowCount="1">
  <autoFilter ref="A1:F52"/>
  <tableColumns count="6">
    <tableColumn id="1" name="Country"/>
    <tableColumn id="2" name="Act"/>
    <tableColumn id="3" name="Sections"/>
    <tableColumn id="4" name="Regulators"/>
    <tableColumn id="5" name="Topics"/>
    <tableColumn id="6" name="Financial Relevance"/>
  </tableColumns>
  <tableStyleInfo name="TableStyleMedium2" showFirstColumn="0" showLastColumn="0" showRowStripes="1" showColumnStripes="0"/>
</table>
</file>

<file path=xl/tables/table3.xml><?xml version="1.0" encoding="utf-8"?>
<table xmlns="http://schemas.openxmlformats.org/spreadsheetml/2006/main" id="3" name="RegulatorTable" displayName="RegulatorTable" ref="A1:C71" headerRowCount="1">
  <autoFilter ref="A1:C71"/>
  <tableColumns count="3">
    <tableColumn id="1" name="Authority"/>
    <tableColumn id="2" name="Countries"/>
    <tableColumn id="3" name="Acts"/>
  </tableColumns>
  <tableStyleInfo name="TableStyleMedium2" showFirstColumn="0" showLastColumn="0" showRowStripes="1" showColumnStripes="0"/>
</table>
</file>

<file path=xl/tables/table4.xml><?xml version="1.0" encoding="utf-8"?>
<table xmlns="http://schemas.openxmlformats.org/spreadsheetml/2006/main" id="4" name="TopicTable" displayName="TopicTable" ref="A1:B40" headerRowCount="1">
  <autoFilter ref="A1:B40"/>
  <tableColumns count="2">
    <tableColumn id="1" name="Topic"/>
    <tableColumn id="2"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ata/acts/Australia/C2004A01182 (Australia - Row 25).pdf" TargetMode="External" Id="rId1"/><Relationship Type="http://schemas.openxmlformats.org/officeDocument/2006/relationships/hyperlink" Target="data/acts/Australia/C2004C01271-1 (Australia - Row 7).pdf" TargetMode="External" Id="rId2"/><Relationship Type="http://schemas.openxmlformats.org/officeDocument/2006/relationships/hyperlink" Target="data/acts/Australia/Essential Eight explained (November 2023) (Australia - Row 11).pdf" TargetMode="External" Id="rId3"/><Relationship Type="http://schemas.openxmlformats.org/officeDocument/2006/relationships/hyperlink" Target="data/acts/Australia/Essential Eight explained (November 2023) (Australia - Row 11).pdf" TargetMode="External" Id="rId4"/><Relationship Type="http://schemas.openxmlformats.org/officeDocument/2006/relationships/hyperlink" Target="data/acts/Australia/Essential Eight explained (November 2023) (Australia - Row 11).pdf" TargetMode="External" Id="rId5"/><Relationship Type="http://schemas.openxmlformats.org/officeDocument/2006/relationships/hyperlink" Target="data/acts/Australia/Prudential-Standard-CPS-232-Business-Continuity-Management-(July-2017) (Australia - Row 5).pdf" TargetMode="External" Id="rId6"/><Relationship Type="http://schemas.openxmlformats.org/officeDocument/2006/relationships/hyperlink" Target="data/acts/Australia/Prudential-Standard-CPS-232-Business-Continuity-Management-(July-2017) (Australia - Row 5).pdf" TargetMode="External" Id="rId7"/><Relationship Type="http://schemas.openxmlformats.org/officeDocument/2006/relationships/hyperlink" Target="data/acts/Australia/Prudential-Standard-CPS-232-Business-Continuity-Management-(July-2017) (Australia - Row 5).pdf" TargetMode="External" Id="rId8"/><Relationship Type="http://schemas.openxmlformats.org/officeDocument/2006/relationships/hyperlink" Target="data/acts/Australia/Prudential-Standard-CPS-232-Business-Continuity-Management-(July-2017) (Australia - Row 5).pdf" TargetMode="External" Id="rId9"/><Relationship Type="http://schemas.openxmlformats.org/officeDocument/2006/relationships/hyperlink" Target="data/acts/Australia/Prudential-Standard-CPS-232-Business-Continuity-Management-(July-2017) (Australia - Row 5).pdf" TargetMode="External" Id="rId10"/><Relationship Type="http://schemas.openxmlformats.org/officeDocument/2006/relationships/hyperlink" Target="data/acts/Australia/Prudential-Standard-CPS-232-Business-Continuity-Management-(July-2017) (Australia - Row 5).pdf" TargetMode="External" Id="rId11"/><Relationship Type="http://schemas.openxmlformats.org/officeDocument/2006/relationships/hyperlink" Target="data/acts/Australia/Prudential-Standard-CPS-232-Business-Continuity-Management-(July-2017) (Australia - Row 5).pdf" TargetMode="External" Id="rId12"/><Relationship Type="http://schemas.openxmlformats.org/officeDocument/2006/relationships/hyperlink" Target="data/acts/Australia/Prudential-Standard-CPS-232-Business-Continuity-Management-(July-2017) (Australia - Row 5).pdf" TargetMode="External" Id="rId13"/><Relationship Type="http://schemas.openxmlformats.org/officeDocument/2006/relationships/hyperlink" Target="data/acts/Australia/Prudential-Standard-CPS-232-Business-Continuity-Management-(July-2017) (Australia - Row 5).pdf" TargetMode="External" Id="rId14"/><Relationship Type="http://schemas.openxmlformats.org/officeDocument/2006/relationships/hyperlink" Target="data/acts/Australia/Prudential-Standard-CPS-232-Business-Continuity-Management-(July-2017) (Australia - Row 5).pdf" TargetMode="External" Id="rId15"/><Relationship Type="http://schemas.openxmlformats.org/officeDocument/2006/relationships/hyperlink" Target="data/acts/Australia/Prudential-Standard-CPS-232-Business-Continuity-Management-(July-2017) (Australia - Row 5).pdf" TargetMode="External" Id="rId16"/><Relationship Type="http://schemas.openxmlformats.org/officeDocument/2006/relationships/hyperlink" Target="data/acts/Australia/Statutory tort for serious invasions of privacy _ OAIC (Australia - Row 24).pdf" TargetMode="External" Id="rId17"/><Relationship Type="http://schemas.openxmlformats.org/officeDocument/2006/relationships/hyperlink" Target="data/acts/Australia/Statutory tort for serious invasions of privacy _ OAIC (Australia - Row 24).pdf" TargetMode="External" Id="rId18"/><Relationship Type="http://schemas.openxmlformats.org/officeDocument/2006/relationships/hyperlink" Target="data/acts/Australia/Statutory tort for serious invasions of privacy _ OAIC (Australia - Row 24).pdf" TargetMode="External" Id="rId19"/><Relationship Type="http://schemas.openxmlformats.org/officeDocument/2006/relationships/hyperlink" Target="data/acts/Australia/Statutory tort for serious invasions of privacy _ OAIC (Australia - Row 24).pdf" TargetMode="External" Id="rId20"/><Relationship Type="http://schemas.openxmlformats.org/officeDocument/2006/relationships/hyperlink" Target="data/acts/Australia/Statutory tort for serious invasions of privacy _ OAIC (Australia - Row 24).pdf" TargetMode="External" Id="rId21"/><Relationship Type="http://schemas.openxmlformats.org/officeDocument/2006/relationships/hyperlink" Target="data/acts/GDPR/CELEX_32002L0058_EN_TXT (GDPR Row 7).pdf" TargetMode="External" Id="rId22"/><Relationship Type="http://schemas.openxmlformats.org/officeDocument/2006/relationships/hyperlink" Target="data/acts/GDPR/CELEX_32002L0058_EN_TXT (GDPR Row 7).pdf" TargetMode="External" Id="rId23"/><Relationship Type="http://schemas.openxmlformats.org/officeDocument/2006/relationships/hyperlink" Target="data/acts/GDPR/CELEX_32002L0058_EN_TXT (GDPR Row 7).pdf" TargetMode="External" Id="rId24"/><Relationship Type="http://schemas.openxmlformats.org/officeDocument/2006/relationships/hyperlink" Target="data/acts/GDPR/CELEX_32002L0058_EN_TXT (GDPR Row 7).pdf" TargetMode="External" Id="rId25"/><Relationship Type="http://schemas.openxmlformats.org/officeDocument/2006/relationships/hyperlink" Target="data/acts/GDPR/CELEX_32002L0058_EN_TXT (GDPR Row 7).pdf" TargetMode="External" Id="rId26"/><Relationship Type="http://schemas.openxmlformats.org/officeDocument/2006/relationships/hyperlink" Target="data/acts/GDPR/CELEX_32002L0058_EN_TXT (GDPR Row 7).pdf" TargetMode="External" Id="rId27"/><Relationship Type="http://schemas.openxmlformats.org/officeDocument/2006/relationships/hyperlink" Target="data/acts/GDPR/CELEX_32002L0058_EN_TXT (GDPR Row 7).pdf" TargetMode="External" Id="rId28"/><Relationship Type="http://schemas.openxmlformats.org/officeDocument/2006/relationships/hyperlink" Target="data/acts/GDPR/CELEX_32002L0058_EN_TXT (GDPR Row 7).pdf" TargetMode="External" Id="rId29"/><Relationship Type="http://schemas.openxmlformats.org/officeDocument/2006/relationships/hyperlink" Target="data/acts/GDPR/CELEX_32002L0058_EN_TXT (GDPR Row 7).pdf" TargetMode="External" Id="rId30"/><Relationship Type="http://schemas.openxmlformats.org/officeDocument/2006/relationships/hyperlink" Target="data/acts/GDPR/CELEX_32002L0058_EN_TXT (GDPR Row 7).pdf" TargetMode="External" Id="rId31"/><Relationship Type="http://schemas.openxmlformats.org/officeDocument/2006/relationships/hyperlink" Target="data/acts/GDPR/CELEX_32002L0058_EN_TXT (GDPR Row 7).pdf" TargetMode="External" Id="rId32"/><Relationship Type="http://schemas.openxmlformats.org/officeDocument/2006/relationships/hyperlink" Target="data/acts/GDPR/CELEX_32002L0058_EN_TXT (GDPR Row 7).pdf" TargetMode="External" Id="rId33"/><Relationship Type="http://schemas.openxmlformats.org/officeDocument/2006/relationships/hyperlink" Target="data/acts/GDPR/CELEX_32002L0058_EN_TXT (GDPR Row 7).pdf" TargetMode="External" Id="rId34"/><Relationship Type="http://schemas.openxmlformats.org/officeDocument/2006/relationships/hyperlink" Target="data/acts/GDPR/CELEX_32002L0058_EN_TXT (GDPR Row 7).pdf" TargetMode="External" Id="rId35"/><Relationship Type="http://schemas.openxmlformats.org/officeDocument/2006/relationships/hyperlink" Target="data/acts/GDPR/CELEX_32002L0058_EN_TXT (GDPR Row 7).pdf" TargetMode="External" Id="rId36"/><Relationship Type="http://schemas.openxmlformats.org/officeDocument/2006/relationships/hyperlink" Target="data/acts/GDPR/CELEX_32002L0058_EN_TXT (GDPR Row 7).pdf" TargetMode="External" Id="rId37"/><Relationship Type="http://schemas.openxmlformats.org/officeDocument/2006/relationships/hyperlink" Target="data/acts/GDPR/CELEX_32002L0058_EN_TXT (GDPR Row 7).pdf" TargetMode="External" Id="rId38"/><Relationship Type="http://schemas.openxmlformats.org/officeDocument/2006/relationships/hyperlink" Target="data/acts/GDPR/CELEX_32002L0058_EN_TXT (GDPR Row 7).pdf" TargetMode="External" Id="rId39"/><Relationship Type="http://schemas.openxmlformats.org/officeDocument/2006/relationships/hyperlink" Target="data/acts/GDPR/CELEX_32002L0058_EN_TXT (GDPR Row 7).pdf" TargetMode="External" Id="rId40"/><Relationship Type="http://schemas.openxmlformats.org/officeDocument/2006/relationships/hyperlink" Target="data/acts/GDPR/CELEX_32002L0058_EN_TXT (GDPR Row 7).pdf" TargetMode="External" Id="rId41"/><Relationship Type="http://schemas.openxmlformats.org/officeDocument/2006/relationships/hyperlink" Target="data/acts/GDPR/CELEX_32018L1673_EN_TXT (GDPR - Row 2).pdf" TargetMode="External" Id="rId42"/><Relationship Type="http://schemas.openxmlformats.org/officeDocument/2006/relationships/hyperlink" Target="data/acts/GDPR/CELEX_32018L1673_EN_TXT (GDPR - Row 2).pdf" TargetMode="External" Id="rId43"/><Relationship Type="http://schemas.openxmlformats.org/officeDocument/2006/relationships/hyperlink" Target="data/acts/GDPR/CELEX_32018L1673_EN_TXT (GDPR - Row 2).pdf" TargetMode="External" Id="rId44"/><Relationship Type="http://schemas.openxmlformats.org/officeDocument/2006/relationships/hyperlink" Target="data/acts/GDPR/CELEX_32018L1673_EN_TXT (GDPR - Row 2).pdf" TargetMode="External" Id="rId45"/><Relationship Type="http://schemas.openxmlformats.org/officeDocument/2006/relationships/hyperlink" Target="data/acts/GDPR/CELEX_32018L1673_EN_TXT (GDPR - Row 2).pdf" TargetMode="External" Id="rId46"/><Relationship Type="http://schemas.openxmlformats.org/officeDocument/2006/relationships/hyperlink" Target="data/acts/GDPR/CELEX_32018L1673_EN_TXT (GDPR - Row 2).pdf" TargetMode="External" Id="rId47"/><Relationship Type="http://schemas.openxmlformats.org/officeDocument/2006/relationships/hyperlink" Target="data/acts/GDPR/CELEX_32018L1673_EN_TXT (GDPR - Row 2).pdf" TargetMode="External" Id="rId48"/><Relationship Type="http://schemas.openxmlformats.org/officeDocument/2006/relationships/hyperlink" Target="data/acts/GDPR/CELEX_32018L1673_EN_TXT (GDPR - Row 2).pdf" TargetMode="External" Id="rId49"/><Relationship Type="http://schemas.openxmlformats.org/officeDocument/2006/relationships/hyperlink" Target="data/acts/GDPR/CELEX_32018L1673_EN_TXT (GDPR - Row 2).pdf" TargetMode="External" Id="rId50"/><Relationship Type="http://schemas.openxmlformats.org/officeDocument/2006/relationships/hyperlink" Target="data/acts/GDPR/CELEX_32018L1673_EN_TXT (GDPR - Row 2).pdf" TargetMode="External" Id="rId51"/><Relationship Type="http://schemas.openxmlformats.org/officeDocument/2006/relationships/hyperlink" Target="data/acts/GDPR/CELEX_32018L1673_EN_TXT (GDPR - Row 2).pdf" TargetMode="External" Id="rId52"/><Relationship Type="http://schemas.openxmlformats.org/officeDocument/2006/relationships/hyperlink" Target="data/acts/GDPR/CELEX_32018L1673_EN_TXT (GDPR - Row 2).pdf" TargetMode="External" Id="rId53"/><Relationship Type="http://schemas.openxmlformats.org/officeDocument/2006/relationships/hyperlink" Target="data/acts/GDPR/CELEX_32018L1673_EN_TXT (GDPR - Row 2).pdf" TargetMode="External" Id="rId54"/><Relationship Type="http://schemas.openxmlformats.org/officeDocument/2006/relationships/hyperlink" Target="data/acts/GDPR/CELEX_32018L1673_EN_TXT (GDPR - Row 2).pdf" TargetMode="External" Id="rId55"/><Relationship Type="http://schemas.openxmlformats.org/officeDocument/2006/relationships/hyperlink" Target="data/acts/GDPR/CELEX_32018L1673_EN_TXT (GDPR - Row 2).pdf" TargetMode="External" Id="rId56"/><Relationship Type="http://schemas.openxmlformats.org/officeDocument/2006/relationships/hyperlink" Target="data/acts/GDPR/CELEX_32018L1673_EN_TXT (GDPR - Row 2).pdf" TargetMode="External" Id="rId57"/><Relationship Type="http://schemas.openxmlformats.org/officeDocument/2006/relationships/hyperlink" Target="data/acts/GDPR/CELEX_32018L1673_EN_TXT (GDPR - Row 2).pdf" TargetMode="External" Id="rId58"/><Relationship Type="http://schemas.openxmlformats.org/officeDocument/2006/relationships/hyperlink" Target="data/acts/GDPR/CELEX_32018L1673_EN_TXT (GDPR - Row 2).pdf" TargetMode="External" Id="rId59"/><Relationship Type="http://schemas.openxmlformats.org/officeDocument/2006/relationships/hyperlink" Target="data/acts/GDPR/CELEX_32018L1673_EN_TXT (GDPR - Row 2).pdf" TargetMode="External" Id="rId60"/><Relationship Type="http://schemas.openxmlformats.org/officeDocument/2006/relationships/hyperlink" Target="data/acts/GDPR/CELEX_32018L1673_EN_TXT (GDPR - Row 2).pdf" TargetMode="External" Id="rId61"/><Relationship Type="http://schemas.openxmlformats.org/officeDocument/2006/relationships/hyperlink" Target="data/acts/GDPR/CELEX_52023PC0360_EN_TXT (GDPR - Row 13).pdf" TargetMode="External" Id="rId62"/><Relationship Type="http://schemas.openxmlformats.org/officeDocument/2006/relationships/hyperlink" Target="data/acts/GDPR/CELEX_52023PC0360_EN_TXT (GDPR - Row 13).pdf" TargetMode="External" Id="rId63"/><Relationship Type="http://schemas.openxmlformats.org/officeDocument/2006/relationships/hyperlink" Target="data/acts/GDPR/CELEX_52023PC0360_EN_TXT (GDPR - Row 13).pdf" TargetMode="External" Id="rId64"/><Relationship Type="http://schemas.openxmlformats.org/officeDocument/2006/relationships/hyperlink" Target="data/acts/GDPR/CELEX_52023PC0360_EN_TXT (GDPR - Row 13).pdf" TargetMode="External" Id="rId65"/><Relationship Type="http://schemas.openxmlformats.org/officeDocument/2006/relationships/hyperlink" Target="data/acts/GDPR/CELEX_52023PC0360_EN_TXT (GDPR - Row 13).pdf" TargetMode="External" Id="rId66"/><Relationship Type="http://schemas.openxmlformats.org/officeDocument/2006/relationships/hyperlink" Target="data/acts/GDPR/CELEX_52023PC0360_EN_TXT (GDPR - Row 13).pdf" TargetMode="External" Id="rId67"/><Relationship Type="http://schemas.openxmlformats.org/officeDocument/2006/relationships/hyperlink" Target="data/acts/GDPR/CELEX_52023PC0360_EN_TXT (GDPR - Row 13).pdf" TargetMode="External" Id="rId68"/><Relationship Type="http://schemas.openxmlformats.org/officeDocument/2006/relationships/hyperlink" Target="data/acts/GDPR/CELEX_52023PC0360_EN_TXT (GDPR - Row 13).pdf" TargetMode="External" Id="rId69"/><Relationship Type="http://schemas.openxmlformats.org/officeDocument/2006/relationships/hyperlink" Target="data/acts/GDPR/CELEX_52023PC0360_EN_TXT (GDPR - Row 13).pdf" TargetMode="External" Id="rId70"/><Relationship Type="http://schemas.openxmlformats.org/officeDocument/2006/relationships/hyperlink" Target="data/acts/GDPR/CELEX_52023PC0360_EN_TXT (GDPR - Row 13).pdf" TargetMode="External" Id="rId71"/><Relationship Type="http://schemas.openxmlformats.org/officeDocument/2006/relationships/hyperlink" Target="data/acts/GDPR/CELEX_52023PC0360_EN_TXT (GDPR - Row 13).pdf" TargetMode="External" Id="rId72"/><Relationship Type="http://schemas.openxmlformats.org/officeDocument/2006/relationships/hyperlink" Target="data/acts/GDPR/CELEX_52023PC0360_EN_TXT (GDPR - Row 13).pdf" TargetMode="External" Id="rId73"/><Relationship Type="http://schemas.openxmlformats.org/officeDocument/2006/relationships/hyperlink" Target="data/acts/GDPR/CELEX_52023PC0360_EN_TXT (GDPR - Row 13).pdf" TargetMode="External" Id="rId74"/><Relationship Type="http://schemas.openxmlformats.org/officeDocument/2006/relationships/hyperlink" Target="data/acts/GDPR/CELEX_52023PC0360_EN_TXT (GDPR - Row 13).pdf" TargetMode="External" Id="rId75"/><Relationship Type="http://schemas.openxmlformats.org/officeDocument/2006/relationships/hyperlink" Target="data/acts/GDPR/CELEX_52023PC0360_EN_TXT (GDPR - Row 13).pdf" TargetMode="External" Id="rId76"/><Relationship Type="http://schemas.openxmlformats.org/officeDocument/2006/relationships/hyperlink" Target="data/acts/GDPR/CELEX_52023PC0360_EN_TXT (GDPR - Row 13).pdf" TargetMode="External" Id="rId77"/><Relationship Type="http://schemas.openxmlformats.org/officeDocument/2006/relationships/hyperlink" Target="data/acts/GDPR/CELEX_52023PC0360_EN_TXT (GDPR - Row 13).pdf" TargetMode="External" Id="rId78"/><Relationship Type="http://schemas.openxmlformats.org/officeDocument/2006/relationships/hyperlink" Target="data/acts/GDPR/CELEX_52023PC0360_EN_TXT (GDPR - Row 13).pdf" TargetMode="External" Id="rId79"/><Relationship Type="http://schemas.openxmlformats.org/officeDocument/2006/relationships/hyperlink" Target="data/acts/GDPR/CELEX_52023PC0360_EN_TXT (GDPR - Row 13).pdf" TargetMode="External" Id="rId80"/><Relationship Type="http://schemas.openxmlformats.org/officeDocument/2006/relationships/hyperlink" Target="data/acts/GDPR/CELEX_52023PC0360_EN_TXT (GDPR - Row 13).pdf" TargetMode="External" Id="rId81"/><Relationship Type="http://schemas.openxmlformats.org/officeDocument/2006/relationships/hyperlink" Target="data/acts/GDPR/CELEX_52023PC0360_EN_TXT (GDPR - Row 13).pdf" TargetMode="External" Id="rId82"/><Relationship Type="http://schemas.openxmlformats.org/officeDocument/2006/relationships/hyperlink" Target="data/acts/GDPR/CELEX_52023PC0360_EN_TXT (GDPR - Row 13).pdf" TargetMode="External" Id="rId83"/><Relationship Type="http://schemas.openxmlformats.org/officeDocument/2006/relationships/hyperlink" Target="data/acts/GDPR/CELEX_52023PC0360_EN_TXT (GDPR - Row 13).pdf" TargetMode="External" Id="rId84"/><Relationship Type="http://schemas.openxmlformats.org/officeDocument/2006/relationships/hyperlink" Target="data/acts/GDPR/CELEX_52023PC0360_EN_TXT (GDPR - Row 13).pdf" TargetMode="External" Id="rId85"/><Relationship Type="http://schemas.openxmlformats.org/officeDocument/2006/relationships/hyperlink" Target="data/acts/GDPR/CELEX_52023PC0360_EN_TXT (GDPR - Row 13).pdf" TargetMode="External" Id="rId86"/><Relationship Type="http://schemas.openxmlformats.org/officeDocument/2006/relationships/hyperlink" Target="data/acts/GDPR/CELEX_52023PC0360_EN_TXT (GDPR - Row 13).pdf" TargetMode="External" Id="rId87"/><Relationship Type="http://schemas.openxmlformats.org/officeDocument/2006/relationships/hyperlink" Target="data/acts/GDPR/CELEX_52023PC0360_EN_TXT (GDPR - Row 13).pdf" TargetMode="External" Id="rId88"/><Relationship Type="http://schemas.openxmlformats.org/officeDocument/2006/relationships/hyperlink" Target="data/acts/GDPR/CELEX_52023PC0360_EN_TXT (GDPR - Row 13).pdf" TargetMode="External" Id="rId89"/><Relationship Type="http://schemas.openxmlformats.org/officeDocument/2006/relationships/hyperlink" Target="data/acts/GDPR/CELEX_52023PC0360_EN_TXT (GDPR - Row 13).pdf" TargetMode="External" Id="rId90"/><Relationship Type="http://schemas.openxmlformats.org/officeDocument/2006/relationships/hyperlink" Target="data/acts/GDPR/CELEX_52023PC0360_EN_TXT (GDPR - Row 13).pdf" TargetMode="External" Id="rId91"/><Relationship Type="http://schemas.openxmlformats.org/officeDocument/2006/relationships/hyperlink" Target="data/acts/GDPR/CELEX_52023PC0360_EN_TXT (GDPR - Row 13).pdf" TargetMode="External" Id="rId92"/><Relationship Type="http://schemas.openxmlformats.org/officeDocument/2006/relationships/hyperlink" Target="data/acts/GDPR/CELEX_52023PC0360_EN_TXT (GDPR - Row 13).pdf" TargetMode="External" Id="rId93"/><Relationship Type="http://schemas.openxmlformats.org/officeDocument/2006/relationships/hyperlink" Target="data/acts/GDPR/CELEX_52023PC0360_EN_TXT (GDPR - Row 13).pdf" TargetMode="External" Id="rId94"/><Relationship Type="http://schemas.openxmlformats.org/officeDocument/2006/relationships/hyperlink" Target="data/acts/GDPR/CELEX_52023PC0360_EN_TXT (GDPR - Row 13).pdf" TargetMode="External" Id="rId95"/><Relationship Type="http://schemas.openxmlformats.org/officeDocument/2006/relationships/hyperlink" Target="data/acts/GDPR/CELEX_52023PC0360_EN_TXT (GDPR - Row 13).pdf" TargetMode="External" Id="rId96"/><Relationship Type="http://schemas.openxmlformats.org/officeDocument/2006/relationships/hyperlink" Target="data/acts/GDPR/CELEX_52023PC0360_EN_TXT (GDPR - Row 13).pdf" TargetMode="External" Id="rId97"/><Relationship Type="http://schemas.openxmlformats.org/officeDocument/2006/relationships/hyperlink" Target="data/acts/GDPR/CELEX_52023PC0360_EN_TXT (GDPR - Row 13).pdf" TargetMode="External" Id="rId98"/><Relationship Type="http://schemas.openxmlformats.org/officeDocument/2006/relationships/hyperlink" Target="data/acts/GDPR/CELEX_52023PC0360_EN_TXT (GDPR - Row 13).pdf" TargetMode="External" Id="rId99"/><Relationship Type="http://schemas.openxmlformats.org/officeDocument/2006/relationships/hyperlink" Target="data/acts/GDPR/CELEX_52023PC0360_EN_TXT (GDPR - Row 13).pdf" TargetMode="External" Id="rId100"/><Relationship Type="http://schemas.openxmlformats.org/officeDocument/2006/relationships/hyperlink" Target="data/acts/GDPR/CELEX_52023PC0360_EN_TXT (GDPR - Row 13).pdf" TargetMode="External" Id="rId101"/><Relationship Type="http://schemas.openxmlformats.org/officeDocument/2006/relationships/hyperlink" Target="data/acts/GDPR/CELEX_52023PC0360_EN_TXT (GDPR - Row 13).pdf" TargetMode="External" Id="rId102"/><Relationship Type="http://schemas.openxmlformats.org/officeDocument/2006/relationships/hyperlink" Target="data/acts/GDPR/CELEX_52023PC0360_EN_TXT (GDPR - Row 13).pdf" TargetMode="External" Id="rId103"/><Relationship Type="http://schemas.openxmlformats.org/officeDocument/2006/relationships/hyperlink" Target="data/acts/GDPR/CELEX_52023PC0360_EN_TXT (GDPR - Row 13).pdf" TargetMode="External" Id="rId104"/><Relationship Type="http://schemas.openxmlformats.org/officeDocument/2006/relationships/hyperlink" Target="data/acts/GDPR/CELEX_52023PC0360_EN_TXT (GDPR - Row 13).pdf" TargetMode="External" Id="rId105"/><Relationship Type="http://schemas.openxmlformats.org/officeDocument/2006/relationships/hyperlink" Target="data/acts/GDPR/CELEX_52023PC0360_EN_TXT (GDPR - Row 13).pdf" TargetMode="External" Id="rId106"/><Relationship Type="http://schemas.openxmlformats.org/officeDocument/2006/relationships/hyperlink" Target="data/acts/GDPR/CELEX_52023PC0360_EN_TXT (GDPR - Row 13).pdf" TargetMode="External" Id="rId107"/><Relationship Type="http://schemas.openxmlformats.org/officeDocument/2006/relationships/hyperlink" Target="data/acts/GDPR/CELEX_52023PC0360_EN_TXT (GDPR - Row 13).pdf" TargetMode="External" Id="rId108"/><Relationship Type="http://schemas.openxmlformats.org/officeDocument/2006/relationships/hyperlink" Target="data/acts/GDPR/CELEX_52023PC0360_EN_TXT (GDPR - Row 13).pdf" TargetMode="External" Id="rId109"/><Relationship Type="http://schemas.openxmlformats.org/officeDocument/2006/relationships/hyperlink" Target="data/acts/GDPR/CELEX_52023PC0360_EN_TXT (GDPR - Row 13).pdf" TargetMode="External" Id="rId110"/><Relationship Type="http://schemas.openxmlformats.org/officeDocument/2006/relationships/hyperlink" Target="data/acts/GDPR/CELEX_52023PC0360_EN_TXT (GDPR - Row 13).pdf" TargetMode="External" Id="rId111"/><Relationship Type="http://schemas.openxmlformats.org/officeDocument/2006/relationships/hyperlink" Target="data/acts/GDPR/CELEX_52023PC0360_EN_TXT (GDPR - Row 13).pdf" TargetMode="External" Id="rId112"/><Relationship Type="http://schemas.openxmlformats.org/officeDocument/2006/relationships/hyperlink" Target="data/acts/GDPR/CELEX_52023PC0360_EN_TXT (GDPR - Row 13).pdf" TargetMode="External" Id="rId113"/><Relationship Type="http://schemas.openxmlformats.org/officeDocument/2006/relationships/hyperlink" Target="data/acts/GDPR/CELEX_52023PC0360_EN_TXT (GDPR - Row 13).pdf" TargetMode="External" Id="rId114"/><Relationship Type="http://schemas.openxmlformats.org/officeDocument/2006/relationships/hyperlink" Target="data/acts/GDPR/CELEX_52023PC0360_EN_TXT (GDPR - Row 13).pdf" TargetMode="External" Id="rId115"/><Relationship Type="http://schemas.openxmlformats.org/officeDocument/2006/relationships/hyperlink" Target="data/acts/GDPR/CELEX_52023PC0360_EN_TXT (GDPR - Row 13).pdf" TargetMode="External" Id="rId116"/><Relationship Type="http://schemas.openxmlformats.org/officeDocument/2006/relationships/hyperlink" Target="data/acts/GDPR/CELEX_52023PC0360_EN_TXT (GDPR - Row 13).pdf" TargetMode="External" Id="rId117"/><Relationship Type="http://schemas.openxmlformats.org/officeDocument/2006/relationships/hyperlink" Target="data/acts/GDPR/CELEX_52023PC0360_EN_TXT (GDPR - Row 13).pdf" TargetMode="External" Id="rId118"/><Relationship Type="http://schemas.openxmlformats.org/officeDocument/2006/relationships/hyperlink" Target="data/acts/GDPR/CELEX_52023PC0360_EN_TXT (GDPR - Row 13).pdf" TargetMode="External" Id="rId119"/><Relationship Type="http://schemas.openxmlformats.org/officeDocument/2006/relationships/hyperlink" Target="data/acts/GDPR/CELEX_52023PC0360_EN_TXT (GDPR - Row 13).pdf" TargetMode="External" Id="rId120"/><Relationship Type="http://schemas.openxmlformats.org/officeDocument/2006/relationships/hyperlink" Target="data/acts/GDPR/CELEX_52023PC0360_EN_TXT (GDPR - Row 13).pdf" TargetMode="External" Id="rId121"/><Relationship Type="http://schemas.openxmlformats.org/officeDocument/2006/relationships/hyperlink" Target="data/acts/GDPR/CELEX_52023PC0360_EN_TXT (GDPR - Row 13).pdf" TargetMode="External" Id="rId122"/><Relationship Type="http://schemas.openxmlformats.org/officeDocument/2006/relationships/hyperlink" Target="data/acts/GDPR/CELEX_52023PC0360_EN_TXT (GDPR - Row 13).pdf" TargetMode="External" Id="rId123"/><Relationship Type="http://schemas.openxmlformats.org/officeDocument/2006/relationships/hyperlink" Target="data/acts/GDPR/CELEX_52023PC0360_EN_TXT (GDPR - Row 13).pdf" TargetMode="External" Id="rId124"/><Relationship Type="http://schemas.openxmlformats.org/officeDocument/2006/relationships/hyperlink" Target="data/acts/GDPR/CELEX_52023PC0360_EN_TXT (GDPR - Row 13).pdf" TargetMode="External" Id="rId125"/><Relationship Type="http://schemas.openxmlformats.org/officeDocument/2006/relationships/hyperlink" Target="data/acts/GDPR/CELEX_52023PC0360_EN_TXT (GDPR - Row 13).pdf" TargetMode="External" Id="rId126"/><Relationship Type="http://schemas.openxmlformats.org/officeDocument/2006/relationships/hyperlink" Target="data/acts/GDPR/CELEX_52023PC0360_EN_TXT (GDPR - Row 13).pdf" TargetMode="External" Id="rId127"/><Relationship Type="http://schemas.openxmlformats.org/officeDocument/2006/relationships/hyperlink" Target="data/acts/GDPR/CELEX_52023PC0360_EN_TXT (GDPR - Row 13).pdf" TargetMode="External" Id="rId128"/><Relationship Type="http://schemas.openxmlformats.org/officeDocument/2006/relationships/hyperlink" Target="data/acts/GDPR/CELEX_52023PC0360_EN_TXT (GDPR - Row 13).pdf" TargetMode="External" Id="rId129"/><Relationship Type="http://schemas.openxmlformats.org/officeDocument/2006/relationships/hyperlink" Target="data/acts/GDPR/CELEX_52023PC0360_EN_TXT (GDPR - Row 13).pdf" TargetMode="External" Id="rId130"/><Relationship Type="http://schemas.openxmlformats.org/officeDocument/2006/relationships/hyperlink" Target="data/acts/GDPR/CELEX_52023PC0360_EN_TXT (GDPR - Row 13).pdf" TargetMode="External" Id="rId131"/><Relationship Type="http://schemas.openxmlformats.org/officeDocument/2006/relationships/hyperlink" Target="data/acts/GDPR/CELEX_52023PC0360_EN_TXT (GDPR - Row 13).pdf" TargetMode="External" Id="rId132"/><Relationship Type="http://schemas.openxmlformats.org/officeDocument/2006/relationships/hyperlink" Target="data/acts/GDPR/CELEX_52023PC0360_EN_TXT (GDPR - Row 13).pdf" TargetMode="External" Id="rId133"/><Relationship Type="http://schemas.openxmlformats.org/officeDocument/2006/relationships/hyperlink" Target="data/acts/GDPR/CELEX_52023PC0360_EN_TXT (GDPR - Row 13).pdf" TargetMode="External" Id="rId134"/><Relationship Type="http://schemas.openxmlformats.org/officeDocument/2006/relationships/hyperlink" Target="data/acts/GDPR/CELEX_52023PC0360_EN_TXT (GDPR - Row 13).pdf" TargetMode="External" Id="rId135"/><Relationship Type="http://schemas.openxmlformats.org/officeDocument/2006/relationships/hyperlink" Target="data/acts/GDPR/CELEX_52023PC0360_EN_TXT (GDPR - Row 13).pdf" TargetMode="External" Id="rId136"/><Relationship Type="http://schemas.openxmlformats.org/officeDocument/2006/relationships/hyperlink" Target="data/acts/GDPR/CELEX_52023PC0360_EN_TXT (GDPR - Row 13).pdf" TargetMode="External" Id="rId137"/><Relationship Type="http://schemas.openxmlformats.org/officeDocument/2006/relationships/hyperlink" Target="data/acts/GDPR/CELEX_52023PC0360_EN_TXT (GDPR - Row 13).pdf" TargetMode="External" Id="rId138"/><Relationship Type="http://schemas.openxmlformats.org/officeDocument/2006/relationships/hyperlink" Target="data/acts/GDPR/CELEX_52023PC0360_EN_TXT (GDPR - Row 13).pdf" TargetMode="External" Id="rId139"/><Relationship Type="http://schemas.openxmlformats.org/officeDocument/2006/relationships/hyperlink" Target="data/acts/GDPR/CELEX_52023PC0360_EN_TXT (GDPR - Row 13).pdf" TargetMode="External" Id="rId140"/><Relationship Type="http://schemas.openxmlformats.org/officeDocument/2006/relationships/hyperlink" Target="data/acts/GDPR/CELEX_52023PC0360_EN_TXT (GDPR - Row 13).pdf" TargetMode="External" Id="rId141"/><Relationship Type="http://schemas.openxmlformats.org/officeDocument/2006/relationships/hyperlink" Target="data/acts/GDPR/CELEX_52023PC0360_EN_TXT (GDPR - Row 13).pdf" TargetMode="External" Id="rId142"/><Relationship Type="http://schemas.openxmlformats.org/officeDocument/2006/relationships/hyperlink" Target="data/acts/GDPR/CELEX_52023PC0360_EN_TXT (GDPR - Row 13).pdf" TargetMode="External" Id="rId143"/><Relationship Type="http://schemas.openxmlformats.org/officeDocument/2006/relationships/hyperlink" Target="data/acts/GDPR/CELEX_52023PC0360_EN_TXT (GDPR - Row 13).pdf" TargetMode="External" Id="rId144"/><Relationship Type="http://schemas.openxmlformats.org/officeDocument/2006/relationships/hyperlink" Target="data/acts/GDPR/CELEX_52023PC0360_EN_TXT (GDPR - Row 13).pdf" TargetMode="External" Id="rId145"/><Relationship Type="http://schemas.openxmlformats.org/officeDocument/2006/relationships/hyperlink" Target="data/acts/GDPR/CELEX_52023PC0360_EN_TXT (GDPR - Row 13).pdf" TargetMode="External" Id="rId146"/><Relationship Type="http://schemas.openxmlformats.org/officeDocument/2006/relationships/hyperlink" Target="data/acts/GDPR/CELEX_52023PC0360_EN_TXT (GDPR - Row 13).pdf" TargetMode="External" Id="rId147"/><Relationship Type="http://schemas.openxmlformats.org/officeDocument/2006/relationships/hyperlink" Target="data/acts/GDPR/CELEX_52023PC0360_EN_TXT (GDPR - Row 13).pdf" TargetMode="External" Id="rId148"/><Relationship Type="http://schemas.openxmlformats.org/officeDocument/2006/relationships/hyperlink" Target="data/acts/GDPR/CELEX_52023PC0360_EN_TXT (GDPR - Row 13).pdf" TargetMode="External" Id="rId149"/><Relationship Type="http://schemas.openxmlformats.org/officeDocument/2006/relationships/hyperlink" Target="data/acts/GDPR/CELEX_52023PC0360_EN_TXT (GDPR - Row 13).pdf" TargetMode="External" Id="rId150"/><Relationship Type="http://schemas.openxmlformats.org/officeDocument/2006/relationships/hyperlink" Target="data/acts/GDPR/CELEX_52023PC0360_EN_TXT (GDPR - Row 13).pdf" TargetMode="External" Id="rId151"/><Relationship Type="http://schemas.openxmlformats.org/officeDocument/2006/relationships/hyperlink" Target="data/acts/GDPR/CELEX_52023PC0360_EN_TXT (GDPR - Row 13).pdf" TargetMode="External" Id="rId152"/><Relationship Type="http://schemas.openxmlformats.org/officeDocument/2006/relationships/hyperlink" Target="data/acts/GDPR/CELEX_52023PC0360_EN_TXT (GDPR - Row 13).pdf" TargetMode="External" Id="rId153"/><Relationship Type="http://schemas.openxmlformats.org/officeDocument/2006/relationships/hyperlink" Target="data/acts/GDPR/CELEX_52023PC0360_EN_TXT (GDPR - Row 13).pdf" TargetMode="External" Id="rId154"/><Relationship Type="http://schemas.openxmlformats.org/officeDocument/2006/relationships/hyperlink" Target="data/acts/GDPR/CELEX_52023PC0360_EN_TXT (GDPR - Row 13).pdf" TargetMode="External" Id="rId155"/><Relationship Type="http://schemas.openxmlformats.org/officeDocument/2006/relationships/hyperlink" Target="data/acts/GDPR/CELEX_52023PC0360_EN_TXT (GDPR - Row 13).pdf" TargetMode="External" Id="rId156"/><Relationship Type="http://schemas.openxmlformats.org/officeDocument/2006/relationships/hyperlink" Target="data/acts/GDPR/Final report on amending GLs on ICT risk and security (GDPR - Row 4).pdf" TargetMode="External" Id="rId157"/><Relationship Type="http://schemas.openxmlformats.org/officeDocument/2006/relationships/hyperlink" Target="data/acts/GDPR/Final report on amending GLs on ICT risk and security (GDPR - Row 4).pdf" TargetMode="External" Id="rId158"/><Relationship Type="http://schemas.openxmlformats.org/officeDocument/2006/relationships/hyperlink" Target="data/acts/GDPR/Final report on amending GLs on ICT risk and security (GDPR - Row 4).pdf" TargetMode="External" Id="rId159"/><Relationship Type="http://schemas.openxmlformats.org/officeDocument/2006/relationships/hyperlink" Target="data/acts/GDPR/Final report on amending GLs on ICT risk and security (GDPR - Row 4).pdf" TargetMode="External" Id="rId160"/><Relationship Type="http://schemas.openxmlformats.org/officeDocument/2006/relationships/hyperlink" Target="data/acts/GDPR/Final report on amending GLs on ICT risk and security (GDPR - Row 4).pdf" TargetMode="External" Id="rId161"/><Relationship Type="http://schemas.openxmlformats.org/officeDocument/2006/relationships/hyperlink" Target="data/acts/GDPR/Final report on amending GLs on ICT risk and security (GDPR - Row 4).pdf" TargetMode="External" Id="rId162"/><Relationship Type="http://schemas.openxmlformats.org/officeDocument/2006/relationships/hyperlink" Target="data/acts/GDPR/Final report on amending GLs on ICT risk and security (GDPR - Row 4).pdf" TargetMode="External" Id="rId163"/><Relationship Type="http://schemas.openxmlformats.org/officeDocument/2006/relationships/hyperlink" Target="data/acts/GDPR/Final report on amending GLs on ICT risk and security (GDPR - Row 4).pdf" TargetMode="External" Id="rId164"/><Relationship Type="http://schemas.openxmlformats.org/officeDocument/2006/relationships/hyperlink" Target="data/acts/GDPR/Final report on amending GLs on ICT risk and security (GDPR - Row 4).pdf" TargetMode="External" Id="rId165"/><Relationship Type="http://schemas.openxmlformats.org/officeDocument/2006/relationships/hyperlink" Target="data/acts/GDPR/Final report on amending GLs on ICT risk and security (GDPR - Row 4).pdf" TargetMode="External" Id="rId166"/><Relationship Type="http://schemas.openxmlformats.org/officeDocument/2006/relationships/hyperlink" Target="data/acts/GDPR/Final report on amending GLs on ICT risk and security (GDPR - Row 4).pdf" TargetMode="External" Id="rId167"/><Relationship Type="http://schemas.openxmlformats.org/officeDocument/2006/relationships/hyperlink" Target="data/acts/GDPR/Final report on amending GLs on ICT risk and security (GDPR - Row 4).pdf" TargetMode="External" Id="rId168"/><Relationship Type="http://schemas.openxmlformats.org/officeDocument/2006/relationships/hyperlink" Target="data/acts/GDPR/Final report on amending GLs on ICT risk and security (GDPR - Row 4).pdf" TargetMode="External" Id="rId169"/><Relationship Type="http://schemas.openxmlformats.org/officeDocument/2006/relationships/hyperlink" Target="data/acts/GDPR/Final report on amending GLs on ICT risk and security (GDPR - Row 4).pdf" TargetMode="External" Id="rId170"/><Relationship Type="http://schemas.openxmlformats.org/officeDocument/2006/relationships/hyperlink" Target="data/acts/GDPR/Final report on amending GLs on ICT risk and security (GDPR - Row 4).pdf" TargetMode="External" Id="rId171"/><Relationship Type="http://schemas.openxmlformats.org/officeDocument/2006/relationships/hyperlink" Target="data/acts/GDPR/Final report on amending GLs on ICT risk and security (GDPR - Row 4).pdf" TargetMode="External" Id="rId172"/><Relationship Type="http://schemas.openxmlformats.org/officeDocument/2006/relationships/hyperlink" Target="data/acts/GDPR/Final report on amending GLs on ICT risk and security (GDPR - Row 4).pdf" TargetMode="External" Id="rId173"/><Relationship Type="http://schemas.openxmlformats.org/officeDocument/2006/relationships/hyperlink" Target="data/acts/GDPR/Final report on amending GLs on ICT risk and security (GDPR - Row 4).pdf" TargetMode="External" Id="rId174"/><Relationship Type="http://schemas.openxmlformats.org/officeDocument/2006/relationships/hyperlink" Target="data/acts/GDPR/Final report on amending GLs on ICT risk and security (GDPR - Row 4).pdf" TargetMode="External" Id="rId175"/><Relationship Type="http://schemas.openxmlformats.org/officeDocument/2006/relationships/hyperlink" Target="data/acts/GDPR/esma_cloud_guidelines (GDPR - Row 8).pdf" TargetMode="External" Id="rId176"/><Relationship Type="http://schemas.openxmlformats.org/officeDocument/2006/relationships/hyperlink" Target="data/acts/GDPR/esma_cloud_guidelines (GDPR - Row 8).pdf" TargetMode="External" Id="rId177"/><Relationship Type="http://schemas.openxmlformats.org/officeDocument/2006/relationships/hyperlink" Target="data/acts/GDPR/esma_cloud_guidelines (GDPR - Row 8).pdf" TargetMode="External" Id="rId178"/><Relationship Type="http://schemas.openxmlformats.org/officeDocument/2006/relationships/hyperlink" Target="data/acts/GDPR/esma_cloud_guidelines (GDPR - Row 8).pdf" TargetMode="External" Id="rId179"/><Relationship Type="http://schemas.openxmlformats.org/officeDocument/2006/relationships/hyperlink" Target="data/acts/GDPR/esma_cloud_guidelines (GDPR - Row 8).pdf" TargetMode="External" Id="rId180"/><Relationship Type="http://schemas.openxmlformats.org/officeDocument/2006/relationships/hyperlink" Target="data/acts/GDPR/esma_cloud_guidelines (GDPR - Row 8).pdf" TargetMode="External" Id="rId181"/><Relationship Type="http://schemas.openxmlformats.org/officeDocument/2006/relationships/hyperlink" Target="data/acts/GDPR/esma_cloud_guidelines (GDPR - Row 8).pdf" TargetMode="External" Id="rId182"/><Relationship Type="http://schemas.openxmlformats.org/officeDocument/2006/relationships/hyperlink" Target="data/acts/GDPR/esma_cloud_guidelines (GDPR - Row 8).pdf" TargetMode="External" Id="rId183"/><Relationship Type="http://schemas.openxmlformats.org/officeDocument/2006/relationships/hyperlink" Target="data/acts/GDPR/esma_cloud_guidelines (GDPR - Row 8).pdf" TargetMode="External" Id="rId184"/><Relationship Type="http://schemas.openxmlformats.org/officeDocument/2006/relationships/hyperlink" Target="data/acts/GDPR/esma_cloud_guidelines (GDPR - Row 8).pdf" TargetMode="External" Id="rId185"/><Relationship Type="http://schemas.openxmlformats.org/officeDocument/2006/relationships/hyperlink" Target="data/acts/GDPR/esma_cloud_guidelines (GDPR - Row 8).pdf" TargetMode="External" Id="rId186"/><Relationship Type="http://schemas.openxmlformats.org/officeDocument/2006/relationships/hyperlink" Target="data/acts/GDPR/esma_cloud_guidelines (GDPR - Row 8).pdf" TargetMode="External" Id="rId187"/><Relationship Type="http://schemas.openxmlformats.org/officeDocument/2006/relationships/hyperlink" Target="data/acts/GDPR/esma_cloud_guidelines (GDPR - Row 8).pdf" TargetMode="External" Id="rId188"/><Relationship Type="http://schemas.openxmlformats.org/officeDocument/2006/relationships/hyperlink" Target="data/acts/GDPR/esma_cloud_guidelines (GDPR - Row 8).pdf" TargetMode="External" Id="rId189"/><Relationship Type="http://schemas.openxmlformats.org/officeDocument/2006/relationships/hyperlink" Target="data/acts/GDPR/esma_cloud_guidelines (GDPR - Row 8).pdf" TargetMode="External" Id="rId190"/><Relationship Type="http://schemas.openxmlformats.org/officeDocument/2006/relationships/hyperlink" Target="data/acts/GDPR/esma_cloud_guidelines (GDPR - Row 8).pdf" TargetMode="External" Id="rId191"/><Relationship Type="http://schemas.openxmlformats.org/officeDocument/2006/relationships/hyperlink" Target="data/acts/GDPR/esma_cloud_guidelines (GDPR - Row 8).pdf" TargetMode="External" Id="rId192"/><Relationship Type="http://schemas.openxmlformats.org/officeDocument/2006/relationships/hyperlink" Target="data/acts/GDPR/esma_cloud_guidelines (GDPR - Row 8).pdf" TargetMode="External" Id="rId193"/><Relationship Type="http://schemas.openxmlformats.org/officeDocument/2006/relationships/hyperlink" Target="data/acts/GDPR/esma_cloud_guidelines (GDPR - Row 8).pdf" TargetMode="External" Id="rId194"/><Relationship Type="http://schemas.openxmlformats.org/officeDocument/2006/relationships/hyperlink" Target="data/acts/GDPR/esma_cloud_guidelines (GDPR - Row 8).pdf" TargetMode="External" Id="rId195"/><Relationship Type="http://schemas.openxmlformats.org/officeDocument/2006/relationships/hyperlink" Target="data/acts/GDPR/esma_cloud_guidelines (GDPR - Row 8).pdf" TargetMode="External" Id="rId196"/><Relationship Type="http://schemas.openxmlformats.org/officeDocument/2006/relationships/hyperlink" Target="data/acts/GDPR/esma_cloud_guidelines (GDPR - Row 8).pdf" TargetMode="External" Id="rId197"/><Relationship Type="http://schemas.openxmlformats.org/officeDocument/2006/relationships/hyperlink" Target="data/acts/GDPR/esma_cloud_guidelines (GDPR - Row 8).pdf" TargetMode="External" Id="rId198"/><Relationship Type="http://schemas.openxmlformats.org/officeDocument/2006/relationships/hyperlink" Target="data/acts/GDPR/esma_cloud_guidelines (GDPR - Row 8).pdf" TargetMode="External" Id="rId199"/><Relationship Type="http://schemas.openxmlformats.org/officeDocument/2006/relationships/hyperlink" Target="data/acts/GDPR/esma_cloud_guidelines (GDPR - Row 8).pdf" TargetMode="External" Id="rId200"/><Relationship Type="http://schemas.openxmlformats.org/officeDocument/2006/relationships/hyperlink" Target="data/acts/GDPR/esma_cloud_guidelines (GDPR - Row 8).pdf" TargetMode="External" Id="rId201"/><Relationship Type="http://schemas.openxmlformats.org/officeDocument/2006/relationships/hyperlink" Target="data/acts/GDPR/esma_cloud_guidelines (GDPR - Row 8).pdf" TargetMode="External" Id="rId202"/><Relationship Type="http://schemas.openxmlformats.org/officeDocument/2006/relationships/hyperlink" Target="data/acts/GDPR/esma_cloud_guidelines (GDPR - Row 8).pdf" TargetMode="External" Id="rId203"/><Relationship Type="http://schemas.openxmlformats.org/officeDocument/2006/relationships/hyperlink" Target="data/acts/GDPR/esma_cloud_guidelines (GDPR - Row 8).pdf" TargetMode="External" Id="rId204"/><Relationship Type="http://schemas.openxmlformats.org/officeDocument/2006/relationships/hyperlink" Target="data/acts/GDPR/esma_cloud_guidelines (GDPR - Row 8).pdf" TargetMode="External" Id="rId205"/><Relationship Type="http://schemas.openxmlformats.org/officeDocument/2006/relationships/hyperlink" Target="data/acts/GDPR/esma_cloud_guidelines (GDPR - Row 8).pdf" TargetMode="External" Id="rId206"/><Relationship Type="http://schemas.openxmlformats.org/officeDocument/2006/relationships/hyperlink" Target="data/acts/GDPR/esma_cloud_guidelines (GDPR - Row 8).pdf" TargetMode="External" Id="rId207"/><Relationship Type="http://schemas.openxmlformats.org/officeDocument/2006/relationships/hyperlink" Target="data/acts/GDPR/esma_cloud_guidelines (GDPR - Row 8).pdf" TargetMode="External" Id="rId208"/><Relationship Type="http://schemas.openxmlformats.org/officeDocument/2006/relationships/hyperlink" Target="data/acts/GDPR/esma_cloud_guidelines (GDPR - Row 8).pdf" TargetMode="External" Id="rId209"/><Relationship Type="http://schemas.openxmlformats.org/officeDocument/2006/relationships/hyperlink" Target="data/acts/GDPR/esma_cloud_guidelines (GDPR - Row 8).pdf" TargetMode="External" Id="rId210"/><Relationship Type="http://schemas.openxmlformats.org/officeDocument/2006/relationships/hyperlink" Target="data/acts/GDPR/esma_cloud_guidelines (GDPR - Row 8).pdf" TargetMode="External" Id="rId211"/><Relationship Type="http://schemas.openxmlformats.org/officeDocument/2006/relationships/hyperlink" Target="data/acts/GDPR/esma_cloud_guidelines (GDPR - Row 8).pdf" TargetMode="External" Id="rId212"/><Relationship Type="http://schemas.openxmlformats.org/officeDocument/2006/relationships/hyperlink" Target="data/acts/GDPR/esma_cloud_guidelines (GDPR - Row 8).pdf" TargetMode="External" Id="rId213"/><Relationship Type="http://schemas.openxmlformats.org/officeDocument/2006/relationships/hyperlink" Target="data/acts/GDPR/esma_cloud_guidelines (GDPR - Row 8).pdf" TargetMode="External" Id="rId214"/><Relationship Type="http://schemas.openxmlformats.org/officeDocument/2006/relationships/hyperlink" Target="data/acts/GDPR/esma_cloud_guidelines (GDPR - Row 8).pdf" TargetMode="External" Id="rId215"/><Relationship Type="http://schemas.openxmlformats.org/officeDocument/2006/relationships/hyperlink" Target="data/acts/GDPR/esma_cloud_guidelines (GDPR - Row 8).pdf" TargetMode="External" Id="rId216"/><Relationship Type="http://schemas.openxmlformats.org/officeDocument/2006/relationships/hyperlink" Target="data/acts/GDPR/esma_cloud_guidelines (GDPR - Row 8).pdf" TargetMode="External" Id="rId217"/><Relationship Type="http://schemas.openxmlformats.org/officeDocument/2006/relationships/hyperlink" Target="data/acts/GDPR/esma_cloud_guidelines (GDPR - Row 8).pdf" TargetMode="External" Id="rId218"/><Relationship Type="http://schemas.openxmlformats.org/officeDocument/2006/relationships/hyperlink" Target="data/acts/GDPR/esma_cloud_guidelines (GDPR - Row 8).pdf" TargetMode="External" Id="rId219"/><Relationship Type="http://schemas.openxmlformats.org/officeDocument/2006/relationships/hyperlink" Target="data/acts/GDPR/esma_cloud_guidelines (GDPR - Row 8).pdf" TargetMode="External" Id="rId220"/><Relationship Type="http://schemas.openxmlformats.org/officeDocument/2006/relationships/hyperlink" Target="data/acts/GDPR/esma_cloud_guidelines (GDPR - Row 8).pdf" TargetMode="External" Id="rId221"/><Relationship Type="http://schemas.openxmlformats.org/officeDocument/2006/relationships/hyperlink" Target="data/acts/India/Guidelines on Information and Cyber Security (India - Row 8).pdf" TargetMode="External" Id="rId222"/><Relationship Type="http://schemas.openxmlformats.org/officeDocument/2006/relationships/hyperlink" Target="data/acts/India/Guidelines on Information and Cyber Security (India - Row 8).pdf" TargetMode="External" Id="rId223"/><Relationship Type="http://schemas.openxmlformats.org/officeDocument/2006/relationships/hyperlink" Target="data/acts/India/NT75589AC4A988D446CA94182886F6D8EADD (India - Row 13) PROVISIONALLY.pdf" TargetMode="External" Id="rId224"/><Relationship Type="http://schemas.openxmlformats.org/officeDocument/2006/relationships/hyperlink" Target="data/acts/India/RBI Master Direction on Information Technology Framework for NBFC Sector (2017) (India - Row 15).pdf" TargetMode="External" Id="rId225"/><Relationship Type="http://schemas.openxmlformats.org/officeDocument/2006/relationships/hyperlink" Target="data/acts/India/RBI Master Direction on Information Technology Framework for NBFC Sector (2017) (India - Row 15).pdf" TargetMode="External" Id="rId226"/><Relationship Type="http://schemas.openxmlformats.org/officeDocument/2006/relationships/hyperlink" Target="data/acts/India/RBI Payment Data Localisation Requirement (India - Row 17).pdf" TargetMode="External" Id="rId227"/><Relationship Type="http://schemas.openxmlformats.org/officeDocument/2006/relationships/hyperlink" Target="data/acts/India/RBI Payment Data Localisation Requirement (India - Row 17).pdf" TargetMode="External" Id="rId228"/><Relationship Type="http://schemas.openxmlformats.org/officeDocument/2006/relationships/hyperlink" Target="data/acts/India/guidelines-on-cyber-security-and-cyber-resilience-for-regulated-entities-in-ifscs-1-10032025064412 (India - Row 5).pdf" TargetMode="External" Id="rId229"/><Relationship Type="http://schemas.openxmlformats.org/officeDocument/2006/relationships/hyperlink" Target="data/acts/India/guidelines-on-cyber-security-and-cyber-resilience-for-regulated-entities-in-ifscs-1-10032025064412 (India - Row 5).pdf" TargetMode="External" Id="rId230"/><Relationship Type="http://schemas.openxmlformats.org/officeDocument/2006/relationships/hyperlink" Target="data/acts/India/guidelines-on-cyber-security-and-cyber-resilience-for-regulated-entities-in-ifscs-1-10032025064412 (India - Row 5).pdf" TargetMode="External" Id="rId231"/><Relationship Type="http://schemas.openxmlformats.org/officeDocument/2006/relationships/hyperlink" Target="data/acts/India/guidelines-on-cyber-security-and-cyber-resilience-for-regulated-entities-in-ifscs-1-10032025064412 (India - Row 5).pdf" TargetMode="External" Id="rId232"/><Relationship Type="http://schemas.openxmlformats.org/officeDocument/2006/relationships/hyperlink" Target="data/acts/India/guidelines-on-cyber-security-and-cyber-resilience-for-regulated-entities-in-ifscs-1-10032025064412 (India - Row 5).pdf" TargetMode="External" Id="rId233"/><Relationship Type="http://schemas.openxmlformats.org/officeDocument/2006/relationships/hyperlink" Target="data/acts/India/guidelines-on-cyber-security-and-cyber-resilience-for-regulated-entities-in-ifscs-1-10032025064412 (India - Row 5).pdf" TargetMode="External" Id="rId234"/><Relationship Type="http://schemas.openxmlformats.org/officeDocument/2006/relationships/hyperlink" Target="data/acts/India/guidelines-on-cyber-security-and-cyber-resilience-for-regulated-entities-in-ifscs-1-10032025064412 (India - Row 5).pdf" TargetMode="External" Id="rId235"/><Relationship Type="http://schemas.openxmlformats.org/officeDocument/2006/relationships/hyperlink" Target="data/acts/India/guidelines-on-cyber-security-and-cyber-resilience-for-regulated-entities-in-ifscs-1-10032025064412 (India - Row 5).pdf" TargetMode="External" Id="rId236"/><Relationship Type="http://schemas.openxmlformats.org/officeDocument/2006/relationships/hyperlink" Target="data/acts/India/guidelines-on-cyber-security-and-cyber-resilience-for-regulated-entities-in-ifscs-1-10032025064412 (India - Row 5).pdf" TargetMode="External" Id="rId237"/><Relationship Type="http://schemas.openxmlformats.org/officeDocument/2006/relationships/hyperlink" Target="data/acts/India/guidelines-on-cyber-security-and-cyber-resilience-for-regulated-entities-in-ifscs-1-10032025064412 (India - Row 5).pdf" TargetMode="External" Id="rId238"/><Relationship Type="http://schemas.openxmlformats.org/officeDocument/2006/relationships/hyperlink" Target="data/acts/India/guidelines-on-cyber-security-and-cyber-resilience-for-regulated-entities-in-ifscs-1-10032025064412 (India - Row 5).pdf" TargetMode="External" Id="rId239"/><Relationship Type="http://schemas.openxmlformats.org/officeDocument/2006/relationships/hyperlink" Target="data/acts/India/guidelines-on-cyber-security-and-cyber-resilience-for-regulated-entities-in-ifscs-1-10032025064412 (India - Row 5).pdf" TargetMode="External" Id="rId240"/><Relationship Type="http://schemas.openxmlformats.org/officeDocument/2006/relationships/hyperlink" Target="data/acts/India/guidelines-on-cyber-security-and-cyber-resilience-for-regulated-entities-in-ifscs-1-10032025064412 (India - Row 5).pdf" TargetMode="External" Id="rId241"/><Relationship Type="http://schemas.openxmlformats.org/officeDocument/2006/relationships/hyperlink" Target="data/acts/India/guidelines-on-cyber-security-and-cyber-resilience-for-regulated-entities-in-ifscs-1-10032025064412 (India - Row 5).pdf" TargetMode="External" Id="rId242"/><Relationship Type="http://schemas.openxmlformats.org/officeDocument/2006/relationships/hyperlink" Target="data/acts/India/guidelines-on-cyber-security-and-cyber-resilience-for-regulated-entities-in-ifscs-1-10032025064412 (India - Row 5).pdf" TargetMode="External" Id="rId243"/><Relationship Type="http://schemas.openxmlformats.org/officeDocument/2006/relationships/hyperlink" Target="data/acts/India/guidelines-on-cyber-security-and-cyber-resilience-for-regulated-entities-in-ifscs-1-10032025064412 (India - Row 5).pdf" TargetMode="External" Id="rId244"/><Relationship Type="http://schemas.openxmlformats.org/officeDocument/2006/relationships/hyperlink" Target="data/acts/India/guidelines-on-cyber-security-and-cyber-resilience-for-regulated-entities-in-ifscs-1-10032025064412 (India - Row 5).pdf" TargetMode="External" Id="rId245"/><Relationship Type="http://schemas.openxmlformats.org/officeDocument/2006/relationships/hyperlink" Target="data/acts/India/guidelines-on-cyber-security-and-cyber-resilience-for-regulated-entities-in-ifscs-1-10032025064412 (India - Row 5).pdf" TargetMode="External" Id="rId246"/><Relationship Type="http://schemas.openxmlformats.org/officeDocument/2006/relationships/hyperlink" Target="data/acts/India/guidelines-on-cyber-security-and-cyber-resilience-for-regulated-entities-in-ifscs-1-10032025064412 (India - Row 5).pdf" TargetMode="External" Id="rId247"/><Relationship Type="http://schemas.openxmlformats.org/officeDocument/2006/relationships/hyperlink" Target="data/acts/India/guidelines-on-cyber-security-and-cyber-resilience-for-regulated-entities-in-ifscs-1-10032025064412 (India - Row 5).pdf" TargetMode="External" Id="rId248"/><Relationship Type="http://schemas.openxmlformats.org/officeDocument/2006/relationships/hyperlink" Target="data/acts/India/guidelines-on-cyber-security-and-cyber-resilience-for-regulated-entities-in-ifscs-1-10032025064412 (India - Row 5).pdf" TargetMode="External" Id="rId249"/><Relationship Type="http://schemas.openxmlformats.org/officeDocument/2006/relationships/hyperlink" Target="data/acts/Kenya/Capital Markets Act.pdf" TargetMode="External" Id="rId250"/><Relationship Type="http://schemas.openxmlformats.org/officeDocument/2006/relationships/hyperlink" Target="data/acts/Kenya/Capital Markets Act.pdf" TargetMode="External" Id="rId251"/><Relationship Type="http://schemas.openxmlformats.org/officeDocument/2006/relationships/hyperlink" Target="data/acts/Kenya/Capital Markets Act.pdf" TargetMode="External" Id="rId252"/><Relationship Type="http://schemas.openxmlformats.org/officeDocument/2006/relationships/hyperlink" Target="data/acts/Kenya/Capital Markets Act.pdf" TargetMode="External" Id="rId253"/><Relationship Type="http://schemas.openxmlformats.org/officeDocument/2006/relationships/hyperlink" Target="data/acts/Kenya/Capital Markets Act.pdf" TargetMode="External" Id="rId254"/><Relationship Type="http://schemas.openxmlformats.org/officeDocument/2006/relationships/hyperlink" Target="data/acts/Kenya/Capital Markets Act.pdf" TargetMode="External" Id="rId255"/><Relationship Type="http://schemas.openxmlformats.org/officeDocument/2006/relationships/hyperlink" Target="data/acts/Kenya/Capital Markets Act.pdf" TargetMode="External" Id="rId256"/><Relationship Type="http://schemas.openxmlformats.org/officeDocument/2006/relationships/hyperlink" Target="data/acts/Kenya/Capital Markets Act.pdf" TargetMode="External" Id="rId257"/><Relationship Type="http://schemas.openxmlformats.org/officeDocument/2006/relationships/hyperlink" Target="data/acts/Kenya/Capital Markets Act.pdf" TargetMode="External" Id="rId258"/><Relationship Type="http://schemas.openxmlformats.org/officeDocument/2006/relationships/hyperlink" Target="data/acts/Kenya/Capital Markets Act.pdf" TargetMode="External" Id="rId259"/><Relationship Type="http://schemas.openxmlformats.org/officeDocument/2006/relationships/hyperlink" Target="data/acts/Kenya/Capital Markets Act.pdf" TargetMode="External" Id="rId260"/><Relationship Type="http://schemas.openxmlformats.org/officeDocument/2006/relationships/hyperlink" Target="data/acts/Kenya/Capital Markets Act.pdf" TargetMode="External" Id="rId261"/><Relationship Type="http://schemas.openxmlformats.org/officeDocument/2006/relationships/hyperlink" Target="data/acts/Kenya/Capital Markets Act.pdf" TargetMode="External" Id="rId262"/><Relationship Type="http://schemas.openxmlformats.org/officeDocument/2006/relationships/hyperlink" Target="data/acts/Kenya/Capital Markets Act.pdf" TargetMode="External" Id="rId263"/><Relationship Type="http://schemas.openxmlformats.org/officeDocument/2006/relationships/hyperlink" Target="data/acts/Kenya/Capital Markets Act.pdf" TargetMode="External" Id="rId264"/><Relationship Type="http://schemas.openxmlformats.org/officeDocument/2006/relationships/hyperlink" Target="data/acts/Kenya/Capital Markets Act.pdf" TargetMode="External" Id="rId265"/><Relationship Type="http://schemas.openxmlformats.org/officeDocument/2006/relationships/hyperlink" Target="data/acts/Kenya/Capital Markets Act.pdf" TargetMode="External" Id="rId266"/><Relationship Type="http://schemas.openxmlformats.org/officeDocument/2006/relationships/hyperlink" Target="data/acts/Kenya/Capital Markets Act.pdf" TargetMode="External" Id="rId267"/><Relationship Type="http://schemas.openxmlformats.org/officeDocument/2006/relationships/hyperlink" Target="data/acts/Kenya/Capital Markets Act.pdf" TargetMode="External" Id="rId268"/><Relationship Type="http://schemas.openxmlformats.org/officeDocument/2006/relationships/hyperlink" Target="data/acts/Kenya/Capital Markets Act.pdf" TargetMode="External" Id="rId269"/><Relationship Type="http://schemas.openxmlformats.org/officeDocument/2006/relationships/hyperlink" Target="data/acts/Kenya/Capital Markets Act.pdf" TargetMode="External" Id="rId270"/><Relationship Type="http://schemas.openxmlformats.org/officeDocument/2006/relationships/hyperlink" Target="data/acts/Kenya/Capital Markets Act.pdf" TargetMode="External" Id="rId271"/><Relationship Type="http://schemas.openxmlformats.org/officeDocument/2006/relationships/hyperlink" Target="data/acts/Kenya/Capital Markets Act.pdf" TargetMode="External" Id="rId272"/><Relationship Type="http://schemas.openxmlformats.org/officeDocument/2006/relationships/hyperlink" Target="data/acts/Kenya/Capital Markets Act.pdf" TargetMode="External" Id="rId273"/><Relationship Type="http://schemas.openxmlformats.org/officeDocument/2006/relationships/hyperlink" Target="data/acts/Kenya/Capital Markets Act.pdf" TargetMode="External" Id="rId274"/><Relationship Type="http://schemas.openxmlformats.org/officeDocument/2006/relationships/hyperlink" Target="data/acts/Kenya/Capital Markets Act.pdf" TargetMode="External" Id="rId275"/><Relationship Type="http://schemas.openxmlformats.org/officeDocument/2006/relationships/hyperlink" Target="data/acts/Kenya/Capital Markets Act.pdf" TargetMode="External" Id="rId276"/><Relationship Type="http://schemas.openxmlformats.org/officeDocument/2006/relationships/hyperlink" Target="data/acts/Kenya/Capital Markets Act.pdf" TargetMode="External" Id="rId277"/><Relationship Type="http://schemas.openxmlformats.org/officeDocument/2006/relationships/hyperlink" Target="data/acts/Kenya/Capital Markets Act.pdf" TargetMode="External" Id="rId278"/><Relationship Type="http://schemas.openxmlformats.org/officeDocument/2006/relationships/hyperlink" Target="data/acts/Kenya/Capital Markets Act.pdf" TargetMode="External" Id="rId279"/><Relationship Type="http://schemas.openxmlformats.org/officeDocument/2006/relationships/hyperlink" Target="data/acts/Kenya/Capital Markets Act.pdf" TargetMode="External" Id="rId280"/><Relationship Type="http://schemas.openxmlformats.org/officeDocument/2006/relationships/hyperlink" Target="data/acts/Kenya/Capital Markets Act.pdf" TargetMode="External" Id="rId281"/><Relationship Type="http://schemas.openxmlformats.org/officeDocument/2006/relationships/hyperlink" Target="data/acts/Kenya/Capital Markets Act.pdf" TargetMode="External" Id="rId282"/><Relationship Type="http://schemas.openxmlformats.org/officeDocument/2006/relationships/hyperlink" Target="data/acts/Kenya/Capital Markets Act.pdf" TargetMode="External" Id="rId283"/><Relationship Type="http://schemas.openxmlformats.org/officeDocument/2006/relationships/hyperlink" Target="data/acts/Kenya/Capital Markets Act.pdf" TargetMode="External" Id="rId284"/><Relationship Type="http://schemas.openxmlformats.org/officeDocument/2006/relationships/hyperlink" Target="data/acts/Kenya/Capital Markets Act.pdf" TargetMode="External" Id="rId285"/><Relationship Type="http://schemas.openxmlformats.org/officeDocument/2006/relationships/hyperlink" Target="data/acts/Kenya/Capital Markets Act.pdf" TargetMode="External" Id="rId286"/><Relationship Type="http://schemas.openxmlformats.org/officeDocument/2006/relationships/hyperlink" Target="data/acts/Kenya/Capital Markets Act.pdf" TargetMode="External" Id="rId287"/><Relationship Type="http://schemas.openxmlformats.org/officeDocument/2006/relationships/hyperlink" Target="data/acts/Kenya/Capital Markets Act.pdf" TargetMode="External" Id="rId288"/><Relationship Type="http://schemas.openxmlformats.org/officeDocument/2006/relationships/hyperlink" Target="data/acts/Kenya/Capital Markets Act.pdf" TargetMode="External" Id="rId289"/><Relationship Type="http://schemas.openxmlformats.org/officeDocument/2006/relationships/hyperlink" Target="data/acts/Kenya/Capital Markets Act.pdf" TargetMode="External" Id="rId290"/><Relationship Type="http://schemas.openxmlformats.org/officeDocument/2006/relationships/hyperlink" Target="data/acts/Kenya/GUIDANCE-NOTE-ON-CYBERSECURITY-FOR-THE-BANKING-SECTOR.pdf" TargetMode="External" Id="rId291"/><Relationship Type="http://schemas.openxmlformats.org/officeDocument/2006/relationships/hyperlink" Target="data/acts/Kenya/GUIDANCE-NOTE-ON-CYBERSECURITY-FOR-THE-BANKING-SECTOR.pdf" TargetMode="External" Id="rId292"/><Relationship Type="http://schemas.openxmlformats.org/officeDocument/2006/relationships/hyperlink" Target="data/acts/Kenya/GUIDANCE-NOTE-ON-CYBERSECURITY-FOR-THE-BANKING-SECTOR.pdf" TargetMode="External" Id="rId293"/><Relationship Type="http://schemas.openxmlformats.org/officeDocument/2006/relationships/hyperlink" Target="data/acts/Kenya/GUIDANCE-NOTE-ON-CYBERSECURITY-FOR-THE-BANKING-SECTOR.pdf" TargetMode="External" Id="rId294"/><Relationship Type="http://schemas.openxmlformats.org/officeDocument/2006/relationships/hyperlink" Target="data/acts/Kenya/GuidelinesonCybersecurityforPSPs (Kenya - Row19).pdf" TargetMode="External" Id="rId295"/><Relationship Type="http://schemas.openxmlformats.org/officeDocument/2006/relationships/hyperlink" Target="data/acts/Kenya/GuidelinesonCybersecurityforPSPs (Kenya - Row19).pdf" TargetMode="External" Id="rId296"/><Relationship Type="http://schemas.openxmlformats.org/officeDocument/2006/relationships/hyperlink" Target="data/acts/Kenya/GuidelinesonCybersecurityforPSPs (Kenya - Row19).pdf" TargetMode="External" Id="rId297"/><Relationship Type="http://schemas.openxmlformats.org/officeDocument/2006/relationships/hyperlink" Target="data/acts/Kenya/GuidelinesonCybersecurityforPSPs (Kenya - Row19).pdf" TargetMode="External" Id="rId298"/><Relationship Type="http://schemas.openxmlformats.org/officeDocument/2006/relationships/hyperlink" Target="data/acts/Kenya/GuidelinesonCybersecurityforPSPs (Kenya - Row19).pdf" TargetMode="External" Id="rId299"/><Relationship Type="http://schemas.openxmlformats.org/officeDocument/2006/relationships/hyperlink" Target="data/acts/Kenya/GuidelinesonCybersecurityforPSPs (Kenya - Row19).pdf" TargetMode="External" Id="rId300"/><Relationship Type="http://schemas.openxmlformats.org/officeDocument/2006/relationships/hyperlink" Target="data/acts/Kenya/GuidelinesonCybersecurityforPSPs (Kenya - Row19).pdf" TargetMode="External" Id="rId301"/><Relationship Type="http://schemas.openxmlformats.org/officeDocument/2006/relationships/hyperlink" Target="data/acts/Kenya/THE-DATA-PROTECTION-COMPLAINTS-HANDLING-AND-ENFORCEMENT (Kenya - Row 15).pdf" TargetMode="External" Id="rId302"/><Relationship Type="http://schemas.openxmlformats.org/officeDocument/2006/relationships/hyperlink" Target="data/acts/Kenya/THE-DATA-PROTECTION-COMPLAINTS-HANDLING-AND-ENFORCEMENT (Kenya - Row 15).pdf" TargetMode="External" Id="rId303"/><Relationship Type="http://schemas.openxmlformats.org/officeDocument/2006/relationships/hyperlink" Target="data/acts/Kenya/THE-DATA-PROTECTION-COMPLAINTS-HANDLING-AND-ENFORCEMENT (Kenya - Row 15).pdf" TargetMode="External" Id="rId304"/><Relationship Type="http://schemas.openxmlformats.org/officeDocument/2006/relationships/hyperlink" Target="data/acts/Kenya/THE-DATA-PROTECTION-COMPLAINTS-HANDLING-AND-ENFORCEMENT (Kenya - Row 15).pdf" TargetMode="External" Id="rId305"/><Relationship Type="http://schemas.openxmlformats.org/officeDocument/2006/relationships/hyperlink" Target="data/acts/Kenya/THE-DATA-PROTECTION-COMPLAINTS-HANDLING-AND-ENFORCEMENT (Kenya - Row 15).pdf" TargetMode="External" Id="rId306"/><Relationship Type="http://schemas.openxmlformats.org/officeDocument/2006/relationships/hyperlink" Target="data/acts/Kenya/THE-DATA-PROTECTION-COMPLAINTS-HANDLING-AND-ENFORCEMENT (Kenya - Row 15).pdf" TargetMode="External" Id="rId307"/><Relationship Type="http://schemas.openxmlformats.org/officeDocument/2006/relationships/hyperlink" Target="data/acts/Kenya/THE-DATA-PROTECTION-COMPLAINTS-HANDLING-AND-ENFORCEMENT (Kenya - Row 15).pdf" TargetMode="External" Id="rId308"/><Relationship Type="http://schemas.openxmlformats.org/officeDocument/2006/relationships/hyperlink" Target="data/acts/Kenya/THE-DATA-PROTECTION-COMPLAINTS-HANDLING-AND-ENFORCEMENT (Kenya - Row 15).pdf" TargetMode="External" Id="rId309"/><Relationship Type="http://schemas.openxmlformats.org/officeDocument/2006/relationships/hyperlink" Target="data/acts/Kenya/THE-DATA-PROTECTION-COMPLAINTS-HANDLING-AND-ENFORCEMENT (Kenya - Row 15).pdf" TargetMode="External" Id="rId310"/><Relationship Type="http://schemas.openxmlformats.org/officeDocument/2006/relationships/hyperlink" Target="data/acts/Kenya/THE-DATA-PROTECTION-COMPLAINTS-HANDLING-AND-ENFORCEMENT (Kenya - Row 15).pdf" TargetMode="External" Id="rId311"/><Relationship Type="http://schemas.openxmlformats.org/officeDocument/2006/relationships/hyperlink" Target="data/acts/Kenya/THE-DATA-PROTECTION-COMPLAINTS-HANDLING-AND-ENFORCEMENT (Kenya - Row 15).pdf" TargetMode="External" Id="rId312"/><Relationship Type="http://schemas.openxmlformats.org/officeDocument/2006/relationships/hyperlink" Target="data/acts/Kenya/THE-DATA-PROTECTION-COMPLAINTS-HANDLING-AND-ENFORCEMENT (Kenya - Row 15).pdf" TargetMode="External" Id="rId313"/><Relationship Type="http://schemas.openxmlformats.org/officeDocument/2006/relationships/hyperlink" Target="data/acts/Kenya/THE-DATA-PROTECTION-COMPLAINTS-HANDLING-AND-ENFORCEMENT (Kenya - Row 15).pdf" TargetMode="External" Id="rId314"/><Relationship Type="http://schemas.openxmlformats.org/officeDocument/2006/relationships/hyperlink" Target="data/acts/Kenya/THE-DATA-PROTECTION-COMPLAINTS-HANDLING-AND-ENFORCEMENT (Kenya - Row 15).pdf" TargetMode="External" Id="rId315"/><Relationship Type="http://schemas.openxmlformats.org/officeDocument/2006/relationships/hyperlink" Target="data/acts/Kenya/THE-DATA-PROTECTION-COMPLAINTS-HANDLING-AND-ENFORCEMENT (Kenya - Row 15).pdf" TargetMode="External" Id="rId316"/><Relationship Type="http://schemas.openxmlformats.org/officeDocument/2006/relationships/hyperlink" Target="data/acts/Kenya/THE-DATA-PROTECTION-COMPLAINTS-HANDLING-AND-ENFORCEMENT (Kenya - Row 15).pdf" TargetMode="External" Id="rId317"/><Relationship Type="http://schemas.openxmlformats.org/officeDocument/2006/relationships/hyperlink" Target="data/acts/Kenya/THE-DATA-PROTECTION-COMPLAINTS-HANDLING-AND-ENFORCEMENT (Kenya - Row 15).pdf" TargetMode="External" Id="rId318"/><Relationship Type="http://schemas.openxmlformats.org/officeDocument/2006/relationships/hyperlink" Target="data/acts/Kenya/THE-DATA-PROTECTION-COMPLAINTS-HANDLING-AND-ENFORCEMENT (Kenya - Row 15).pdf" TargetMode="External" Id="rId319"/><Relationship Type="http://schemas.openxmlformats.org/officeDocument/2006/relationships/hyperlink" Target="data/acts/Kenya/THE-DATA-PROTECTION-COMPLAINTS-HANDLING-AND-ENFORCEMENT (Kenya - Row 15).pdf" TargetMode="External" Id="rId320"/><Relationship Type="http://schemas.openxmlformats.org/officeDocument/2006/relationships/hyperlink" Target="data/acts/Kenya/THE-DATA-PROTECTION-COMPLAINTS-HANDLING-AND-ENFORCEMENT (Kenya - Row 15).pdf" TargetMode="External" Id="rId321"/><Relationship Type="http://schemas.openxmlformats.org/officeDocument/2006/relationships/hyperlink" Target="data/acts/Kenya/THE-DATA-PROTECTION-COMPLAINTS-HANDLING-AND-ENFORCEMENT (Kenya - Row 15).pdf" TargetMode="External" Id="rId322"/><Relationship Type="http://schemas.openxmlformats.org/officeDocument/2006/relationships/hyperlink" Target="data/acts/Kenya/THE-DATA-PROTECTION-REGISTRATION-OF-DATA-CONTROLLERS-AND-DATA-PROCESSORS-REGULATIONS-2021 (Kenya = row17).pdf" TargetMode="External" Id="rId323"/><Relationship Type="http://schemas.openxmlformats.org/officeDocument/2006/relationships/hyperlink" Target="data/acts/Kenya/THE-DATA-PROTECTION-REGISTRATION-OF-DATA-CONTROLLERS-AND-DATA-PROCESSORS-REGULATIONS-2021 (Kenya = row17).pdf" TargetMode="External" Id="rId324"/><Relationship Type="http://schemas.openxmlformats.org/officeDocument/2006/relationships/hyperlink" Target="data/acts/Kenya/THE-DATA-PROTECTION-REGISTRATION-OF-DATA-CONTROLLERS-AND-DATA-PROCESSORS-REGULATIONS-2021 (Kenya = row17).pdf" TargetMode="External" Id="rId325"/><Relationship Type="http://schemas.openxmlformats.org/officeDocument/2006/relationships/hyperlink" Target="data/acts/Kenya/THE-DATA-PROTECTION-REGISTRATION-OF-DATA-CONTROLLERS-AND-DATA-PROCESSORS-REGULATIONS-2021 (Kenya = row17).pdf" TargetMode="External" Id="rId326"/><Relationship Type="http://schemas.openxmlformats.org/officeDocument/2006/relationships/hyperlink" Target="data/acts/Kenya/THE-DATA-PROTECTION-REGISTRATION-OF-DATA-CONTROLLERS-AND-DATA-PROCESSORS-REGULATIONS-2021 (Kenya = row17).pdf" TargetMode="External" Id="rId327"/><Relationship Type="http://schemas.openxmlformats.org/officeDocument/2006/relationships/hyperlink" Target="data/acts/Kenya/THE-DATA-PROTECTION-REGISTRATION-OF-DATA-CONTROLLERS-AND-DATA-PROCESSORS-REGULATIONS-2021 (Kenya = row17).pdf" TargetMode="External" Id="rId328"/><Relationship Type="http://schemas.openxmlformats.org/officeDocument/2006/relationships/hyperlink" Target="data/acts/Kenya/THE-DATA-PROTECTION-REGISTRATION-OF-DATA-CONTROLLERS-AND-DATA-PROCESSORS-REGULATIONS-2021 (Kenya = row17).pdf" TargetMode="External" Id="rId329"/><Relationship Type="http://schemas.openxmlformats.org/officeDocument/2006/relationships/hyperlink" Target="data/acts/Kenya/THE-DATA-PROTECTION-REGISTRATION-OF-DATA-CONTROLLERS-AND-DATA-PROCESSORS-REGULATIONS-2021 (Kenya = row17).pdf" TargetMode="External" Id="rId330"/><Relationship Type="http://schemas.openxmlformats.org/officeDocument/2006/relationships/hyperlink" Target="data/acts/Kenya/THE-DATA-PROTECTION-REGISTRATION-OF-DATA-CONTROLLERS-AND-DATA-PROCESSORS-REGULATIONS-2021 (Kenya = row17).pdf" TargetMode="External" Id="rId331"/><Relationship Type="http://schemas.openxmlformats.org/officeDocument/2006/relationships/hyperlink" Target="data/acts/Kenya/THE-DATA-PROTECTION-REGISTRATION-OF-DATA-CONTROLLERS-AND-DATA-PROCESSORS-REGULATIONS-2021 (Kenya = row17).pdf" TargetMode="External" Id="rId332"/><Relationship Type="http://schemas.openxmlformats.org/officeDocument/2006/relationships/hyperlink" Target="data/acts/Kenya/THE-DATA-PROTECTION-REGISTRATION-OF-DATA-CONTROLLERS-AND-DATA-PROCESSORS-REGULATIONS-2021 (Kenya = row17).pdf" TargetMode="External" Id="rId333"/><Relationship Type="http://schemas.openxmlformats.org/officeDocument/2006/relationships/hyperlink" Target="data/acts/Kenya/THE-DATA-PROTECTION-REGISTRATION-OF-DATA-CONTROLLERS-AND-DATA-PROCESSORS-REGULATIONS-2021 (Kenya = row17).pdf" TargetMode="External" Id="rId334"/><Relationship Type="http://schemas.openxmlformats.org/officeDocument/2006/relationships/hyperlink" Target="data/acts/Kenya/THE-DATA-PROTECTION-REGISTRATION-OF-DATA-CONTROLLERS-AND-DATA-PROCESSORS-REGULATIONS-2021 (Kenya = row17).pdf" TargetMode="External" Id="rId335"/><Relationship Type="http://schemas.openxmlformats.org/officeDocument/2006/relationships/hyperlink" Target="data/acts/Kenya/THE-DATA-PROTECTION-REGISTRATION-OF-DATA-CONTROLLERS-AND-DATA-PROCESSORS-REGULATIONS-2021 (Kenya = row17).pdf" TargetMode="External" Id="rId336"/><Relationship Type="http://schemas.openxmlformats.org/officeDocument/2006/relationships/hyperlink" Target="data/acts/Kenya/THE-DATA-PROTECTION-REGISTRATION-OF-DATA-CONTROLLERS-AND-DATA-PROCESSORS-REGULATIONS-2021 (Kenya = row17).pdf" TargetMode="External" Id="rId337"/><Relationship Type="http://schemas.openxmlformats.org/officeDocument/2006/relationships/hyperlink" Target="data/acts/Kenya/THE-DATA-PROTECTION-REGISTRATION-OF-DATA-CONTROLLERS-AND-DATA-PROCESSORS-REGULATIONS-2021 (Kenya = row17).pdf" TargetMode="External" Id="rId338"/><Relationship Type="http://schemas.openxmlformats.org/officeDocument/2006/relationships/hyperlink" Target="data/acts/Kenya/THE-DATA-PROTECTION-REGISTRATION-OF-DATA-CONTROLLERS-AND-DATA-PROCESSORS-REGULATIONS-2021 (Kenya = row17).pdf" TargetMode="External" Id="rId339"/><Relationship Type="http://schemas.openxmlformats.org/officeDocument/2006/relationships/hyperlink" Target="data/acts/Mauritius/Mauritius_Emerging_Technologies_Council_Act_2021 (Mauritius - Row 24).pdf" TargetMode="External" Id="rId340"/><Relationship Type="http://schemas.openxmlformats.org/officeDocument/2006/relationships/hyperlink" Target="data/acts/Mauritius/Mauritius_Emerging_Technologies_Council_Act_2021 (Mauritius - Row 24).pdf" TargetMode="External" Id="rId341"/><Relationship Type="http://schemas.openxmlformats.org/officeDocument/2006/relationships/hyperlink" Target="data/acts/Mauritius/Mauritius_Emerging_Technologies_Council_Act_2021 (Mauritius - Row 24).pdf" TargetMode="External" Id="rId342"/><Relationship Type="http://schemas.openxmlformats.org/officeDocument/2006/relationships/hyperlink" Target="data/acts/Mauritius/Mauritius_Emerging_Technologies_Council_Act_2021 (Mauritius - Row 24).pdf" TargetMode="External" Id="rId343"/><Relationship Type="http://schemas.openxmlformats.org/officeDocument/2006/relationships/hyperlink" Target="data/acts/Mauritius/Mauritius_Emerging_Technologies_Council_Act_2021 (Mauritius - Row 24).pdf" TargetMode="External" Id="rId344"/><Relationship Type="http://schemas.openxmlformats.org/officeDocument/2006/relationships/hyperlink" Target="data/acts/Mauritius/National-Identity-Card-Act-Consolidated- (Mauritius - Row 23).pdf" TargetMode="External" Id="rId345"/><Relationship Type="http://schemas.openxmlformats.org/officeDocument/2006/relationships/hyperlink" Target="data/acts/Mauritius/National-Identity-Card-Act-Consolidated- (Mauritius - Row 23).pdf" TargetMode="External" Id="rId346"/><Relationship Type="http://schemas.openxmlformats.org/officeDocument/2006/relationships/hyperlink" Target="data/acts/Mauritius/National-Identity-Card-Act-Consolidated- (Mauritius - Row 23).pdf" TargetMode="External" Id="rId347"/><Relationship Type="http://schemas.openxmlformats.org/officeDocument/2006/relationships/hyperlink" Target="data/acts/Mauritius/National-Identity-Card-Act-Consolidated- (Mauritius - Row 23).pdf" TargetMode="External" Id="rId348"/><Relationship Type="http://schemas.openxmlformats.org/officeDocument/2006/relationships/hyperlink" Target="data/acts/Mauritius/National-Identity-Card-Act-Consolidated- (Mauritius - Row 23).pdf" TargetMode="External" Id="rId349"/><Relationship Type="http://schemas.openxmlformats.org/officeDocument/2006/relationships/hyperlink" Target="data/acts/Mauritius/National-Identity-Card-Act-Consolidated- (Mauritius - Row 23).pdf" TargetMode="External" Id="rId350"/><Relationship Type="http://schemas.openxmlformats.org/officeDocument/2006/relationships/hyperlink" Target="data/acts/Mauritius/code-of-business-conduct_final (Mauritius - Row 14).pdf" TargetMode="External" Id="rId351"/><Relationship Type="http://schemas.openxmlformats.org/officeDocument/2006/relationships/hyperlink" Target="data/acts/Mauritius/code-of-business-conduct_final (Mauritius - Row 14).pdf" TargetMode="External" Id="rId352"/><Relationship Type="http://schemas.openxmlformats.org/officeDocument/2006/relationships/hyperlink" Target="data/acts/Mauritius/code-of-business-conduct_final (Mauritius - Row 14).pdf" TargetMode="External" Id="rId353"/><Relationship Type="http://schemas.openxmlformats.org/officeDocument/2006/relationships/hyperlink" Target="data/acts/Mauritius/code-of-business-conduct_final (Mauritius - Row 14).pdf" TargetMode="External" Id="rId354"/><Relationship Type="http://schemas.openxmlformats.org/officeDocument/2006/relationships/hyperlink" Target="data/acts/Mauritius/code-of-business-conduct_final (Mauritius - Row 18).pdf" TargetMode="External" Id="rId355"/><Relationship Type="http://schemas.openxmlformats.org/officeDocument/2006/relationships/hyperlink" Target="data/acts/Mauritius/code-of-business-conduct_final (Mauritius - Row 18).pdf" TargetMode="External" Id="rId356"/><Relationship Type="http://schemas.openxmlformats.org/officeDocument/2006/relationships/hyperlink" Target="data/acts/Mauritius/code-of-business-conduct_final (Mauritius - Row 18).pdf" TargetMode="External" Id="rId357"/><Relationship Type="http://schemas.openxmlformats.org/officeDocument/2006/relationships/hyperlink" Target="data/acts/Mauritius/code-of-business-conduct_final (Mauritius - Row 18).pdf" TargetMode="External" Id="rId358"/><Relationship Type="http://schemas.openxmlformats.org/officeDocument/2006/relationships/hyperlink" Target="data/acts/Mauritius/guidelines_on_outsourcing_by_financial_institutions (Mauritius - Row 3).pdf" TargetMode="External" Id="rId359"/><Relationship Type="http://schemas.openxmlformats.org/officeDocument/2006/relationships/hyperlink" Target="data/acts/Mauritius/guidelines_on_outsourcing_by_financial_institutions (Mauritius - Row 3).pdf" TargetMode="External" Id="rId360"/><Relationship Type="http://schemas.openxmlformats.org/officeDocument/2006/relationships/hyperlink" Target="data/acts/Mauritius/guidelines_on_outsourcing_by_financial_institutions (Mauritius - Row 3).pdf" TargetMode="External" Id="rId361"/><Relationship Type="http://schemas.openxmlformats.org/officeDocument/2006/relationships/hyperlink" Target="data/acts/Mauritius/guidelines_on_outsourcing_by_financial_institutions (Mauritius - Row 3).pdf" TargetMode="External" Id="rId362"/><Relationship Type="http://schemas.openxmlformats.org/officeDocument/2006/relationships/hyperlink" Target="data/acts/Mauritius/guidelines_on_outsourcing_by_financial_institutions (Mauritius - Row 3).pdf" TargetMode="External" Id="rId363"/><Relationship Type="http://schemas.openxmlformats.org/officeDocument/2006/relationships/hyperlink" Target="data/acts/Mauritius/guidelines_on_outsourcing_by_financial_institutions (Mauritius - Row 3).pdf" TargetMode="External" Id="rId364"/><Relationship Type="http://schemas.openxmlformats.org/officeDocument/2006/relationships/hyperlink" Target="data/acts/Nigeria/NCCPolicy_New1 (Nigeria - Row 21).pdf" TargetMode="External" Id="rId365"/><Relationship Type="http://schemas.openxmlformats.org/officeDocument/2006/relationships/hyperlink" Target="data/acts/Nigeria/NCCPolicy_New1 (Nigeria - Row 21).pdf" TargetMode="External" Id="rId366"/><Relationship Type="http://schemas.openxmlformats.org/officeDocument/2006/relationships/hyperlink" Target="data/acts/Nigeria/NCCPolicy_New1 (Nigeria - Row 21).pdf" TargetMode="External" Id="rId367"/><Relationship Type="http://schemas.openxmlformats.org/officeDocument/2006/relationships/hyperlink" Target="data/acts/Nigeria/NCCPolicy_New1 (Nigeria - Row 21).pdf" TargetMode="External" Id="rId368"/><Relationship Type="http://schemas.openxmlformats.org/officeDocument/2006/relationships/hyperlink" Target="data/acts/Nigeria/NCCPolicy_New1 (Nigeria - Row 21).pdf" TargetMode="External" Id="rId369"/><Relationship Type="http://schemas.openxmlformats.org/officeDocument/2006/relationships/hyperlink" Target="data/acts/Nigeria/NCCPolicy_New1 (Nigeria - Row 21).pdf" TargetMode="External" Id="rId370"/><Relationship Type="http://schemas.openxmlformats.org/officeDocument/2006/relationships/hyperlink" Target="data/acts/Nigeria/NCCPolicy_New1 (Nigeria - Row 21).pdf" TargetMode="External" Id="rId371"/><Relationship Type="http://schemas.openxmlformats.org/officeDocument/2006/relationships/hyperlink" Target="data/acts/Nigeria/NCCPolicy_New1 (Nigeria - Row 23).pdf" TargetMode="External" Id="rId372"/><Relationship Type="http://schemas.openxmlformats.org/officeDocument/2006/relationships/hyperlink" Target="data/acts/Nigeria/NCCPolicy_New1 (Nigeria - Row 23).pdf" TargetMode="External" Id="rId373"/><Relationship Type="http://schemas.openxmlformats.org/officeDocument/2006/relationships/hyperlink" Target="data/acts/Nigeria/NCCPolicy_New1 (Nigeria - Row 23).pdf" TargetMode="External" Id="rId374"/><Relationship Type="http://schemas.openxmlformats.org/officeDocument/2006/relationships/hyperlink" Target="data/acts/Nigeria/NCCPolicy_New1 (Nigeria - Row 23).pdf" TargetMode="External" Id="rId375"/><Relationship Type="http://schemas.openxmlformats.org/officeDocument/2006/relationships/hyperlink" Target="data/acts/Nigeria/NCCPolicy_New1 (Nigeria - Row 23).pdf" TargetMode="External" Id="rId376"/><Relationship Type="http://schemas.openxmlformats.org/officeDocument/2006/relationships/hyperlink" Target="data/acts/Nigeria/NCCPolicy_New1 (Nigeria - Row 23).pdf" TargetMode="External" Id="rId377"/><Relationship Type="http://schemas.openxmlformats.org/officeDocument/2006/relationships/hyperlink" Target="data/acts/Nigeria/NCCPolicy_New1 (Nigeria - Row 23).pdf" TargetMode="External" Id="rId378"/><Relationship Type="http://schemas.openxmlformats.org/officeDocument/2006/relationships/hyperlink" Target="data/acts/Nigeria/REVISED REGULATORY FRAMEWORK FOR BANK VERIFICATION NUMBER (BVN) OPERATIONS AND WATCH-LIST FOR THE NIGERIAN BANKING INDUSTRY 121021 FINAL (Nigeria - Row 11).pdf" TargetMode="External" Id="rId379"/><Relationship Type="http://schemas.openxmlformats.org/officeDocument/2006/relationships/hyperlink" Target="data/acts/Nigeria/REVISED REGULATORY FRAMEWORK FOR BANK VERIFICATION NUMBER (BVN) OPERATIONS AND WATCH-LIST FOR THE NIGERIAN BANKING INDUSTRY 121021 FINAL (Nigeria - Row 11).pdf" TargetMode="External" Id="rId380"/><Relationship Type="http://schemas.openxmlformats.org/officeDocument/2006/relationships/hyperlink" Target="data/acts/Nigeria/REVISED REGULATORY FRAMEWORK FOR BANK VERIFICATION NUMBER (BVN) OPERATIONS AND WATCH-LIST FOR THE NIGERIAN BANKING INDUSTRY 121021 FINAL (Nigeria - Row 11).pdf" TargetMode="External" Id="rId381"/><Relationship Type="http://schemas.openxmlformats.org/officeDocument/2006/relationships/hyperlink" Target="data/acts/Nigeria/cbn consumer protection regulations (Nigeria - Row 4).pdf" TargetMode="External" Id="rId382"/><Relationship Type="http://schemas.openxmlformats.org/officeDocument/2006/relationships/hyperlink" Target="data/acts/Nigeria/cbn consumer protection regulations (Nigeria - Row 4).pdf" TargetMode="External" Id="rId383"/><Relationship Type="http://schemas.openxmlformats.org/officeDocument/2006/relationships/hyperlink" Target="data/acts/Nigeria/cbn consumer protection regulations (Nigeria - Row 4).pdf" TargetMode="External" Id="rId384"/><Relationship Type="http://schemas.openxmlformats.org/officeDocument/2006/relationships/hyperlink" Target="data/acts/Nigeria/cbn consumer protection regulations (Nigeria - Row 4).pdf" TargetMode="External" Id="rId385"/><Relationship Type="http://schemas.openxmlformats.org/officeDocument/2006/relationships/hyperlink" Target="data/acts/Nigeria/cbn consumer protection regulations (Nigeria - Row 4).pdf" TargetMode="External" Id="rId386"/><Relationship Type="http://schemas.openxmlformats.org/officeDocument/2006/relationships/hyperlink" Target="data/acts/Nigeria/cbn consumer protection regulations (Nigeria - Row 4).pdf" TargetMode="External" Id="rId387"/><Relationship Type="http://schemas.openxmlformats.org/officeDocument/2006/relationships/hyperlink" Target="data/acts/Nigeria/cbn consumer protection regulations (Nigeria - Row 4).pdf" TargetMode="External" Id="rId388"/><Relationship Type="http://schemas.openxmlformats.org/officeDocument/2006/relationships/hyperlink" Target="data/acts/Nigeria/cbn consumer protection regulations (Nigeria - Row 4).pdf" TargetMode="External" Id="rId389"/><Relationship Type="http://schemas.openxmlformats.org/officeDocument/2006/relationships/hyperlink" Target="data/acts/Nigeria/circular on the regulatory framework on open banking in nigeria (Nigeria - Row 8).pdf" TargetMode="External" Id="rId390"/><Relationship Type="http://schemas.openxmlformats.org/officeDocument/2006/relationships/hyperlink" Target="data/acts/Nigeria/circular on the regulatory framework on open banking in nigeria (Nigeria - Row 8).pdf" TargetMode="External" Id="rId391"/><Relationship Type="http://schemas.openxmlformats.org/officeDocument/2006/relationships/hyperlink" Target="data/acts/Nigeria/circular on the regulatory framework on open banking in nigeria (Nigeria - Row 8).pdf" TargetMode="External" Id="rId392"/><Relationship Type="http://schemas.openxmlformats.org/officeDocument/2006/relationships/hyperlink" Target="data/acts/Singapore/A Comprehensive Guide to the Law of Confidence and Breach of Confidence in Singapore_ Insights from [2024] SGCA 16 - IRB Law Singapore (Singapore - Row 33).pdf" TargetMode="External" Id="rId393"/><Relationship Type="http://schemas.openxmlformats.org/officeDocument/2006/relationships/hyperlink" Target="data/acts/Singapore/A Comprehensive Guide to the Law of Confidence and Breach of Confidence in Singapore_ Insights from [2024] SGCA 16 - IRB Law Singapore (Singapore - Row 33).pdf" TargetMode="External" Id="rId394"/><Relationship Type="http://schemas.openxmlformats.org/officeDocument/2006/relationships/hyperlink" Target="data/acts/Singapore/ID18_24 (Singapore - Row 12).pdf" TargetMode="External" Id="rId395"/><Relationship Type="http://schemas.openxmlformats.org/officeDocument/2006/relationships/hyperlink" Target="data/acts/Singapore/ID18_24-2 (Singapore - Row 21).pdf" TargetMode="External" Id="rId396"/><Relationship Type="http://schemas.openxmlformats.org/officeDocument/2006/relationships/hyperlink" Target="data/acts/Singapore/MAS Notices 644 655 644A 655A 1114 1118 Cancellation 2024 (Singapore - Row 18).pdf" TargetMode="External" Id="rId397"/><Relationship Type="http://schemas.openxmlformats.org/officeDocument/2006/relationships/hyperlink" Target="data/acts/Singapore/MAS Notices 644 655 644A 655A 1114 1118 Cancellation 2024 (Singapore - Row 18).pdf" TargetMode="External" Id="rId398"/><Relationship Type="http://schemas.openxmlformats.org/officeDocument/2006/relationships/hyperlink" Target="data/acts/Singapore/Personal Data Protection (Prescribed Law Enforceme (Singapore - Row 26).pdf" TargetMode="External" Id="rId399"/><Relationship Type="http://schemas.openxmlformats.org/officeDocument/2006/relationships/hyperlink" Target="data/acts/Singapore/Personal Data Protection (Prescribed Law Enforceme (Singapore - Row 26).pdf" TargetMode="External" Id="rId400"/><Relationship Type="http://schemas.openxmlformats.org/officeDocument/2006/relationships/hyperlink" Target="data/acts/South Africa/1. FSCA Conduct Standard 1 of 2025 - Requirements for FIs providing FE initiatives.pdf" TargetMode="External" Id="rId401"/><Relationship Type="http://schemas.openxmlformats.org/officeDocument/2006/relationships/hyperlink" Target="data/acts/South Africa/1. FSCA Conduct Standard 1 of 2025 - Requirements for FIs providing FE initiatives.pdf" TargetMode="External" Id="rId402"/><Relationship Type="http://schemas.openxmlformats.org/officeDocument/2006/relationships/hyperlink" Target="data/acts/South Africa/1. FSCA Conduct Standard 1 of 2025 - Requirements for FIs providing FE initiatives.pdf" TargetMode="External" Id="rId403"/><Relationship Type="http://schemas.openxmlformats.org/officeDocument/2006/relationships/hyperlink" Target="data/acts/South Africa/1. FSCA Conduct Standard 1 of 2025 - Requirements for FIs providing FE initiatives.pdf" TargetMode="External" Id="rId404"/><Relationship Type="http://schemas.openxmlformats.org/officeDocument/2006/relationships/hyperlink" Target="data/acts/South Africa/1. FSCA Conduct Standard 1 of 2025 - Requirements for FIs providing FE initiatives.pdf" TargetMode="External" Id="rId405"/><Relationship Type="http://schemas.openxmlformats.org/officeDocument/2006/relationships/hyperlink" Target="data/acts/South Africa/2024 Open Finance_FSCA Position Paper.pdf" TargetMode="External" Id="rId406"/><Relationship Type="http://schemas.openxmlformats.org/officeDocument/2006/relationships/hyperlink" Target="data/acts/South Africa/2024 Open Finance_FSCA Position Paper.pdf" TargetMode="External" Id="rId407"/><Relationship Type="http://schemas.openxmlformats.org/officeDocument/2006/relationships/hyperlink" Target="data/acts/South Africa/2024 Open Finance_FSCA Position Paper.pdf" TargetMode="External" Id="rId408"/><Relationship Type="http://schemas.openxmlformats.org/officeDocument/2006/relationships/hyperlink" Target="data/acts/South Africa/2024 Open Finance_FSCA Position Paper.pdf" TargetMode="External" Id="rId409"/><Relationship Type="http://schemas.openxmlformats.org/officeDocument/2006/relationships/hyperlink" Target="data/acts/South Africa/2024 Open Finance_FSCA Position Paper.pdf" TargetMode="External" Id="rId410"/><Relationship Type="http://schemas.openxmlformats.org/officeDocument/2006/relationships/hyperlink" Target="data/acts/South Africa/2024 Open Finance_FSCA Position Paper.pdf" TargetMode="External" Id="rId411"/><Relationship Type="http://schemas.openxmlformats.org/officeDocument/2006/relationships/hyperlink" Target="data/acts/South Africa/2024 Open Finance_FSCA Position Paper.pdf" TargetMode="External" Id="rId412"/><Relationship Type="http://schemas.openxmlformats.org/officeDocument/2006/relationships/hyperlink" Target="data/acts/South Africa/2024 Open Finance_FSCA Position Paper.pdf" TargetMode="External" Id="rId413"/><Relationship Type="http://schemas.openxmlformats.org/officeDocument/2006/relationships/hyperlink" Target="data/acts/South Africa/2024 Open Finance_FSCA Position Paper.pdf" TargetMode="External" Id="rId414"/><Relationship Type="http://schemas.openxmlformats.org/officeDocument/2006/relationships/hyperlink" Target="data/acts/South Africa/2024 Open Finance_FSCA Position Paper.pdf" TargetMode="External" Id="rId415"/><Relationship Type="http://schemas.openxmlformats.org/officeDocument/2006/relationships/hyperlink" Target="data/acts/South Africa/2024 Open Finance_FSCA Position Paper.pdf" TargetMode="External" Id="rId416"/><Relationship Type="http://schemas.openxmlformats.org/officeDocument/2006/relationships/hyperlink" Target="data/acts/South Africa/2024 Open Finance_FSCA Position Paper.pdf" TargetMode="External" Id="rId417"/><Relationship Type="http://schemas.openxmlformats.org/officeDocument/2006/relationships/hyperlink" Target="data/acts/South Africa/2024 Open Finance_FSCA Position Paper.pdf" TargetMode="External" Id="rId418"/><Relationship Type="http://schemas.openxmlformats.org/officeDocument/2006/relationships/hyperlink" Target="data/acts/South Africa/2024 Open Finance_FSCA Position Paper.pdf" TargetMode="External" Id="rId419"/><Relationship Type="http://schemas.openxmlformats.org/officeDocument/2006/relationships/hyperlink" Target="data/acts/South Africa/Conduct-Standard-3-of-2020-BANKS-Annexure-A.pdf" TargetMode="External" Id="rId420"/><Relationship Type="http://schemas.openxmlformats.org/officeDocument/2006/relationships/hyperlink" Target="data/acts/South Africa/Conduct-Standard-3-of-2020-BANKS-Annexure-A.pdf" TargetMode="External" Id="rId421"/><Relationship Type="http://schemas.openxmlformats.org/officeDocument/2006/relationships/hyperlink" Target="data/acts/South Africa/Conduct-Standard-3-of-2020-BANKS-Annexure-A.pdf" TargetMode="External" Id="rId422"/><Relationship Type="http://schemas.openxmlformats.org/officeDocument/2006/relationships/hyperlink" Target="data/acts/South Africa/Conduct-Standard-3-of-2020-BANKS-Annexure-A.pdf" TargetMode="External" Id="rId423"/><Relationship Type="http://schemas.openxmlformats.org/officeDocument/2006/relationships/hyperlink" Target="data/acts/South Africa/Conduct-Standard-3-of-2020-BANKS-Annexure-A.pdf" TargetMode="External" Id="rId424"/><Relationship Type="http://schemas.openxmlformats.org/officeDocument/2006/relationships/hyperlink" Target="data/acts/South Africa/Conduct-Standard-3-of-2020-BANKS-Annexure-A.pdf" TargetMode="External" Id="rId425"/><Relationship Type="http://schemas.openxmlformats.org/officeDocument/2006/relationships/hyperlink" Target="data/acts/South Africa/Conduct-Standard-3-of-2020-BANKS-Annexure-A.pdf" TargetMode="External" Id="rId426"/><Relationship Type="http://schemas.openxmlformats.org/officeDocument/2006/relationships/hyperlink" Target="data/acts/South Africa/Directive in respect of cybersecurity and cyber-resilisnce within the national payment system.pdf" TargetMode="External" Id="rId427"/><Relationship Type="http://schemas.openxmlformats.org/officeDocument/2006/relationships/hyperlink" Target="data/acts/South Africa/Directive in respect of cybersecurity and cyber-resilisnce within the national payment system.pdf" TargetMode="External" Id="rId428"/><Relationship Type="http://schemas.openxmlformats.org/officeDocument/2006/relationships/hyperlink" Target="data/acts/South Africa/Directive in respect of cybersecurity and cyber-resilisnce within the national payment system.pdf" TargetMode="External" Id="rId429"/><Relationship Type="http://schemas.openxmlformats.org/officeDocument/2006/relationships/hyperlink" Target="data/acts/South Africa/Directive in respect of cybersecurity and cyber-resilisnce within the national payment system.pdf" TargetMode="External" Id="rId430"/><Relationship Type="http://schemas.openxmlformats.org/officeDocument/2006/relationships/hyperlink" Target="data/acts/South Africa/Directive in respect of cybersecurity and cyber-resilisnce within the national payment system.pdf" TargetMode="External" Id="rId431"/><Relationship Type="http://schemas.openxmlformats.org/officeDocument/2006/relationships/hyperlink" Target="data/acts/South Africa/Directive in respect of cybersecurity and cyber-resilisnce within the national payment system.pdf" TargetMode="External" Id="rId432"/><Relationship Type="http://schemas.openxmlformats.org/officeDocument/2006/relationships/hyperlink" Target="data/acts/South Africa/Directive in respect of cybersecurity and cyber-resilisnce within the national payment system.pdf" TargetMode="External" Id="rId433"/><Relationship Type="http://schemas.openxmlformats.org/officeDocument/2006/relationships/hyperlink" Target="data/acts/South Africa/FICA (Financial Intelligence Centre Act, 38 of 2001.pdf" TargetMode="External" Id="rId434"/><Relationship Type="http://schemas.openxmlformats.org/officeDocument/2006/relationships/hyperlink" Target="data/acts/South Africa/FICA (Financial Intelligence Centre Act, 38 of 2001.pdf" TargetMode="External" Id="rId435"/><Relationship Type="http://schemas.openxmlformats.org/officeDocument/2006/relationships/hyperlink" Target="data/acts/South Africa/FICA (Financial Intelligence Centre Act, 38 of 2001.pdf" TargetMode="External" Id="rId436"/><Relationship Type="http://schemas.openxmlformats.org/officeDocument/2006/relationships/hyperlink" Target="data/acts/South Africa/FICA (Financial Intelligence Centre Act, 38 of 2001.pdf" TargetMode="External" Id="rId437"/><Relationship Type="http://schemas.openxmlformats.org/officeDocument/2006/relationships/hyperlink" Target="data/acts/South Africa/FICA (Financial Intelligence Centre Act, 38 of 2001.pdf" TargetMode="External" Id="rId438"/><Relationship Type="http://schemas.openxmlformats.org/officeDocument/2006/relationships/hyperlink" Target="data/acts/South Africa/FICA (Financial Intelligence Centre Act, 38 of 2001.pdf" TargetMode="External" Id="rId439"/><Relationship Type="http://schemas.openxmlformats.org/officeDocument/2006/relationships/hyperlink" Target="data/acts/South Africa/FICA (Financial Intelligence Centre Act, 38 of 2001.pdf" TargetMode="External" Id="rId440"/><Relationship Type="http://schemas.openxmlformats.org/officeDocument/2006/relationships/hyperlink" Target="data/acts/South Africa/FICA (Financial Intelligence Centre Act, 38 of 2001.pdf" TargetMode="External" Id="rId441"/><Relationship Type="http://schemas.openxmlformats.org/officeDocument/2006/relationships/hyperlink" Target="data/acts/South Africa/FICA (Financial Intelligence Centre Act, 38 of 2001.pdf" TargetMode="External" Id="rId442"/><Relationship Type="http://schemas.openxmlformats.org/officeDocument/2006/relationships/hyperlink" Target="data/acts/South Africa/FICA (Financial Intelligence Centre Act, 38 of 2001.pdf" TargetMode="External" Id="rId443"/><Relationship Type="http://schemas.openxmlformats.org/officeDocument/2006/relationships/hyperlink" Target="data/acts/South Africa/FICA (Financial Intelligence Centre Act, 38 of 2001.pdf" TargetMode="External" Id="rId444"/><Relationship Type="http://schemas.openxmlformats.org/officeDocument/2006/relationships/hyperlink" Target="data/acts/South Africa/FICA (Financial Intelligence Centre Act, 38 of 2001.pdf" TargetMode="External" Id="rId445"/><Relationship Type="http://schemas.openxmlformats.org/officeDocument/2006/relationships/hyperlink" Target="data/acts/South Africa/FICA (Financial Intelligence Centre Act, 38 of 2001.pdf" TargetMode="External" Id="rId446"/><Relationship Type="http://schemas.openxmlformats.org/officeDocument/2006/relationships/hyperlink" Target="data/acts/South Africa/FICA (Financial Intelligence Centre Act, 38 of 2001.pdf" TargetMode="External" Id="rId447"/><Relationship Type="http://schemas.openxmlformats.org/officeDocument/2006/relationships/hyperlink" Target="data/acts/South Africa/FICA (Financial Intelligence Centre Act, 38 of 2001.pdf" TargetMode="External" Id="rId448"/><Relationship Type="http://schemas.openxmlformats.org/officeDocument/2006/relationships/hyperlink" Target="data/acts/South Africa/FICA (Financial Intelligence Centre Act, 38 of 2001.pdf" TargetMode="External" Id="rId449"/><Relationship Type="http://schemas.openxmlformats.org/officeDocument/2006/relationships/hyperlink" Target="data/acts/South Africa/FICA (Financial Intelligence Centre Act, 38 of 2001.pdf" TargetMode="External" Id="rId450"/><Relationship Type="http://schemas.openxmlformats.org/officeDocument/2006/relationships/hyperlink" Target="data/acts/South Africa/FICA (Financial Intelligence Centre Act, 38 of 2001.pdf" TargetMode="External" Id="rId451"/><Relationship Type="http://schemas.openxmlformats.org/officeDocument/2006/relationships/hyperlink" Target="data/acts/South Africa/FICA (Financial Intelligence Centre Act, 38 of 2001.pdf" TargetMode="External" Id="rId452"/><Relationship Type="http://schemas.openxmlformats.org/officeDocument/2006/relationships/hyperlink" Target="data/acts/South Africa/FICA (Financial Intelligence Centre Act, 38 of 2001.pdf" TargetMode="External" Id="rId453"/><Relationship Type="http://schemas.openxmlformats.org/officeDocument/2006/relationships/hyperlink" Target="data/acts/South Africa/FICA (Financial Intelligence Centre Act, 38 of 2001.pdf" TargetMode="External" Id="rId454"/><Relationship Type="http://schemas.openxmlformats.org/officeDocument/2006/relationships/hyperlink" Target="data/acts/South Africa/FICA (Financial Intelligence Centre Act, 38 of 2001.pdf" TargetMode="External" Id="rId455"/><Relationship Type="http://schemas.openxmlformats.org/officeDocument/2006/relationships/hyperlink" Target="data/acts/South Africa/FICA (Financial Intelligence Centre Act, 38 of 2001.pdf" TargetMode="External" Id="rId456"/><Relationship Type="http://schemas.openxmlformats.org/officeDocument/2006/relationships/hyperlink" Target="data/acts/South Africa/FICA (Financial Intelligence Centre Act, 38 of 2001.pdf" TargetMode="External" Id="rId457"/><Relationship Type="http://schemas.openxmlformats.org/officeDocument/2006/relationships/hyperlink" Target="data/acts/South Africa/FICA (Financial Intelligence Centre Act, 38 of 2001.pdf" TargetMode="External" Id="rId458"/><Relationship Type="http://schemas.openxmlformats.org/officeDocument/2006/relationships/hyperlink" Target="data/acts/South Africa/FICA (Financial Intelligence Centre Act, 38 of 2001.pdf" TargetMode="External" Id="rId459"/><Relationship Type="http://schemas.openxmlformats.org/officeDocument/2006/relationships/hyperlink" Target="data/acts/South Africa/FICA (Financial Intelligence Centre Act, 38 of 2001.pdf" TargetMode="External" Id="rId460"/><Relationship Type="http://schemas.openxmlformats.org/officeDocument/2006/relationships/hyperlink" Target="data/acts/South Africa/FICA (Financial Intelligence Centre Act, 38 of 2001.pdf" TargetMode="External" Id="rId461"/><Relationship Type="http://schemas.openxmlformats.org/officeDocument/2006/relationships/hyperlink" Target="data/acts/South Africa/FICA (Financial Intelligence Centre Act, 38 of 2001.pdf" TargetMode="External" Id="rId462"/><Relationship Type="http://schemas.openxmlformats.org/officeDocument/2006/relationships/hyperlink" Target="data/acts/South Africa/FICA (Financial Intelligence Centre Act, 38 of 2001.pdf" TargetMode="External" Id="rId463"/><Relationship Type="http://schemas.openxmlformats.org/officeDocument/2006/relationships/hyperlink" Target="data/acts/South Africa/FICA (Financial Intelligence Centre Act, 38 of 2001.pdf" TargetMode="External" Id="rId464"/><Relationship Type="http://schemas.openxmlformats.org/officeDocument/2006/relationships/hyperlink" Target="data/acts/South Africa/FICA (Financial Intelligence Centre Act, 38 of 2001.pdf" TargetMode="External" Id="rId465"/><Relationship Type="http://schemas.openxmlformats.org/officeDocument/2006/relationships/hyperlink" Target="data/acts/South Africa/FICA (Financial Intelligence Centre Act, 38 of 2001.pdf" TargetMode="External" Id="rId466"/><Relationship Type="http://schemas.openxmlformats.org/officeDocument/2006/relationships/hyperlink" Target="data/acts/South Africa/FICA (Financial Intelligence Centre Act, 38 of 2001.pdf" TargetMode="External" Id="rId467"/><Relationship Type="http://schemas.openxmlformats.org/officeDocument/2006/relationships/hyperlink" Target="data/acts/South Africa/FICA (Financial Intelligence Centre Act, 38 of 2001.pdf" TargetMode="External" Id="rId468"/><Relationship Type="http://schemas.openxmlformats.org/officeDocument/2006/relationships/hyperlink" Target="data/acts/South Africa/FICA (Financial Intelligence Centre Act, 38 of 2001.pdf" TargetMode="External" Id="rId469"/><Relationship Type="http://schemas.openxmlformats.org/officeDocument/2006/relationships/hyperlink" Target="data/acts/South Africa/FICA (Financial Intelligence Centre Act, 38 of 2001.pdf" TargetMode="External" Id="rId470"/><Relationship Type="http://schemas.openxmlformats.org/officeDocument/2006/relationships/hyperlink" Target="data/acts/South Africa/FICA (Financial Intelligence Centre Act, 38 of 2001.pdf" TargetMode="External" Id="rId471"/><Relationship Type="http://schemas.openxmlformats.org/officeDocument/2006/relationships/hyperlink" Target="data/acts/South Africa/FICA (Financial Intelligence Centre Act, 38 of 2001.pdf" TargetMode="External" Id="rId472"/><Relationship Type="http://schemas.openxmlformats.org/officeDocument/2006/relationships/hyperlink" Target="data/acts/South Africa/FICA (Financial Intelligence Centre Act, 38 of 2001.pdf" TargetMode="External" Id="rId473"/><Relationship Type="http://schemas.openxmlformats.org/officeDocument/2006/relationships/hyperlink" Target="data/acts/South Africa/FICA (Financial Intelligence Centre Act, 38 of 2001.pdf" TargetMode="External" Id="rId474"/><Relationship Type="http://schemas.openxmlformats.org/officeDocument/2006/relationships/hyperlink" Target="data/acts/South Africa/FICA (Financial Intelligence Centre Act, 38 of 2001.pdf" TargetMode="External" Id="rId475"/><Relationship Type="http://schemas.openxmlformats.org/officeDocument/2006/relationships/hyperlink" Target="data/acts/South Africa/FICA (Financial Intelligence Centre Act, 38 of 2001.pdf" TargetMode="External" Id="rId476"/><Relationship Type="http://schemas.openxmlformats.org/officeDocument/2006/relationships/hyperlink" Target="data/acts/South Africa/FICA (Financial Intelligence Centre Act, 38 of 2001.pdf" TargetMode="External" Id="rId477"/><Relationship Type="http://schemas.openxmlformats.org/officeDocument/2006/relationships/hyperlink" Target="data/acts/South Africa/FICA (Financial Intelligence Centre Act, 38 of 2001.pdf" TargetMode="External" Id="rId478"/><Relationship Type="http://schemas.openxmlformats.org/officeDocument/2006/relationships/hyperlink" Target="data/acts/South Africa/FICA (Financial Intelligence Centre Act, 38 of 2001.pdf" TargetMode="External" Id="rId479"/><Relationship Type="http://schemas.openxmlformats.org/officeDocument/2006/relationships/hyperlink" Target="data/acts/South Africa/FICA (Financial Intelligence Centre Act, 38 of 2001.pdf" TargetMode="External" Id="rId480"/><Relationship Type="http://schemas.openxmlformats.org/officeDocument/2006/relationships/hyperlink" Target="data/acts/South Africa/FICA (Financial Intelligence Centre Act, 38 of 2001.pdf" TargetMode="External" Id="rId481"/><Relationship Type="http://schemas.openxmlformats.org/officeDocument/2006/relationships/hyperlink" Target="data/acts/South Africa/FICA (Financial Intelligence Centre Act, 38 of 2001.pdf" TargetMode="External" Id="rId482"/><Relationship Type="http://schemas.openxmlformats.org/officeDocument/2006/relationships/hyperlink" Target="data/acts/South Africa/FICA (Financial Intelligence Centre Act, 38 of 2001.pdf" TargetMode="External" Id="rId483"/><Relationship Type="http://schemas.openxmlformats.org/officeDocument/2006/relationships/hyperlink" Target="data/acts/South Africa/FICA (Financial Intelligence Centre Act, 38 of 2001.pdf" TargetMode="External" Id="rId484"/><Relationship Type="http://schemas.openxmlformats.org/officeDocument/2006/relationships/hyperlink" Target="data/acts/South Africa/FICA (Financial Intelligence Centre Act, 38 of 2001.pdf" TargetMode="External" Id="rId485"/><Relationship Type="http://schemas.openxmlformats.org/officeDocument/2006/relationships/hyperlink" Target="data/acts/South Africa/FICA (Financial Intelligence Centre Act, 38 of 2001.pdf" TargetMode="External" Id="rId486"/><Relationship Type="http://schemas.openxmlformats.org/officeDocument/2006/relationships/hyperlink" Target="data/acts/South Africa/FICA (Financial Intelligence Centre Act, 38 of 2001.pdf" TargetMode="External" Id="rId487"/><Relationship Type="http://schemas.openxmlformats.org/officeDocument/2006/relationships/hyperlink" Target="data/acts/South Africa/FICA (Financial Intelligence Centre Act, 38 of 2001.pdf" TargetMode="External" Id="rId488"/><Relationship Type="http://schemas.openxmlformats.org/officeDocument/2006/relationships/hyperlink" Target="data/acts/South Africa/FICA (Financial Intelligence Centre Act, 38 of 2001.pdf" TargetMode="External" Id="rId489"/><Relationship Type="http://schemas.openxmlformats.org/officeDocument/2006/relationships/hyperlink" Target="data/acts/South Africa/FICA (Financial Intelligence Centre Act, 38 of 2001.pdf" TargetMode="External" Id="rId490"/><Relationship Type="http://schemas.openxmlformats.org/officeDocument/2006/relationships/hyperlink" Target="data/acts/South Africa/FICA (Financial Intelligence Centre Act, 38 of 2001.pdf" TargetMode="External" Id="rId491"/><Relationship Type="http://schemas.openxmlformats.org/officeDocument/2006/relationships/hyperlink" Target="data/acts/South Africa/FICA (Financial Intelligence Centre Act, 38 of 2001.pdf" TargetMode="External" Id="rId492"/><Relationship Type="http://schemas.openxmlformats.org/officeDocument/2006/relationships/hyperlink" Target="data/acts/South Africa/FICA (Financial Intelligence Centre Act, 38 of 2001.pdf" TargetMode="External" Id="rId493"/><Relationship Type="http://schemas.openxmlformats.org/officeDocument/2006/relationships/hyperlink" Target="data/acts/South Africa/FICA (Financial Intelligence Centre Act, 38 of 2001.pdf" TargetMode="External" Id="rId494"/><Relationship Type="http://schemas.openxmlformats.org/officeDocument/2006/relationships/hyperlink" Target="data/acts/South Africa/FICA (Financial Intelligence Centre Act, 38 of 2001.pdf" TargetMode="External" Id="rId495"/><Relationship Type="http://schemas.openxmlformats.org/officeDocument/2006/relationships/hyperlink" Target="data/acts/South Africa/FICA (Financial Intelligence Centre Act, 38 of 2001.pdf" TargetMode="External" Id="rId496"/><Relationship Type="http://schemas.openxmlformats.org/officeDocument/2006/relationships/hyperlink" Target="data/acts/South Africa/FICA (Financial Intelligence Centre Act, 38 of 2001.pdf" TargetMode="External" Id="rId497"/><Relationship Type="http://schemas.openxmlformats.org/officeDocument/2006/relationships/hyperlink" Target="data/acts/South Africa/FICA (Financial Intelligence Centre Act, 38 of 2001.pdf" TargetMode="External" Id="rId498"/><Relationship Type="http://schemas.openxmlformats.org/officeDocument/2006/relationships/hyperlink" Target="data/acts/South Africa/FICA (Financial Intelligence Centre Act, 38 of 2001.pdf" TargetMode="External" Id="rId499"/><Relationship Type="http://schemas.openxmlformats.org/officeDocument/2006/relationships/hyperlink" Target="data/acts/South Africa/FICA (Financial Intelligence Centre Act, 38 of 2001.pdf" TargetMode="External" Id="rId500"/><Relationship Type="http://schemas.openxmlformats.org/officeDocument/2006/relationships/hyperlink" Target="data/acts/South Africa/FICA (Financial Intelligence Centre Act, 38 of 2001.pdf" TargetMode="External" Id="rId501"/><Relationship Type="http://schemas.openxmlformats.org/officeDocument/2006/relationships/hyperlink" Target="data/acts/South Africa/FICA (Financial Intelligence Centre Act, 38 of 2001.pdf" TargetMode="External" Id="rId502"/><Relationship Type="http://schemas.openxmlformats.org/officeDocument/2006/relationships/hyperlink" Target="data/acts/South Africa/FICA (Financial Intelligence Centre Act, 38 of 2001.pdf" TargetMode="External" Id="rId503"/><Relationship Type="http://schemas.openxmlformats.org/officeDocument/2006/relationships/hyperlink" Target="data/acts/South Africa/FICA (Financial Intelligence Centre Act, 38 of 2001.pdf" TargetMode="External" Id="rId504"/><Relationship Type="http://schemas.openxmlformats.org/officeDocument/2006/relationships/hyperlink" Target="data/acts/South Africa/FICA (Financial Intelligence Centre Act, 38 of 2001.pdf" TargetMode="External" Id="rId505"/><Relationship Type="http://schemas.openxmlformats.org/officeDocument/2006/relationships/hyperlink" Target="data/acts/South Africa/FICA (Financial Intelligence Centre Act, 38 of 2001.pdf" TargetMode="External" Id="rId506"/><Relationship Type="http://schemas.openxmlformats.org/officeDocument/2006/relationships/hyperlink" Target="data/acts/South Africa/FICA (Financial Intelligence Centre Act, 38 of 2001.pdf" TargetMode="External" Id="rId507"/><Relationship Type="http://schemas.openxmlformats.org/officeDocument/2006/relationships/hyperlink" Target="data/acts/South Africa/FICA (Financial Intelligence Centre Act, 38 of 2001.pdf" TargetMode="External" Id="rId508"/><Relationship Type="http://schemas.openxmlformats.org/officeDocument/2006/relationships/hyperlink" Target="data/acts/South Africa/FICA (Financial Intelligence Centre Act, 38 of 2001.pdf" TargetMode="External" Id="rId509"/><Relationship Type="http://schemas.openxmlformats.org/officeDocument/2006/relationships/hyperlink" Target="data/acts/South Africa/FICA (Financial Intelligence Centre Act, 38 of 2001.pdf" TargetMode="External" Id="rId510"/><Relationship Type="http://schemas.openxmlformats.org/officeDocument/2006/relationships/hyperlink" Target="data/acts/South Africa/Financial Advisory and Intermediary Services Act (FAIS) 37 of 2002.pdf" TargetMode="External" Id="rId511"/><Relationship Type="http://schemas.openxmlformats.org/officeDocument/2006/relationships/hyperlink" Target="data/acts/South Africa/Financial Advisory and Intermediary Services Act (FAIS) 37 of 2002.pdf" TargetMode="External" Id="rId512"/><Relationship Type="http://schemas.openxmlformats.org/officeDocument/2006/relationships/hyperlink" Target="data/acts/South Africa/Financial Advisory and Intermediary Services Act (FAIS) 37 of 2002.pdf" TargetMode="External" Id="rId513"/><Relationship Type="http://schemas.openxmlformats.org/officeDocument/2006/relationships/hyperlink" Target="data/acts/South Africa/Financial Advisory and Intermediary Services Act (FAIS) 37 of 2002.pdf" TargetMode="External" Id="rId514"/><Relationship Type="http://schemas.openxmlformats.org/officeDocument/2006/relationships/hyperlink" Target="data/acts/South Africa/Financial Advisory and Intermediary Services Act (FAIS) 37 of 2002.pdf" TargetMode="External" Id="rId515"/><Relationship Type="http://schemas.openxmlformats.org/officeDocument/2006/relationships/hyperlink" Target="data/acts/South Africa/Financial Advisory and Intermediary Services Act (FAIS) 37 of 2002.pdf" TargetMode="External" Id="rId516"/><Relationship Type="http://schemas.openxmlformats.org/officeDocument/2006/relationships/hyperlink" Target="data/acts/South Africa/Financial Advisory and Intermediary Services Act (FAIS) 37 of 2002.pdf" TargetMode="External" Id="rId517"/><Relationship Type="http://schemas.openxmlformats.org/officeDocument/2006/relationships/hyperlink" Target="data/acts/South Africa/Financial Advisory and Intermediary Services Act (FAIS) 37 of 2002.pdf" TargetMode="External" Id="rId518"/><Relationship Type="http://schemas.openxmlformats.org/officeDocument/2006/relationships/hyperlink" Target="data/acts/South Africa/Financial Advisory and Intermediary Services Act (FAIS) 37 of 2002.pdf" TargetMode="External" Id="rId519"/><Relationship Type="http://schemas.openxmlformats.org/officeDocument/2006/relationships/hyperlink" Target="data/acts/South Africa/Financial Advisory and Intermediary Services Act (FAIS) 37 of 2002.pdf" TargetMode="External" Id="rId520"/><Relationship Type="http://schemas.openxmlformats.org/officeDocument/2006/relationships/hyperlink" Target="data/acts/South Africa/Financial Advisory and Intermediary Services Act (FAIS) 37 of 2002.pdf" TargetMode="External" Id="rId521"/><Relationship Type="http://schemas.openxmlformats.org/officeDocument/2006/relationships/hyperlink" Target="data/acts/South Africa/Financial Advisory and Intermediary Services Act (FAIS) 37 of 2002.pdf" TargetMode="External" Id="rId522"/><Relationship Type="http://schemas.openxmlformats.org/officeDocument/2006/relationships/hyperlink" Target="data/acts/South Africa/Financial Advisory and Intermediary Services Act (FAIS) 37 of 2002.pdf" TargetMode="External" Id="rId523"/><Relationship Type="http://schemas.openxmlformats.org/officeDocument/2006/relationships/hyperlink" Target="data/acts/South Africa/Financial Advisory and Intermediary Services Act (FAIS) 37 of 2002.pdf" TargetMode="External" Id="rId524"/><Relationship Type="http://schemas.openxmlformats.org/officeDocument/2006/relationships/hyperlink" Target="data/acts/South Africa/Financial Advisory and Intermediary Services Act (FAIS) 37 of 2002.pdf" TargetMode="External" Id="rId525"/><Relationship Type="http://schemas.openxmlformats.org/officeDocument/2006/relationships/hyperlink" Target="data/acts/South Africa/Financial Advisory and Intermediary Services Act (FAIS) 37 of 2002.pdf" TargetMode="External" Id="rId526"/><Relationship Type="http://schemas.openxmlformats.org/officeDocument/2006/relationships/hyperlink" Target="data/acts/South Africa/Financial Advisory and Intermediary Services Act (FAIS) 37 of 2002.pdf" TargetMode="External" Id="rId527"/><Relationship Type="http://schemas.openxmlformats.org/officeDocument/2006/relationships/hyperlink" Target="data/acts/South Africa/Financial Advisory and Intermediary Services Act (FAIS) 37 of 2002.pdf" TargetMode="External" Id="rId528"/><Relationship Type="http://schemas.openxmlformats.org/officeDocument/2006/relationships/hyperlink" Target="data/acts/South Africa/Financial Advisory and Intermediary Services Act (FAIS) 37 of 2002.pdf" TargetMode="External" Id="rId529"/><Relationship Type="http://schemas.openxmlformats.org/officeDocument/2006/relationships/hyperlink" Target="data/acts/South Africa/Financial Advisory and Intermediary Services Act (FAIS) 37 of 2002.pdf" TargetMode="External" Id="rId530"/><Relationship Type="http://schemas.openxmlformats.org/officeDocument/2006/relationships/hyperlink" Target="data/acts/South Africa/Financial Advisory and Intermediary Services Act (FAIS) 37 of 2002.pdf" TargetMode="External" Id="rId531"/><Relationship Type="http://schemas.openxmlformats.org/officeDocument/2006/relationships/hyperlink" Target="data/acts/South Africa/Financial Advisory and Intermediary Services Act (FAIS) 37 of 2002.pdf" TargetMode="External" Id="rId532"/><Relationship Type="http://schemas.openxmlformats.org/officeDocument/2006/relationships/hyperlink" Target="data/acts/South Africa/Financial Advisory and Intermediary Services Act (FAIS) 37 of 2002.pdf" TargetMode="External" Id="rId533"/><Relationship Type="http://schemas.openxmlformats.org/officeDocument/2006/relationships/hyperlink" Target="data/acts/South Africa/Financial Advisory and Intermediary Services Act (FAIS) 37 of 2002.pdf" TargetMode="External" Id="rId534"/><Relationship Type="http://schemas.openxmlformats.org/officeDocument/2006/relationships/hyperlink" Target="data/acts/South Africa/Financial Advisory and Intermediary Services Act (FAIS) 37 of 2002.pdf" TargetMode="External" Id="rId535"/><Relationship Type="http://schemas.openxmlformats.org/officeDocument/2006/relationships/hyperlink" Target="data/acts/South Africa/Financial Advisory and Intermediary Services Act (FAIS) 37 of 2002.pdf" TargetMode="External" Id="rId536"/><Relationship Type="http://schemas.openxmlformats.org/officeDocument/2006/relationships/hyperlink" Target="data/acts/South Africa/Financial Advisory and Intermediary Services Act (FAIS) 37 of 2002.pdf" TargetMode="External" Id="rId537"/><Relationship Type="http://schemas.openxmlformats.org/officeDocument/2006/relationships/hyperlink" Target="data/acts/South Africa/Financial Advisory and Intermediary Services Act (FAIS) 37 of 2002.pdf" TargetMode="External" Id="rId538"/><Relationship Type="http://schemas.openxmlformats.org/officeDocument/2006/relationships/hyperlink" Target="data/acts/South Africa/Financial Advisory and Intermediary Services Act (FAIS) 37 of 2002.pdf" TargetMode="External" Id="rId539"/><Relationship Type="http://schemas.openxmlformats.org/officeDocument/2006/relationships/hyperlink" Target="data/acts/South Africa/Financial Advisory and Intermediary Services Act (FAIS) 37 of 2002.pdf" TargetMode="External" Id="rId540"/><Relationship Type="http://schemas.openxmlformats.org/officeDocument/2006/relationships/hyperlink" Target="data/acts/South Africa/Financial Advisory and Intermediary Services Act (FAIS) 37 of 2002.pdf" TargetMode="External" Id="rId541"/><Relationship Type="http://schemas.openxmlformats.org/officeDocument/2006/relationships/hyperlink" Target="data/acts/South Africa/Financial Advisory and Intermediary Services Act (FAIS) 37 of 2002.pdf" TargetMode="External" Id="rId542"/><Relationship Type="http://schemas.openxmlformats.org/officeDocument/2006/relationships/hyperlink" Target="data/acts/South Africa/Financial Advisory and Intermediary Services Act (FAIS) 37 of 2002.pdf" TargetMode="External" Id="rId543"/><Relationship Type="http://schemas.openxmlformats.org/officeDocument/2006/relationships/hyperlink" Target="data/acts/South Africa/Financial Advisory and Intermediary Services Act (FAIS) 37 of 2002.pdf" TargetMode="External" Id="rId544"/><Relationship Type="http://schemas.openxmlformats.org/officeDocument/2006/relationships/hyperlink" Target="data/acts/South Africa/Financial Advisory and Intermediary Services Act (FAIS) 37 of 2002.pdf" TargetMode="External" Id="rId545"/><Relationship Type="http://schemas.openxmlformats.org/officeDocument/2006/relationships/hyperlink" Target="data/acts/South Africa/Financial Advisory and Intermediary Services Act (FAIS) 37 of 2002.pdf" TargetMode="External" Id="rId546"/><Relationship Type="http://schemas.openxmlformats.org/officeDocument/2006/relationships/hyperlink" Target="data/acts/South Africa/Financial Advisory and Intermediary Services Act (FAIS) 37 of 2002.pdf" TargetMode="External" Id="rId547"/><Relationship Type="http://schemas.openxmlformats.org/officeDocument/2006/relationships/hyperlink" Target="data/acts/South Africa/Financial Advisory and Intermediary Services Act (FAIS) 37 of 2002.pdf" TargetMode="External" Id="rId548"/><Relationship Type="http://schemas.openxmlformats.org/officeDocument/2006/relationships/hyperlink" Target="data/acts/South Africa/Financial Advisory and Intermediary Services Act (FAIS) 37 of 2002.pdf" TargetMode="External" Id="rId549"/><Relationship Type="http://schemas.openxmlformats.org/officeDocument/2006/relationships/hyperlink" Target="data/acts/South Africa/Financial Advisory and Intermediary Services Act (FAIS) 37 of 2002.pdf" TargetMode="External" Id="rId550"/><Relationship Type="http://schemas.openxmlformats.org/officeDocument/2006/relationships/hyperlink" Target="data/acts/South Africa/Financial Advisory and Intermediary Services Act (FAIS) 37 of 2002.pdf" TargetMode="External" Id="rId551"/><Relationship Type="http://schemas.openxmlformats.org/officeDocument/2006/relationships/hyperlink" Target="data/acts/South Africa/Financial Advisory and Intermediary Services Act (FAIS) 37 of 2002.pdf" TargetMode="External" Id="rId552"/><Relationship Type="http://schemas.openxmlformats.org/officeDocument/2006/relationships/hyperlink" Target="data/acts/South Africa/Financial Advisory and Intermediary Services Act (FAIS) 37 of 2002.pdf" TargetMode="External" Id="rId553"/><Relationship Type="http://schemas.openxmlformats.org/officeDocument/2006/relationships/hyperlink" Target="data/acts/South Africa/Financial Advisory and Intermediary Services Act (FAIS) 37 of 2002.pdf" TargetMode="External" Id="rId554"/><Relationship Type="http://schemas.openxmlformats.org/officeDocument/2006/relationships/hyperlink" Target="data/acts/South Africa/Financial Advisory and Intermediary Services Act (FAIS) 37 of 2002.pdf" TargetMode="External" Id="rId555"/><Relationship Type="http://schemas.openxmlformats.org/officeDocument/2006/relationships/hyperlink" Target="data/acts/South Africa/Financial Advisory and Intermediary Services Act (FAIS) 37 of 2002.pdf" TargetMode="External" Id="rId556"/><Relationship Type="http://schemas.openxmlformats.org/officeDocument/2006/relationships/hyperlink" Target="data/acts/South Africa/Financial Advisory and Intermediary Services Act (FAIS) 37 of 2002.pdf" TargetMode="External" Id="rId557"/><Relationship Type="http://schemas.openxmlformats.org/officeDocument/2006/relationships/hyperlink" Target="data/acts/South Africa/Financial Advisory and Intermediary Services Act (FAIS) 37 of 2002.pdf" TargetMode="External" Id="rId558"/><Relationship Type="http://schemas.openxmlformats.org/officeDocument/2006/relationships/hyperlink" Target="data/acts/South Africa/Financial Advisory and Intermediary Services Act (FAIS) 37 of 2002.pdf" TargetMode="External" Id="rId559"/><Relationship Type="http://schemas.openxmlformats.org/officeDocument/2006/relationships/hyperlink" Target="data/acts/South Africa/Financial Advisory and Intermediary Services Act (FAIS) 37 of 2002.pdf" TargetMode="External" Id="rId560"/><Relationship Type="http://schemas.openxmlformats.org/officeDocument/2006/relationships/hyperlink" Target="data/acts/South Africa/Financial Advisory and Intermediary Services Act (FAIS) 37 of 2002.pdf" TargetMode="External" Id="rId561"/><Relationship Type="http://schemas.openxmlformats.org/officeDocument/2006/relationships/hyperlink" Target="data/acts/South Africa/Financial Advisory and Intermediary Services Act (FAIS) 37 of 2002.pdf" TargetMode="External" Id="rId562"/><Relationship Type="http://schemas.openxmlformats.org/officeDocument/2006/relationships/hyperlink" Target="data/acts/South Africa/Financial Advisory and Intermediary Services Act (FAIS) 37 of 2002.pdf" TargetMode="External" Id="rId563"/><Relationship Type="http://schemas.openxmlformats.org/officeDocument/2006/relationships/hyperlink" Target="data/acts/South Africa/Financial Advisory and Intermediary Services Act (FAIS) 37 of 2002.pdf" TargetMode="External" Id="rId564"/><Relationship Type="http://schemas.openxmlformats.org/officeDocument/2006/relationships/hyperlink" Target="data/acts/South Africa/Financial Advisory and Intermediary Services Act (FAIS) 37 of 2002.pdf" TargetMode="External" Id="rId565"/><Relationship Type="http://schemas.openxmlformats.org/officeDocument/2006/relationships/hyperlink" Target="data/acts/South Africa/Financial Advisory and Intermediary Services Act (FAIS) 37 of 2002.pdf" TargetMode="External" Id="rId566"/><Relationship Type="http://schemas.openxmlformats.org/officeDocument/2006/relationships/hyperlink" Target="data/acts/South Africa/Financial Advisory and Intermediary Services Act (FAIS) 37 of 2002.pdf" TargetMode="External" Id="rId567"/><Relationship Type="http://schemas.openxmlformats.org/officeDocument/2006/relationships/hyperlink" Target="data/acts/South Africa/Financial Advisory and Intermediary Services Act (FAIS) 37 of 2002.pdf" TargetMode="External" Id="rId568"/><Relationship Type="http://schemas.openxmlformats.org/officeDocument/2006/relationships/hyperlink" Target="data/acts/South Africa/Financial Advisory and Intermediary Services Act (FAIS) 37 of 2002.pdf" TargetMode="External" Id="rId569"/><Relationship Type="http://schemas.openxmlformats.org/officeDocument/2006/relationships/hyperlink" Target="data/acts/South Africa/Financial Advisory and Intermediary Services Act (FAIS) 37 of 2002.pdf" TargetMode="External" Id="rId570"/><Relationship Type="http://schemas.openxmlformats.org/officeDocument/2006/relationships/hyperlink" Target="data/acts/South Africa/Financial Advisory and Intermediary Services Act (FAIS) 37 of 2002.pdf" TargetMode="External" Id="rId571"/><Relationship Type="http://schemas.openxmlformats.org/officeDocument/2006/relationships/hyperlink" Target="data/acts/South Africa/Financial Advisory and Intermediary Services Act (FAIS) 37 of 2002.pdf" TargetMode="External" Id="rId572"/><Relationship Type="http://schemas.openxmlformats.org/officeDocument/2006/relationships/hyperlink" Target="data/acts/South Africa/Joint Standard 1 of 2023 - IT Governance and Risk Management.pdf" TargetMode="External" Id="rId573"/><Relationship Type="http://schemas.openxmlformats.org/officeDocument/2006/relationships/hyperlink" Target="data/acts/South Africa/Joint Standard 1 of 2023 - IT Governance and Risk Management.pdf" TargetMode="External" Id="rId574"/><Relationship Type="http://schemas.openxmlformats.org/officeDocument/2006/relationships/hyperlink" Target="data/acts/South Africa/Joint Standard 1 of 2023 - IT Governance and Risk Management.pdf" TargetMode="External" Id="rId575"/><Relationship Type="http://schemas.openxmlformats.org/officeDocument/2006/relationships/hyperlink" Target="data/acts/South Africa/Joint Standard 1 of 2023 - IT Governance and Risk Management.pdf" TargetMode="External" Id="rId576"/><Relationship Type="http://schemas.openxmlformats.org/officeDocument/2006/relationships/hyperlink" Target="data/acts/South Africa/Joint Standard 1 of 2023 - IT Governance and Risk Management.pdf" TargetMode="External" Id="rId577"/><Relationship Type="http://schemas.openxmlformats.org/officeDocument/2006/relationships/hyperlink" Target="data/acts/South Africa/Joint Standard 1 of 2023 - IT Governance and Risk Management.pdf" TargetMode="External" Id="rId578"/><Relationship Type="http://schemas.openxmlformats.org/officeDocument/2006/relationships/hyperlink" Target="data/acts/South Africa/Joint Standard 1 of 2023 - IT Governance and Risk Management.pdf" TargetMode="External" Id="rId579"/><Relationship Type="http://schemas.openxmlformats.org/officeDocument/2006/relationships/hyperlink" Target="data/acts/South Africa/Joint Standard 1 of 2023 - IT Governance and Risk Management.pdf" TargetMode="External" Id="rId580"/><Relationship Type="http://schemas.openxmlformats.org/officeDocument/2006/relationships/hyperlink" Target="data/acts/South Africa/Joint Standard 1 of 2023 - IT Governance and Risk Management.pdf" TargetMode="External" Id="rId581"/><Relationship Type="http://schemas.openxmlformats.org/officeDocument/2006/relationships/hyperlink" Target="data/acts/South Africa/Joint Standard 1 of 2023 - IT Governance and Risk Management.pdf" TargetMode="External" Id="rId582"/><Relationship Type="http://schemas.openxmlformats.org/officeDocument/2006/relationships/hyperlink" Target="data/acts/South Africa/Joint Standard 1 of 2023 - IT Governance and Risk Management.pdf" TargetMode="External" Id="rId583"/><Relationship Type="http://schemas.openxmlformats.org/officeDocument/2006/relationships/hyperlink" Target="data/acts/South Africa/Joint Standard 1 of 2023 - IT Governance and Risk Management.pdf" TargetMode="External" Id="rId584"/><Relationship Type="http://schemas.openxmlformats.org/officeDocument/2006/relationships/hyperlink" Target="data/acts/South Africa/Joint Standard 1 of 2023 - IT Governance and Risk Management.pdf" TargetMode="External" Id="rId585"/><Relationship Type="http://schemas.openxmlformats.org/officeDocument/2006/relationships/hyperlink" Target="data/acts/South Africa/Joint Standard 1 of 2023 - IT Governance and Risk Management.pdf" TargetMode="External" Id="rId586"/><Relationship Type="http://schemas.openxmlformats.org/officeDocument/2006/relationships/hyperlink" Target="data/acts/South Africa/Joint Standard 2 of 2024  Cybersecurity &amp; Cyber resilience Requirements.pdf" TargetMode="External" Id="rId587"/><Relationship Type="http://schemas.openxmlformats.org/officeDocument/2006/relationships/hyperlink" Target="data/acts/South Africa/Joint Standard 2 of 2024  Cybersecurity &amp; Cyber resilience Requirements.pdf" TargetMode="External" Id="rId588"/><Relationship Type="http://schemas.openxmlformats.org/officeDocument/2006/relationships/hyperlink" Target="data/acts/South Africa/Joint Standard 2 of 2024  Cybersecurity &amp; Cyber resilience Requirements.pdf" TargetMode="External" Id="rId589"/><Relationship Type="http://schemas.openxmlformats.org/officeDocument/2006/relationships/hyperlink" Target="data/acts/South Africa/Joint Standard 2 of 2024  Cybersecurity &amp; Cyber resilience Requirements.pdf" TargetMode="External" Id="rId590"/><Relationship Type="http://schemas.openxmlformats.org/officeDocument/2006/relationships/hyperlink" Target="data/acts/South Africa/Joint Standard 2 of 2024  Cybersecurity &amp; Cyber resilience Requirements.pdf" TargetMode="External" Id="rId591"/><Relationship Type="http://schemas.openxmlformats.org/officeDocument/2006/relationships/hyperlink" Target="data/acts/South Africa/Joint Standard 2 of 2024  Cybersecurity &amp; Cyber resilience Requirements.pdf" TargetMode="External" Id="rId592"/><Relationship Type="http://schemas.openxmlformats.org/officeDocument/2006/relationships/hyperlink" Target="data/acts/South Africa/Joint Standard 2 of 2024  Cybersecurity &amp; Cyber resilience Requirements.pdf" TargetMode="External" Id="rId593"/><Relationship Type="http://schemas.openxmlformats.org/officeDocument/2006/relationships/hyperlink" Target="data/acts/South Africa/Joint Standard 2 of 2024  Cybersecurity &amp; Cyber resilience Requirements.pdf" TargetMode="External" Id="rId594"/><Relationship Type="http://schemas.openxmlformats.org/officeDocument/2006/relationships/hyperlink" Target="data/acts/South Africa/Joint Standard 2 of 2024  Cybersecurity &amp; Cyber resilience Requirements.pdf" TargetMode="External" Id="rId595"/><Relationship Type="http://schemas.openxmlformats.org/officeDocument/2006/relationships/hyperlink" Target="data/acts/South Africa/PA Directive.pdf" TargetMode="External" Id="rId596"/><Relationship Type="http://schemas.openxmlformats.org/officeDocument/2006/relationships/hyperlink" Target="data/acts/South Africa/PA Directive.pdf" TargetMode="External" Id="rId597"/><Relationship Type="http://schemas.openxmlformats.org/officeDocument/2006/relationships/hyperlink" Target="data/acts/South Africa/PA Directive.pdf" TargetMode="External" Id="rId598"/><Relationship Type="http://schemas.openxmlformats.org/officeDocument/2006/relationships/hyperlink" Target="data/acts/South Africa/POPIA_Regulations_-_Dec_2018.pdf" TargetMode="External" Id="rId599"/><Relationship Type="http://schemas.openxmlformats.org/officeDocument/2006/relationships/hyperlink" Target="data/acts/South Africa/POPIA_Regulations_-_Dec_2018.pdf" TargetMode="External" Id="rId600"/><Relationship Type="http://schemas.openxmlformats.org/officeDocument/2006/relationships/hyperlink" Target="data/acts/South Africa/POPIA_Regulations_-_Dec_2018.pdf" TargetMode="External" Id="rId601"/><Relationship Type="http://schemas.openxmlformats.org/officeDocument/2006/relationships/hyperlink" Target="data/acts/South Africa/POPIA_Regulations_-_Dec_2018.pdf" TargetMode="External" Id="rId602"/><Relationship Type="http://schemas.openxmlformats.org/officeDocument/2006/relationships/hyperlink" Target="data/acts/South Africa/POPIA_Regulations_-_Dec_2018.pdf" TargetMode="External" Id="rId603"/><Relationship Type="http://schemas.openxmlformats.org/officeDocument/2006/relationships/hyperlink" Target="data/acts/South Africa/POPIA_Regulations_-_Dec_2018.pdf" TargetMode="External" Id="rId604"/><Relationship Type="http://schemas.openxmlformats.org/officeDocument/2006/relationships/hyperlink" Target="data/acts/South Africa/POPIA_Regulations_-_Dec_2018.pdf" TargetMode="External" Id="rId605"/><Relationship Type="http://schemas.openxmlformats.org/officeDocument/2006/relationships/hyperlink" Target="data/acts/South Africa/POPIA_Regulations_-_Dec_2018.pdf" TargetMode="External" Id="rId606"/><Relationship Type="http://schemas.openxmlformats.org/officeDocument/2006/relationships/hyperlink" Target="data/acts/South Africa/POPIA_Regulations_-_Dec_2018.pdf" TargetMode="External" Id="rId607"/><Relationship Type="http://schemas.openxmlformats.org/officeDocument/2006/relationships/hyperlink" Target="data/acts/South Africa/POPIA_Regulations_-_Dec_2018.pdf" TargetMode="External" Id="rId608"/><Relationship Type="http://schemas.openxmlformats.org/officeDocument/2006/relationships/hyperlink" Target="data/acts/South Africa/POPIA_Regulations_-_Dec_2018.pdf" TargetMode="External" Id="rId609"/><Relationship Type="http://schemas.openxmlformats.org/officeDocument/2006/relationships/hyperlink" Target="data/acts/South Africa/POPIA_Regulations_-_Dec_2018.pdf" TargetMode="External" Id="rId610"/><Relationship Type="http://schemas.openxmlformats.org/officeDocument/2006/relationships/hyperlink" Target="data/acts/South Africa/POPIA_Regulations_-_Dec_2018.pdf" TargetMode="External" Id="rId611"/><Relationship Type="http://schemas.openxmlformats.org/officeDocument/2006/relationships/hyperlink" Target="data/acts/South Africa/POPIA_Regulations_-_Dec_2018.pdf" TargetMode="External" Id="rId612"/><Relationship Type="http://schemas.openxmlformats.org/officeDocument/2006/relationships/hyperlink" Target="data/acts/South Africa/POPIA_Regulations_-_Dec_2018.pdf" TargetMode="External" Id="rId613"/><Relationship Type="http://schemas.openxmlformats.org/officeDocument/2006/relationships/hyperlink" Target="data/acts/South Africa/POPIA_Regulations_-_Dec_2018.pdf" TargetMode="External" Id="rId614"/><Relationship Type="http://schemas.openxmlformats.org/officeDocument/2006/relationships/hyperlink" Target="data/acts/South Africa/POPIA_Regulations_-_Dec_2018.pdf" TargetMode="External" Id="rId615"/><Relationship Type="http://schemas.openxmlformats.org/officeDocument/2006/relationships/hyperlink" Target="data/acts/South Africa/POPIA_Regulations_-_Dec_2018.pdf" TargetMode="External" Id="rId616"/><Relationship Type="http://schemas.openxmlformats.org/officeDocument/2006/relationships/hyperlink" Target="data/acts/South Africa/POPIA_Regulations_-_Dec_2018.pdf" TargetMode="External" Id="rId617"/><Relationship Type="http://schemas.openxmlformats.org/officeDocument/2006/relationships/hyperlink" Target="data/acts/South Africa/POPIA_Regulations_-_Dec_2018.pdf" TargetMode="External" Id="rId618"/><Relationship Type="http://schemas.openxmlformats.org/officeDocument/2006/relationships/hyperlink" Target="data/acts/South Africa/POPIA_Regulations_-_Dec_2018.pdf" TargetMode="External" Id="rId619"/><Relationship Type="http://schemas.openxmlformats.org/officeDocument/2006/relationships/hyperlink" Target="data/acts/South Africa/POPIA_Regulations_-_Dec_2018.pdf" TargetMode="External" Id="rId620"/><Relationship Type="http://schemas.openxmlformats.org/officeDocument/2006/relationships/hyperlink" Target="data/acts/South Africa/POPIA_Regulations_-_Dec_2018.pdf" TargetMode="External" Id="rId621"/><Relationship Type="http://schemas.openxmlformats.org/officeDocument/2006/relationships/hyperlink" Target="data/acts/South Africa/POPIA_Regulations_-_Dec_2018.pdf" TargetMode="External" Id="rId622"/><Relationship Type="http://schemas.openxmlformats.org/officeDocument/2006/relationships/hyperlink" Target="data/acts/South Africa/POPIA_Regulations_-_Dec_2018.pdf" TargetMode="External" Id="rId623"/><Relationship Type="http://schemas.openxmlformats.org/officeDocument/2006/relationships/hyperlink" Target="data/acts/South Africa/POPIA_Regulations_-_Dec_2018.pdf" TargetMode="External" Id="rId624"/><Relationship Type="http://schemas.openxmlformats.org/officeDocument/2006/relationships/hyperlink" Target="data/acts/South Africa/POPIA_Regulations_-_Dec_2018.pdf" TargetMode="External" Id="rId625"/><Relationship Type="http://schemas.openxmlformats.org/officeDocument/2006/relationships/hyperlink" Target="data/acts/South Africa/POPIA_Regulations_-_Dec_2018.pdf" TargetMode="External" Id="rId626"/><Relationship Type="http://schemas.openxmlformats.org/officeDocument/2006/relationships/hyperlink" Target="data/acts/South Africa/POPIA_Regulations_-_Dec_2018.pdf" TargetMode="External" Id="rId627"/><Relationship Type="http://schemas.openxmlformats.org/officeDocument/2006/relationships/hyperlink" Target="data/acts/South Africa/POPIA_Regulations_-_Dec_2018.pdf" TargetMode="External" Id="rId628"/><Relationship Type="http://schemas.openxmlformats.org/officeDocument/2006/relationships/hyperlink" Target="data/acts/South Africa/POPIA_Regulations_-_Dec_2018.pdf" TargetMode="External" Id="rId629"/><Relationship Type="http://schemas.openxmlformats.org/officeDocument/2006/relationships/hyperlink" Target="data/acts/South Africa/POPIA_Regulations_-_Dec_2018.pdf" TargetMode="External" Id="rId630"/><Relationship Type="http://schemas.openxmlformats.org/officeDocument/2006/relationships/hyperlink" Target="data/acts/South Africa/POPIA_Regulations_-_Dec_2018.pdf" TargetMode="External" Id="rId631"/><Relationship Type="http://schemas.openxmlformats.org/officeDocument/2006/relationships/hyperlink" Target="data/acts/South Africa/POPIA_Regulations_-_Dec_2018.pdf" TargetMode="External" Id="rId632"/><Relationship Type="http://schemas.openxmlformats.org/officeDocument/2006/relationships/hyperlink" Target="data/acts/South Africa/POPIA_Regulations_-_Dec_2018.pdf" TargetMode="External" Id="rId633"/><Relationship Type="http://schemas.openxmlformats.org/officeDocument/2006/relationships/hyperlink" Target="data/acts/South Africa/POPIA_Regulations_-_Dec_2018.pdf" TargetMode="External" Id="rId634"/><Relationship Type="http://schemas.openxmlformats.org/officeDocument/2006/relationships/hyperlink" Target="data/acts/South Africa/POPIA_Regulations_-_Dec_2018.pdf" TargetMode="External" Id="rId635"/><Relationship Type="http://schemas.openxmlformats.org/officeDocument/2006/relationships/hyperlink" Target="data/acts/South Africa/POPIA_Regulations_-_Dec_2018.pdf" TargetMode="External" Id="rId636"/><Relationship Type="http://schemas.openxmlformats.org/officeDocument/2006/relationships/hyperlink" Target="data/acts/South Africa/POPIA_Regulations_-_Dec_2018.pdf" TargetMode="External" Id="rId637"/><Relationship Type="http://schemas.openxmlformats.org/officeDocument/2006/relationships/hyperlink" Target="data/acts/South Africa/POPIA_Regulations_-_Dec_2018.pdf" TargetMode="External" Id="rId638"/><Relationship Type="http://schemas.openxmlformats.org/officeDocument/2006/relationships/hyperlink" Target="data/acts/South Africa/POPIA_Regulations_-_Dec_2018.pdf" TargetMode="External" Id="rId639"/><Relationship Type="http://schemas.openxmlformats.org/officeDocument/2006/relationships/hyperlink" Target="data/acts/South Africa/POPIA_Regulations_-_Dec_2018.pdf" TargetMode="External" Id="rId640"/><Relationship Type="http://schemas.openxmlformats.org/officeDocument/2006/relationships/hyperlink" Target="data/acts/South Africa/POPIA_Regulations_-_Dec_2018.pdf" TargetMode="External" Id="rId641"/><Relationship Type="http://schemas.openxmlformats.org/officeDocument/2006/relationships/hyperlink" Target="data/acts/South Africa/POPIA_Regulations_-_Dec_2018.pdf" TargetMode="External" Id="rId642"/><Relationship Type="http://schemas.openxmlformats.org/officeDocument/2006/relationships/hyperlink" Target="data/acts/South Africa/POPIA_Regulations_-_Dec_2018.pdf" TargetMode="External" Id="rId643"/><Relationship Type="http://schemas.openxmlformats.org/officeDocument/2006/relationships/hyperlink" Target="data/acts/South Africa/POPIA_Regulations_-_Dec_2018.pdf" TargetMode="External" Id="rId644"/><Relationship Type="http://schemas.openxmlformats.org/officeDocument/2006/relationships/hyperlink" Target="data/acts/South Africa/POPIA_Regulations_-_Dec_2018.pdf" TargetMode="External" Id="rId645"/><Relationship Type="http://schemas.openxmlformats.org/officeDocument/2006/relationships/hyperlink" Target="data/acts/South Africa/POPIA_Regulations_-_Dec_2018.pdf" TargetMode="External" Id="rId646"/><Relationship Type="http://schemas.openxmlformats.org/officeDocument/2006/relationships/hyperlink" Target="data/acts/South Africa/POPIA_Regulations_-_Dec_2018.pdf" TargetMode="External" Id="rId647"/><Relationship Type="http://schemas.openxmlformats.org/officeDocument/2006/relationships/hyperlink" Target="data/acts/South Africa/POPIA_Regulations_-_Dec_2018.pdf" TargetMode="External" Id="rId648"/><Relationship Type="http://schemas.openxmlformats.org/officeDocument/2006/relationships/hyperlink" Target="data/acts/South Africa/POPIA_Regulations_-_Dec_2018.pdf" TargetMode="External" Id="rId649"/><Relationship Type="http://schemas.openxmlformats.org/officeDocument/2006/relationships/hyperlink" Target="data/acts/South Africa/POPIA_Regulations_-_Dec_2018.pdf" TargetMode="External" Id="rId650"/><Relationship Type="http://schemas.openxmlformats.org/officeDocument/2006/relationships/hyperlink" Target="data/acts/South Africa/POPIA_Regulations_-_Dec_2018.pdf" TargetMode="External" Id="rId651"/><Relationship Type="http://schemas.openxmlformats.org/officeDocument/2006/relationships/hyperlink" Target="data/acts/South Africa/POPIA_Regulations_-_Dec_2018.pdf" TargetMode="External" Id="rId652"/><Relationship Type="http://schemas.openxmlformats.org/officeDocument/2006/relationships/hyperlink" Target="data/acts/South Africa/POPIA_Regulations_-_Dec_2018.pdf" TargetMode="External" Id="rId653"/><Relationship Type="http://schemas.openxmlformats.org/officeDocument/2006/relationships/hyperlink" Target="data/acts/South Africa/POPIA_Regulations_-_Dec_2018.pdf" TargetMode="External" Id="rId654"/><Relationship Type="http://schemas.openxmlformats.org/officeDocument/2006/relationships/hyperlink" Target="data/acts/South Africa/South Africa National Cybersecurity Policy Framework (NCPF) 2015.pdf" TargetMode="External" Id="rId655"/><Relationship Type="http://schemas.openxmlformats.org/officeDocument/2006/relationships/hyperlink" Target="data/acts/South Africa/South Africa National Cybersecurity Policy Framework (NCPF) 2015.pdf" TargetMode="External" Id="rId656"/><Relationship Type="http://schemas.openxmlformats.org/officeDocument/2006/relationships/hyperlink" Target="data/acts/South Africa/South Africa National Cybersecurity Policy Framework (NCPF) 2015.pdf" TargetMode="External" Id="rId657"/><Relationship Type="http://schemas.openxmlformats.org/officeDocument/2006/relationships/hyperlink" Target="data/acts/South Africa/South Africa National Cybersecurity Policy Framework (NCPF) 2015.pdf" TargetMode="External" Id="rId658"/><Relationship Type="http://schemas.openxmlformats.org/officeDocument/2006/relationships/hyperlink" Target="data/acts/South Africa/South Africa National Cybersecurity Policy Framework (NCPF) 2015.pdf" TargetMode="External" Id="rId659"/><Relationship Type="http://schemas.openxmlformats.org/officeDocument/2006/relationships/hyperlink" Target="data/acts/South Africa/South Africa National Cybersecurity Policy Framework (NCPF) 2015.pdf" TargetMode="External" Id="rId660"/><Relationship Type="http://schemas.openxmlformats.org/officeDocument/2006/relationships/hyperlink" Target="data/acts/South Africa/South Africa National Cybersecurity Policy Framework (NCPF) 2015.pdf" TargetMode="External" Id="rId661"/><Relationship Type="http://schemas.openxmlformats.org/officeDocument/2006/relationships/hyperlink" Target="data/acts/South Africa/South Africa National Cybersecurity Policy Framework (NCPF) 2015.pdf" TargetMode="External" Id="rId662"/><Relationship Type="http://schemas.openxmlformats.org/officeDocument/2006/relationships/hyperlink" Target="data/acts/South Africa/South Africa National Cybersecurity Policy Framework (NCPF) 2015.pdf" TargetMode="External" Id="rId663"/><Relationship Type="http://schemas.openxmlformats.org/officeDocument/2006/relationships/hyperlink" Target="data/acts/South Africa/South Africa National Cybersecurity Policy Framework (NCPF) 2015.pdf" TargetMode="External" Id="rId664"/><Relationship Type="http://schemas.openxmlformats.org/officeDocument/2006/relationships/hyperlink" Target="data/acts/South Africa/South Africa National Cybersecurity Policy Framework (NCPF) 2015.pdf" TargetMode="External" Id="rId665"/><Relationship Type="http://schemas.openxmlformats.org/officeDocument/2006/relationships/hyperlink" Target="data/acts/South Africa/pAYMENT ACT.pdf" TargetMode="External" Id="rId666"/><Relationship Type="http://schemas.openxmlformats.org/officeDocument/2006/relationships/hyperlink" Target="data/acts/South Africa/pAYMENT ACT.pdf" TargetMode="External" Id="rId667"/><Relationship Type="http://schemas.openxmlformats.org/officeDocument/2006/relationships/hyperlink" Target="data/acts/South Africa/pAYMENT ACT.pdf" TargetMode="External" Id="rId668"/><Relationship Type="http://schemas.openxmlformats.org/officeDocument/2006/relationships/hyperlink" Target="data/acts/South Africa/pAYMENT ACT.pdf" TargetMode="External" Id="rId669"/><Relationship Type="http://schemas.openxmlformats.org/officeDocument/2006/relationships/hyperlink" Target="data/acts/United Kingdom/Accountability and governance _ ICO (United Kingdom - Row 32) (PROVISIONAL).pdf" TargetMode="External" Id="rId670"/><Relationship Type="http://schemas.openxmlformats.org/officeDocument/2006/relationships/hyperlink" Target="data/acts/United Kingdom/Accountability and governance _ ICO (United Kingdom - Row 32) (PROVISIONAL).pdf" TargetMode="External" Id="rId671"/><Relationship Type="http://schemas.openxmlformats.org/officeDocument/2006/relationships/hyperlink" Target="data/acts/United Kingdom/Accountability and governance _ ICO (United Kingdom - Row 32) (PROVISIONAL).pdf" TargetMode="External" Id="rId672"/><Relationship Type="http://schemas.openxmlformats.org/officeDocument/2006/relationships/hyperlink" Target="data/acts/United Kingdom/Privacy and Electronic Communications Regulations (PECR) 2003 (United Kingdom - Row 18).pdf" TargetMode="External" Id="rId673"/><Relationship Type="http://schemas.openxmlformats.org/officeDocument/2006/relationships/hyperlink" Target="data/acts/United Kingdom/Senior Managers and Certification Regime (United Kingdom - Row 23).pdf" TargetMode="External" Id="rId674"/><Relationship Type="http://schemas.openxmlformats.org/officeDocument/2006/relationships/hyperlink" Target="data/acts/United Kingdom/Senior Managers and Certification Regime (United Kingdom - Row 23).pdf" TargetMode="External" Id="rId675"/><Relationship Type="http://schemas.openxmlformats.org/officeDocument/2006/relationships/hyperlink" Target="data/acts/United Kingdom/Senior Managers and Certification Regime (United Kingdom - Row 23).pdf" TargetMode="External" Id="rId676"/><Relationship Type="http://schemas.openxmlformats.org/officeDocument/2006/relationships/hyperlink" Target="data/acts/United Kingdom/computer misuse act (United Kingdom - Row 2).pdf" TargetMode="External" Id="rId677"/><Relationship Type="http://schemas.openxmlformats.org/officeDocument/2006/relationships/hyperlink" Target="data/acts/United Kingdom/computer misuse act (United Kingdom - Row 2).pdf" TargetMode="External" Id="rId678"/><Relationship Type="http://schemas.openxmlformats.org/officeDocument/2006/relationships/table" Target="/xl/tables/table1.xml" Id="rId679"/></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26" customWidth="1" min="1" max="1"/>
    <col width="14" customWidth="1" min="2" max="2"/>
  </cols>
  <sheetData>
    <row r="1">
      <c r="A1" s="1" t="inlineStr">
        <is>
          <t>DTIA Compliance Knowledge Base</t>
        </is>
      </c>
    </row>
    <row r="3">
      <c r="A3" s="2" t="inlineStr">
        <is>
          <t>Countries</t>
        </is>
      </c>
      <c r="B3" t="n">
        <v>9</v>
      </c>
    </row>
    <row r="4">
      <c r="A4" s="2" t="inlineStr">
        <is>
          <t>Acts</t>
        </is>
      </c>
      <c r="B4" t="n">
        <v>51</v>
      </c>
    </row>
    <row r="5">
      <c r="A5" s="2" t="inlineStr">
        <is>
          <t>Regulators</t>
        </is>
      </c>
      <c r="B5" t="n">
        <v>70</v>
      </c>
    </row>
    <row r="6">
      <c r="A6" s="2" t="inlineStr">
        <is>
          <t>Topics</t>
        </is>
      </c>
      <c r="B6" t="n">
        <v>39</v>
      </c>
    </row>
    <row r="7">
      <c r="A7" s="2" t="inlineStr">
        <is>
          <t>Compliance sections</t>
        </is>
      </c>
      <c r="B7" t="n">
        <v>678</v>
      </c>
    </row>
    <row r="10">
      <c r="A10" s="3" t="inlineStr">
        <is>
          <t>How to use</t>
        </is>
      </c>
    </row>
    <row r="11">
      <c r="A11" s="4" t="inlineStr">
        <is>
          <t>1. Open the Query sheet.</t>
        </is>
      </c>
    </row>
    <row r="12">
      <c r="A12" s="4" t="inlineStr">
        <is>
          <t>2. Pick a Country, Category, Topic, Data Type, Financial Relevance or Authority — or type a keyword.</t>
        </is>
      </c>
    </row>
    <row r="13">
      <c r="A13" s="4" t="inlineStr">
        <is>
          <t>3. Matching sections appear below, each with its Act and page reference for the source document.</t>
        </is>
      </c>
    </row>
    <row r="14">
      <c r="A14" s="4" t="inlineStr">
        <is>
          <t>4. The Data Transfer sheet answers cross-border questions: pick two countries and see every relevant act/section from either side of the transfer.</t>
        </is>
      </c>
    </row>
    <row r="15">
      <c r="A15" s="4" t="inlineStr">
        <is>
          <t>5. The Compliance Database sheet holds every extracted section; Acts / Regulators / Topics summarise them.</t>
        </is>
      </c>
    </row>
  </sheetData>
  <mergeCells count="6">
    <mergeCell ref="A13:C13"/>
    <mergeCell ref="A11:C11"/>
    <mergeCell ref="A1:C1"/>
    <mergeCell ref="A14:C14"/>
    <mergeCell ref="A12:C12"/>
    <mergeCell ref="A15: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691"/>
  <sheetViews>
    <sheetView showGridLines="0" workbookViewId="0">
      <pane ySplit="13" topLeftCell="A14" activePane="bottomLeft" state="frozen"/>
      <selection pane="bottomLeft" activeCell="A1" sqref="A1"/>
    </sheetView>
  </sheetViews>
  <sheetFormatPr baseColWidth="8" defaultRowHeight="15"/>
  <cols>
    <col width="16"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 width="18" customWidth="1" min="16" max="16"/>
  </cols>
  <sheetData>
    <row r="1">
      <c r="A1" s="1" t="inlineStr">
        <is>
          <t>DTIA Query Engine</t>
        </is>
      </c>
    </row>
    <row r="3">
      <c r="A3" s="5" t="inlineStr">
        <is>
          <t>Choose filters (leave as 'All' to ignore), then read the results below.</t>
        </is>
      </c>
    </row>
    <row r="4">
      <c r="A4" s="2" t="inlineStr">
        <is>
          <t>Country</t>
        </is>
      </c>
      <c r="B4" s="6" t="inlineStr">
        <is>
          <t>All</t>
        </is>
      </c>
    </row>
    <row r="5">
      <c r="A5" s="2" t="inlineStr">
        <is>
          <t>Category</t>
        </is>
      </c>
      <c r="B5" s="6" t="inlineStr">
        <is>
          <t>All</t>
        </is>
      </c>
    </row>
    <row r="6">
      <c r="A6" s="2" t="inlineStr">
        <is>
          <t>Topic</t>
        </is>
      </c>
      <c r="B6" s="6" t="inlineStr">
        <is>
          <t>All</t>
        </is>
      </c>
    </row>
    <row r="7">
      <c r="A7" s="2" t="inlineStr">
        <is>
          <t>Data Type</t>
        </is>
      </c>
      <c r="B7" s="6" t="inlineStr">
        <is>
          <t>All</t>
        </is>
      </c>
    </row>
    <row r="8">
      <c r="A8" s="2" t="inlineStr">
        <is>
          <t>Financial Relevance</t>
        </is>
      </c>
      <c r="B8" s="6" t="inlineStr">
        <is>
          <t>All</t>
        </is>
      </c>
    </row>
    <row r="9">
      <c r="A9" s="2" t="inlineStr">
        <is>
          <t>Authority</t>
        </is>
      </c>
      <c r="B9" s="6" t="inlineStr">
        <is>
          <t>All</t>
        </is>
      </c>
    </row>
    <row r="10">
      <c r="A10" s="2" t="inlineStr">
        <is>
          <t>Keyword (free text)</t>
        </is>
      </c>
      <c r="B10" s="6" t="inlineStr"/>
    </row>
    <row r="12">
      <c r="A12" s="2" t="inlineStr">
        <is>
          <t>Matching sections (of 678 total):</t>
        </is>
      </c>
      <c r="C12" s="2">
        <f>Engine!$D$1</f>
        <v/>
      </c>
    </row>
    <row r="13">
      <c r="A13" s="7" t="inlineStr">
        <is>
          <t>Country</t>
        </is>
      </c>
      <c r="B13" s="7" t="inlineStr">
        <is>
          <t>Act</t>
        </is>
      </c>
      <c r="C13" s="7" t="inlineStr">
        <is>
          <t>Section</t>
        </is>
      </c>
      <c r="D13" s="7" t="inlineStr">
        <is>
          <t>Heading</t>
        </is>
      </c>
      <c r="E13" s="7" t="inlineStr">
        <is>
          <t>Pages</t>
        </is>
      </c>
      <c r="F13" s="7" t="inlineStr">
        <is>
          <t>Category</t>
        </is>
      </c>
      <c r="G13" s="7" t="inlineStr">
        <is>
          <t>Financial Relevance</t>
        </is>
      </c>
      <c r="H13" s="7" t="inlineStr">
        <is>
          <t>Confidence</t>
        </is>
      </c>
      <c r="I13" s="7" t="inlineStr">
        <is>
          <t>Topics</t>
        </is>
      </c>
      <c r="J13" s="7" t="inlineStr">
        <is>
          <t>Data Types</t>
        </is>
      </c>
      <c r="K13" s="7" t="inlineStr">
        <is>
          <t>Authority</t>
        </is>
      </c>
      <c r="L13" s="7" t="inlineStr">
        <is>
          <t>Summary</t>
        </is>
      </c>
      <c r="M13" s="7" t="inlineStr">
        <is>
          <t>DTIA Summary</t>
        </is>
      </c>
      <c r="N13" s="7" t="inlineStr">
        <is>
          <t>Requirements</t>
        </is>
      </c>
      <c r="O13" s="7" t="inlineStr">
        <is>
          <t>Source Quote</t>
        </is>
      </c>
      <c r="P13" s="7" t="inlineStr">
        <is>
          <t>Source</t>
        </is>
      </c>
    </row>
    <row r="14">
      <c r="A14">
        <f>IF(ISNA(MATCH(1,Engine!$C$2:$C$679,0)),"",INDEX('Compliance Database'!$A$2:$A$679,MATCH(1,Engine!$C$2:$C$679,0)))</f>
        <v/>
      </c>
      <c r="B14">
        <f>IF(ISNA(MATCH(1,Engine!$C$2:$C$679,0)),"",INDEX('Compliance Database'!$B$2:$B$679,MATCH(1,Engine!$C$2:$C$679,0)))</f>
        <v/>
      </c>
      <c r="C14">
        <f>IF(ISNA(MATCH(1,Engine!$C$2:$C$679,0)),"",INDEX('Compliance Database'!$C$2:$C$679,MATCH(1,Engine!$C$2:$C$679,0)))</f>
        <v/>
      </c>
      <c r="D14" s="8">
        <f>IF(ISNA(MATCH(1,Engine!$C$2:$C$679,0)),"",INDEX('Compliance Database'!$D$2:$D$679,MATCH(1,Engine!$C$2:$C$679,0)))</f>
        <v/>
      </c>
      <c r="E14">
        <f>IF(ISNA(MATCH(1,Engine!$C$2:$C$679,0)),"",INDEX('Compliance Database'!$E$2:$E$679,MATCH(1,Engine!$C$2:$C$679,0)))</f>
        <v/>
      </c>
      <c r="F14">
        <f>IF(ISNA(MATCH(1,Engine!$C$2:$C$679,0)),"",INDEX('Compliance Database'!$F$2:$F$679,MATCH(1,Engine!$C$2:$C$679,0)))</f>
        <v/>
      </c>
      <c r="G14">
        <f>IF(ISNA(MATCH(1,Engine!$C$2:$C$679,0)),"",INDEX('Compliance Database'!$G$2:$G$679,MATCH(1,Engine!$C$2:$C$679,0)))</f>
        <v/>
      </c>
      <c r="H14">
        <f>IF(ISNA(MATCH(1,Engine!$C$2:$C$679,0)),"",INDEX('Compliance Database'!$H$2:$H$679,MATCH(1,Engine!$C$2:$C$679,0)))</f>
        <v/>
      </c>
      <c r="I14" s="8">
        <f>IF(ISNA(MATCH(1,Engine!$C$2:$C$679,0)),"",INDEX('Compliance Database'!$I$2:$I$679,MATCH(1,Engine!$C$2:$C$679,0)))</f>
        <v/>
      </c>
      <c r="J14" s="8">
        <f>IF(ISNA(MATCH(1,Engine!$C$2:$C$679,0)),"",INDEX('Compliance Database'!$J$2:$J$679,MATCH(1,Engine!$C$2:$C$679,0)))</f>
        <v/>
      </c>
      <c r="K14">
        <f>IF(ISNA(MATCH(1,Engine!$C$2:$C$679,0)),"",INDEX('Compliance Database'!$K$2:$K$679,MATCH(1,Engine!$C$2:$C$679,0)))</f>
        <v/>
      </c>
      <c r="L14" s="8">
        <f>IF(ISNA(MATCH(1,Engine!$C$2:$C$679,0)),"",INDEX('Compliance Database'!$L$2:$L$679,MATCH(1,Engine!$C$2:$C$679,0)))</f>
        <v/>
      </c>
      <c r="M14" s="8">
        <f>IF(ISNA(MATCH(1,Engine!$C$2:$C$679,0)),"",INDEX('Compliance Database'!$M$2:$M$679,MATCH(1,Engine!$C$2:$C$679,0)))</f>
        <v/>
      </c>
      <c r="N14" s="8">
        <f>IF(ISNA(MATCH(1,Engine!$C$2:$C$679,0)),"",INDEX('Compliance Database'!$N$2:$N$679,MATCH(1,Engine!$C$2:$C$679,0)))</f>
        <v/>
      </c>
      <c r="O14" s="8">
        <f>IF(ISNA(MATCH(1,Engine!$C$2:$C$679,0)),"",INDEX('Compliance Database'!$O$2:$O$679,MATCH(1,Engine!$C$2:$C$679,0)))</f>
        <v/>
      </c>
      <c r="P14">
        <f>IF(ISNA(MATCH(1,Engine!$C$2:$C$679,0)),"",HYPERLINK(INDEX('Compliance Database'!$P$2:$P$679,MATCH(1,Engine!$C$2:$C$679,0)),"Open PDF"))</f>
        <v/>
      </c>
    </row>
    <row r="15">
      <c r="A15">
        <f>IF(ISNA(MATCH(2,Engine!$C$2:$C$679,0)),"",INDEX('Compliance Database'!$A$2:$A$679,MATCH(2,Engine!$C$2:$C$679,0)))</f>
        <v/>
      </c>
      <c r="B15">
        <f>IF(ISNA(MATCH(2,Engine!$C$2:$C$679,0)),"",INDEX('Compliance Database'!$B$2:$B$679,MATCH(2,Engine!$C$2:$C$679,0)))</f>
        <v/>
      </c>
      <c r="C15">
        <f>IF(ISNA(MATCH(2,Engine!$C$2:$C$679,0)),"",INDEX('Compliance Database'!$C$2:$C$679,MATCH(2,Engine!$C$2:$C$679,0)))</f>
        <v/>
      </c>
      <c r="D15" s="8">
        <f>IF(ISNA(MATCH(2,Engine!$C$2:$C$679,0)),"",INDEX('Compliance Database'!$D$2:$D$679,MATCH(2,Engine!$C$2:$C$679,0)))</f>
        <v/>
      </c>
      <c r="E15">
        <f>IF(ISNA(MATCH(2,Engine!$C$2:$C$679,0)),"",INDEX('Compliance Database'!$E$2:$E$679,MATCH(2,Engine!$C$2:$C$679,0)))</f>
        <v/>
      </c>
      <c r="F15">
        <f>IF(ISNA(MATCH(2,Engine!$C$2:$C$679,0)),"",INDEX('Compliance Database'!$F$2:$F$679,MATCH(2,Engine!$C$2:$C$679,0)))</f>
        <v/>
      </c>
      <c r="G15">
        <f>IF(ISNA(MATCH(2,Engine!$C$2:$C$679,0)),"",INDEX('Compliance Database'!$G$2:$G$679,MATCH(2,Engine!$C$2:$C$679,0)))</f>
        <v/>
      </c>
      <c r="H15">
        <f>IF(ISNA(MATCH(2,Engine!$C$2:$C$679,0)),"",INDEX('Compliance Database'!$H$2:$H$679,MATCH(2,Engine!$C$2:$C$679,0)))</f>
        <v/>
      </c>
      <c r="I15" s="8">
        <f>IF(ISNA(MATCH(2,Engine!$C$2:$C$679,0)),"",INDEX('Compliance Database'!$I$2:$I$679,MATCH(2,Engine!$C$2:$C$679,0)))</f>
        <v/>
      </c>
      <c r="J15" s="8">
        <f>IF(ISNA(MATCH(2,Engine!$C$2:$C$679,0)),"",INDEX('Compliance Database'!$J$2:$J$679,MATCH(2,Engine!$C$2:$C$679,0)))</f>
        <v/>
      </c>
      <c r="K15">
        <f>IF(ISNA(MATCH(2,Engine!$C$2:$C$679,0)),"",INDEX('Compliance Database'!$K$2:$K$679,MATCH(2,Engine!$C$2:$C$679,0)))</f>
        <v/>
      </c>
      <c r="L15" s="8">
        <f>IF(ISNA(MATCH(2,Engine!$C$2:$C$679,0)),"",INDEX('Compliance Database'!$L$2:$L$679,MATCH(2,Engine!$C$2:$C$679,0)))</f>
        <v/>
      </c>
      <c r="M15" s="8">
        <f>IF(ISNA(MATCH(2,Engine!$C$2:$C$679,0)),"",INDEX('Compliance Database'!$M$2:$M$679,MATCH(2,Engine!$C$2:$C$679,0)))</f>
        <v/>
      </c>
      <c r="N15" s="8">
        <f>IF(ISNA(MATCH(2,Engine!$C$2:$C$679,0)),"",INDEX('Compliance Database'!$N$2:$N$679,MATCH(2,Engine!$C$2:$C$679,0)))</f>
        <v/>
      </c>
      <c r="O15" s="8">
        <f>IF(ISNA(MATCH(2,Engine!$C$2:$C$679,0)),"",INDEX('Compliance Database'!$O$2:$O$679,MATCH(2,Engine!$C$2:$C$679,0)))</f>
        <v/>
      </c>
      <c r="P15">
        <f>IF(ISNA(MATCH(2,Engine!$C$2:$C$679,0)),"",HYPERLINK(INDEX('Compliance Database'!$P$2:$P$679,MATCH(2,Engine!$C$2:$C$679,0)),"Open PDF"))</f>
        <v/>
      </c>
    </row>
    <row r="16">
      <c r="A16">
        <f>IF(ISNA(MATCH(3,Engine!$C$2:$C$679,0)),"",INDEX('Compliance Database'!$A$2:$A$679,MATCH(3,Engine!$C$2:$C$679,0)))</f>
        <v/>
      </c>
      <c r="B16">
        <f>IF(ISNA(MATCH(3,Engine!$C$2:$C$679,0)),"",INDEX('Compliance Database'!$B$2:$B$679,MATCH(3,Engine!$C$2:$C$679,0)))</f>
        <v/>
      </c>
      <c r="C16">
        <f>IF(ISNA(MATCH(3,Engine!$C$2:$C$679,0)),"",INDEX('Compliance Database'!$C$2:$C$679,MATCH(3,Engine!$C$2:$C$679,0)))</f>
        <v/>
      </c>
      <c r="D16" s="8">
        <f>IF(ISNA(MATCH(3,Engine!$C$2:$C$679,0)),"",INDEX('Compliance Database'!$D$2:$D$679,MATCH(3,Engine!$C$2:$C$679,0)))</f>
        <v/>
      </c>
      <c r="E16">
        <f>IF(ISNA(MATCH(3,Engine!$C$2:$C$679,0)),"",INDEX('Compliance Database'!$E$2:$E$679,MATCH(3,Engine!$C$2:$C$679,0)))</f>
        <v/>
      </c>
      <c r="F16">
        <f>IF(ISNA(MATCH(3,Engine!$C$2:$C$679,0)),"",INDEX('Compliance Database'!$F$2:$F$679,MATCH(3,Engine!$C$2:$C$679,0)))</f>
        <v/>
      </c>
      <c r="G16">
        <f>IF(ISNA(MATCH(3,Engine!$C$2:$C$679,0)),"",INDEX('Compliance Database'!$G$2:$G$679,MATCH(3,Engine!$C$2:$C$679,0)))</f>
        <v/>
      </c>
      <c r="H16">
        <f>IF(ISNA(MATCH(3,Engine!$C$2:$C$679,0)),"",INDEX('Compliance Database'!$H$2:$H$679,MATCH(3,Engine!$C$2:$C$679,0)))</f>
        <v/>
      </c>
      <c r="I16" s="8">
        <f>IF(ISNA(MATCH(3,Engine!$C$2:$C$679,0)),"",INDEX('Compliance Database'!$I$2:$I$679,MATCH(3,Engine!$C$2:$C$679,0)))</f>
        <v/>
      </c>
      <c r="J16" s="8">
        <f>IF(ISNA(MATCH(3,Engine!$C$2:$C$679,0)),"",INDEX('Compliance Database'!$J$2:$J$679,MATCH(3,Engine!$C$2:$C$679,0)))</f>
        <v/>
      </c>
      <c r="K16">
        <f>IF(ISNA(MATCH(3,Engine!$C$2:$C$679,0)),"",INDEX('Compliance Database'!$K$2:$K$679,MATCH(3,Engine!$C$2:$C$679,0)))</f>
        <v/>
      </c>
      <c r="L16" s="8">
        <f>IF(ISNA(MATCH(3,Engine!$C$2:$C$679,0)),"",INDEX('Compliance Database'!$L$2:$L$679,MATCH(3,Engine!$C$2:$C$679,0)))</f>
        <v/>
      </c>
      <c r="M16" s="8">
        <f>IF(ISNA(MATCH(3,Engine!$C$2:$C$679,0)),"",INDEX('Compliance Database'!$M$2:$M$679,MATCH(3,Engine!$C$2:$C$679,0)))</f>
        <v/>
      </c>
      <c r="N16" s="8">
        <f>IF(ISNA(MATCH(3,Engine!$C$2:$C$679,0)),"",INDEX('Compliance Database'!$N$2:$N$679,MATCH(3,Engine!$C$2:$C$679,0)))</f>
        <v/>
      </c>
      <c r="O16" s="8">
        <f>IF(ISNA(MATCH(3,Engine!$C$2:$C$679,0)),"",INDEX('Compliance Database'!$O$2:$O$679,MATCH(3,Engine!$C$2:$C$679,0)))</f>
        <v/>
      </c>
      <c r="P16">
        <f>IF(ISNA(MATCH(3,Engine!$C$2:$C$679,0)),"",HYPERLINK(INDEX('Compliance Database'!$P$2:$P$679,MATCH(3,Engine!$C$2:$C$679,0)),"Open PDF"))</f>
        <v/>
      </c>
    </row>
    <row r="17">
      <c r="A17">
        <f>IF(ISNA(MATCH(4,Engine!$C$2:$C$679,0)),"",INDEX('Compliance Database'!$A$2:$A$679,MATCH(4,Engine!$C$2:$C$679,0)))</f>
        <v/>
      </c>
      <c r="B17">
        <f>IF(ISNA(MATCH(4,Engine!$C$2:$C$679,0)),"",INDEX('Compliance Database'!$B$2:$B$679,MATCH(4,Engine!$C$2:$C$679,0)))</f>
        <v/>
      </c>
      <c r="C17">
        <f>IF(ISNA(MATCH(4,Engine!$C$2:$C$679,0)),"",INDEX('Compliance Database'!$C$2:$C$679,MATCH(4,Engine!$C$2:$C$679,0)))</f>
        <v/>
      </c>
      <c r="D17" s="8">
        <f>IF(ISNA(MATCH(4,Engine!$C$2:$C$679,0)),"",INDEX('Compliance Database'!$D$2:$D$679,MATCH(4,Engine!$C$2:$C$679,0)))</f>
        <v/>
      </c>
      <c r="E17">
        <f>IF(ISNA(MATCH(4,Engine!$C$2:$C$679,0)),"",INDEX('Compliance Database'!$E$2:$E$679,MATCH(4,Engine!$C$2:$C$679,0)))</f>
        <v/>
      </c>
      <c r="F17">
        <f>IF(ISNA(MATCH(4,Engine!$C$2:$C$679,0)),"",INDEX('Compliance Database'!$F$2:$F$679,MATCH(4,Engine!$C$2:$C$679,0)))</f>
        <v/>
      </c>
      <c r="G17">
        <f>IF(ISNA(MATCH(4,Engine!$C$2:$C$679,0)),"",INDEX('Compliance Database'!$G$2:$G$679,MATCH(4,Engine!$C$2:$C$679,0)))</f>
        <v/>
      </c>
      <c r="H17">
        <f>IF(ISNA(MATCH(4,Engine!$C$2:$C$679,0)),"",INDEX('Compliance Database'!$H$2:$H$679,MATCH(4,Engine!$C$2:$C$679,0)))</f>
        <v/>
      </c>
      <c r="I17" s="8">
        <f>IF(ISNA(MATCH(4,Engine!$C$2:$C$679,0)),"",INDEX('Compliance Database'!$I$2:$I$679,MATCH(4,Engine!$C$2:$C$679,0)))</f>
        <v/>
      </c>
      <c r="J17" s="8">
        <f>IF(ISNA(MATCH(4,Engine!$C$2:$C$679,0)),"",INDEX('Compliance Database'!$J$2:$J$679,MATCH(4,Engine!$C$2:$C$679,0)))</f>
        <v/>
      </c>
      <c r="K17">
        <f>IF(ISNA(MATCH(4,Engine!$C$2:$C$679,0)),"",INDEX('Compliance Database'!$K$2:$K$679,MATCH(4,Engine!$C$2:$C$679,0)))</f>
        <v/>
      </c>
      <c r="L17" s="8">
        <f>IF(ISNA(MATCH(4,Engine!$C$2:$C$679,0)),"",INDEX('Compliance Database'!$L$2:$L$679,MATCH(4,Engine!$C$2:$C$679,0)))</f>
        <v/>
      </c>
      <c r="M17" s="8">
        <f>IF(ISNA(MATCH(4,Engine!$C$2:$C$679,0)),"",INDEX('Compliance Database'!$M$2:$M$679,MATCH(4,Engine!$C$2:$C$679,0)))</f>
        <v/>
      </c>
      <c r="N17" s="8">
        <f>IF(ISNA(MATCH(4,Engine!$C$2:$C$679,0)),"",INDEX('Compliance Database'!$N$2:$N$679,MATCH(4,Engine!$C$2:$C$679,0)))</f>
        <v/>
      </c>
      <c r="O17" s="8">
        <f>IF(ISNA(MATCH(4,Engine!$C$2:$C$679,0)),"",INDEX('Compliance Database'!$O$2:$O$679,MATCH(4,Engine!$C$2:$C$679,0)))</f>
        <v/>
      </c>
      <c r="P17">
        <f>IF(ISNA(MATCH(4,Engine!$C$2:$C$679,0)),"",HYPERLINK(INDEX('Compliance Database'!$P$2:$P$679,MATCH(4,Engine!$C$2:$C$679,0)),"Open PDF"))</f>
        <v/>
      </c>
    </row>
    <row r="18">
      <c r="A18">
        <f>IF(ISNA(MATCH(5,Engine!$C$2:$C$679,0)),"",INDEX('Compliance Database'!$A$2:$A$679,MATCH(5,Engine!$C$2:$C$679,0)))</f>
        <v/>
      </c>
      <c r="B18">
        <f>IF(ISNA(MATCH(5,Engine!$C$2:$C$679,0)),"",INDEX('Compliance Database'!$B$2:$B$679,MATCH(5,Engine!$C$2:$C$679,0)))</f>
        <v/>
      </c>
      <c r="C18">
        <f>IF(ISNA(MATCH(5,Engine!$C$2:$C$679,0)),"",INDEX('Compliance Database'!$C$2:$C$679,MATCH(5,Engine!$C$2:$C$679,0)))</f>
        <v/>
      </c>
      <c r="D18" s="8">
        <f>IF(ISNA(MATCH(5,Engine!$C$2:$C$679,0)),"",INDEX('Compliance Database'!$D$2:$D$679,MATCH(5,Engine!$C$2:$C$679,0)))</f>
        <v/>
      </c>
      <c r="E18">
        <f>IF(ISNA(MATCH(5,Engine!$C$2:$C$679,0)),"",INDEX('Compliance Database'!$E$2:$E$679,MATCH(5,Engine!$C$2:$C$679,0)))</f>
        <v/>
      </c>
      <c r="F18">
        <f>IF(ISNA(MATCH(5,Engine!$C$2:$C$679,0)),"",INDEX('Compliance Database'!$F$2:$F$679,MATCH(5,Engine!$C$2:$C$679,0)))</f>
        <v/>
      </c>
      <c r="G18">
        <f>IF(ISNA(MATCH(5,Engine!$C$2:$C$679,0)),"",INDEX('Compliance Database'!$G$2:$G$679,MATCH(5,Engine!$C$2:$C$679,0)))</f>
        <v/>
      </c>
      <c r="H18">
        <f>IF(ISNA(MATCH(5,Engine!$C$2:$C$679,0)),"",INDEX('Compliance Database'!$H$2:$H$679,MATCH(5,Engine!$C$2:$C$679,0)))</f>
        <v/>
      </c>
      <c r="I18" s="8">
        <f>IF(ISNA(MATCH(5,Engine!$C$2:$C$679,0)),"",INDEX('Compliance Database'!$I$2:$I$679,MATCH(5,Engine!$C$2:$C$679,0)))</f>
        <v/>
      </c>
      <c r="J18" s="8">
        <f>IF(ISNA(MATCH(5,Engine!$C$2:$C$679,0)),"",INDEX('Compliance Database'!$J$2:$J$679,MATCH(5,Engine!$C$2:$C$679,0)))</f>
        <v/>
      </c>
      <c r="K18">
        <f>IF(ISNA(MATCH(5,Engine!$C$2:$C$679,0)),"",INDEX('Compliance Database'!$K$2:$K$679,MATCH(5,Engine!$C$2:$C$679,0)))</f>
        <v/>
      </c>
      <c r="L18" s="8">
        <f>IF(ISNA(MATCH(5,Engine!$C$2:$C$679,0)),"",INDEX('Compliance Database'!$L$2:$L$679,MATCH(5,Engine!$C$2:$C$679,0)))</f>
        <v/>
      </c>
      <c r="M18" s="8">
        <f>IF(ISNA(MATCH(5,Engine!$C$2:$C$679,0)),"",INDEX('Compliance Database'!$M$2:$M$679,MATCH(5,Engine!$C$2:$C$679,0)))</f>
        <v/>
      </c>
      <c r="N18" s="8">
        <f>IF(ISNA(MATCH(5,Engine!$C$2:$C$679,0)),"",INDEX('Compliance Database'!$N$2:$N$679,MATCH(5,Engine!$C$2:$C$679,0)))</f>
        <v/>
      </c>
      <c r="O18" s="8">
        <f>IF(ISNA(MATCH(5,Engine!$C$2:$C$679,0)),"",INDEX('Compliance Database'!$O$2:$O$679,MATCH(5,Engine!$C$2:$C$679,0)))</f>
        <v/>
      </c>
      <c r="P18">
        <f>IF(ISNA(MATCH(5,Engine!$C$2:$C$679,0)),"",HYPERLINK(INDEX('Compliance Database'!$P$2:$P$679,MATCH(5,Engine!$C$2:$C$679,0)),"Open PDF"))</f>
        <v/>
      </c>
    </row>
    <row r="19">
      <c r="A19">
        <f>IF(ISNA(MATCH(6,Engine!$C$2:$C$679,0)),"",INDEX('Compliance Database'!$A$2:$A$679,MATCH(6,Engine!$C$2:$C$679,0)))</f>
        <v/>
      </c>
      <c r="B19">
        <f>IF(ISNA(MATCH(6,Engine!$C$2:$C$679,0)),"",INDEX('Compliance Database'!$B$2:$B$679,MATCH(6,Engine!$C$2:$C$679,0)))</f>
        <v/>
      </c>
      <c r="C19">
        <f>IF(ISNA(MATCH(6,Engine!$C$2:$C$679,0)),"",INDEX('Compliance Database'!$C$2:$C$679,MATCH(6,Engine!$C$2:$C$679,0)))</f>
        <v/>
      </c>
      <c r="D19" s="8">
        <f>IF(ISNA(MATCH(6,Engine!$C$2:$C$679,0)),"",INDEX('Compliance Database'!$D$2:$D$679,MATCH(6,Engine!$C$2:$C$679,0)))</f>
        <v/>
      </c>
      <c r="E19">
        <f>IF(ISNA(MATCH(6,Engine!$C$2:$C$679,0)),"",INDEX('Compliance Database'!$E$2:$E$679,MATCH(6,Engine!$C$2:$C$679,0)))</f>
        <v/>
      </c>
      <c r="F19">
        <f>IF(ISNA(MATCH(6,Engine!$C$2:$C$679,0)),"",INDEX('Compliance Database'!$F$2:$F$679,MATCH(6,Engine!$C$2:$C$679,0)))</f>
        <v/>
      </c>
      <c r="G19">
        <f>IF(ISNA(MATCH(6,Engine!$C$2:$C$679,0)),"",INDEX('Compliance Database'!$G$2:$G$679,MATCH(6,Engine!$C$2:$C$679,0)))</f>
        <v/>
      </c>
      <c r="H19">
        <f>IF(ISNA(MATCH(6,Engine!$C$2:$C$679,0)),"",INDEX('Compliance Database'!$H$2:$H$679,MATCH(6,Engine!$C$2:$C$679,0)))</f>
        <v/>
      </c>
      <c r="I19" s="8">
        <f>IF(ISNA(MATCH(6,Engine!$C$2:$C$679,0)),"",INDEX('Compliance Database'!$I$2:$I$679,MATCH(6,Engine!$C$2:$C$679,0)))</f>
        <v/>
      </c>
      <c r="J19" s="8">
        <f>IF(ISNA(MATCH(6,Engine!$C$2:$C$679,0)),"",INDEX('Compliance Database'!$J$2:$J$679,MATCH(6,Engine!$C$2:$C$679,0)))</f>
        <v/>
      </c>
      <c r="K19">
        <f>IF(ISNA(MATCH(6,Engine!$C$2:$C$679,0)),"",INDEX('Compliance Database'!$K$2:$K$679,MATCH(6,Engine!$C$2:$C$679,0)))</f>
        <v/>
      </c>
      <c r="L19" s="8">
        <f>IF(ISNA(MATCH(6,Engine!$C$2:$C$679,0)),"",INDEX('Compliance Database'!$L$2:$L$679,MATCH(6,Engine!$C$2:$C$679,0)))</f>
        <v/>
      </c>
      <c r="M19" s="8">
        <f>IF(ISNA(MATCH(6,Engine!$C$2:$C$679,0)),"",INDEX('Compliance Database'!$M$2:$M$679,MATCH(6,Engine!$C$2:$C$679,0)))</f>
        <v/>
      </c>
      <c r="N19" s="8">
        <f>IF(ISNA(MATCH(6,Engine!$C$2:$C$679,0)),"",INDEX('Compliance Database'!$N$2:$N$679,MATCH(6,Engine!$C$2:$C$679,0)))</f>
        <v/>
      </c>
      <c r="O19" s="8">
        <f>IF(ISNA(MATCH(6,Engine!$C$2:$C$679,0)),"",INDEX('Compliance Database'!$O$2:$O$679,MATCH(6,Engine!$C$2:$C$679,0)))</f>
        <v/>
      </c>
      <c r="P19">
        <f>IF(ISNA(MATCH(6,Engine!$C$2:$C$679,0)),"",HYPERLINK(INDEX('Compliance Database'!$P$2:$P$679,MATCH(6,Engine!$C$2:$C$679,0)),"Open PDF"))</f>
        <v/>
      </c>
    </row>
    <row r="20">
      <c r="A20">
        <f>IF(ISNA(MATCH(7,Engine!$C$2:$C$679,0)),"",INDEX('Compliance Database'!$A$2:$A$679,MATCH(7,Engine!$C$2:$C$679,0)))</f>
        <v/>
      </c>
      <c r="B20">
        <f>IF(ISNA(MATCH(7,Engine!$C$2:$C$679,0)),"",INDEX('Compliance Database'!$B$2:$B$679,MATCH(7,Engine!$C$2:$C$679,0)))</f>
        <v/>
      </c>
      <c r="C20">
        <f>IF(ISNA(MATCH(7,Engine!$C$2:$C$679,0)),"",INDEX('Compliance Database'!$C$2:$C$679,MATCH(7,Engine!$C$2:$C$679,0)))</f>
        <v/>
      </c>
      <c r="D20" s="8">
        <f>IF(ISNA(MATCH(7,Engine!$C$2:$C$679,0)),"",INDEX('Compliance Database'!$D$2:$D$679,MATCH(7,Engine!$C$2:$C$679,0)))</f>
        <v/>
      </c>
      <c r="E20">
        <f>IF(ISNA(MATCH(7,Engine!$C$2:$C$679,0)),"",INDEX('Compliance Database'!$E$2:$E$679,MATCH(7,Engine!$C$2:$C$679,0)))</f>
        <v/>
      </c>
      <c r="F20">
        <f>IF(ISNA(MATCH(7,Engine!$C$2:$C$679,0)),"",INDEX('Compliance Database'!$F$2:$F$679,MATCH(7,Engine!$C$2:$C$679,0)))</f>
        <v/>
      </c>
      <c r="G20">
        <f>IF(ISNA(MATCH(7,Engine!$C$2:$C$679,0)),"",INDEX('Compliance Database'!$G$2:$G$679,MATCH(7,Engine!$C$2:$C$679,0)))</f>
        <v/>
      </c>
      <c r="H20">
        <f>IF(ISNA(MATCH(7,Engine!$C$2:$C$679,0)),"",INDEX('Compliance Database'!$H$2:$H$679,MATCH(7,Engine!$C$2:$C$679,0)))</f>
        <v/>
      </c>
      <c r="I20" s="8">
        <f>IF(ISNA(MATCH(7,Engine!$C$2:$C$679,0)),"",INDEX('Compliance Database'!$I$2:$I$679,MATCH(7,Engine!$C$2:$C$679,0)))</f>
        <v/>
      </c>
      <c r="J20" s="8">
        <f>IF(ISNA(MATCH(7,Engine!$C$2:$C$679,0)),"",INDEX('Compliance Database'!$J$2:$J$679,MATCH(7,Engine!$C$2:$C$679,0)))</f>
        <v/>
      </c>
      <c r="K20">
        <f>IF(ISNA(MATCH(7,Engine!$C$2:$C$679,0)),"",INDEX('Compliance Database'!$K$2:$K$679,MATCH(7,Engine!$C$2:$C$679,0)))</f>
        <v/>
      </c>
      <c r="L20" s="8">
        <f>IF(ISNA(MATCH(7,Engine!$C$2:$C$679,0)),"",INDEX('Compliance Database'!$L$2:$L$679,MATCH(7,Engine!$C$2:$C$679,0)))</f>
        <v/>
      </c>
      <c r="M20" s="8">
        <f>IF(ISNA(MATCH(7,Engine!$C$2:$C$679,0)),"",INDEX('Compliance Database'!$M$2:$M$679,MATCH(7,Engine!$C$2:$C$679,0)))</f>
        <v/>
      </c>
      <c r="N20" s="8">
        <f>IF(ISNA(MATCH(7,Engine!$C$2:$C$679,0)),"",INDEX('Compliance Database'!$N$2:$N$679,MATCH(7,Engine!$C$2:$C$679,0)))</f>
        <v/>
      </c>
      <c r="O20" s="8">
        <f>IF(ISNA(MATCH(7,Engine!$C$2:$C$679,0)),"",INDEX('Compliance Database'!$O$2:$O$679,MATCH(7,Engine!$C$2:$C$679,0)))</f>
        <v/>
      </c>
      <c r="P20">
        <f>IF(ISNA(MATCH(7,Engine!$C$2:$C$679,0)),"",HYPERLINK(INDEX('Compliance Database'!$P$2:$P$679,MATCH(7,Engine!$C$2:$C$679,0)),"Open PDF"))</f>
        <v/>
      </c>
    </row>
    <row r="21">
      <c r="A21">
        <f>IF(ISNA(MATCH(8,Engine!$C$2:$C$679,0)),"",INDEX('Compliance Database'!$A$2:$A$679,MATCH(8,Engine!$C$2:$C$679,0)))</f>
        <v/>
      </c>
      <c r="B21">
        <f>IF(ISNA(MATCH(8,Engine!$C$2:$C$679,0)),"",INDEX('Compliance Database'!$B$2:$B$679,MATCH(8,Engine!$C$2:$C$679,0)))</f>
        <v/>
      </c>
      <c r="C21">
        <f>IF(ISNA(MATCH(8,Engine!$C$2:$C$679,0)),"",INDEX('Compliance Database'!$C$2:$C$679,MATCH(8,Engine!$C$2:$C$679,0)))</f>
        <v/>
      </c>
      <c r="D21" s="8">
        <f>IF(ISNA(MATCH(8,Engine!$C$2:$C$679,0)),"",INDEX('Compliance Database'!$D$2:$D$679,MATCH(8,Engine!$C$2:$C$679,0)))</f>
        <v/>
      </c>
      <c r="E21">
        <f>IF(ISNA(MATCH(8,Engine!$C$2:$C$679,0)),"",INDEX('Compliance Database'!$E$2:$E$679,MATCH(8,Engine!$C$2:$C$679,0)))</f>
        <v/>
      </c>
      <c r="F21">
        <f>IF(ISNA(MATCH(8,Engine!$C$2:$C$679,0)),"",INDEX('Compliance Database'!$F$2:$F$679,MATCH(8,Engine!$C$2:$C$679,0)))</f>
        <v/>
      </c>
      <c r="G21">
        <f>IF(ISNA(MATCH(8,Engine!$C$2:$C$679,0)),"",INDEX('Compliance Database'!$G$2:$G$679,MATCH(8,Engine!$C$2:$C$679,0)))</f>
        <v/>
      </c>
      <c r="H21">
        <f>IF(ISNA(MATCH(8,Engine!$C$2:$C$679,0)),"",INDEX('Compliance Database'!$H$2:$H$679,MATCH(8,Engine!$C$2:$C$679,0)))</f>
        <v/>
      </c>
      <c r="I21" s="8">
        <f>IF(ISNA(MATCH(8,Engine!$C$2:$C$679,0)),"",INDEX('Compliance Database'!$I$2:$I$679,MATCH(8,Engine!$C$2:$C$679,0)))</f>
        <v/>
      </c>
      <c r="J21" s="8">
        <f>IF(ISNA(MATCH(8,Engine!$C$2:$C$679,0)),"",INDEX('Compliance Database'!$J$2:$J$679,MATCH(8,Engine!$C$2:$C$679,0)))</f>
        <v/>
      </c>
      <c r="K21">
        <f>IF(ISNA(MATCH(8,Engine!$C$2:$C$679,0)),"",INDEX('Compliance Database'!$K$2:$K$679,MATCH(8,Engine!$C$2:$C$679,0)))</f>
        <v/>
      </c>
      <c r="L21" s="8">
        <f>IF(ISNA(MATCH(8,Engine!$C$2:$C$679,0)),"",INDEX('Compliance Database'!$L$2:$L$679,MATCH(8,Engine!$C$2:$C$679,0)))</f>
        <v/>
      </c>
      <c r="M21" s="8">
        <f>IF(ISNA(MATCH(8,Engine!$C$2:$C$679,0)),"",INDEX('Compliance Database'!$M$2:$M$679,MATCH(8,Engine!$C$2:$C$679,0)))</f>
        <v/>
      </c>
      <c r="N21" s="8">
        <f>IF(ISNA(MATCH(8,Engine!$C$2:$C$679,0)),"",INDEX('Compliance Database'!$N$2:$N$679,MATCH(8,Engine!$C$2:$C$679,0)))</f>
        <v/>
      </c>
      <c r="O21" s="8">
        <f>IF(ISNA(MATCH(8,Engine!$C$2:$C$679,0)),"",INDEX('Compliance Database'!$O$2:$O$679,MATCH(8,Engine!$C$2:$C$679,0)))</f>
        <v/>
      </c>
      <c r="P21">
        <f>IF(ISNA(MATCH(8,Engine!$C$2:$C$679,0)),"",HYPERLINK(INDEX('Compliance Database'!$P$2:$P$679,MATCH(8,Engine!$C$2:$C$679,0)),"Open PDF"))</f>
        <v/>
      </c>
    </row>
    <row r="22">
      <c r="A22">
        <f>IF(ISNA(MATCH(9,Engine!$C$2:$C$679,0)),"",INDEX('Compliance Database'!$A$2:$A$679,MATCH(9,Engine!$C$2:$C$679,0)))</f>
        <v/>
      </c>
      <c r="B22">
        <f>IF(ISNA(MATCH(9,Engine!$C$2:$C$679,0)),"",INDEX('Compliance Database'!$B$2:$B$679,MATCH(9,Engine!$C$2:$C$679,0)))</f>
        <v/>
      </c>
      <c r="C22">
        <f>IF(ISNA(MATCH(9,Engine!$C$2:$C$679,0)),"",INDEX('Compliance Database'!$C$2:$C$679,MATCH(9,Engine!$C$2:$C$679,0)))</f>
        <v/>
      </c>
      <c r="D22" s="8">
        <f>IF(ISNA(MATCH(9,Engine!$C$2:$C$679,0)),"",INDEX('Compliance Database'!$D$2:$D$679,MATCH(9,Engine!$C$2:$C$679,0)))</f>
        <v/>
      </c>
      <c r="E22">
        <f>IF(ISNA(MATCH(9,Engine!$C$2:$C$679,0)),"",INDEX('Compliance Database'!$E$2:$E$679,MATCH(9,Engine!$C$2:$C$679,0)))</f>
        <v/>
      </c>
      <c r="F22">
        <f>IF(ISNA(MATCH(9,Engine!$C$2:$C$679,0)),"",INDEX('Compliance Database'!$F$2:$F$679,MATCH(9,Engine!$C$2:$C$679,0)))</f>
        <v/>
      </c>
      <c r="G22">
        <f>IF(ISNA(MATCH(9,Engine!$C$2:$C$679,0)),"",INDEX('Compliance Database'!$G$2:$G$679,MATCH(9,Engine!$C$2:$C$679,0)))</f>
        <v/>
      </c>
      <c r="H22">
        <f>IF(ISNA(MATCH(9,Engine!$C$2:$C$679,0)),"",INDEX('Compliance Database'!$H$2:$H$679,MATCH(9,Engine!$C$2:$C$679,0)))</f>
        <v/>
      </c>
      <c r="I22" s="8">
        <f>IF(ISNA(MATCH(9,Engine!$C$2:$C$679,0)),"",INDEX('Compliance Database'!$I$2:$I$679,MATCH(9,Engine!$C$2:$C$679,0)))</f>
        <v/>
      </c>
      <c r="J22" s="8">
        <f>IF(ISNA(MATCH(9,Engine!$C$2:$C$679,0)),"",INDEX('Compliance Database'!$J$2:$J$679,MATCH(9,Engine!$C$2:$C$679,0)))</f>
        <v/>
      </c>
      <c r="K22">
        <f>IF(ISNA(MATCH(9,Engine!$C$2:$C$679,0)),"",INDEX('Compliance Database'!$K$2:$K$679,MATCH(9,Engine!$C$2:$C$679,0)))</f>
        <v/>
      </c>
      <c r="L22" s="8">
        <f>IF(ISNA(MATCH(9,Engine!$C$2:$C$679,0)),"",INDEX('Compliance Database'!$L$2:$L$679,MATCH(9,Engine!$C$2:$C$679,0)))</f>
        <v/>
      </c>
      <c r="M22" s="8">
        <f>IF(ISNA(MATCH(9,Engine!$C$2:$C$679,0)),"",INDEX('Compliance Database'!$M$2:$M$679,MATCH(9,Engine!$C$2:$C$679,0)))</f>
        <v/>
      </c>
      <c r="N22" s="8">
        <f>IF(ISNA(MATCH(9,Engine!$C$2:$C$679,0)),"",INDEX('Compliance Database'!$N$2:$N$679,MATCH(9,Engine!$C$2:$C$679,0)))</f>
        <v/>
      </c>
      <c r="O22" s="8">
        <f>IF(ISNA(MATCH(9,Engine!$C$2:$C$679,0)),"",INDEX('Compliance Database'!$O$2:$O$679,MATCH(9,Engine!$C$2:$C$679,0)))</f>
        <v/>
      </c>
      <c r="P22">
        <f>IF(ISNA(MATCH(9,Engine!$C$2:$C$679,0)),"",HYPERLINK(INDEX('Compliance Database'!$P$2:$P$679,MATCH(9,Engine!$C$2:$C$679,0)),"Open PDF"))</f>
        <v/>
      </c>
    </row>
    <row r="23">
      <c r="A23">
        <f>IF(ISNA(MATCH(10,Engine!$C$2:$C$679,0)),"",INDEX('Compliance Database'!$A$2:$A$679,MATCH(10,Engine!$C$2:$C$679,0)))</f>
        <v/>
      </c>
      <c r="B23">
        <f>IF(ISNA(MATCH(10,Engine!$C$2:$C$679,0)),"",INDEX('Compliance Database'!$B$2:$B$679,MATCH(10,Engine!$C$2:$C$679,0)))</f>
        <v/>
      </c>
      <c r="C23">
        <f>IF(ISNA(MATCH(10,Engine!$C$2:$C$679,0)),"",INDEX('Compliance Database'!$C$2:$C$679,MATCH(10,Engine!$C$2:$C$679,0)))</f>
        <v/>
      </c>
      <c r="D23" s="8">
        <f>IF(ISNA(MATCH(10,Engine!$C$2:$C$679,0)),"",INDEX('Compliance Database'!$D$2:$D$679,MATCH(10,Engine!$C$2:$C$679,0)))</f>
        <v/>
      </c>
      <c r="E23">
        <f>IF(ISNA(MATCH(10,Engine!$C$2:$C$679,0)),"",INDEX('Compliance Database'!$E$2:$E$679,MATCH(10,Engine!$C$2:$C$679,0)))</f>
        <v/>
      </c>
      <c r="F23">
        <f>IF(ISNA(MATCH(10,Engine!$C$2:$C$679,0)),"",INDEX('Compliance Database'!$F$2:$F$679,MATCH(10,Engine!$C$2:$C$679,0)))</f>
        <v/>
      </c>
      <c r="G23">
        <f>IF(ISNA(MATCH(10,Engine!$C$2:$C$679,0)),"",INDEX('Compliance Database'!$G$2:$G$679,MATCH(10,Engine!$C$2:$C$679,0)))</f>
        <v/>
      </c>
      <c r="H23">
        <f>IF(ISNA(MATCH(10,Engine!$C$2:$C$679,0)),"",INDEX('Compliance Database'!$H$2:$H$679,MATCH(10,Engine!$C$2:$C$679,0)))</f>
        <v/>
      </c>
      <c r="I23" s="8">
        <f>IF(ISNA(MATCH(10,Engine!$C$2:$C$679,0)),"",INDEX('Compliance Database'!$I$2:$I$679,MATCH(10,Engine!$C$2:$C$679,0)))</f>
        <v/>
      </c>
      <c r="J23" s="8">
        <f>IF(ISNA(MATCH(10,Engine!$C$2:$C$679,0)),"",INDEX('Compliance Database'!$J$2:$J$679,MATCH(10,Engine!$C$2:$C$679,0)))</f>
        <v/>
      </c>
      <c r="K23">
        <f>IF(ISNA(MATCH(10,Engine!$C$2:$C$679,0)),"",INDEX('Compliance Database'!$K$2:$K$679,MATCH(10,Engine!$C$2:$C$679,0)))</f>
        <v/>
      </c>
      <c r="L23" s="8">
        <f>IF(ISNA(MATCH(10,Engine!$C$2:$C$679,0)),"",INDEX('Compliance Database'!$L$2:$L$679,MATCH(10,Engine!$C$2:$C$679,0)))</f>
        <v/>
      </c>
      <c r="M23" s="8">
        <f>IF(ISNA(MATCH(10,Engine!$C$2:$C$679,0)),"",INDEX('Compliance Database'!$M$2:$M$679,MATCH(10,Engine!$C$2:$C$679,0)))</f>
        <v/>
      </c>
      <c r="N23" s="8">
        <f>IF(ISNA(MATCH(10,Engine!$C$2:$C$679,0)),"",INDEX('Compliance Database'!$N$2:$N$679,MATCH(10,Engine!$C$2:$C$679,0)))</f>
        <v/>
      </c>
      <c r="O23" s="8">
        <f>IF(ISNA(MATCH(10,Engine!$C$2:$C$679,0)),"",INDEX('Compliance Database'!$O$2:$O$679,MATCH(10,Engine!$C$2:$C$679,0)))</f>
        <v/>
      </c>
      <c r="P23">
        <f>IF(ISNA(MATCH(10,Engine!$C$2:$C$679,0)),"",HYPERLINK(INDEX('Compliance Database'!$P$2:$P$679,MATCH(10,Engine!$C$2:$C$679,0)),"Open PDF"))</f>
        <v/>
      </c>
    </row>
    <row r="24">
      <c r="A24">
        <f>IF(ISNA(MATCH(11,Engine!$C$2:$C$679,0)),"",INDEX('Compliance Database'!$A$2:$A$679,MATCH(11,Engine!$C$2:$C$679,0)))</f>
        <v/>
      </c>
      <c r="B24">
        <f>IF(ISNA(MATCH(11,Engine!$C$2:$C$679,0)),"",INDEX('Compliance Database'!$B$2:$B$679,MATCH(11,Engine!$C$2:$C$679,0)))</f>
        <v/>
      </c>
      <c r="C24">
        <f>IF(ISNA(MATCH(11,Engine!$C$2:$C$679,0)),"",INDEX('Compliance Database'!$C$2:$C$679,MATCH(11,Engine!$C$2:$C$679,0)))</f>
        <v/>
      </c>
      <c r="D24" s="8">
        <f>IF(ISNA(MATCH(11,Engine!$C$2:$C$679,0)),"",INDEX('Compliance Database'!$D$2:$D$679,MATCH(11,Engine!$C$2:$C$679,0)))</f>
        <v/>
      </c>
      <c r="E24">
        <f>IF(ISNA(MATCH(11,Engine!$C$2:$C$679,0)),"",INDEX('Compliance Database'!$E$2:$E$679,MATCH(11,Engine!$C$2:$C$679,0)))</f>
        <v/>
      </c>
      <c r="F24">
        <f>IF(ISNA(MATCH(11,Engine!$C$2:$C$679,0)),"",INDEX('Compliance Database'!$F$2:$F$679,MATCH(11,Engine!$C$2:$C$679,0)))</f>
        <v/>
      </c>
      <c r="G24">
        <f>IF(ISNA(MATCH(11,Engine!$C$2:$C$679,0)),"",INDEX('Compliance Database'!$G$2:$G$679,MATCH(11,Engine!$C$2:$C$679,0)))</f>
        <v/>
      </c>
      <c r="H24">
        <f>IF(ISNA(MATCH(11,Engine!$C$2:$C$679,0)),"",INDEX('Compliance Database'!$H$2:$H$679,MATCH(11,Engine!$C$2:$C$679,0)))</f>
        <v/>
      </c>
      <c r="I24" s="8">
        <f>IF(ISNA(MATCH(11,Engine!$C$2:$C$679,0)),"",INDEX('Compliance Database'!$I$2:$I$679,MATCH(11,Engine!$C$2:$C$679,0)))</f>
        <v/>
      </c>
      <c r="J24" s="8">
        <f>IF(ISNA(MATCH(11,Engine!$C$2:$C$679,0)),"",INDEX('Compliance Database'!$J$2:$J$679,MATCH(11,Engine!$C$2:$C$679,0)))</f>
        <v/>
      </c>
      <c r="K24">
        <f>IF(ISNA(MATCH(11,Engine!$C$2:$C$679,0)),"",INDEX('Compliance Database'!$K$2:$K$679,MATCH(11,Engine!$C$2:$C$679,0)))</f>
        <v/>
      </c>
      <c r="L24" s="8">
        <f>IF(ISNA(MATCH(11,Engine!$C$2:$C$679,0)),"",INDEX('Compliance Database'!$L$2:$L$679,MATCH(11,Engine!$C$2:$C$679,0)))</f>
        <v/>
      </c>
      <c r="M24" s="8">
        <f>IF(ISNA(MATCH(11,Engine!$C$2:$C$679,0)),"",INDEX('Compliance Database'!$M$2:$M$679,MATCH(11,Engine!$C$2:$C$679,0)))</f>
        <v/>
      </c>
      <c r="N24" s="8">
        <f>IF(ISNA(MATCH(11,Engine!$C$2:$C$679,0)),"",INDEX('Compliance Database'!$N$2:$N$679,MATCH(11,Engine!$C$2:$C$679,0)))</f>
        <v/>
      </c>
      <c r="O24" s="8">
        <f>IF(ISNA(MATCH(11,Engine!$C$2:$C$679,0)),"",INDEX('Compliance Database'!$O$2:$O$679,MATCH(11,Engine!$C$2:$C$679,0)))</f>
        <v/>
      </c>
      <c r="P24">
        <f>IF(ISNA(MATCH(11,Engine!$C$2:$C$679,0)),"",HYPERLINK(INDEX('Compliance Database'!$P$2:$P$679,MATCH(11,Engine!$C$2:$C$679,0)),"Open PDF"))</f>
        <v/>
      </c>
    </row>
    <row r="25">
      <c r="A25">
        <f>IF(ISNA(MATCH(12,Engine!$C$2:$C$679,0)),"",INDEX('Compliance Database'!$A$2:$A$679,MATCH(12,Engine!$C$2:$C$679,0)))</f>
        <v/>
      </c>
      <c r="B25">
        <f>IF(ISNA(MATCH(12,Engine!$C$2:$C$679,0)),"",INDEX('Compliance Database'!$B$2:$B$679,MATCH(12,Engine!$C$2:$C$679,0)))</f>
        <v/>
      </c>
      <c r="C25">
        <f>IF(ISNA(MATCH(12,Engine!$C$2:$C$679,0)),"",INDEX('Compliance Database'!$C$2:$C$679,MATCH(12,Engine!$C$2:$C$679,0)))</f>
        <v/>
      </c>
      <c r="D25" s="8">
        <f>IF(ISNA(MATCH(12,Engine!$C$2:$C$679,0)),"",INDEX('Compliance Database'!$D$2:$D$679,MATCH(12,Engine!$C$2:$C$679,0)))</f>
        <v/>
      </c>
      <c r="E25">
        <f>IF(ISNA(MATCH(12,Engine!$C$2:$C$679,0)),"",INDEX('Compliance Database'!$E$2:$E$679,MATCH(12,Engine!$C$2:$C$679,0)))</f>
        <v/>
      </c>
      <c r="F25">
        <f>IF(ISNA(MATCH(12,Engine!$C$2:$C$679,0)),"",INDEX('Compliance Database'!$F$2:$F$679,MATCH(12,Engine!$C$2:$C$679,0)))</f>
        <v/>
      </c>
      <c r="G25">
        <f>IF(ISNA(MATCH(12,Engine!$C$2:$C$679,0)),"",INDEX('Compliance Database'!$G$2:$G$679,MATCH(12,Engine!$C$2:$C$679,0)))</f>
        <v/>
      </c>
      <c r="H25">
        <f>IF(ISNA(MATCH(12,Engine!$C$2:$C$679,0)),"",INDEX('Compliance Database'!$H$2:$H$679,MATCH(12,Engine!$C$2:$C$679,0)))</f>
        <v/>
      </c>
      <c r="I25" s="8">
        <f>IF(ISNA(MATCH(12,Engine!$C$2:$C$679,0)),"",INDEX('Compliance Database'!$I$2:$I$679,MATCH(12,Engine!$C$2:$C$679,0)))</f>
        <v/>
      </c>
      <c r="J25" s="8">
        <f>IF(ISNA(MATCH(12,Engine!$C$2:$C$679,0)),"",INDEX('Compliance Database'!$J$2:$J$679,MATCH(12,Engine!$C$2:$C$679,0)))</f>
        <v/>
      </c>
      <c r="K25">
        <f>IF(ISNA(MATCH(12,Engine!$C$2:$C$679,0)),"",INDEX('Compliance Database'!$K$2:$K$679,MATCH(12,Engine!$C$2:$C$679,0)))</f>
        <v/>
      </c>
      <c r="L25" s="8">
        <f>IF(ISNA(MATCH(12,Engine!$C$2:$C$679,0)),"",INDEX('Compliance Database'!$L$2:$L$679,MATCH(12,Engine!$C$2:$C$679,0)))</f>
        <v/>
      </c>
      <c r="M25" s="8">
        <f>IF(ISNA(MATCH(12,Engine!$C$2:$C$679,0)),"",INDEX('Compliance Database'!$M$2:$M$679,MATCH(12,Engine!$C$2:$C$679,0)))</f>
        <v/>
      </c>
      <c r="N25" s="8">
        <f>IF(ISNA(MATCH(12,Engine!$C$2:$C$679,0)),"",INDEX('Compliance Database'!$N$2:$N$679,MATCH(12,Engine!$C$2:$C$679,0)))</f>
        <v/>
      </c>
      <c r="O25" s="8">
        <f>IF(ISNA(MATCH(12,Engine!$C$2:$C$679,0)),"",INDEX('Compliance Database'!$O$2:$O$679,MATCH(12,Engine!$C$2:$C$679,0)))</f>
        <v/>
      </c>
      <c r="P25">
        <f>IF(ISNA(MATCH(12,Engine!$C$2:$C$679,0)),"",HYPERLINK(INDEX('Compliance Database'!$P$2:$P$679,MATCH(12,Engine!$C$2:$C$679,0)),"Open PDF"))</f>
        <v/>
      </c>
    </row>
    <row r="26">
      <c r="A26">
        <f>IF(ISNA(MATCH(13,Engine!$C$2:$C$679,0)),"",INDEX('Compliance Database'!$A$2:$A$679,MATCH(13,Engine!$C$2:$C$679,0)))</f>
        <v/>
      </c>
      <c r="B26">
        <f>IF(ISNA(MATCH(13,Engine!$C$2:$C$679,0)),"",INDEX('Compliance Database'!$B$2:$B$679,MATCH(13,Engine!$C$2:$C$679,0)))</f>
        <v/>
      </c>
      <c r="C26">
        <f>IF(ISNA(MATCH(13,Engine!$C$2:$C$679,0)),"",INDEX('Compliance Database'!$C$2:$C$679,MATCH(13,Engine!$C$2:$C$679,0)))</f>
        <v/>
      </c>
      <c r="D26" s="8">
        <f>IF(ISNA(MATCH(13,Engine!$C$2:$C$679,0)),"",INDEX('Compliance Database'!$D$2:$D$679,MATCH(13,Engine!$C$2:$C$679,0)))</f>
        <v/>
      </c>
      <c r="E26">
        <f>IF(ISNA(MATCH(13,Engine!$C$2:$C$679,0)),"",INDEX('Compliance Database'!$E$2:$E$679,MATCH(13,Engine!$C$2:$C$679,0)))</f>
        <v/>
      </c>
      <c r="F26">
        <f>IF(ISNA(MATCH(13,Engine!$C$2:$C$679,0)),"",INDEX('Compliance Database'!$F$2:$F$679,MATCH(13,Engine!$C$2:$C$679,0)))</f>
        <v/>
      </c>
      <c r="G26">
        <f>IF(ISNA(MATCH(13,Engine!$C$2:$C$679,0)),"",INDEX('Compliance Database'!$G$2:$G$679,MATCH(13,Engine!$C$2:$C$679,0)))</f>
        <v/>
      </c>
      <c r="H26">
        <f>IF(ISNA(MATCH(13,Engine!$C$2:$C$679,0)),"",INDEX('Compliance Database'!$H$2:$H$679,MATCH(13,Engine!$C$2:$C$679,0)))</f>
        <v/>
      </c>
      <c r="I26" s="8">
        <f>IF(ISNA(MATCH(13,Engine!$C$2:$C$679,0)),"",INDEX('Compliance Database'!$I$2:$I$679,MATCH(13,Engine!$C$2:$C$679,0)))</f>
        <v/>
      </c>
      <c r="J26" s="8">
        <f>IF(ISNA(MATCH(13,Engine!$C$2:$C$679,0)),"",INDEX('Compliance Database'!$J$2:$J$679,MATCH(13,Engine!$C$2:$C$679,0)))</f>
        <v/>
      </c>
      <c r="K26">
        <f>IF(ISNA(MATCH(13,Engine!$C$2:$C$679,0)),"",INDEX('Compliance Database'!$K$2:$K$679,MATCH(13,Engine!$C$2:$C$679,0)))</f>
        <v/>
      </c>
      <c r="L26" s="8">
        <f>IF(ISNA(MATCH(13,Engine!$C$2:$C$679,0)),"",INDEX('Compliance Database'!$L$2:$L$679,MATCH(13,Engine!$C$2:$C$679,0)))</f>
        <v/>
      </c>
      <c r="M26" s="8">
        <f>IF(ISNA(MATCH(13,Engine!$C$2:$C$679,0)),"",INDEX('Compliance Database'!$M$2:$M$679,MATCH(13,Engine!$C$2:$C$679,0)))</f>
        <v/>
      </c>
      <c r="N26" s="8">
        <f>IF(ISNA(MATCH(13,Engine!$C$2:$C$679,0)),"",INDEX('Compliance Database'!$N$2:$N$679,MATCH(13,Engine!$C$2:$C$679,0)))</f>
        <v/>
      </c>
      <c r="O26" s="8">
        <f>IF(ISNA(MATCH(13,Engine!$C$2:$C$679,0)),"",INDEX('Compliance Database'!$O$2:$O$679,MATCH(13,Engine!$C$2:$C$679,0)))</f>
        <v/>
      </c>
      <c r="P26">
        <f>IF(ISNA(MATCH(13,Engine!$C$2:$C$679,0)),"",HYPERLINK(INDEX('Compliance Database'!$P$2:$P$679,MATCH(13,Engine!$C$2:$C$679,0)),"Open PDF"))</f>
        <v/>
      </c>
    </row>
    <row r="27">
      <c r="A27">
        <f>IF(ISNA(MATCH(14,Engine!$C$2:$C$679,0)),"",INDEX('Compliance Database'!$A$2:$A$679,MATCH(14,Engine!$C$2:$C$679,0)))</f>
        <v/>
      </c>
      <c r="B27">
        <f>IF(ISNA(MATCH(14,Engine!$C$2:$C$679,0)),"",INDEX('Compliance Database'!$B$2:$B$679,MATCH(14,Engine!$C$2:$C$679,0)))</f>
        <v/>
      </c>
      <c r="C27">
        <f>IF(ISNA(MATCH(14,Engine!$C$2:$C$679,0)),"",INDEX('Compliance Database'!$C$2:$C$679,MATCH(14,Engine!$C$2:$C$679,0)))</f>
        <v/>
      </c>
      <c r="D27" s="8">
        <f>IF(ISNA(MATCH(14,Engine!$C$2:$C$679,0)),"",INDEX('Compliance Database'!$D$2:$D$679,MATCH(14,Engine!$C$2:$C$679,0)))</f>
        <v/>
      </c>
      <c r="E27">
        <f>IF(ISNA(MATCH(14,Engine!$C$2:$C$679,0)),"",INDEX('Compliance Database'!$E$2:$E$679,MATCH(14,Engine!$C$2:$C$679,0)))</f>
        <v/>
      </c>
      <c r="F27">
        <f>IF(ISNA(MATCH(14,Engine!$C$2:$C$679,0)),"",INDEX('Compliance Database'!$F$2:$F$679,MATCH(14,Engine!$C$2:$C$679,0)))</f>
        <v/>
      </c>
      <c r="G27">
        <f>IF(ISNA(MATCH(14,Engine!$C$2:$C$679,0)),"",INDEX('Compliance Database'!$G$2:$G$679,MATCH(14,Engine!$C$2:$C$679,0)))</f>
        <v/>
      </c>
      <c r="H27">
        <f>IF(ISNA(MATCH(14,Engine!$C$2:$C$679,0)),"",INDEX('Compliance Database'!$H$2:$H$679,MATCH(14,Engine!$C$2:$C$679,0)))</f>
        <v/>
      </c>
      <c r="I27" s="8">
        <f>IF(ISNA(MATCH(14,Engine!$C$2:$C$679,0)),"",INDEX('Compliance Database'!$I$2:$I$679,MATCH(14,Engine!$C$2:$C$679,0)))</f>
        <v/>
      </c>
      <c r="J27" s="8">
        <f>IF(ISNA(MATCH(14,Engine!$C$2:$C$679,0)),"",INDEX('Compliance Database'!$J$2:$J$679,MATCH(14,Engine!$C$2:$C$679,0)))</f>
        <v/>
      </c>
      <c r="K27">
        <f>IF(ISNA(MATCH(14,Engine!$C$2:$C$679,0)),"",INDEX('Compliance Database'!$K$2:$K$679,MATCH(14,Engine!$C$2:$C$679,0)))</f>
        <v/>
      </c>
      <c r="L27" s="8">
        <f>IF(ISNA(MATCH(14,Engine!$C$2:$C$679,0)),"",INDEX('Compliance Database'!$L$2:$L$679,MATCH(14,Engine!$C$2:$C$679,0)))</f>
        <v/>
      </c>
      <c r="M27" s="8">
        <f>IF(ISNA(MATCH(14,Engine!$C$2:$C$679,0)),"",INDEX('Compliance Database'!$M$2:$M$679,MATCH(14,Engine!$C$2:$C$679,0)))</f>
        <v/>
      </c>
      <c r="N27" s="8">
        <f>IF(ISNA(MATCH(14,Engine!$C$2:$C$679,0)),"",INDEX('Compliance Database'!$N$2:$N$679,MATCH(14,Engine!$C$2:$C$679,0)))</f>
        <v/>
      </c>
      <c r="O27" s="8">
        <f>IF(ISNA(MATCH(14,Engine!$C$2:$C$679,0)),"",INDEX('Compliance Database'!$O$2:$O$679,MATCH(14,Engine!$C$2:$C$679,0)))</f>
        <v/>
      </c>
      <c r="P27">
        <f>IF(ISNA(MATCH(14,Engine!$C$2:$C$679,0)),"",HYPERLINK(INDEX('Compliance Database'!$P$2:$P$679,MATCH(14,Engine!$C$2:$C$679,0)),"Open PDF"))</f>
        <v/>
      </c>
    </row>
    <row r="28">
      <c r="A28">
        <f>IF(ISNA(MATCH(15,Engine!$C$2:$C$679,0)),"",INDEX('Compliance Database'!$A$2:$A$679,MATCH(15,Engine!$C$2:$C$679,0)))</f>
        <v/>
      </c>
      <c r="B28">
        <f>IF(ISNA(MATCH(15,Engine!$C$2:$C$679,0)),"",INDEX('Compliance Database'!$B$2:$B$679,MATCH(15,Engine!$C$2:$C$679,0)))</f>
        <v/>
      </c>
      <c r="C28">
        <f>IF(ISNA(MATCH(15,Engine!$C$2:$C$679,0)),"",INDEX('Compliance Database'!$C$2:$C$679,MATCH(15,Engine!$C$2:$C$679,0)))</f>
        <v/>
      </c>
      <c r="D28" s="8">
        <f>IF(ISNA(MATCH(15,Engine!$C$2:$C$679,0)),"",INDEX('Compliance Database'!$D$2:$D$679,MATCH(15,Engine!$C$2:$C$679,0)))</f>
        <v/>
      </c>
      <c r="E28">
        <f>IF(ISNA(MATCH(15,Engine!$C$2:$C$679,0)),"",INDEX('Compliance Database'!$E$2:$E$679,MATCH(15,Engine!$C$2:$C$679,0)))</f>
        <v/>
      </c>
      <c r="F28">
        <f>IF(ISNA(MATCH(15,Engine!$C$2:$C$679,0)),"",INDEX('Compliance Database'!$F$2:$F$679,MATCH(15,Engine!$C$2:$C$679,0)))</f>
        <v/>
      </c>
      <c r="G28">
        <f>IF(ISNA(MATCH(15,Engine!$C$2:$C$679,0)),"",INDEX('Compliance Database'!$G$2:$G$679,MATCH(15,Engine!$C$2:$C$679,0)))</f>
        <v/>
      </c>
      <c r="H28">
        <f>IF(ISNA(MATCH(15,Engine!$C$2:$C$679,0)),"",INDEX('Compliance Database'!$H$2:$H$679,MATCH(15,Engine!$C$2:$C$679,0)))</f>
        <v/>
      </c>
      <c r="I28" s="8">
        <f>IF(ISNA(MATCH(15,Engine!$C$2:$C$679,0)),"",INDEX('Compliance Database'!$I$2:$I$679,MATCH(15,Engine!$C$2:$C$679,0)))</f>
        <v/>
      </c>
      <c r="J28" s="8">
        <f>IF(ISNA(MATCH(15,Engine!$C$2:$C$679,0)),"",INDEX('Compliance Database'!$J$2:$J$679,MATCH(15,Engine!$C$2:$C$679,0)))</f>
        <v/>
      </c>
      <c r="K28">
        <f>IF(ISNA(MATCH(15,Engine!$C$2:$C$679,0)),"",INDEX('Compliance Database'!$K$2:$K$679,MATCH(15,Engine!$C$2:$C$679,0)))</f>
        <v/>
      </c>
      <c r="L28" s="8">
        <f>IF(ISNA(MATCH(15,Engine!$C$2:$C$679,0)),"",INDEX('Compliance Database'!$L$2:$L$679,MATCH(15,Engine!$C$2:$C$679,0)))</f>
        <v/>
      </c>
      <c r="M28" s="8">
        <f>IF(ISNA(MATCH(15,Engine!$C$2:$C$679,0)),"",INDEX('Compliance Database'!$M$2:$M$679,MATCH(15,Engine!$C$2:$C$679,0)))</f>
        <v/>
      </c>
      <c r="N28" s="8">
        <f>IF(ISNA(MATCH(15,Engine!$C$2:$C$679,0)),"",INDEX('Compliance Database'!$N$2:$N$679,MATCH(15,Engine!$C$2:$C$679,0)))</f>
        <v/>
      </c>
      <c r="O28" s="8">
        <f>IF(ISNA(MATCH(15,Engine!$C$2:$C$679,0)),"",INDEX('Compliance Database'!$O$2:$O$679,MATCH(15,Engine!$C$2:$C$679,0)))</f>
        <v/>
      </c>
      <c r="P28">
        <f>IF(ISNA(MATCH(15,Engine!$C$2:$C$679,0)),"",HYPERLINK(INDEX('Compliance Database'!$P$2:$P$679,MATCH(15,Engine!$C$2:$C$679,0)),"Open PDF"))</f>
        <v/>
      </c>
    </row>
    <row r="29">
      <c r="A29">
        <f>IF(ISNA(MATCH(16,Engine!$C$2:$C$679,0)),"",INDEX('Compliance Database'!$A$2:$A$679,MATCH(16,Engine!$C$2:$C$679,0)))</f>
        <v/>
      </c>
      <c r="B29">
        <f>IF(ISNA(MATCH(16,Engine!$C$2:$C$679,0)),"",INDEX('Compliance Database'!$B$2:$B$679,MATCH(16,Engine!$C$2:$C$679,0)))</f>
        <v/>
      </c>
      <c r="C29">
        <f>IF(ISNA(MATCH(16,Engine!$C$2:$C$679,0)),"",INDEX('Compliance Database'!$C$2:$C$679,MATCH(16,Engine!$C$2:$C$679,0)))</f>
        <v/>
      </c>
      <c r="D29" s="8">
        <f>IF(ISNA(MATCH(16,Engine!$C$2:$C$679,0)),"",INDEX('Compliance Database'!$D$2:$D$679,MATCH(16,Engine!$C$2:$C$679,0)))</f>
        <v/>
      </c>
      <c r="E29">
        <f>IF(ISNA(MATCH(16,Engine!$C$2:$C$679,0)),"",INDEX('Compliance Database'!$E$2:$E$679,MATCH(16,Engine!$C$2:$C$679,0)))</f>
        <v/>
      </c>
      <c r="F29">
        <f>IF(ISNA(MATCH(16,Engine!$C$2:$C$679,0)),"",INDEX('Compliance Database'!$F$2:$F$679,MATCH(16,Engine!$C$2:$C$679,0)))</f>
        <v/>
      </c>
      <c r="G29">
        <f>IF(ISNA(MATCH(16,Engine!$C$2:$C$679,0)),"",INDEX('Compliance Database'!$G$2:$G$679,MATCH(16,Engine!$C$2:$C$679,0)))</f>
        <v/>
      </c>
      <c r="H29">
        <f>IF(ISNA(MATCH(16,Engine!$C$2:$C$679,0)),"",INDEX('Compliance Database'!$H$2:$H$679,MATCH(16,Engine!$C$2:$C$679,0)))</f>
        <v/>
      </c>
      <c r="I29" s="8">
        <f>IF(ISNA(MATCH(16,Engine!$C$2:$C$679,0)),"",INDEX('Compliance Database'!$I$2:$I$679,MATCH(16,Engine!$C$2:$C$679,0)))</f>
        <v/>
      </c>
      <c r="J29" s="8">
        <f>IF(ISNA(MATCH(16,Engine!$C$2:$C$679,0)),"",INDEX('Compliance Database'!$J$2:$J$679,MATCH(16,Engine!$C$2:$C$679,0)))</f>
        <v/>
      </c>
      <c r="K29">
        <f>IF(ISNA(MATCH(16,Engine!$C$2:$C$679,0)),"",INDEX('Compliance Database'!$K$2:$K$679,MATCH(16,Engine!$C$2:$C$679,0)))</f>
        <v/>
      </c>
      <c r="L29" s="8">
        <f>IF(ISNA(MATCH(16,Engine!$C$2:$C$679,0)),"",INDEX('Compliance Database'!$L$2:$L$679,MATCH(16,Engine!$C$2:$C$679,0)))</f>
        <v/>
      </c>
      <c r="M29" s="8">
        <f>IF(ISNA(MATCH(16,Engine!$C$2:$C$679,0)),"",INDEX('Compliance Database'!$M$2:$M$679,MATCH(16,Engine!$C$2:$C$679,0)))</f>
        <v/>
      </c>
      <c r="N29" s="8">
        <f>IF(ISNA(MATCH(16,Engine!$C$2:$C$679,0)),"",INDEX('Compliance Database'!$N$2:$N$679,MATCH(16,Engine!$C$2:$C$679,0)))</f>
        <v/>
      </c>
      <c r="O29" s="8">
        <f>IF(ISNA(MATCH(16,Engine!$C$2:$C$679,0)),"",INDEX('Compliance Database'!$O$2:$O$679,MATCH(16,Engine!$C$2:$C$679,0)))</f>
        <v/>
      </c>
      <c r="P29">
        <f>IF(ISNA(MATCH(16,Engine!$C$2:$C$679,0)),"",HYPERLINK(INDEX('Compliance Database'!$P$2:$P$679,MATCH(16,Engine!$C$2:$C$679,0)),"Open PDF"))</f>
        <v/>
      </c>
    </row>
    <row r="30">
      <c r="A30">
        <f>IF(ISNA(MATCH(17,Engine!$C$2:$C$679,0)),"",INDEX('Compliance Database'!$A$2:$A$679,MATCH(17,Engine!$C$2:$C$679,0)))</f>
        <v/>
      </c>
      <c r="B30">
        <f>IF(ISNA(MATCH(17,Engine!$C$2:$C$679,0)),"",INDEX('Compliance Database'!$B$2:$B$679,MATCH(17,Engine!$C$2:$C$679,0)))</f>
        <v/>
      </c>
      <c r="C30">
        <f>IF(ISNA(MATCH(17,Engine!$C$2:$C$679,0)),"",INDEX('Compliance Database'!$C$2:$C$679,MATCH(17,Engine!$C$2:$C$679,0)))</f>
        <v/>
      </c>
      <c r="D30" s="8">
        <f>IF(ISNA(MATCH(17,Engine!$C$2:$C$679,0)),"",INDEX('Compliance Database'!$D$2:$D$679,MATCH(17,Engine!$C$2:$C$679,0)))</f>
        <v/>
      </c>
      <c r="E30">
        <f>IF(ISNA(MATCH(17,Engine!$C$2:$C$679,0)),"",INDEX('Compliance Database'!$E$2:$E$679,MATCH(17,Engine!$C$2:$C$679,0)))</f>
        <v/>
      </c>
      <c r="F30">
        <f>IF(ISNA(MATCH(17,Engine!$C$2:$C$679,0)),"",INDEX('Compliance Database'!$F$2:$F$679,MATCH(17,Engine!$C$2:$C$679,0)))</f>
        <v/>
      </c>
      <c r="G30">
        <f>IF(ISNA(MATCH(17,Engine!$C$2:$C$679,0)),"",INDEX('Compliance Database'!$G$2:$G$679,MATCH(17,Engine!$C$2:$C$679,0)))</f>
        <v/>
      </c>
      <c r="H30">
        <f>IF(ISNA(MATCH(17,Engine!$C$2:$C$679,0)),"",INDEX('Compliance Database'!$H$2:$H$679,MATCH(17,Engine!$C$2:$C$679,0)))</f>
        <v/>
      </c>
      <c r="I30" s="8">
        <f>IF(ISNA(MATCH(17,Engine!$C$2:$C$679,0)),"",INDEX('Compliance Database'!$I$2:$I$679,MATCH(17,Engine!$C$2:$C$679,0)))</f>
        <v/>
      </c>
      <c r="J30" s="8">
        <f>IF(ISNA(MATCH(17,Engine!$C$2:$C$679,0)),"",INDEX('Compliance Database'!$J$2:$J$679,MATCH(17,Engine!$C$2:$C$679,0)))</f>
        <v/>
      </c>
      <c r="K30">
        <f>IF(ISNA(MATCH(17,Engine!$C$2:$C$679,0)),"",INDEX('Compliance Database'!$K$2:$K$679,MATCH(17,Engine!$C$2:$C$679,0)))</f>
        <v/>
      </c>
      <c r="L30" s="8">
        <f>IF(ISNA(MATCH(17,Engine!$C$2:$C$679,0)),"",INDEX('Compliance Database'!$L$2:$L$679,MATCH(17,Engine!$C$2:$C$679,0)))</f>
        <v/>
      </c>
      <c r="M30" s="8">
        <f>IF(ISNA(MATCH(17,Engine!$C$2:$C$679,0)),"",INDEX('Compliance Database'!$M$2:$M$679,MATCH(17,Engine!$C$2:$C$679,0)))</f>
        <v/>
      </c>
      <c r="N30" s="8">
        <f>IF(ISNA(MATCH(17,Engine!$C$2:$C$679,0)),"",INDEX('Compliance Database'!$N$2:$N$679,MATCH(17,Engine!$C$2:$C$679,0)))</f>
        <v/>
      </c>
      <c r="O30" s="8">
        <f>IF(ISNA(MATCH(17,Engine!$C$2:$C$679,0)),"",INDEX('Compliance Database'!$O$2:$O$679,MATCH(17,Engine!$C$2:$C$679,0)))</f>
        <v/>
      </c>
      <c r="P30">
        <f>IF(ISNA(MATCH(17,Engine!$C$2:$C$679,0)),"",HYPERLINK(INDEX('Compliance Database'!$P$2:$P$679,MATCH(17,Engine!$C$2:$C$679,0)),"Open PDF"))</f>
        <v/>
      </c>
    </row>
    <row r="31">
      <c r="A31">
        <f>IF(ISNA(MATCH(18,Engine!$C$2:$C$679,0)),"",INDEX('Compliance Database'!$A$2:$A$679,MATCH(18,Engine!$C$2:$C$679,0)))</f>
        <v/>
      </c>
      <c r="B31">
        <f>IF(ISNA(MATCH(18,Engine!$C$2:$C$679,0)),"",INDEX('Compliance Database'!$B$2:$B$679,MATCH(18,Engine!$C$2:$C$679,0)))</f>
        <v/>
      </c>
      <c r="C31">
        <f>IF(ISNA(MATCH(18,Engine!$C$2:$C$679,0)),"",INDEX('Compliance Database'!$C$2:$C$679,MATCH(18,Engine!$C$2:$C$679,0)))</f>
        <v/>
      </c>
      <c r="D31" s="8">
        <f>IF(ISNA(MATCH(18,Engine!$C$2:$C$679,0)),"",INDEX('Compliance Database'!$D$2:$D$679,MATCH(18,Engine!$C$2:$C$679,0)))</f>
        <v/>
      </c>
      <c r="E31">
        <f>IF(ISNA(MATCH(18,Engine!$C$2:$C$679,0)),"",INDEX('Compliance Database'!$E$2:$E$679,MATCH(18,Engine!$C$2:$C$679,0)))</f>
        <v/>
      </c>
      <c r="F31">
        <f>IF(ISNA(MATCH(18,Engine!$C$2:$C$679,0)),"",INDEX('Compliance Database'!$F$2:$F$679,MATCH(18,Engine!$C$2:$C$679,0)))</f>
        <v/>
      </c>
      <c r="G31">
        <f>IF(ISNA(MATCH(18,Engine!$C$2:$C$679,0)),"",INDEX('Compliance Database'!$G$2:$G$679,MATCH(18,Engine!$C$2:$C$679,0)))</f>
        <v/>
      </c>
      <c r="H31">
        <f>IF(ISNA(MATCH(18,Engine!$C$2:$C$679,0)),"",INDEX('Compliance Database'!$H$2:$H$679,MATCH(18,Engine!$C$2:$C$679,0)))</f>
        <v/>
      </c>
      <c r="I31" s="8">
        <f>IF(ISNA(MATCH(18,Engine!$C$2:$C$679,0)),"",INDEX('Compliance Database'!$I$2:$I$679,MATCH(18,Engine!$C$2:$C$679,0)))</f>
        <v/>
      </c>
      <c r="J31" s="8">
        <f>IF(ISNA(MATCH(18,Engine!$C$2:$C$679,0)),"",INDEX('Compliance Database'!$J$2:$J$679,MATCH(18,Engine!$C$2:$C$679,0)))</f>
        <v/>
      </c>
      <c r="K31">
        <f>IF(ISNA(MATCH(18,Engine!$C$2:$C$679,0)),"",INDEX('Compliance Database'!$K$2:$K$679,MATCH(18,Engine!$C$2:$C$679,0)))</f>
        <v/>
      </c>
      <c r="L31" s="8">
        <f>IF(ISNA(MATCH(18,Engine!$C$2:$C$679,0)),"",INDEX('Compliance Database'!$L$2:$L$679,MATCH(18,Engine!$C$2:$C$679,0)))</f>
        <v/>
      </c>
      <c r="M31" s="8">
        <f>IF(ISNA(MATCH(18,Engine!$C$2:$C$679,0)),"",INDEX('Compliance Database'!$M$2:$M$679,MATCH(18,Engine!$C$2:$C$679,0)))</f>
        <v/>
      </c>
      <c r="N31" s="8">
        <f>IF(ISNA(MATCH(18,Engine!$C$2:$C$679,0)),"",INDEX('Compliance Database'!$N$2:$N$679,MATCH(18,Engine!$C$2:$C$679,0)))</f>
        <v/>
      </c>
      <c r="O31" s="8">
        <f>IF(ISNA(MATCH(18,Engine!$C$2:$C$679,0)),"",INDEX('Compliance Database'!$O$2:$O$679,MATCH(18,Engine!$C$2:$C$679,0)))</f>
        <v/>
      </c>
      <c r="P31">
        <f>IF(ISNA(MATCH(18,Engine!$C$2:$C$679,0)),"",HYPERLINK(INDEX('Compliance Database'!$P$2:$P$679,MATCH(18,Engine!$C$2:$C$679,0)),"Open PDF"))</f>
        <v/>
      </c>
    </row>
    <row r="32">
      <c r="A32">
        <f>IF(ISNA(MATCH(19,Engine!$C$2:$C$679,0)),"",INDEX('Compliance Database'!$A$2:$A$679,MATCH(19,Engine!$C$2:$C$679,0)))</f>
        <v/>
      </c>
      <c r="B32">
        <f>IF(ISNA(MATCH(19,Engine!$C$2:$C$679,0)),"",INDEX('Compliance Database'!$B$2:$B$679,MATCH(19,Engine!$C$2:$C$679,0)))</f>
        <v/>
      </c>
      <c r="C32">
        <f>IF(ISNA(MATCH(19,Engine!$C$2:$C$679,0)),"",INDEX('Compliance Database'!$C$2:$C$679,MATCH(19,Engine!$C$2:$C$679,0)))</f>
        <v/>
      </c>
      <c r="D32" s="8">
        <f>IF(ISNA(MATCH(19,Engine!$C$2:$C$679,0)),"",INDEX('Compliance Database'!$D$2:$D$679,MATCH(19,Engine!$C$2:$C$679,0)))</f>
        <v/>
      </c>
      <c r="E32">
        <f>IF(ISNA(MATCH(19,Engine!$C$2:$C$679,0)),"",INDEX('Compliance Database'!$E$2:$E$679,MATCH(19,Engine!$C$2:$C$679,0)))</f>
        <v/>
      </c>
      <c r="F32">
        <f>IF(ISNA(MATCH(19,Engine!$C$2:$C$679,0)),"",INDEX('Compliance Database'!$F$2:$F$679,MATCH(19,Engine!$C$2:$C$679,0)))</f>
        <v/>
      </c>
      <c r="G32">
        <f>IF(ISNA(MATCH(19,Engine!$C$2:$C$679,0)),"",INDEX('Compliance Database'!$G$2:$G$679,MATCH(19,Engine!$C$2:$C$679,0)))</f>
        <v/>
      </c>
      <c r="H32">
        <f>IF(ISNA(MATCH(19,Engine!$C$2:$C$679,0)),"",INDEX('Compliance Database'!$H$2:$H$679,MATCH(19,Engine!$C$2:$C$679,0)))</f>
        <v/>
      </c>
      <c r="I32" s="8">
        <f>IF(ISNA(MATCH(19,Engine!$C$2:$C$679,0)),"",INDEX('Compliance Database'!$I$2:$I$679,MATCH(19,Engine!$C$2:$C$679,0)))</f>
        <v/>
      </c>
      <c r="J32" s="8">
        <f>IF(ISNA(MATCH(19,Engine!$C$2:$C$679,0)),"",INDEX('Compliance Database'!$J$2:$J$679,MATCH(19,Engine!$C$2:$C$679,0)))</f>
        <v/>
      </c>
      <c r="K32">
        <f>IF(ISNA(MATCH(19,Engine!$C$2:$C$679,0)),"",INDEX('Compliance Database'!$K$2:$K$679,MATCH(19,Engine!$C$2:$C$679,0)))</f>
        <v/>
      </c>
      <c r="L32" s="8">
        <f>IF(ISNA(MATCH(19,Engine!$C$2:$C$679,0)),"",INDEX('Compliance Database'!$L$2:$L$679,MATCH(19,Engine!$C$2:$C$679,0)))</f>
        <v/>
      </c>
      <c r="M32" s="8">
        <f>IF(ISNA(MATCH(19,Engine!$C$2:$C$679,0)),"",INDEX('Compliance Database'!$M$2:$M$679,MATCH(19,Engine!$C$2:$C$679,0)))</f>
        <v/>
      </c>
      <c r="N32" s="8">
        <f>IF(ISNA(MATCH(19,Engine!$C$2:$C$679,0)),"",INDEX('Compliance Database'!$N$2:$N$679,MATCH(19,Engine!$C$2:$C$679,0)))</f>
        <v/>
      </c>
      <c r="O32" s="8">
        <f>IF(ISNA(MATCH(19,Engine!$C$2:$C$679,0)),"",INDEX('Compliance Database'!$O$2:$O$679,MATCH(19,Engine!$C$2:$C$679,0)))</f>
        <v/>
      </c>
      <c r="P32">
        <f>IF(ISNA(MATCH(19,Engine!$C$2:$C$679,0)),"",HYPERLINK(INDEX('Compliance Database'!$P$2:$P$679,MATCH(19,Engine!$C$2:$C$679,0)),"Open PDF"))</f>
        <v/>
      </c>
    </row>
    <row r="33">
      <c r="A33">
        <f>IF(ISNA(MATCH(20,Engine!$C$2:$C$679,0)),"",INDEX('Compliance Database'!$A$2:$A$679,MATCH(20,Engine!$C$2:$C$679,0)))</f>
        <v/>
      </c>
      <c r="B33">
        <f>IF(ISNA(MATCH(20,Engine!$C$2:$C$679,0)),"",INDEX('Compliance Database'!$B$2:$B$679,MATCH(20,Engine!$C$2:$C$679,0)))</f>
        <v/>
      </c>
      <c r="C33">
        <f>IF(ISNA(MATCH(20,Engine!$C$2:$C$679,0)),"",INDEX('Compliance Database'!$C$2:$C$679,MATCH(20,Engine!$C$2:$C$679,0)))</f>
        <v/>
      </c>
      <c r="D33" s="8">
        <f>IF(ISNA(MATCH(20,Engine!$C$2:$C$679,0)),"",INDEX('Compliance Database'!$D$2:$D$679,MATCH(20,Engine!$C$2:$C$679,0)))</f>
        <v/>
      </c>
      <c r="E33">
        <f>IF(ISNA(MATCH(20,Engine!$C$2:$C$679,0)),"",INDEX('Compliance Database'!$E$2:$E$679,MATCH(20,Engine!$C$2:$C$679,0)))</f>
        <v/>
      </c>
      <c r="F33">
        <f>IF(ISNA(MATCH(20,Engine!$C$2:$C$679,0)),"",INDEX('Compliance Database'!$F$2:$F$679,MATCH(20,Engine!$C$2:$C$679,0)))</f>
        <v/>
      </c>
      <c r="G33">
        <f>IF(ISNA(MATCH(20,Engine!$C$2:$C$679,0)),"",INDEX('Compliance Database'!$G$2:$G$679,MATCH(20,Engine!$C$2:$C$679,0)))</f>
        <v/>
      </c>
      <c r="H33">
        <f>IF(ISNA(MATCH(20,Engine!$C$2:$C$679,0)),"",INDEX('Compliance Database'!$H$2:$H$679,MATCH(20,Engine!$C$2:$C$679,0)))</f>
        <v/>
      </c>
      <c r="I33" s="8">
        <f>IF(ISNA(MATCH(20,Engine!$C$2:$C$679,0)),"",INDEX('Compliance Database'!$I$2:$I$679,MATCH(20,Engine!$C$2:$C$679,0)))</f>
        <v/>
      </c>
      <c r="J33" s="8">
        <f>IF(ISNA(MATCH(20,Engine!$C$2:$C$679,0)),"",INDEX('Compliance Database'!$J$2:$J$679,MATCH(20,Engine!$C$2:$C$679,0)))</f>
        <v/>
      </c>
      <c r="K33">
        <f>IF(ISNA(MATCH(20,Engine!$C$2:$C$679,0)),"",INDEX('Compliance Database'!$K$2:$K$679,MATCH(20,Engine!$C$2:$C$679,0)))</f>
        <v/>
      </c>
      <c r="L33" s="8">
        <f>IF(ISNA(MATCH(20,Engine!$C$2:$C$679,0)),"",INDEX('Compliance Database'!$L$2:$L$679,MATCH(20,Engine!$C$2:$C$679,0)))</f>
        <v/>
      </c>
      <c r="M33" s="8">
        <f>IF(ISNA(MATCH(20,Engine!$C$2:$C$679,0)),"",INDEX('Compliance Database'!$M$2:$M$679,MATCH(20,Engine!$C$2:$C$679,0)))</f>
        <v/>
      </c>
      <c r="N33" s="8">
        <f>IF(ISNA(MATCH(20,Engine!$C$2:$C$679,0)),"",INDEX('Compliance Database'!$N$2:$N$679,MATCH(20,Engine!$C$2:$C$679,0)))</f>
        <v/>
      </c>
      <c r="O33" s="8">
        <f>IF(ISNA(MATCH(20,Engine!$C$2:$C$679,0)),"",INDEX('Compliance Database'!$O$2:$O$679,MATCH(20,Engine!$C$2:$C$679,0)))</f>
        <v/>
      </c>
      <c r="P33">
        <f>IF(ISNA(MATCH(20,Engine!$C$2:$C$679,0)),"",HYPERLINK(INDEX('Compliance Database'!$P$2:$P$679,MATCH(20,Engine!$C$2:$C$679,0)),"Open PDF"))</f>
        <v/>
      </c>
    </row>
    <row r="34">
      <c r="A34">
        <f>IF(ISNA(MATCH(21,Engine!$C$2:$C$679,0)),"",INDEX('Compliance Database'!$A$2:$A$679,MATCH(21,Engine!$C$2:$C$679,0)))</f>
        <v/>
      </c>
      <c r="B34">
        <f>IF(ISNA(MATCH(21,Engine!$C$2:$C$679,0)),"",INDEX('Compliance Database'!$B$2:$B$679,MATCH(21,Engine!$C$2:$C$679,0)))</f>
        <v/>
      </c>
      <c r="C34">
        <f>IF(ISNA(MATCH(21,Engine!$C$2:$C$679,0)),"",INDEX('Compliance Database'!$C$2:$C$679,MATCH(21,Engine!$C$2:$C$679,0)))</f>
        <v/>
      </c>
      <c r="D34" s="8">
        <f>IF(ISNA(MATCH(21,Engine!$C$2:$C$679,0)),"",INDEX('Compliance Database'!$D$2:$D$679,MATCH(21,Engine!$C$2:$C$679,0)))</f>
        <v/>
      </c>
      <c r="E34">
        <f>IF(ISNA(MATCH(21,Engine!$C$2:$C$679,0)),"",INDEX('Compliance Database'!$E$2:$E$679,MATCH(21,Engine!$C$2:$C$679,0)))</f>
        <v/>
      </c>
      <c r="F34">
        <f>IF(ISNA(MATCH(21,Engine!$C$2:$C$679,0)),"",INDEX('Compliance Database'!$F$2:$F$679,MATCH(21,Engine!$C$2:$C$679,0)))</f>
        <v/>
      </c>
      <c r="G34">
        <f>IF(ISNA(MATCH(21,Engine!$C$2:$C$679,0)),"",INDEX('Compliance Database'!$G$2:$G$679,MATCH(21,Engine!$C$2:$C$679,0)))</f>
        <v/>
      </c>
      <c r="H34">
        <f>IF(ISNA(MATCH(21,Engine!$C$2:$C$679,0)),"",INDEX('Compliance Database'!$H$2:$H$679,MATCH(21,Engine!$C$2:$C$679,0)))</f>
        <v/>
      </c>
      <c r="I34" s="8">
        <f>IF(ISNA(MATCH(21,Engine!$C$2:$C$679,0)),"",INDEX('Compliance Database'!$I$2:$I$679,MATCH(21,Engine!$C$2:$C$679,0)))</f>
        <v/>
      </c>
      <c r="J34" s="8">
        <f>IF(ISNA(MATCH(21,Engine!$C$2:$C$679,0)),"",INDEX('Compliance Database'!$J$2:$J$679,MATCH(21,Engine!$C$2:$C$679,0)))</f>
        <v/>
      </c>
      <c r="K34">
        <f>IF(ISNA(MATCH(21,Engine!$C$2:$C$679,0)),"",INDEX('Compliance Database'!$K$2:$K$679,MATCH(21,Engine!$C$2:$C$679,0)))</f>
        <v/>
      </c>
      <c r="L34" s="8">
        <f>IF(ISNA(MATCH(21,Engine!$C$2:$C$679,0)),"",INDEX('Compliance Database'!$L$2:$L$679,MATCH(21,Engine!$C$2:$C$679,0)))</f>
        <v/>
      </c>
      <c r="M34" s="8">
        <f>IF(ISNA(MATCH(21,Engine!$C$2:$C$679,0)),"",INDEX('Compliance Database'!$M$2:$M$679,MATCH(21,Engine!$C$2:$C$679,0)))</f>
        <v/>
      </c>
      <c r="N34" s="8">
        <f>IF(ISNA(MATCH(21,Engine!$C$2:$C$679,0)),"",INDEX('Compliance Database'!$N$2:$N$679,MATCH(21,Engine!$C$2:$C$679,0)))</f>
        <v/>
      </c>
      <c r="O34" s="8">
        <f>IF(ISNA(MATCH(21,Engine!$C$2:$C$679,0)),"",INDEX('Compliance Database'!$O$2:$O$679,MATCH(21,Engine!$C$2:$C$679,0)))</f>
        <v/>
      </c>
      <c r="P34">
        <f>IF(ISNA(MATCH(21,Engine!$C$2:$C$679,0)),"",HYPERLINK(INDEX('Compliance Database'!$P$2:$P$679,MATCH(21,Engine!$C$2:$C$679,0)),"Open PDF"))</f>
        <v/>
      </c>
    </row>
    <row r="35">
      <c r="A35">
        <f>IF(ISNA(MATCH(22,Engine!$C$2:$C$679,0)),"",INDEX('Compliance Database'!$A$2:$A$679,MATCH(22,Engine!$C$2:$C$679,0)))</f>
        <v/>
      </c>
      <c r="B35">
        <f>IF(ISNA(MATCH(22,Engine!$C$2:$C$679,0)),"",INDEX('Compliance Database'!$B$2:$B$679,MATCH(22,Engine!$C$2:$C$679,0)))</f>
        <v/>
      </c>
      <c r="C35">
        <f>IF(ISNA(MATCH(22,Engine!$C$2:$C$679,0)),"",INDEX('Compliance Database'!$C$2:$C$679,MATCH(22,Engine!$C$2:$C$679,0)))</f>
        <v/>
      </c>
      <c r="D35" s="8">
        <f>IF(ISNA(MATCH(22,Engine!$C$2:$C$679,0)),"",INDEX('Compliance Database'!$D$2:$D$679,MATCH(22,Engine!$C$2:$C$679,0)))</f>
        <v/>
      </c>
      <c r="E35">
        <f>IF(ISNA(MATCH(22,Engine!$C$2:$C$679,0)),"",INDEX('Compliance Database'!$E$2:$E$679,MATCH(22,Engine!$C$2:$C$679,0)))</f>
        <v/>
      </c>
      <c r="F35">
        <f>IF(ISNA(MATCH(22,Engine!$C$2:$C$679,0)),"",INDEX('Compliance Database'!$F$2:$F$679,MATCH(22,Engine!$C$2:$C$679,0)))</f>
        <v/>
      </c>
      <c r="G35">
        <f>IF(ISNA(MATCH(22,Engine!$C$2:$C$679,0)),"",INDEX('Compliance Database'!$G$2:$G$679,MATCH(22,Engine!$C$2:$C$679,0)))</f>
        <v/>
      </c>
      <c r="H35">
        <f>IF(ISNA(MATCH(22,Engine!$C$2:$C$679,0)),"",INDEX('Compliance Database'!$H$2:$H$679,MATCH(22,Engine!$C$2:$C$679,0)))</f>
        <v/>
      </c>
      <c r="I35" s="8">
        <f>IF(ISNA(MATCH(22,Engine!$C$2:$C$679,0)),"",INDEX('Compliance Database'!$I$2:$I$679,MATCH(22,Engine!$C$2:$C$679,0)))</f>
        <v/>
      </c>
      <c r="J35" s="8">
        <f>IF(ISNA(MATCH(22,Engine!$C$2:$C$679,0)),"",INDEX('Compliance Database'!$J$2:$J$679,MATCH(22,Engine!$C$2:$C$679,0)))</f>
        <v/>
      </c>
      <c r="K35">
        <f>IF(ISNA(MATCH(22,Engine!$C$2:$C$679,0)),"",INDEX('Compliance Database'!$K$2:$K$679,MATCH(22,Engine!$C$2:$C$679,0)))</f>
        <v/>
      </c>
      <c r="L35" s="8">
        <f>IF(ISNA(MATCH(22,Engine!$C$2:$C$679,0)),"",INDEX('Compliance Database'!$L$2:$L$679,MATCH(22,Engine!$C$2:$C$679,0)))</f>
        <v/>
      </c>
      <c r="M35" s="8">
        <f>IF(ISNA(MATCH(22,Engine!$C$2:$C$679,0)),"",INDEX('Compliance Database'!$M$2:$M$679,MATCH(22,Engine!$C$2:$C$679,0)))</f>
        <v/>
      </c>
      <c r="N35" s="8">
        <f>IF(ISNA(MATCH(22,Engine!$C$2:$C$679,0)),"",INDEX('Compliance Database'!$N$2:$N$679,MATCH(22,Engine!$C$2:$C$679,0)))</f>
        <v/>
      </c>
      <c r="O35" s="8">
        <f>IF(ISNA(MATCH(22,Engine!$C$2:$C$679,0)),"",INDEX('Compliance Database'!$O$2:$O$679,MATCH(22,Engine!$C$2:$C$679,0)))</f>
        <v/>
      </c>
      <c r="P35">
        <f>IF(ISNA(MATCH(22,Engine!$C$2:$C$679,0)),"",HYPERLINK(INDEX('Compliance Database'!$P$2:$P$679,MATCH(22,Engine!$C$2:$C$679,0)),"Open PDF"))</f>
        <v/>
      </c>
    </row>
    <row r="36">
      <c r="A36">
        <f>IF(ISNA(MATCH(23,Engine!$C$2:$C$679,0)),"",INDEX('Compliance Database'!$A$2:$A$679,MATCH(23,Engine!$C$2:$C$679,0)))</f>
        <v/>
      </c>
      <c r="B36">
        <f>IF(ISNA(MATCH(23,Engine!$C$2:$C$679,0)),"",INDEX('Compliance Database'!$B$2:$B$679,MATCH(23,Engine!$C$2:$C$679,0)))</f>
        <v/>
      </c>
      <c r="C36">
        <f>IF(ISNA(MATCH(23,Engine!$C$2:$C$679,0)),"",INDEX('Compliance Database'!$C$2:$C$679,MATCH(23,Engine!$C$2:$C$679,0)))</f>
        <v/>
      </c>
      <c r="D36" s="8">
        <f>IF(ISNA(MATCH(23,Engine!$C$2:$C$679,0)),"",INDEX('Compliance Database'!$D$2:$D$679,MATCH(23,Engine!$C$2:$C$679,0)))</f>
        <v/>
      </c>
      <c r="E36">
        <f>IF(ISNA(MATCH(23,Engine!$C$2:$C$679,0)),"",INDEX('Compliance Database'!$E$2:$E$679,MATCH(23,Engine!$C$2:$C$679,0)))</f>
        <v/>
      </c>
      <c r="F36">
        <f>IF(ISNA(MATCH(23,Engine!$C$2:$C$679,0)),"",INDEX('Compliance Database'!$F$2:$F$679,MATCH(23,Engine!$C$2:$C$679,0)))</f>
        <v/>
      </c>
      <c r="G36">
        <f>IF(ISNA(MATCH(23,Engine!$C$2:$C$679,0)),"",INDEX('Compliance Database'!$G$2:$G$679,MATCH(23,Engine!$C$2:$C$679,0)))</f>
        <v/>
      </c>
      <c r="H36">
        <f>IF(ISNA(MATCH(23,Engine!$C$2:$C$679,0)),"",INDEX('Compliance Database'!$H$2:$H$679,MATCH(23,Engine!$C$2:$C$679,0)))</f>
        <v/>
      </c>
      <c r="I36" s="8">
        <f>IF(ISNA(MATCH(23,Engine!$C$2:$C$679,0)),"",INDEX('Compliance Database'!$I$2:$I$679,MATCH(23,Engine!$C$2:$C$679,0)))</f>
        <v/>
      </c>
      <c r="J36" s="8">
        <f>IF(ISNA(MATCH(23,Engine!$C$2:$C$679,0)),"",INDEX('Compliance Database'!$J$2:$J$679,MATCH(23,Engine!$C$2:$C$679,0)))</f>
        <v/>
      </c>
      <c r="K36">
        <f>IF(ISNA(MATCH(23,Engine!$C$2:$C$679,0)),"",INDEX('Compliance Database'!$K$2:$K$679,MATCH(23,Engine!$C$2:$C$679,0)))</f>
        <v/>
      </c>
      <c r="L36" s="8">
        <f>IF(ISNA(MATCH(23,Engine!$C$2:$C$679,0)),"",INDEX('Compliance Database'!$L$2:$L$679,MATCH(23,Engine!$C$2:$C$679,0)))</f>
        <v/>
      </c>
      <c r="M36" s="8">
        <f>IF(ISNA(MATCH(23,Engine!$C$2:$C$679,0)),"",INDEX('Compliance Database'!$M$2:$M$679,MATCH(23,Engine!$C$2:$C$679,0)))</f>
        <v/>
      </c>
      <c r="N36" s="8">
        <f>IF(ISNA(MATCH(23,Engine!$C$2:$C$679,0)),"",INDEX('Compliance Database'!$N$2:$N$679,MATCH(23,Engine!$C$2:$C$679,0)))</f>
        <v/>
      </c>
      <c r="O36" s="8">
        <f>IF(ISNA(MATCH(23,Engine!$C$2:$C$679,0)),"",INDEX('Compliance Database'!$O$2:$O$679,MATCH(23,Engine!$C$2:$C$679,0)))</f>
        <v/>
      </c>
      <c r="P36">
        <f>IF(ISNA(MATCH(23,Engine!$C$2:$C$679,0)),"",HYPERLINK(INDEX('Compliance Database'!$P$2:$P$679,MATCH(23,Engine!$C$2:$C$679,0)),"Open PDF"))</f>
        <v/>
      </c>
    </row>
    <row r="37">
      <c r="A37">
        <f>IF(ISNA(MATCH(24,Engine!$C$2:$C$679,0)),"",INDEX('Compliance Database'!$A$2:$A$679,MATCH(24,Engine!$C$2:$C$679,0)))</f>
        <v/>
      </c>
      <c r="B37">
        <f>IF(ISNA(MATCH(24,Engine!$C$2:$C$679,0)),"",INDEX('Compliance Database'!$B$2:$B$679,MATCH(24,Engine!$C$2:$C$679,0)))</f>
        <v/>
      </c>
      <c r="C37">
        <f>IF(ISNA(MATCH(24,Engine!$C$2:$C$679,0)),"",INDEX('Compliance Database'!$C$2:$C$679,MATCH(24,Engine!$C$2:$C$679,0)))</f>
        <v/>
      </c>
      <c r="D37" s="8">
        <f>IF(ISNA(MATCH(24,Engine!$C$2:$C$679,0)),"",INDEX('Compliance Database'!$D$2:$D$679,MATCH(24,Engine!$C$2:$C$679,0)))</f>
        <v/>
      </c>
      <c r="E37">
        <f>IF(ISNA(MATCH(24,Engine!$C$2:$C$679,0)),"",INDEX('Compliance Database'!$E$2:$E$679,MATCH(24,Engine!$C$2:$C$679,0)))</f>
        <v/>
      </c>
      <c r="F37">
        <f>IF(ISNA(MATCH(24,Engine!$C$2:$C$679,0)),"",INDEX('Compliance Database'!$F$2:$F$679,MATCH(24,Engine!$C$2:$C$679,0)))</f>
        <v/>
      </c>
      <c r="G37">
        <f>IF(ISNA(MATCH(24,Engine!$C$2:$C$679,0)),"",INDEX('Compliance Database'!$G$2:$G$679,MATCH(24,Engine!$C$2:$C$679,0)))</f>
        <v/>
      </c>
      <c r="H37">
        <f>IF(ISNA(MATCH(24,Engine!$C$2:$C$679,0)),"",INDEX('Compliance Database'!$H$2:$H$679,MATCH(24,Engine!$C$2:$C$679,0)))</f>
        <v/>
      </c>
      <c r="I37" s="8">
        <f>IF(ISNA(MATCH(24,Engine!$C$2:$C$679,0)),"",INDEX('Compliance Database'!$I$2:$I$679,MATCH(24,Engine!$C$2:$C$679,0)))</f>
        <v/>
      </c>
      <c r="J37" s="8">
        <f>IF(ISNA(MATCH(24,Engine!$C$2:$C$679,0)),"",INDEX('Compliance Database'!$J$2:$J$679,MATCH(24,Engine!$C$2:$C$679,0)))</f>
        <v/>
      </c>
      <c r="K37">
        <f>IF(ISNA(MATCH(24,Engine!$C$2:$C$679,0)),"",INDEX('Compliance Database'!$K$2:$K$679,MATCH(24,Engine!$C$2:$C$679,0)))</f>
        <v/>
      </c>
      <c r="L37" s="8">
        <f>IF(ISNA(MATCH(24,Engine!$C$2:$C$679,0)),"",INDEX('Compliance Database'!$L$2:$L$679,MATCH(24,Engine!$C$2:$C$679,0)))</f>
        <v/>
      </c>
      <c r="M37" s="8">
        <f>IF(ISNA(MATCH(24,Engine!$C$2:$C$679,0)),"",INDEX('Compliance Database'!$M$2:$M$679,MATCH(24,Engine!$C$2:$C$679,0)))</f>
        <v/>
      </c>
      <c r="N37" s="8">
        <f>IF(ISNA(MATCH(24,Engine!$C$2:$C$679,0)),"",INDEX('Compliance Database'!$N$2:$N$679,MATCH(24,Engine!$C$2:$C$679,0)))</f>
        <v/>
      </c>
      <c r="O37" s="8">
        <f>IF(ISNA(MATCH(24,Engine!$C$2:$C$679,0)),"",INDEX('Compliance Database'!$O$2:$O$679,MATCH(24,Engine!$C$2:$C$679,0)))</f>
        <v/>
      </c>
      <c r="P37">
        <f>IF(ISNA(MATCH(24,Engine!$C$2:$C$679,0)),"",HYPERLINK(INDEX('Compliance Database'!$P$2:$P$679,MATCH(24,Engine!$C$2:$C$679,0)),"Open PDF"))</f>
        <v/>
      </c>
    </row>
    <row r="38">
      <c r="A38">
        <f>IF(ISNA(MATCH(25,Engine!$C$2:$C$679,0)),"",INDEX('Compliance Database'!$A$2:$A$679,MATCH(25,Engine!$C$2:$C$679,0)))</f>
        <v/>
      </c>
      <c r="B38">
        <f>IF(ISNA(MATCH(25,Engine!$C$2:$C$679,0)),"",INDEX('Compliance Database'!$B$2:$B$679,MATCH(25,Engine!$C$2:$C$679,0)))</f>
        <v/>
      </c>
      <c r="C38">
        <f>IF(ISNA(MATCH(25,Engine!$C$2:$C$679,0)),"",INDEX('Compliance Database'!$C$2:$C$679,MATCH(25,Engine!$C$2:$C$679,0)))</f>
        <v/>
      </c>
      <c r="D38" s="8">
        <f>IF(ISNA(MATCH(25,Engine!$C$2:$C$679,0)),"",INDEX('Compliance Database'!$D$2:$D$679,MATCH(25,Engine!$C$2:$C$679,0)))</f>
        <v/>
      </c>
      <c r="E38">
        <f>IF(ISNA(MATCH(25,Engine!$C$2:$C$679,0)),"",INDEX('Compliance Database'!$E$2:$E$679,MATCH(25,Engine!$C$2:$C$679,0)))</f>
        <v/>
      </c>
      <c r="F38">
        <f>IF(ISNA(MATCH(25,Engine!$C$2:$C$679,0)),"",INDEX('Compliance Database'!$F$2:$F$679,MATCH(25,Engine!$C$2:$C$679,0)))</f>
        <v/>
      </c>
      <c r="G38">
        <f>IF(ISNA(MATCH(25,Engine!$C$2:$C$679,0)),"",INDEX('Compliance Database'!$G$2:$G$679,MATCH(25,Engine!$C$2:$C$679,0)))</f>
        <v/>
      </c>
      <c r="H38">
        <f>IF(ISNA(MATCH(25,Engine!$C$2:$C$679,0)),"",INDEX('Compliance Database'!$H$2:$H$679,MATCH(25,Engine!$C$2:$C$679,0)))</f>
        <v/>
      </c>
      <c r="I38" s="8">
        <f>IF(ISNA(MATCH(25,Engine!$C$2:$C$679,0)),"",INDEX('Compliance Database'!$I$2:$I$679,MATCH(25,Engine!$C$2:$C$679,0)))</f>
        <v/>
      </c>
      <c r="J38" s="8">
        <f>IF(ISNA(MATCH(25,Engine!$C$2:$C$679,0)),"",INDEX('Compliance Database'!$J$2:$J$679,MATCH(25,Engine!$C$2:$C$679,0)))</f>
        <v/>
      </c>
      <c r="K38">
        <f>IF(ISNA(MATCH(25,Engine!$C$2:$C$679,0)),"",INDEX('Compliance Database'!$K$2:$K$679,MATCH(25,Engine!$C$2:$C$679,0)))</f>
        <v/>
      </c>
      <c r="L38" s="8">
        <f>IF(ISNA(MATCH(25,Engine!$C$2:$C$679,0)),"",INDEX('Compliance Database'!$L$2:$L$679,MATCH(25,Engine!$C$2:$C$679,0)))</f>
        <v/>
      </c>
      <c r="M38" s="8">
        <f>IF(ISNA(MATCH(25,Engine!$C$2:$C$679,0)),"",INDEX('Compliance Database'!$M$2:$M$679,MATCH(25,Engine!$C$2:$C$679,0)))</f>
        <v/>
      </c>
      <c r="N38" s="8">
        <f>IF(ISNA(MATCH(25,Engine!$C$2:$C$679,0)),"",INDEX('Compliance Database'!$N$2:$N$679,MATCH(25,Engine!$C$2:$C$679,0)))</f>
        <v/>
      </c>
      <c r="O38" s="8">
        <f>IF(ISNA(MATCH(25,Engine!$C$2:$C$679,0)),"",INDEX('Compliance Database'!$O$2:$O$679,MATCH(25,Engine!$C$2:$C$679,0)))</f>
        <v/>
      </c>
      <c r="P38">
        <f>IF(ISNA(MATCH(25,Engine!$C$2:$C$679,0)),"",HYPERLINK(INDEX('Compliance Database'!$P$2:$P$679,MATCH(25,Engine!$C$2:$C$679,0)),"Open PDF"))</f>
        <v/>
      </c>
    </row>
    <row r="39">
      <c r="A39">
        <f>IF(ISNA(MATCH(26,Engine!$C$2:$C$679,0)),"",INDEX('Compliance Database'!$A$2:$A$679,MATCH(26,Engine!$C$2:$C$679,0)))</f>
        <v/>
      </c>
      <c r="B39">
        <f>IF(ISNA(MATCH(26,Engine!$C$2:$C$679,0)),"",INDEX('Compliance Database'!$B$2:$B$679,MATCH(26,Engine!$C$2:$C$679,0)))</f>
        <v/>
      </c>
      <c r="C39">
        <f>IF(ISNA(MATCH(26,Engine!$C$2:$C$679,0)),"",INDEX('Compliance Database'!$C$2:$C$679,MATCH(26,Engine!$C$2:$C$679,0)))</f>
        <v/>
      </c>
      <c r="D39" s="8">
        <f>IF(ISNA(MATCH(26,Engine!$C$2:$C$679,0)),"",INDEX('Compliance Database'!$D$2:$D$679,MATCH(26,Engine!$C$2:$C$679,0)))</f>
        <v/>
      </c>
      <c r="E39">
        <f>IF(ISNA(MATCH(26,Engine!$C$2:$C$679,0)),"",INDEX('Compliance Database'!$E$2:$E$679,MATCH(26,Engine!$C$2:$C$679,0)))</f>
        <v/>
      </c>
      <c r="F39">
        <f>IF(ISNA(MATCH(26,Engine!$C$2:$C$679,0)),"",INDEX('Compliance Database'!$F$2:$F$679,MATCH(26,Engine!$C$2:$C$679,0)))</f>
        <v/>
      </c>
      <c r="G39">
        <f>IF(ISNA(MATCH(26,Engine!$C$2:$C$679,0)),"",INDEX('Compliance Database'!$G$2:$G$679,MATCH(26,Engine!$C$2:$C$679,0)))</f>
        <v/>
      </c>
      <c r="H39">
        <f>IF(ISNA(MATCH(26,Engine!$C$2:$C$679,0)),"",INDEX('Compliance Database'!$H$2:$H$679,MATCH(26,Engine!$C$2:$C$679,0)))</f>
        <v/>
      </c>
      <c r="I39" s="8">
        <f>IF(ISNA(MATCH(26,Engine!$C$2:$C$679,0)),"",INDEX('Compliance Database'!$I$2:$I$679,MATCH(26,Engine!$C$2:$C$679,0)))</f>
        <v/>
      </c>
      <c r="J39" s="8">
        <f>IF(ISNA(MATCH(26,Engine!$C$2:$C$679,0)),"",INDEX('Compliance Database'!$J$2:$J$679,MATCH(26,Engine!$C$2:$C$679,0)))</f>
        <v/>
      </c>
      <c r="K39">
        <f>IF(ISNA(MATCH(26,Engine!$C$2:$C$679,0)),"",INDEX('Compliance Database'!$K$2:$K$679,MATCH(26,Engine!$C$2:$C$679,0)))</f>
        <v/>
      </c>
      <c r="L39" s="8">
        <f>IF(ISNA(MATCH(26,Engine!$C$2:$C$679,0)),"",INDEX('Compliance Database'!$L$2:$L$679,MATCH(26,Engine!$C$2:$C$679,0)))</f>
        <v/>
      </c>
      <c r="M39" s="8">
        <f>IF(ISNA(MATCH(26,Engine!$C$2:$C$679,0)),"",INDEX('Compliance Database'!$M$2:$M$679,MATCH(26,Engine!$C$2:$C$679,0)))</f>
        <v/>
      </c>
      <c r="N39" s="8">
        <f>IF(ISNA(MATCH(26,Engine!$C$2:$C$679,0)),"",INDEX('Compliance Database'!$N$2:$N$679,MATCH(26,Engine!$C$2:$C$679,0)))</f>
        <v/>
      </c>
      <c r="O39" s="8">
        <f>IF(ISNA(MATCH(26,Engine!$C$2:$C$679,0)),"",INDEX('Compliance Database'!$O$2:$O$679,MATCH(26,Engine!$C$2:$C$679,0)))</f>
        <v/>
      </c>
      <c r="P39">
        <f>IF(ISNA(MATCH(26,Engine!$C$2:$C$679,0)),"",HYPERLINK(INDEX('Compliance Database'!$P$2:$P$679,MATCH(26,Engine!$C$2:$C$679,0)),"Open PDF"))</f>
        <v/>
      </c>
    </row>
    <row r="40">
      <c r="A40">
        <f>IF(ISNA(MATCH(27,Engine!$C$2:$C$679,0)),"",INDEX('Compliance Database'!$A$2:$A$679,MATCH(27,Engine!$C$2:$C$679,0)))</f>
        <v/>
      </c>
      <c r="B40">
        <f>IF(ISNA(MATCH(27,Engine!$C$2:$C$679,0)),"",INDEX('Compliance Database'!$B$2:$B$679,MATCH(27,Engine!$C$2:$C$679,0)))</f>
        <v/>
      </c>
      <c r="C40">
        <f>IF(ISNA(MATCH(27,Engine!$C$2:$C$679,0)),"",INDEX('Compliance Database'!$C$2:$C$679,MATCH(27,Engine!$C$2:$C$679,0)))</f>
        <v/>
      </c>
      <c r="D40" s="8">
        <f>IF(ISNA(MATCH(27,Engine!$C$2:$C$679,0)),"",INDEX('Compliance Database'!$D$2:$D$679,MATCH(27,Engine!$C$2:$C$679,0)))</f>
        <v/>
      </c>
      <c r="E40">
        <f>IF(ISNA(MATCH(27,Engine!$C$2:$C$679,0)),"",INDEX('Compliance Database'!$E$2:$E$679,MATCH(27,Engine!$C$2:$C$679,0)))</f>
        <v/>
      </c>
      <c r="F40">
        <f>IF(ISNA(MATCH(27,Engine!$C$2:$C$679,0)),"",INDEX('Compliance Database'!$F$2:$F$679,MATCH(27,Engine!$C$2:$C$679,0)))</f>
        <v/>
      </c>
      <c r="G40">
        <f>IF(ISNA(MATCH(27,Engine!$C$2:$C$679,0)),"",INDEX('Compliance Database'!$G$2:$G$679,MATCH(27,Engine!$C$2:$C$679,0)))</f>
        <v/>
      </c>
      <c r="H40">
        <f>IF(ISNA(MATCH(27,Engine!$C$2:$C$679,0)),"",INDEX('Compliance Database'!$H$2:$H$679,MATCH(27,Engine!$C$2:$C$679,0)))</f>
        <v/>
      </c>
      <c r="I40" s="8">
        <f>IF(ISNA(MATCH(27,Engine!$C$2:$C$679,0)),"",INDEX('Compliance Database'!$I$2:$I$679,MATCH(27,Engine!$C$2:$C$679,0)))</f>
        <v/>
      </c>
      <c r="J40" s="8">
        <f>IF(ISNA(MATCH(27,Engine!$C$2:$C$679,0)),"",INDEX('Compliance Database'!$J$2:$J$679,MATCH(27,Engine!$C$2:$C$679,0)))</f>
        <v/>
      </c>
      <c r="K40">
        <f>IF(ISNA(MATCH(27,Engine!$C$2:$C$679,0)),"",INDEX('Compliance Database'!$K$2:$K$679,MATCH(27,Engine!$C$2:$C$679,0)))</f>
        <v/>
      </c>
      <c r="L40" s="8">
        <f>IF(ISNA(MATCH(27,Engine!$C$2:$C$679,0)),"",INDEX('Compliance Database'!$L$2:$L$679,MATCH(27,Engine!$C$2:$C$679,0)))</f>
        <v/>
      </c>
      <c r="M40" s="8">
        <f>IF(ISNA(MATCH(27,Engine!$C$2:$C$679,0)),"",INDEX('Compliance Database'!$M$2:$M$679,MATCH(27,Engine!$C$2:$C$679,0)))</f>
        <v/>
      </c>
      <c r="N40" s="8">
        <f>IF(ISNA(MATCH(27,Engine!$C$2:$C$679,0)),"",INDEX('Compliance Database'!$N$2:$N$679,MATCH(27,Engine!$C$2:$C$679,0)))</f>
        <v/>
      </c>
      <c r="O40" s="8">
        <f>IF(ISNA(MATCH(27,Engine!$C$2:$C$679,0)),"",INDEX('Compliance Database'!$O$2:$O$679,MATCH(27,Engine!$C$2:$C$679,0)))</f>
        <v/>
      </c>
      <c r="P40">
        <f>IF(ISNA(MATCH(27,Engine!$C$2:$C$679,0)),"",HYPERLINK(INDEX('Compliance Database'!$P$2:$P$679,MATCH(27,Engine!$C$2:$C$679,0)),"Open PDF"))</f>
        <v/>
      </c>
    </row>
    <row r="41">
      <c r="A41">
        <f>IF(ISNA(MATCH(28,Engine!$C$2:$C$679,0)),"",INDEX('Compliance Database'!$A$2:$A$679,MATCH(28,Engine!$C$2:$C$679,0)))</f>
        <v/>
      </c>
      <c r="B41">
        <f>IF(ISNA(MATCH(28,Engine!$C$2:$C$679,0)),"",INDEX('Compliance Database'!$B$2:$B$679,MATCH(28,Engine!$C$2:$C$679,0)))</f>
        <v/>
      </c>
      <c r="C41">
        <f>IF(ISNA(MATCH(28,Engine!$C$2:$C$679,0)),"",INDEX('Compliance Database'!$C$2:$C$679,MATCH(28,Engine!$C$2:$C$679,0)))</f>
        <v/>
      </c>
      <c r="D41" s="8">
        <f>IF(ISNA(MATCH(28,Engine!$C$2:$C$679,0)),"",INDEX('Compliance Database'!$D$2:$D$679,MATCH(28,Engine!$C$2:$C$679,0)))</f>
        <v/>
      </c>
      <c r="E41">
        <f>IF(ISNA(MATCH(28,Engine!$C$2:$C$679,0)),"",INDEX('Compliance Database'!$E$2:$E$679,MATCH(28,Engine!$C$2:$C$679,0)))</f>
        <v/>
      </c>
      <c r="F41">
        <f>IF(ISNA(MATCH(28,Engine!$C$2:$C$679,0)),"",INDEX('Compliance Database'!$F$2:$F$679,MATCH(28,Engine!$C$2:$C$679,0)))</f>
        <v/>
      </c>
      <c r="G41">
        <f>IF(ISNA(MATCH(28,Engine!$C$2:$C$679,0)),"",INDEX('Compliance Database'!$G$2:$G$679,MATCH(28,Engine!$C$2:$C$679,0)))</f>
        <v/>
      </c>
      <c r="H41">
        <f>IF(ISNA(MATCH(28,Engine!$C$2:$C$679,0)),"",INDEX('Compliance Database'!$H$2:$H$679,MATCH(28,Engine!$C$2:$C$679,0)))</f>
        <v/>
      </c>
      <c r="I41" s="8">
        <f>IF(ISNA(MATCH(28,Engine!$C$2:$C$679,0)),"",INDEX('Compliance Database'!$I$2:$I$679,MATCH(28,Engine!$C$2:$C$679,0)))</f>
        <v/>
      </c>
      <c r="J41" s="8">
        <f>IF(ISNA(MATCH(28,Engine!$C$2:$C$679,0)),"",INDEX('Compliance Database'!$J$2:$J$679,MATCH(28,Engine!$C$2:$C$679,0)))</f>
        <v/>
      </c>
      <c r="K41">
        <f>IF(ISNA(MATCH(28,Engine!$C$2:$C$679,0)),"",INDEX('Compliance Database'!$K$2:$K$679,MATCH(28,Engine!$C$2:$C$679,0)))</f>
        <v/>
      </c>
      <c r="L41" s="8">
        <f>IF(ISNA(MATCH(28,Engine!$C$2:$C$679,0)),"",INDEX('Compliance Database'!$L$2:$L$679,MATCH(28,Engine!$C$2:$C$679,0)))</f>
        <v/>
      </c>
      <c r="M41" s="8">
        <f>IF(ISNA(MATCH(28,Engine!$C$2:$C$679,0)),"",INDEX('Compliance Database'!$M$2:$M$679,MATCH(28,Engine!$C$2:$C$679,0)))</f>
        <v/>
      </c>
      <c r="N41" s="8">
        <f>IF(ISNA(MATCH(28,Engine!$C$2:$C$679,0)),"",INDEX('Compliance Database'!$N$2:$N$679,MATCH(28,Engine!$C$2:$C$679,0)))</f>
        <v/>
      </c>
      <c r="O41" s="8">
        <f>IF(ISNA(MATCH(28,Engine!$C$2:$C$679,0)),"",INDEX('Compliance Database'!$O$2:$O$679,MATCH(28,Engine!$C$2:$C$679,0)))</f>
        <v/>
      </c>
      <c r="P41">
        <f>IF(ISNA(MATCH(28,Engine!$C$2:$C$679,0)),"",HYPERLINK(INDEX('Compliance Database'!$P$2:$P$679,MATCH(28,Engine!$C$2:$C$679,0)),"Open PDF"))</f>
        <v/>
      </c>
    </row>
    <row r="42">
      <c r="A42">
        <f>IF(ISNA(MATCH(29,Engine!$C$2:$C$679,0)),"",INDEX('Compliance Database'!$A$2:$A$679,MATCH(29,Engine!$C$2:$C$679,0)))</f>
        <v/>
      </c>
      <c r="B42">
        <f>IF(ISNA(MATCH(29,Engine!$C$2:$C$679,0)),"",INDEX('Compliance Database'!$B$2:$B$679,MATCH(29,Engine!$C$2:$C$679,0)))</f>
        <v/>
      </c>
      <c r="C42">
        <f>IF(ISNA(MATCH(29,Engine!$C$2:$C$679,0)),"",INDEX('Compliance Database'!$C$2:$C$679,MATCH(29,Engine!$C$2:$C$679,0)))</f>
        <v/>
      </c>
      <c r="D42" s="8">
        <f>IF(ISNA(MATCH(29,Engine!$C$2:$C$679,0)),"",INDEX('Compliance Database'!$D$2:$D$679,MATCH(29,Engine!$C$2:$C$679,0)))</f>
        <v/>
      </c>
      <c r="E42">
        <f>IF(ISNA(MATCH(29,Engine!$C$2:$C$679,0)),"",INDEX('Compliance Database'!$E$2:$E$679,MATCH(29,Engine!$C$2:$C$679,0)))</f>
        <v/>
      </c>
      <c r="F42">
        <f>IF(ISNA(MATCH(29,Engine!$C$2:$C$679,0)),"",INDEX('Compliance Database'!$F$2:$F$679,MATCH(29,Engine!$C$2:$C$679,0)))</f>
        <v/>
      </c>
      <c r="G42">
        <f>IF(ISNA(MATCH(29,Engine!$C$2:$C$679,0)),"",INDEX('Compliance Database'!$G$2:$G$679,MATCH(29,Engine!$C$2:$C$679,0)))</f>
        <v/>
      </c>
      <c r="H42">
        <f>IF(ISNA(MATCH(29,Engine!$C$2:$C$679,0)),"",INDEX('Compliance Database'!$H$2:$H$679,MATCH(29,Engine!$C$2:$C$679,0)))</f>
        <v/>
      </c>
      <c r="I42" s="8">
        <f>IF(ISNA(MATCH(29,Engine!$C$2:$C$679,0)),"",INDEX('Compliance Database'!$I$2:$I$679,MATCH(29,Engine!$C$2:$C$679,0)))</f>
        <v/>
      </c>
      <c r="J42" s="8">
        <f>IF(ISNA(MATCH(29,Engine!$C$2:$C$679,0)),"",INDEX('Compliance Database'!$J$2:$J$679,MATCH(29,Engine!$C$2:$C$679,0)))</f>
        <v/>
      </c>
      <c r="K42">
        <f>IF(ISNA(MATCH(29,Engine!$C$2:$C$679,0)),"",INDEX('Compliance Database'!$K$2:$K$679,MATCH(29,Engine!$C$2:$C$679,0)))</f>
        <v/>
      </c>
      <c r="L42" s="8">
        <f>IF(ISNA(MATCH(29,Engine!$C$2:$C$679,0)),"",INDEX('Compliance Database'!$L$2:$L$679,MATCH(29,Engine!$C$2:$C$679,0)))</f>
        <v/>
      </c>
      <c r="M42" s="8">
        <f>IF(ISNA(MATCH(29,Engine!$C$2:$C$679,0)),"",INDEX('Compliance Database'!$M$2:$M$679,MATCH(29,Engine!$C$2:$C$679,0)))</f>
        <v/>
      </c>
      <c r="N42" s="8">
        <f>IF(ISNA(MATCH(29,Engine!$C$2:$C$679,0)),"",INDEX('Compliance Database'!$N$2:$N$679,MATCH(29,Engine!$C$2:$C$679,0)))</f>
        <v/>
      </c>
      <c r="O42" s="8">
        <f>IF(ISNA(MATCH(29,Engine!$C$2:$C$679,0)),"",INDEX('Compliance Database'!$O$2:$O$679,MATCH(29,Engine!$C$2:$C$679,0)))</f>
        <v/>
      </c>
      <c r="P42">
        <f>IF(ISNA(MATCH(29,Engine!$C$2:$C$679,0)),"",HYPERLINK(INDEX('Compliance Database'!$P$2:$P$679,MATCH(29,Engine!$C$2:$C$679,0)),"Open PDF"))</f>
        <v/>
      </c>
    </row>
    <row r="43">
      <c r="A43">
        <f>IF(ISNA(MATCH(30,Engine!$C$2:$C$679,0)),"",INDEX('Compliance Database'!$A$2:$A$679,MATCH(30,Engine!$C$2:$C$679,0)))</f>
        <v/>
      </c>
      <c r="B43">
        <f>IF(ISNA(MATCH(30,Engine!$C$2:$C$679,0)),"",INDEX('Compliance Database'!$B$2:$B$679,MATCH(30,Engine!$C$2:$C$679,0)))</f>
        <v/>
      </c>
      <c r="C43">
        <f>IF(ISNA(MATCH(30,Engine!$C$2:$C$679,0)),"",INDEX('Compliance Database'!$C$2:$C$679,MATCH(30,Engine!$C$2:$C$679,0)))</f>
        <v/>
      </c>
      <c r="D43" s="8">
        <f>IF(ISNA(MATCH(30,Engine!$C$2:$C$679,0)),"",INDEX('Compliance Database'!$D$2:$D$679,MATCH(30,Engine!$C$2:$C$679,0)))</f>
        <v/>
      </c>
      <c r="E43">
        <f>IF(ISNA(MATCH(30,Engine!$C$2:$C$679,0)),"",INDEX('Compliance Database'!$E$2:$E$679,MATCH(30,Engine!$C$2:$C$679,0)))</f>
        <v/>
      </c>
      <c r="F43">
        <f>IF(ISNA(MATCH(30,Engine!$C$2:$C$679,0)),"",INDEX('Compliance Database'!$F$2:$F$679,MATCH(30,Engine!$C$2:$C$679,0)))</f>
        <v/>
      </c>
      <c r="G43">
        <f>IF(ISNA(MATCH(30,Engine!$C$2:$C$679,0)),"",INDEX('Compliance Database'!$G$2:$G$679,MATCH(30,Engine!$C$2:$C$679,0)))</f>
        <v/>
      </c>
      <c r="H43">
        <f>IF(ISNA(MATCH(30,Engine!$C$2:$C$679,0)),"",INDEX('Compliance Database'!$H$2:$H$679,MATCH(30,Engine!$C$2:$C$679,0)))</f>
        <v/>
      </c>
      <c r="I43" s="8">
        <f>IF(ISNA(MATCH(30,Engine!$C$2:$C$679,0)),"",INDEX('Compliance Database'!$I$2:$I$679,MATCH(30,Engine!$C$2:$C$679,0)))</f>
        <v/>
      </c>
      <c r="J43" s="8">
        <f>IF(ISNA(MATCH(30,Engine!$C$2:$C$679,0)),"",INDEX('Compliance Database'!$J$2:$J$679,MATCH(30,Engine!$C$2:$C$679,0)))</f>
        <v/>
      </c>
      <c r="K43">
        <f>IF(ISNA(MATCH(30,Engine!$C$2:$C$679,0)),"",INDEX('Compliance Database'!$K$2:$K$679,MATCH(30,Engine!$C$2:$C$679,0)))</f>
        <v/>
      </c>
      <c r="L43" s="8">
        <f>IF(ISNA(MATCH(30,Engine!$C$2:$C$679,0)),"",INDEX('Compliance Database'!$L$2:$L$679,MATCH(30,Engine!$C$2:$C$679,0)))</f>
        <v/>
      </c>
      <c r="M43" s="8">
        <f>IF(ISNA(MATCH(30,Engine!$C$2:$C$679,0)),"",INDEX('Compliance Database'!$M$2:$M$679,MATCH(30,Engine!$C$2:$C$679,0)))</f>
        <v/>
      </c>
      <c r="N43" s="8">
        <f>IF(ISNA(MATCH(30,Engine!$C$2:$C$679,0)),"",INDEX('Compliance Database'!$N$2:$N$679,MATCH(30,Engine!$C$2:$C$679,0)))</f>
        <v/>
      </c>
      <c r="O43" s="8">
        <f>IF(ISNA(MATCH(30,Engine!$C$2:$C$679,0)),"",INDEX('Compliance Database'!$O$2:$O$679,MATCH(30,Engine!$C$2:$C$679,0)))</f>
        <v/>
      </c>
      <c r="P43">
        <f>IF(ISNA(MATCH(30,Engine!$C$2:$C$679,0)),"",HYPERLINK(INDEX('Compliance Database'!$P$2:$P$679,MATCH(30,Engine!$C$2:$C$679,0)),"Open PDF"))</f>
        <v/>
      </c>
    </row>
    <row r="44">
      <c r="A44">
        <f>IF(ISNA(MATCH(31,Engine!$C$2:$C$679,0)),"",INDEX('Compliance Database'!$A$2:$A$679,MATCH(31,Engine!$C$2:$C$679,0)))</f>
        <v/>
      </c>
      <c r="B44">
        <f>IF(ISNA(MATCH(31,Engine!$C$2:$C$679,0)),"",INDEX('Compliance Database'!$B$2:$B$679,MATCH(31,Engine!$C$2:$C$679,0)))</f>
        <v/>
      </c>
      <c r="C44">
        <f>IF(ISNA(MATCH(31,Engine!$C$2:$C$679,0)),"",INDEX('Compliance Database'!$C$2:$C$679,MATCH(31,Engine!$C$2:$C$679,0)))</f>
        <v/>
      </c>
      <c r="D44" s="8">
        <f>IF(ISNA(MATCH(31,Engine!$C$2:$C$679,0)),"",INDEX('Compliance Database'!$D$2:$D$679,MATCH(31,Engine!$C$2:$C$679,0)))</f>
        <v/>
      </c>
      <c r="E44">
        <f>IF(ISNA(MATCH(31,Engine!$C$2:$C$679,0)),"",INDEX('Compliance Database'!$E$2:$E$679,MATCH(31,Engine!$C$2:$C$679,0)))</f>
        <v/>
      </c>
      <c r="F44">
        <f>IF(ISNA(MATCH(31,Engine!$C$2:$C$679,0)),"",INDEX('Compliance Database'!$F$2:$F$679,MATCH(31,Engine!$C$2:$C$679,0)))</f>
        <v/>
      </c>
      <c r="G44">
        <f>IF(ISNA(MATCH(31,Engine!$C$2:$C$679,0)),"",INDEX('Compliance Database'!$G$2:$G$679,MATCH(31,Engine!$C$2:$C$679,0)))</f>
        <v/>
      </c>
      <c r="H44">
        <f>IF(ISNA(MATCH(31,Engine!$C$2:$C$679,0)),"",INDEX('Compliance Database'!$H$2:$H$679,MATCH(31,Engine!$C$2:$C$679,0)))</f>
        <v/>
      </c>
      <c r="I44" s="8">
        <f>IF(ISNA(MATCH(31,Engine!$C$2:$C$679,0)),"",INDEX('Compliance Database'!$I$2:$I$679,MATCH(31,Engine!$C$2:$C$679,0)))</f>
        <v/>
      </c>
      <c r="J44" s="8">
        <f>IF(ISNA(MATCH(31,Engine!$C$2:$C$679,0)),"",INDEX('Compliance Database'!$J$2:$J$679,MATCH(31,Engine!$C$2:$C$679,0)))</f>
        <v/>
      </c>
      <c r="K44">
        <f>IF(ISNA(MATCH(31,Engine!$C$2:$C$679,0)),"",INDEX('Compliance Database'!$K$2:$K$679,MATCH(31,Engine!$C$2:$C$679,0)))</f>
        <v/>
      </c>
      <c r="L44" s="8">
        <f>IF(ISNA(MATCH(31,Engine!$C$2:$C$679,0)),"",INDEX('Compliance Database'!$L$2:$L$679,MATCH(31,Engine!$C$2:$C$679,0)))</f>
        <v/>
      </c>
      <c r="M44" s="8">
        <f>IF(ISNA(MATCH(31,Engine!$C$2:$C$679,0)),"",INDEX('Compliance Database'!$M$2:$M$679,MATCH(31,Engine!$C$2:$C$679,0)))</f>
        <v/>
      </c>
      <c r="N44" s="8">
        <f>IF(ISNA(MATCH(31,Engine!$C$2:$C$679,0)),"",INDEX('Compliance Database'!$N$2:$N$679,MATCH(31,Engine!$C$2:$C$679,0)))</f>
        <v/>
      </c>
      <c r="O44" s="8">
        <f>IF(ISNA(MATCH(31,Engine!$C$2:$C$679,0)),"",INDEX('Compliance Database'!$O$2:$O$679,MATCH(31,Engine!$C$2:$C$679,0)))</f>
        <v/>
      </c>
      <c r="P44">
        <f>IF(ISNA(MATCH(31,Engine!$C$2:$C$679,0)),"",HYPERLINK(INDEX('Compliance Database'!$P$2:$P$679,MATCH(31,Engine!$C$2:$C$679,0)),"Open PDF"))</f>
        <v/>
      </c>
    </row>
    <row r="45">
      <c r="A45">
        <f>IF(ISNA(MATCH(32,Engine!$C$2:$C$679,0)),"",INDEX('Compliance Database'!$A$2:$A$679,MATCH(32,Engine!$C$2:$C$679,0)))</f>
        <v/>
      </c>
      <c r="B45">
        <f>IF(ISNA(MATCH(32,Engine!$C$2:$C$679,0)),"",INDEX('Compliance Database'!$B$2:$B$679,MATCH(32,Engine!$C$2:$C$679,0)))</f>
        <v/>
      </c>
      <c r="C45">
        <f>IF(ISNA(MATCH(32,Engine!$C$2:$C$679,0)),"",INDEX('Compliance Database'!$C$2:$C$679,MATCH(32,Engine!$C$2:$C$679,0)))</f>
        <v/>
      </c>
      <c r="D45" s="8">
        <f>IF(ISNA(MATCH(32,Engine!$C$2:$C$679,0)),"",INDEX('Compliance Database'!$D$2:$D$679,MATCH(32,Engine!$C$2:$C$679,0)))</f>
        <v/>
      </c>
      <c r="E45">
        <f>IF(ISNA(MATCH(32,Engine!$C$2:$C$679,0)),"",INDEX('Compliance Database'!$E$2:$E$679,MATCH(32,Engine!$C$2:$C$679,0)))</f>
        <v/>
      </c>
      <c r="F45">
        <f>IF(ISNA(MATCH(32,Engine!$C$2:$C$679,0)),"",INDEX('Compliance Database'!$F$2:$F$679,MATCH(32,Engine!$C$2:$C$679,0)))</f>
        <v/>
      </c>
      <c r="G45">
        <f>IF(ISNA(MATCH(32,Engine!$C$2:$C$679,0)),"",INDEX('Compliance Database'!$G$2:$G$679,MATCH(32,Engine!$C$2:$C$679,0)))</f>
        <v/>
      </c>
      <c r="H45">
        <f>IF(ISNA(MATCH(32,Engine!$C$2:$C$679,0)),"",INDEX('Compliance Database'!$H$2:$H$679,MATCH(32,Engine!$C$2:$C$679,0)))</f>
        <v/>
      </c>
      <c r="I45" s="8">
        <f>IF(ISNA(MATCH(32,Engine!$C$2:$C$679,0)),"",INDEX('Compliance Database'!$I$2:$I$679,MATCH(32,Engine!$C$2:$C$679,0)))</f>
        <v/>
      </c>
      <c r="J45" s="8">
        <f>IF(ISNA(MATCH(32,Engine!$C$2:$C$679,0)),"",INDEX('Compliance Database'!$J$2:$J$679,MATCH(32,Engine!$C$2:$C$679,0)))</f>
        <v/>
      </c>
      <c r="K45">
        <f>IF(ISNA(MATCH(32,Engine!$C$2:$C$679,0)),"",INDEX('Compliance Database'!$K$2:$K$679,MATCH(32,Engine!$C$2:$C$679,0)))</f>
        <v/>
      </c>
      <c r="L45" s="8">
        <f>IF(ISNA(MATCH(32,Engine!$C$2:$C$679,0)),"",INDEX('Compliance Database'!$L$2:$L$679,MATCH(32,Engine!$C$2:$C$679,0)))</f>
        <v/>
      </c>
      <c r="M45" s="8">
        <f>IF(ISNA(MATCH(32,Engine!$C$2:$C$679,0)),"",INDEX('Compliance Database'!$M$2:$M$679,MATCH(32,Engine!$C$2:$C$679,0)))</f>
        <v/>
      </c>
      <c r="N45" s="8">
        <f>IF(ISNA(MATCH(32,Engine!$C$2:$C$679,0)),"",INDEX('Compliance Database'!$N$2:$N$679,MATCH(32,Engine!$C$2:$C$679,0)))</f>
        <v/>
      </c>
      <c r="O45" s="8">
        <f>IF(ISNA(MATCH(32,Engine!$C$2:$C$679,0)),"",INDEX('Compliance Database'!$O$2:$O$679,MATCH(32,Engine!$C$2:$C$679,0)))</f>
        <v/>
      </c>
      <c r="P45">
        <f>IF(ISNA(MATCH(32,Engine!$C$2:$C$679,0)),"",HYPERLINK(INDEX('Compliance Database'!$P$2:$P$679,MATCH(32,Engine!$C$2:$C$679,0)),"Open PDF"))</f>
        <v/>
      </c>
    </row>
    <row r="46">
      <c r="A46">
        <f>IF(ISNA(MATCH(33,Engine!$C$2:$C$679,0)),"",INDEX('Compliance Database'!$A$2:$A$679,MATCH(33,Engine!$C$2:$C$679,0)))</f>
        <v/>
      </c>
      <c r="B46">
        <f>IF(ISNA(MATCH(33,Engine!$C$2:$C$679,0)),"",INDEX('Compliance Database'!$B$2:$B$679,MATCH(33,Engine!$C$2:$C$679,0)))</f>
        <v/>
      </c>
      <c r="C46">
        <f>IF(ISNA(MATCH(33,Engine!$C$2:$C$679,0)),"",INDEX('Compliance Database'!$C$2:$C$679,MATCH(33,Engine!$C$2:$C$679,0)))</f>
        <v/>
      </c>
      <c r="D46" s="8">
        <f>IF(ISNA(MATCH(33,Engine!$C$2:$C$679,0)),"",INDEX('Compliance Database'!$D$2:$D$679,MATCH(33,Engine!$C$2:$C$679,0)))</f>
        <v/>
      </c>
      <c r="E46">
        <f>IF(ISNA(MATCH(33,Engine!$C$2:$C$679,0)),"",INDEX('Compliance Database'!$E$2:$E$679,MATCH(33,Engine!$C$2:$C$679,0)))</f>
        <v/>
      </c>
      <c r="F46">
        <f>IF(ISNA(MATCH(33,Engine!$C$2:$C$679,0)),"",INDEX('Compliance Database'!$F$2:$F$679,MATCH(33,Engine!$C$2:$C$679,0)))</f>
        <v/>
      </c>
      <c r="G46">
        <f>IF(ISNA(MATCH(33,Engine!$C$2:$C$679,0)),"",INDEX('Compliance Database'!$G$2:$G$679,MATCH(33,Engine!$C$2:$C$679,0)))</f>
        <v/>
      </c>
      <c r="H46">
        <f>IF(ISNA(MATCH(33,Engine!$C$2:$C$679,0)),"",INDEX('Compliance Database'!$H$2:$H$679,MATCH(33,Engine!$C$2:$C$679,0)))</f>
        <v/>
      </c>
      <c r="I46" s="8">
        <f>IF(ISNA(MATCH(33,Engine!$C$2:$C$679,0)),"",INDEX('Compliance Database'!$I$2:$I$679,MATCH(33,Engine!$C$2:$C$679,0)))</f>
        <v/>
      </c>
      <c r="J46" s="8">
        <f>IF(ISNA(MATCH(33,Engine!$C$2:$C$679,0)),"",INDEX('Compliance Database'!$J$2:$J$679,MATCH(33,Engine!$C$2:$C$679,0)))</f>
        <v/>
      </c>
      <c r="K46">
        <f>IF(ISNA(MATCH(33,Engine!$C$2:$C$679,0)),"",INDEX('Compliance Database'!$K$2:$K$679,MATCH(33,Engine!$C$2:$C$679,0)))</f>
        <v/>
      </c>
      <c r="L46" s="8">
        <f>IF(ISNA(MATCH(33,Engine!$C$2:$C$679,0)),"",INDEX('Compliance Database'!$L$2:$L$679,MATCH(33,Engine!$C$2:$C$679,0)))</f>
        <v/>
      </c>
      <c r="M46" s="8">
        <f>IF(ISNA(MATCH(33,Engine!$C$2:$C$679,0)),"",INDEX('Compliance Database'!$M$2:$M$679,MATCH(33,Engine!$C$2:$C$679,0)))</f>
        <v/>
      </c>
      <c r="N46" s="8">
        <f>IF(ISNA(MATCH(33,Engine!$C$2:$C$679,0)),"",INDEX('Compliance Database'!$N$2:$N$679,MATCH(33,Engine!$C$2:$C$679,0)))</f>
        <v/>
      </c>
      <c r="O46" s="8">
        <f>IF(ISNA(MATCH(33,Engine!$C$2:$C$679,0)),"",INDEX('Compliance Database'!$O$2:$O$679,MATCH(33,Engine!$C$2:$C$679,0)))</f>
        <v/>
      </c>
      <c r="P46">
        <f>IF(ISNA(MATCH(33,Engine!$C$2:$C$679,0)),"",HYPERLINK(INDEX('Compliance Database'!$P$2:$P$679,MATCH(33,Engine!$C$2:$C$679,0)),"Open PDF"))</f>
        <v/>
      </c>
    </row>
    <row r="47">
      <c r="A47">
        <f>IF(ISNA(MATCH(34,Engine!$C$2:$C$679,0)),"",INDEX('Compliance Database'!$A$2:$A$679,MATCH(34,Engine!$C$2:$C$679,0)))</f>
        <v/>
      </c>
      <c r="B47">
        <f>IF(ISNA(MATCH(34,Engine!$C$2:$C$679,0)),"",INDEX('Compliance Database'!$B$2:$B$679,MATCH(34,Engine!$C$2:$C$679,0)))</f>
        <v/>
      </c>
      <c r="C47">
        <f>IF(ISNA(MATCH(34,Engine!$C$2:$C$679,0)),"",INDEX('Compliance Database'!$C$2:$C$679,MATCH(34,Engine!$C$2:$C$679,0)))</f>
        <v/>
      </c>
      <c r="D47" s="8">
        <f>IF(ISNA(MATCH(34,Engine!$C$2:$C$679,0)),"",INDEX('Compliance Database'!$D$2:$D$679,MATCH(34,Engine!$C$2:$C$679,0)))</f>
        <v/>
      </c>
      <c r="E47">
        <f>IF(ISNA(MATCH(34,Engine!$C$2:$C$679,0)),"",INDEX('Compliance Database'!$E$2:$E$679,MATCH(34,Engine!$C$2:$C$679,0)))</f>
        <v/>
      </c>
      <c r="F47">
        <f>IF(ISNA(MATCH(34,Engine!$C$2:$C$679,0)),"",INDEX('Compliance Database'!$F$2:$F$679,MATCH(34,Engine!$C$2:$C$679,0)))</f>
        <v/>
      </c>
      <c r="G47">
        <f>IF(ISNA(MATCH(34,Engine!$C$2:$C$679,0)),"",INDEX('Compliance Database'!$G$2:$G$679,MATCH(34,Engine!$C$2:$C$679,0)))</f>
        <v/>
      </c>
      <c r="H47">
        <f>IF(ISNA(MATCH(34,Engine!$C$2:$C$679,0)),"",INDEX('Compliance Database'!$H$2:$H$679,MATCH(34,Engine!$C$2:$C$679,0)))</f>
        <v/>
      </c>
      <c r="I47" s="8">
        <f>IF(ISNA(MATCH(34,Engine!$C$2:$C$679,0)),"",INDEX('Compliance Database'!$I$2:$I$679,MATCH(34,Engine!$C$2:$C$679,0)))</f>
        <v/>
      </c>
      <c r="J47" s="8">
        <f>IF(ISNA(MATCH(34,Engine!$C$2:$C$679,0)),"",INDEX('Compliance Database'!$J$2:$J$679,MATCH(34,Engine!$C$2:$C$679,0)))</f>
        <v/>
      </c>
      <c r="K47">
        <f>IF(ISNA(MATCH(34,Engine!$C$2:$C$679,0)),"",INDEX('Compliance Database'!$K$2:$K$679,MATCH(34,Engine!$C$2:$C$679,0)))</f>
        <v/>
      </c>
      <c r="L47" s="8">
        <f>IF(ISNA(MATCH(34,Engine!$C$2:$C$679,0)),"",INDEX('Compliance Database'!$L$2:$L$679,MATCH(34,Engine!$C$2:$C$679,0)))</f>
        <v/>
      </c>
      <c r="M47" s="8">
        <f>IF(ISNA(MATCH(34,Engine!$C$2:$C$679,0)),"",INDEX('Compliance Database'!$M$2:$M$679,MATCH(34,Engine!$C$2:$C$679,0)))</f>
        <v/>
      </c>
      <c r="N47" s="8">
        <f>IF(ISNA(MATCH(34,Engine!$C$2:$C$679,0)),"",INDEX('Compliance Database'!$N$2:$N$679,MATCH(34,Engine!$C$2:$C$679,0)))</f>
        <v/>
      </c>
      <c r="O47" s="8">
        <f>IF(ISNA(MATCH(34,Engine!$C$2:$C$679,0)),"",INDEX('Compliance Database'!$O$2:$O$679,MATCH(34,Engine!$C$2:$C$679,0)))</f>
        <v/>
      </c>
      <c r="P47">
        <f>IF(ISNA(MATCH(34,Engine!$C$2:$C$679,0)),"",HYPERLINK(INDEX('Compliance Database'!$P$2:$P$679,MATCH(34,Engine!$C$2:$C$679,0)),"Open PDF"))</f>
        <v/>
      </c>
    </row>
    <row r="48">
      <c r="A48">
        <f>IF(ISNA(MATCH(35,Engine!$C$2:$C$679,0)),"",INDEX('Compliance Database'!$A$2:$A$679,MATCH(35,Engine!$C$2:$C$679,0)))</f>
        <v/>
      </c>
      <c r="B48">
        <f>IF(ISNA(MATCH(35,Engine!$C$2:$C$679,0)),"",INDEX('Compliance Database'!$B$2:$B$679,MATCH(35,Engine!$C$2:$C$679,0)))</f>
        <v/>
      </c>
      <c r="C48">
        <f>IF(ISNA(MATCH(35,Engine!$C$2:$C$679,0)),"",INDEX('Compliance Database'!$C$2:$C$679,MATCH(35,Engine!$C$2:$C$679,0)))</f>
        <v/>
      </c>
      <c r="D48" s="8">
        <f>IF(ISNA(MATCH(35,Engine!$C$2:$C$679,0)),"",INDEX('Compliance Database'!$D$2:$D$679,MATCH(35,Engine!$C$2:$C$679,0)))</f>
        <v/>
      </c>
      <c r="E48">
        <f>IF(ISNA(MATCH(35,Engine!$C$2:$C$679,0)),"",INDEX('Compliance Database'!$E$2:$E$679,MATCH(35,Engine!$C$2:$C$679,0)))</f>
        <v/>
      </c>
      <c r="F48">
        <f>IF(ISNA(MATCH(35,Engine!$C$2:$C$679,0)),"",INDEX('Compliance Database'!$F$2:$F$679,MATCH(35,Engine!$C$2:$C$679,0)))</f>
        <v/>
      </c>
      <c r="G48">
        <f>IF(ISNA(MATCH(35,Engine!$C$2:$C$679,0)),"",INDEX('Compliance Database'!$G$2:$G$679,MATCH(35,Engine!$C$2:$C$679,0)))</f>
        <v/>
      </c>
      <c r="H48">
        <f>IF(ISNA(MATCH(35,Engine!$C$2:$C$679,0)),"",INDEX('Compliance Database'!$H$2:$H$679,MATCH(35,Engine!$C$2:$C$679,0)))</f>
        <v/>
      </c>
      <c r="I48" s="8">
        <f>IF(ISNA(MATCH(35,Engine!$C$2:$C$679,0)),"",INDEX('Compliance Database'!$I$2:$I$679,MATCH(35,Engine!$C$2:$C$679,0)))</f>
        <v/>
      </c>
      <c r="J48" s="8">
        <f>IF(ISNA(MATCH(35,Engine!$C$2:$C$679,0)),"",INDEX('Compliance Database'!$J$2:$J$679,MATCH(35,Engine!$C$2:$C$679,0)))</f>
        <v/>
      </c>
      <c r="K48">
        <f>IF(ISNA(MATCH(35,Engine!$C$2:$C$679,0)),"",INDEX('Compliance Database'!$K$2:$K$679,MATCH(35,Engine!$C$2:$C$679,0)))</f>
        <v/>
      </c>
      <c r="L48" s="8">
        <f>IF(ISNA(MATCH(35,Engine!$C$2:$C$679,0)),"",INDEX('Compliance Database'!$L$2:$L$679,MATCH(35,Engine!$C$2:$C$679,0)))</f>
        <v/>
      </c>
      <c r="M48" s="8">
        <f>IF(ISNA(MATCH(35,Engine!$C$2:$C$679,0)),"",INDEX('Compliance Database'!$M$2:$M$679,MATCH(35,Engine!$C$2:$C$679,0)))</f>
        <v/>
      </c>
      <c r="N48" s="8">
        <f>IF(ISNA(MATCH(35,Engine!$C$2:$C$679,0)),"",INDEX('Compliance Database'!$N$2:$N$679,MATCH(35,Engine!$C$2:$C$679,0)))</f>
        <v/>
      </c>
      <c r="O48" s="8">
        <f>IF(ISNA(MATCH(35,Engine!$C$2:$C$679,0)),"",INDEX('Compliance Database'!$O$2:$O$679,MATCH(35,Engine!$C$2:$C$679,0)))</f>
        <v/>
      </c>
      <c r="P48">
        <f>IF(ISNA(MATCH(35,Engine!$C$2:$C$679,0)),"",HYPERLINK(INDEX('Compliance Database'!$P$2:$P$679,MATCH(35,Engine!$C$2:$C$679,0)),"Open PDF"))</f>
        <v/>
      </c>
    </row>
    <row r="49">
      <c r="A49">
        <f>IF(ISNA(MATCH(36,Engine!$C$2:$C$679,0)),"",INDEX('Compliance Database'!$A$2:$A$679,MATCH(36,Engine!$C$2:$C$679,0)))</f>
        <v/>
      </c>
      <c r="B49">
        <f>IF(ISNA(MATCH(36,Engine!$C$2:$C$679,0)),"",INDEX('Compliance Database'!$B$2:$B$679,MATCH(36,Engine!$C$2:$C$679,0)))</f>
        <v/>
      </c>
      <c r="C49">
        <f>IF(ISNA(MATCH(36,Engine!$C$2:$C$679,0)),"",INDEX('Compliance Database'!$C$2:$C$679,MATCH(36,Engine!$C$2:$C$679,0)))</f>
        <v/>
      </c>
      <c r="D49" s="8">
        <f>IF(ISNA(MATCH(36,Engine!$C$2:$C$679,0)),"",INDEX('Compliance Database'!$D$2:$D$679,MATCH(36,Engine!$C$2:$C$679,0)))</f>
        <v/>
      </c>
      <c r="E49">
        <f>IF(ISNA(MATCH(36,Engine!$C$2:$C$679,0)),"",INDEX('Compliance Database'!$E$2:$E$679,MATCH(36,Engine!$C$2:$C$679,0)))</f>
        <v/>
      </c>
      <c r="F49">
        <f>IF(ISNA(MATCH(36,Engine!$C$2:$C$679,0)),"",INDEX('Compliance Database'!$F$2:$F$679,MATCH(36,Engine!$C$2:$C$679,0)))</f>
        <v/>
      </c>
      <c r="G49">
        <f>IF(ISNA(MATCH(36,Engine!$C$2:$C$679,0)),"",INDEX('Compliance Database'!$G$2:$G$679,MATCH(36,Engine!$C$2:$C$679,0)))</f>
        <v/>
      </c>
      <c r="H49">
        <f>IF(ISNA(MATCH(36,Engine!$C$2:$C$679,0)),"",INDEX('Compliance Database'!$H$2:$H$679,MATCH(36,Engine!$C$2:$C$679,0)))</f>
        <v/>
      </c>
      <c r="I49" s="8">
        <f>IF(ISNA(MATCH(36,Engine!$C$2:$C$679,0)),"",INDEX('Compliance Database'!$I$2:$I$679,MATCH(36,Engine!$C$2:$C$679,0)))</f>
        <v/>
      </c>
      <c r="J49" s="8">
        <f>IF(ISNA(MATCH(36,Engine!$C$2:$C$679,0)),"",INDEX('Compliance Database'!$J$2:$J$679,MATCH(36,Engine!$C$2:$C$679,0)))</f>
        <v/>
      </c>
      <c r="K49">
        <f>IF(ISNA(MATCH(36,Engine!$C$2:$C$679,0)),"",INDEX('Compliance Database'!$K$2:$K$679,MATCH(36,Engine!$C$2:$C$679,0)))</f>
        <v/>
      </c>
      <c r="L49" s="8">
        <f>IF(ISNA(MATCH(36,Engine!$C$2:$C$679,0)),"",INDEX('Compliance Database'!$L$2:$L$679,MATCH(36,Engine!$C$2:$C$679,0)))</f>
        <v/>
      </c>
      <c r="M49" s="8">
        <f>IF(ISNA(MATCH(36,Engine!$C$2:$C$679,0)),"",INDEX('Compliance Database'!$M$2:$M$679,MATCH(36,Engine!$C$2:$C$679,0)))</f>
        <v/>
      </c>
      <c r="N49" s="8">
        <f>IF(ISNA(MATCH(36,Engine!$C$2:$C$679,0)),"",INDEX('Compliance Database'!$N$2:$N$679,MATCH(36,Engine!$C$2:$C$679,0)))</f>
        <v/>
      </c>
      <c r="O49" s="8">
        <f>IF(ISNA(MATCH(36,Engine!$C$2:$C$679,0)),"",INDEX('Compliance Database'!$O$2:$O$679,MATCH(36,Engine!$C$2:$C$679,0)))</f>
        <v/>
      </c>
      <c r="P49">
        <f>IF(ISNA(MATCH(36,Engine!$C$2:$C$679,0)),"",HYPERLINK(INDEX('Compliance Database'!$P$2:$P$679,MATCH(36,Engine!$C$2:$C$679,0)),"Open PDF"))</f>
        <v/>
      </c>
    </row>
    <row r="50">
      <c r="A50">
        <f>IF(ISNA(MATCH(37,Engine!$C$2:$C$679,0)),"",INDEX('Compliance Database'!$A$2:$A$679,MATCH(37,Engine!$C$2:$C$679,0)))</f>
        <v/>
      </c>
      <c r="B50">
        <f>IF(ISNA(MATCH(37,Engine!$C$2:$C$679,0)),"",INDEX('Compliance Database'!$B$2:$B$679,MATCH(37,Engine!$C$2:$C$679,0)))</f>
        <v/>
      </c>
      <c r="C50">
        <f>IF(ISNA(MATCH(37,Engine!$C$2:$C$679,0)),"",INDEX('Compliance Database'!$C$2:$C$679,MATCH(37,Engine!$C$2:$C$679,0)))</f>
        <v/>
      </c>
      <c r="D50" s="8">
        <f>IF(ISNA(MATCH(37,Engine!$C$2:$C$679,0)),"",INDEX('Compliance Database'!$D$2:$D$679,MATCH(37,Engine!$C$2:$C$679,0)))</f>
        <v/>
      </c>
      <c r="E50">
        <f>IF(ISNA(MATCH(37,Engine!$C$2:$C$679,0)),"",INDEX('Compliance Database'!$E$2:$E$679,MATCH(37,Engine!$C$2:$C$679,0)))</f>
        <v/>
      </c>
      <c r="F50">
        <f>IF(ISNA(MATCH(37,Engine!$C$2:$C$679,0)),"",INDEX('Compliance Database'!$F$2:$F$679,MATCH(37,Engine!$C$2:$C$679,0)))</f>
        <v/>
      </c>
      <c r="G50">
        <f>IF(ISNA(MATCH(37,Engine!$C$2:$C$679,0)),"",INDEX('Compliance Database'!$G$2:$G$679,MATCH(37,Engine!$C$2:$C$679,0)))</f>
        <v/>
      </c>
      <c r="H50">
        <f>IF(ISNA(MATCH(37,Engine!$C$2:$C$679,0)),"",INDEX('Compliance Database'!$H$2:$H$679,MATCH(37,Engine!$C$2:$C$679,0)))</f>
        <v/>
      </c>
      <c r="I50" s="8">
        <f>IF(ISNA(MATCH(37,Engine!$C$2:$C$679,0)),"",INDEX('Compliance Database'!$I$2:$I$679,MATCH(37,Engine!$C$2:$C$679,0)))</f>
        <v/>
      </c>
      <c r="J50" s="8">
        <f>IF(ISNA(MATCH(37,Engine!$C$2:$C$679,0)),"",INDEX('Compliance Database'!$J$2:$J$679,MATCH(37,Engine!$C$2:$C$679,0)))</f>
        <v/>
      </c>
      <c r="K50">
        <f>IF(ISNA(MATCH(37,Engine!$C$2:$C$679,0)),"",INDEX('Compliance Database'!$K$2:$K$679,MATCH(37,Engine!$C$2:$C$679,0)))</f>
        <v/>
      </c>
      <c r="L50" s="8">
        <f>IF(ISNA(MATCH(37,Engine!$C$2:$C$679,0)),"",INDEX('Compliance Database'!$L$2:$L$679,MATCH(37,Engine!$C$2:$C$679,0)))</f>
        <v/>
      </c>
      <c r="M50" s="8">
        <f>IF(ISNA(MATCH(37,Engine!$C$2:$C$679,0)),"",INDEX('Compliance Database'!$M$2:$M$679,MATCH(37,Engine!$C$2:$C$679,0)))</f>
        <v/>
      </c>
      <c r="N50" s="8">
        <f>IF(ISNA(MATCH(37,Engine!$C$2:$C$679,0)),"",INDEX('Compliance Database'!$N$2:$N$679,MATCH(37,Engine!$C$2:$C$679,0)))</f>
        <v/>
      </c>
      <c r="O50" s="8">
        <f>IF(ISNA(MATCH(37,Engine!$C$2:$C$679,0)),"",INDEX('Compliance Database'!$O$2:$O$679,MATCH(37,Engine!$C$2:$C$679,0)))</f>
        <v/>
      </c>
      <c r="P50">
        <f>IF(ISNA(MATCH(37,Engine!$C$2:$C$679,0)),"",HYPERLINK(INDEX('Compliance Database'!$P$2:$P$679,MATCH(37,Engine!$C$2:$C$679,0)),"Open PDF"))</f>
        <v/>
      </c>
    </row>
    <row r="51">
      <c r="A51">
        <f>IF(ISNA(MATCH(38,Engine!$C$2:$C$679,0)),"",INDEX('Compliance Database'!$A$2:$A$679,MATCH(38,Engine!$C$2:$C$679,0)))</f>
        <v/>
      </c>
      <c r="B51">
        <f>IF(ISNA(MATCH(38,Engine!$C$2:$C$679,0)),"",INDEX('Compliance Database'!$B$2:$B$679,MATCH(38,Engine!$C$2:$C$679,0)))</f>
        <v/>
      </c>
      <c r="C51">
        <f>IF(ISNA(MATCH(38,Engine!$C$2:$C$679,0)),"",INDEX('Compliance Database'!$C$2:$C$679,MATCH(38,Engine!$C$2:$C$679,0)))</f>
        <v/>
      </c>
      <c r="D51" s="8">
        <f>IF(ISNA(MATCH(38,Engine!$C$2:$C$679,0)),"",INDEX('Compliance Database'!$D$2:$D$679,MATCH(38,Engine!$C$2:$C$679,0)))</f>
        <v/>
      </c>
      <c r="E51">
        <f>IF(ISNA(MATCH(38,Engine!$C$2:$C$679,0)),"",INDEX('Compliance Database'!$E$2:$E$679,MATCH(38,Engine!$C$2:$C$679,0)))</f>
        <v/>
      </c>
      <c r="F51">
        <f>IF(ISNA(MATCH(38,Engine!$C$2:$C$679,0)),"",INDEX('Compliance Database'!$F$2:$F$679,MATCH(38,Engine!$C$2:$C$679,0)))</f>
        <v/>
      </c>
      <c r="G51">
        <f>IF(ISNA(MATCH(38,Engine!$C$2:$C$679,0)),"",INDEX('Compliance Database'!$G$2:$G$679,MATCH(38,Engine!$C$2:$C$679,0)))</f>
        <v/>
      </c>
      <c r="H51">
        <f>IF(ISNA(MATCH(38,Engine!$C$2:$C$679,0)),"",INDEX('Compliance Database'!$H$2:$H$679,MATCH(38,Engine!$C$2:$C$679,0)))</f>
        <v/>
      </c>
      <c r="I51" s="8">
        <f>IF(ISNA(MATCH(38,Engine!$C$2:$C$679,0)),"",INDEX('Compliance Database'!$I$2:$I$679,MATCH(38,Engine!$C$2:$C$679,0)))</f>
        <v/>
      </c>
      <c r="J51" s="8">
        <f>IF(ISNA(MATCH(38,Engine!$C$2:$C$679,0)),"",INDEX('Compliance Database'!$J$2:$J$679,MATCH(38,Engine!$C$2:$C$679,0)))</f>
        <v/>
      </c>
      <c r="K51">
        <f>IF(ISNA(MATCH(38,Engine!$C$2:$C$679,0)),"",INDEX('Compliance Database'!$K$2:$K$679,MATCH(38,Engine!$C$2:$C$679,0)))</f>
        <v/>
      </c>
      <c r="L51" s="8">
        <f>IF(ISNA(MATCH(38,Engine!$C$2:$C$679,0)),"",INDEX('Compliance Database'!$L$2:$L$679,MATCH(38,Engine!$C$2:$C$679,0)))</f>
        <v/>
      </c>
      <c r="M51" s="8">
        <f>IF(ISNA(MATCH(38,Engine!$C$2:$C$679,0)),"",INDEX('Compliance Database'!$M$2:$M$679,MATCH(38,Engine!$C$2:$C$679,0)))</f>
        <v/>
      </c>
      <c r="N51" s="8">
        <f>IF(ISNA(MATCH(38,Engine!$C$2:$C$679,0)),"",INDEX('Compliance Database'!$N$2:$N$679,MATCH(38,Engine!$C$2:$C$679,0)))</f>
        <v/>
      </c>
      <c r="O51" s="8">
        <f>IF(ISNA(MATCH(38,Engine!$C$2:$C$679,0)),"",INDEX('Compliance Database'!$O$2:$O$679,MATCH(38,Engine!$C$2:$C$679,0)))</f>
        <v/>
      </c>
      <c r="P51">
        <f>IF(ISNA(MATCH(38,Engine!$C$2:$C$679,0)),"",HYPERLINK(INDEX('Compliance Database'!$P$2:$P$679,MATCH(38,Engine!$C$2:$C$679,0)),"Open PDF"))</f>
        <v/>
      </c>
    </row>
    <row r="52">
      <c r="A52">
        <f>IF(ISNA(MATCH(39,Engine!$C$2:$C$679,0)),"",INDEX('Compliance Database'!$A$2:$A$679,MATCH(39,Engine!$C$2:$C$679,0)))</f>
        <v/>
      </c>
      <c r="B52">
        <f>IF(ISNA(MATCH(39,Engine!$C$2:$C$679,0)),"",INDEX('Compliance Database'!$B$2:$B$679,MATCH(39,Engine!$C$2:$C$679,0)))</f>
        <v/>
      </c>
      <c r="C52">
        <f>IF(ISNA(MATCH(39,Engine!$C$2:$C$679,0)),"",INDEX('Compliance Database'!$C$2:$C$679,MATCH(39,Engine!$C$2:$C$679,0)))</f>
        <v/>
      </c>
      <c r="D52" s="8">
        <f>IF(ISNA(MATCH(39,Engine!$C$2:$C$679,0)),"",INDEX('Compliance Database'!$D$2:$D$679,MATCH(39,Engine!$C$2:$C$679,0)))</f>
        <v/>
      </c>
      <c r="E52">
        <f>IF(ISNA(MATCH(39,Engine!$C$2:$C$679,0)),"",INDEX('Compliance Database'!$E$2:$E$679,MATCH(39,Engine!$C$2:$C$679,0)))</f>
        <v/>
      </c>
      <c r="F52">
        <f>IF(ISNA(MATCH(39,Engine!$C$2:$C$679,0)),"",INDEX('Compliance Database'!$F$2:$F$679,MATCH(39,Engine!$C$2:$C$679,0)))</f>
        <v/>
      </c>
      <c r="G52">
        <f>IF(ISNA(MATCH(39,Engine!$C$2:$C$679,0)),"",INDEX('Compliance Database'!$G$2:$G$679,MATCH(39,Engine!$C$2:$C$679,0)))</f>
        <v/>
      </c>
      <c r="H52">
        <f>IF(ISNA(MATCH(39,Engine!$C$2:$C$679,0)),"",INDEX('Compliance Database'!$H$2:$H$679,MATCH(39,Engine!$C$2:$C$679,0)))</f>
        <v/>
      </c>
      <c r="I52" s="8">
        <f>IF(ISNA(MATCH(39,Engine!$C$2:$C$679,0)),"",INDEX('Compliance Database'!$I$2:$I$679,MATCH(39,Engine!$C$2:$C$679,0)))</f>
        <v/>
      </c>
      <c r="J52" s="8">
        <f>IF(ISNA(MATCH(39,Engine!$C$2:$C$679,0)),"",INDEX('Compliance Database'!$J$2:$J$679,MATCH(39,Engine!$C$2:$C$679,0)))</f>
        <v/>
      </c>
      <c r="K52">
        <f>IF(ISNA(MATCH(39,Engine!$C$2:$C$679,0)),"",INDEX('Compliance Database'!$K$2:$K$679,MATCH(39,Engine!$C$2:$C$679,0)))</f>
        <v/>
      </c>
      <c r="L52" s="8">
        <f>IF(ISNA(MATCH(39,Engine!$C$2:$C$679,0)),"",INDEX('Compliance Database'!$L$2:$L$679,MATCH(39,Engine!$C$2:$C$679,0)))</f>
        <v/>
      </c>
      <c r="M52" s="8">
        <f>IF(ISNA(MATCH(39,Engine!$C$2:$C$679,0)),"",INDEX('Compliance Database'!$M$2:$M$679,MATCH(39,Engine!$C$2:$C$679,0)))</f>
        <v/>
      </c>
      <c r="N52" s="8">
        <f>IF(ISNA(MATCH(39,Engine!$C$2:$C$679,0)),"",INDEX('Compliance Database'!$N$2:$N$679,MATCH(39,Engine!$C$2:$C$679,0)))</f>
        <v/>
      </c>
      <c r="O52" s="8">
        <f>IF(ISNA(MATCH(39,Engine!$C$2:$C$679,0)),"",INDEX('Compliance Database'!$O$2:$O$679,MATCH(39,Engine!$C$2:$C$679,0)))</f>
        <v/>
      </c>
      <c r="P52">
        <f>IF(ISNA(MATCH(39,Engine!$C$2:$C$679,0)),"",HYPERLINK(INDEX('Compliance Database'!$P$2:$P$679,MATCH(39,Engine!$C$2:$C$679,0)),"Open PDF"))</f>
        <v/>
      </c>
    </row>
    <row r="53">
      <c r="A53">
        <f>IF(ISNA(MATCH(40,Engine!$C$2:$C$679,0)),"",INDEX('Compliance Database'!$A$2:$A$679,MATCH(40,Engine!$C$2:$C$679,0)))</f>
        <v/>
      </c>
      <c r="B53">
        <f>IF(ISNA(MATCH(40,Engine!$C$2:$C$679,0)),"",INDEX('Compliance Database'!$B$2:$B$679,MATCH(40,Engine!$C$2:$C$679,0)))</f>
        <v/>
      </c>
      <c r="C53">
        <f>IF(ISNA(MATCH(40,Engine!$C$2:$C$679,0)),"",INDEX('Compliance Database'!$C$2:$C$679,MATCH(40,Engine!$C$2:$C$679,0)))</f>
        <v/>
      </c>
      <c r="D53" s="8">
        <f>IF(ISNA(MATCH(40,Engine!$C$2:$C$679,0)),"",INDEX('Compliance Database'!$D$2:$D$679,MATCH(40,Engine!$C$2:$C$679,0)))</f>
        <v/>
      </c>
      <c r="E53">
        <f>IF(ISNA(MATCH(40,Engine!$C$2:$C$679,0)),"",INDEX('Compliance Database'!$E$2:$E$679,MATCH(40,Engine!$C$2:$C$679,0)))</f>
        <v/>
      </c>
      <c r="F53">
        <f>IF(ISNA(MATCH(40,Engine!$C$2:$C$679,0)),"",INDEX('Compliance Database'!$F$2:$F$679,MATCH(40,Engine!$C$2:$C$679,0)))</f>
        <v/>
      </c>
      <c r="G53">
        <f>IF(ISNA(MATCH(40,Engine!$C$2:$C$679,0)),"",INDEX('Compliance Database'!$G$2:$G$679,MATCH(40,Engine!$C$2:$C$679,0)))</f>
        <v/>
      </c>
      <c r="H53">
        <f>IF(ISNA(MATCH(40,Engine!$C$2:$C$679,0)),"",INDEX('Compliance Database'!$H$2:$H$679,MATCH(40,Engine!$C$2:$C$679,0)))</f>
        <v/>
      </c>
      <c r="I53" s="8">
        <f>IF(ISNA(MATCH(40,Engine!$C$2:$C$679,0)),"",INDEX('Compliance Database'!$I$2:$I$679,MATCH(40,Engine!$C$2:$C$679,0)))</f>
        <v/>
      </c>
      <c r="J53" s="8">
        <f>IF(ISNA(MATCH(40,Engine!$C$2:$C$679,0)),"",INDEX('Compliance Database'!$J$2:$J$679,MATCH(40,Engine!$C$2:$C$679,0)))</f>
        <v/>
      </c>
      <c r="K53">
        <f>IF(ISNA(MATCH(40,Engine!$C$2:$C$679,0)),"",INDEX('Compliance Database'!$K$2:$K$679,MATCH(40,Engine!$C$2:$C$679,0)))</f>
        <v/>
      </c>
      <c r="L53" s="8">
        <f>IF(ISNA(MATCH(40,Engine!$C$2:$C$679,0)),"",INDEX('Compliance Database'!$L$2:$L$679,MATCH(40,Engine!$C$2:$C$679,0)))</f>
        <v/>
      </c>
      <c r="M53" s="8">
        <f>IF(ISNA(MATCH(40,Engine!$C$2:$C$679,0)),"",INDEX('Compliance Database'!$M$2:$M$679,MATCH(40,Engine!$C$2:$C$679,0)))</f>
        <v/>
      </c>
      <c r="N53" s="8">
        <f>IF(ISNA(MATCH(40,Engine!$C$2:$C$679,0)),"",INDEX('Compliance Database'!$N$2:$N$679,MATCH(40,Engine!$C$2:$C$679,0)))</f>
        <v/>
      </c>
      <c r="O53" s="8">
        <f>IF(ISNA(MATCH(40,Engine!$C$2:$C$679,0)),"",INDEX('Compliance Database'!$O$2:$O$679,MATCH(40,Engine!$C$2:$C$679,0)))</f>
        <v/>
      </c>
      <c r="P53">
        <f>IF(ISNA(MATCH(40,Engine!$C$2:$C$679,0)),"",HYPERLINK(INDEX('Compliance Database'!$P$2:$P$679,MATCH(40,Engine!$C$2:$C$679,0)),"Open PDF"))</f>
        <v/>
      </c>
    </row>
    <row r="54">
      <c r="A54">
        <f>IF(ISNA(MATCH(41,Engine!$C$2:$C$679,0)),"",INDEX('Compliance Database'!$A$2:$A$679,MATCH(41,Engine!$C$2:$C$679,0)))</f>
        <v/>
      </c>
      <c r="B54">
        <f>IF(ISNA(MATCH(41,Engine!$C$2:$C$679,0)),"",INDEX('Compliance Database'!$B$2:$B$679,MATCH(41,Engine!$C$2:$C$679,0)))</f>
        <v/>
      </c>
      <c r="C54">
        <f>IF(ISNA(MATCH(41,Engine!$C$2:$C$679,0)),"",INDEX('Compliance Database'!$C$2:$C$679,MATCH(41,Engine!$C$2:$C$679,0)))</f>
        <v/>
      </c>
      <c r="D54" s="8">
        <f>IF(ISNA(MATCH(41,Engine!$C$2:$C$679,0)),"",INDEX('Compliance Database'!$D$2:$D$679,MATCH(41,Engine!$C$2:$C$679,0)))</f>
        <v/>
      </c>
      <c r="E54">
        <f>IF(ISNA(MATCH(41,Engine!$C$2:$C$679,0)),"",INDEX('Compliance Database'!$E$2:$E$679,MATCH(41,Engine!$C$2:$C$679,0)))</f>
        <v/>
      </c>
      <c r="F54">
        <f>IF(ISNA(MATCH(41,Engine!$C$2:$C$679,0)),"",INDEX('Compliance Database'!$F$2:$F$679,MATCH(41,Engine!$C$2:$C$679,0)))</f>
        <v/>
      </c>
      <c r="G54">
        <f>IF(ISNA(MATCH(41,Engine!$C$2:$C$679,0)),"",INDEX('Compliance Database'!$G$2:$G$679,MATCH(41,Engine!$C$2:$C$679,0)))</f>
        <v/>
      </c>
      <c r="H54">
        <f>IF(ISNA(MATCH(41,Engine!$C$2:$C$679,0)),"",INDEX('Compliance Database'!$H$2:$H$679,MATCH(41,Engine!$C$2:$C$679,0)))</f>
        <v/>
      </c>
      <c r="I54" s="8">
        <f>IF(ISNA(MATCH(41,Engine!$C$2:$C$679,0)),"",INDEX('Compliance Database'!$I$2:$I$679,MATCH(41,Engine!$C$2:$C$679,0)))</f>
        <v/>
      </c>
      <c r="J54" s="8">
        <f>IF(ISNA(MATCH(41,Engine!$C$2:$C$679,0)),"",INDEX('Compliance Database'!$J$2:$J$679,MATCH(41,Engine!$C$2:$C$679,0)))</f>
        <v/>
      </c>
      <c r="K54">
        <f>IF(ISNA(MATCH(41,Engine!$C$2:$C$679,0)),"",INDEX('Compliance Database'!$K$2:$K$679,MATCH(41,Engine!$C$2:$C$679,0)))</f>
        <v/>
      </c>
      <c r="L54" s="8">
        <f>IF(ISNA(MATCH(41,Engine!$C$2:$C$679,0)),"",INDEX('Compliance Database'!$L$2:$L$679,MATCH(41,Engine!$C$2:$C$679,0)))</f>
        <v/>
      </c>
      <c r="M54" s="8">
        <f>IF(ISNA(MATCH(41,Engine!$C$2:$C$679,0)),"",INDEX('Compliance Database'!$M$2:$M$679,MATCH(41,Engine!$C$2:$C$679,0)))</f>
        <v/>
      </c>
      <c r="N54" s="8">
        <f>IF(ISNA(MATCH(41,Engine!$C$2:$C$679,0)),"",INDEX('Compliance Database'!$N$2:$N$679,MATCH(41,Engine!$C$2:$C$679,0)))</f>
        <v/>
      </c>
      <c r="O54" s="8">
        <f>IF(ISNA(MATCH(41,Engine!$C$2:$C$679,0)),"",INDEX('Compliance Database'!$O$2:$O$679,MATCH(41,Engine!$C$2:$C$679,0)))</f>
        <v/>
      </c>
      <c r="P54">
        <f>IF(ISNA(MATCH(41,Engine!$C$2:$C$679,0)),"",HYPERLINK(INDEX('Compliance Database'!$P$2:$P$679,MATCH(41,Engine!$C$2:$C$679,0)),"Open PDF"))</f>
        <v/>
      </c>
    </row>
    <row r="55">
      <c r="A55">
        <f>IF(ISNA(MATCH(42,Engine!$C$2:$C$679,0)),"",INDEX('Compliance Database'!$A$2:$A$679,MATCH(42,Engine!$C$2:$C$679,0)))</f>
        <v/>
      </c>
      <c r="B55">
        <f>IF(ISNA(MATCH(42,Engine!$C$2:$C$679,0)),"",INDEX('Compliance Database'!$B$2:$B$679,MATCH(42,Engine!$C$2:$C$679,0)))</f>
        <v/>
      </c>
      <c r="C55">
        <f>IF(ISNA(MATCH(42,Engine!$C$2:$C$679,0)),"",INDEX('Compliance Database'!$C$2:$C$679,MATCH(42,Engine!$C$2:$C$679,0)))</f>
        <v/>
      </c>
      <c r="D55" s="8">
        <f>IF(ISNA(MATCH(42,Engine!$C$2:$C$679,0)),"",INDEX('Compliance Database'!$D$2:$D$679,MATCH(42,Engine!$C$2:$C$679,0)))</f>
        <v/>
      </c>
      <c r="E55">
        <f>IF(ISNA(MATCH(42,Engine!$C$2:$C$679,0)),"",INDEX('Compliance Database'!$E$2:$E$679,MATCH(42,Engine!$C$2:$C$679,0)))</f>
        <v/>
      </c>
      <c r="F55">
        <f>IF(ISNA(MATCH(42,Engine!$C$2:$C$679,0)),"",INDEX('Compliance Database'!$F$2:$F$679,MATCH(42,Engine!$C$2:$C$679,0)))</f>
        <v/>
      </c>
      <c r="G55">
        <f>IF(ISNA(MATCH(42,Engine!$C$2:$C$679,0)),"",INDEX('Compliance Database'!$G$2:$G$679,MATCH(42,Engine!$C$2:$C$679,0)))</f>
        <v/>
      </c>
      <c r="H55">
        <f>IF(ISNA(MATCH(42,Engine!$C$2:$C$679,0)),"",INDEX('Compliance Database'!$H$2:$H$679,MATCH(42,Engine!$C$2:$C$679,0)))</f>
        <v/>
      </c>
      <c r="I55" s="8">
        <f>IF(ISNA(MATCH(42,Engine!$C$2:$C$679,0)),"",INDEX('Compliance Database'!$I$2:$I$679,MATCH(42,Engine!$C$2:$C$679,0)))</f>
        <v/>
      </c>
      <c r="J55" s="8">
        <f>IF(ISNA(MATCH(42,Engine!$C$2:$C$679,0)),"",INDEX('Compliance Database'!$J$2:$J$679,MATCH(42,Engine!$C$2:$C$679,0)))</f>
        <v/>
      </c>
      <c r="K55">
        <f>IF(ISNA(MATCH(42,Engine!$C$2:$C$679,0)),"",INDEX('Compliance Database'!$K$2:$K$679,MATCH(42,Engine!$C$2:$C$679,0)))</f>
        <v/>
      </c>
      <c r="L55" s="8">
        <f>IF(ISNA(MATCH(42,Engine!$C$2:$C$679,0)),"",INDEX('Compliance Database'!$L$2:$L$679,MATCH(42,Engine!$C$2:$C$679,0)))</f>
        <v/>
      </c>
      <c r="M55" s="8">
        <f>IF(ISNA(MATCH(42,Engine!$C$2:$C$679,0)),"",INDEX('Compliance Database'!$M$2:$M$679,MATCH(42,Engine!$C$2:$C$679,0)))</f>
        <v/>
      </c>
      <c r="N55" s="8">
        <f>IF(ISNA(MATCH(42,Engine!$C$2:$C$679,0)),"",INDEX('Compliance Database'!$N$2:$N$679,MATCH(42,Engine!$C$2:$C$679,0)))</f>
        <v/>
      </c>
      <c r="O55" s="8">
        <f>IF(ISNA(MATCH(42,Engine!$C$2:$C$679,0)),"",INDEX('Compliance Database'!$O$2:$O$679,MATCH(42,Engine!$C$2:$C$679,0)))</f>
        <v/>
      </c>
      <c r="P55">
        <f>IF(ISNA(MATCH(42,Engine!$C$2:$C$679,0)),"",HYPERLINK(INDEX('Compliance Database'!$P$2:$P$679,MATCH(42,Engine!$C$2:$C$679,0)),"Open PDF"))</f>
        <v/>
      </c>
    </row>
    <row r="56">
      <c r="A56">
        <f>IF(ISNA(MATCH(43,Engine!$C$2:$C$679,0)),"",INDEX('Compliance Database'!$A$2:$A$679,MATCH(43,Engine!$C$2:$C$679,0)))</f>
        <v/>
      </c>
      <c r="B56">
        <f>IF(ISNA(MATCH(43,Engine!$C$2:$C$679,0)),"",INDEX('Compliance Database'!$B$2:$B$679,MATCH(43,Engine!$C$2:$C$679,0)))</f>
        <v/>
      </c>
      <c r="C56">
        <f>IF(ISNA(MATCH(43,Engine!$C$2:$C$679,0)),"",INDEX('Compliance Database'!$C$2:$C$679,MATCH(43,Engine!$C$2:$C$679,0)))</f>
        <v/>
      </c>
      <c r="D56" s="8">
        <f>IF(ISNA(MATCH(43,Engine!$C$2:$C$679,0)),"",INDEX('Compliance Database'!$D$2:$D$679,MATCH(43,Engine!$C$2:$C$679,0)))</f>
        <v/>
      </c>
      <c r="E56">
        <f>IF(ISNA(MATCH(43,Engine!$C$2:$C$679,0)),"",INDEX('Compliance Database'!$E$2:$E$679,MATCH(43,Engine!$C$2:$C$679,0)))</f>
        <v/>
      </c>
      <c r="F56">
        <f>IF(ISNA(MATCH(43,Engine!$C$2:$C$679,0)),"",INDEX('Compliance Database'!$F$2:$F$679,MATCH(43,Engine!$C$2:$C$679,0)))</f>
        <v/>
      </c>
      <c r="G56">
        <f>IF(ISNA(MATCH(43,Engine!$C$2:$C$679,0)),"",INDEX('Compliance Database'!$G$2:$G$679,MATCH(43,Engine!$C$2:$C$679,0)))</f>
        <v/>
      </c>
      <c r="H56">
        <f>IF(ISNA(MATCH(43,Engine!$C$2:$C$679,0)),"",INDEX('Compliance Database'!$H$2:$H$679,MATCH(43,Engine!$C$2:$C$679,0)))</f>
        <v/>
      </c>
      <c r="I56" s="8">
        <f>IF(ISNA(MATCH(43,Engine!$C$2:$C$679,0)),"",INDEX('Compliance Database'!$I$2:$I$679,MATCH(43,Engine!$C$2:$C$679,0)))</f>
        <v/>
      </c>
      <c r="J56" s="8">
        <f>IF(ISNA(MATCH(43,Engine!$C$2:$C$679,0)),"",INDEX('Compliance Database'!$J$2:$J$679,MATCH(43,Engine!$C$2:$C$679,0)))</f>
        <v/>
      </c>
      <c r="K56">
        <f>IF(ISNA(MATCH(43,Engine!$C$2:$C$679,0)),"",INDEX('Compliance Database'!$K$2:$K$679,MATCH(43,Engine!$C$2:$C$679,0)))</f>
        <v/>
      </c>
      <c r="L56" s="8">
        <f>IF(ISNA(MATCH(43,Engine!$C$2:$C$679,0)),"",INDEX('Compliance Database'!$L$2:$L$679,MATCH(43,Engine!$C$2:$C$679,0)))</f>
        <v/>
      </c>
      <c r="M56" s="8">
        <f>IF(ISNA(MATCH(43,Engine!$C$2:$C$679,0)),"",INDEX('Compliance Database'!$M$2:$M$679,MATCH(43,Engine!$C$2:$C$679,0)))</f>
        <v/>
      </c>
      <c r="N56" s="8">
        <f>IF(ISNA(MATCH(43,Engine!$C$2:$C$679,0)),"",INDEX('Compliance Database'!$N$2:$N$679,MATCH(43,Engine!$C$2:$C$679,0)))</f>
        <v/>
      </c>
      <c r="O56" s="8">
        <f>IF(ISNA(MATCH(43,Engine!$C$2:$C$679,0)),"",INDEX('Compliance Database'!$O$2:$O$679,MATCH(43,Engine!$C$2:$C$679,0)))</f>
        <v/>
      </c>
      <c r="P56">
        <f>IF(ISNA(MATCH(43,Engine!$C$2:$C$679,0)),"",HYPERLINK(INDEX('Compliance Database'!$P$2:$P$679,MATCH(43,Engine!$C$2:$C$679,0)),"Open PDF"))</f>
        <v/>
      </c>
    </row>
    <row r="57">
      <c r="A57">
        <f>IF(ISNA(MATCH(44,Engine!$C$2:$C$679,0)),"",INDEX('Compliance Database'!$A$2:$A$679,MATCH(44,Engine!$C$2:$C$679,0)))</f>
        <v/>
      </c>
      <c r="B57">
        <f>IF(ISNA(MATCH(44,Engine!$C$2:$C$679,0)),"",INDEX('Compliance Database'!$B$2:$B$679,MATCH(44,Engine!$C$2:$C$679,0)))</f>
        <v/>
      </c>
      <c r="C57">
        <f>IF(ISNA(MATCH(44,Engine!$C$2:$C$679,0)),"",INDEX('Compliance Database'!$C$2:$C$679,MATCH(44,Engine!$C$2:$C$679,0)))</f>
        <v/>
      </c>
      <c r="D57" s="8">
        <f>IF(ISNA(MATCH(44,Engine!$C$2:$C$679,0)),"",INDEX('Compliance Database'!$D$2:$D$679,MATCH(44,Engine!$C$2:$C$679,0)))</f>
        <v/>
      </c>
      <c r="E57">
        <f>IF(ISNA(MATCH(44,Engine!$C$2:$C$679,0)),"",INDEX('Compliance Database'!$E$2:$E$679,MATCH(44,Engine!$C$2:$C$679,0)))</f>
        <v/>
      </c>
      <c r="F57">
        <f>IF(ISNA(MATCH(44,Engine!$C$2:$C$679,0)),"",INDEX('Compliance Database'!$F$2:$F$679,MATCH(44,Engine!$C$2:$C$679,0)))</f>
        <v/>
      </c>
      <c r="G57">
        <f>IF(ISNA(MATCH(44,Engine!$C$2:$C$679,0)),"",INDEX('Compliance Database'!$G$2:$G$679,MATCH(44,Engine!$C$2:$C$679,0)))</f>
        <v/>
      </c>
      <c r="H57">
        <f>IF(ISNA(MATCH(44,Engine!$C$2:$C$679,0)),"",INDEX('Compliance Database'!$H$2:$H$679,MATCH(44,Engine!$C$2:$C$679,0)))</f>
        <v/>
      </c>
      <c r="I57" s="8">
        <f>IF(ISNA(MATCH(44,Engine!$C$2:$C$679,0)),"",INDEX('Compliance Database'!$I$2:$I$679,MATCH(44,Engine!$C$2:$C$679,0)))</f>
        <v/>
      </c>
      <c r="J57" s="8">
        <f>IF(ISNA(MATCH(44,Engine!$C$2:$C$679,0)),"",INDEX('Compliance Database'!$J$2:$J$679,MATCH(44,Engine!$C$2:$C$679,0)))</f>
        <v/>
      </c>
      <c r="K57">
        <f>IF(ISNA(MATCH(44,Engine!$C$2:$C$679,0)),"",INDEX('Compliance Database'!$K$2:$K$679,MATCH(44,Engine!$C$2:$C$679,0)))</f>
        <v/>
      </c>
      <c r="L57" s="8">
        <f>IF(ISNA(MATCH(44,Engine!$C$2:$C$679,0)),"",INDEX('Compliance Database'!$L$2:$L$679,MATCH(44,Engine!$C$2:$C$679,0)))</f>
        <v/>
      </c>
      <c r="M57" s="8">
        <f>IF(ISNA(MATCH(44,Engine!$C$2:$C$679,0)),"",INDEX('Compliance Database'!$M$2:$M$679,MATCH(44,Engine!$C$2:$C$679,0)))</f>
        <v/>
      </c>
      <c r="N57" s="8">
        <f>IF(ISNA(MATCH(44,Engine!$C$2:$C$679,0)),"",INDEX('Compliance Database'!$N$2:$N$679,MATCH(44,Engine!$C$2:$C$679,0)))</f>
        <v/>
      </c>
      <c r="O57" s="8">
        <f>IF(ISNA(MATCH(44,Engine!$C$2:$C$679,0)),"",INDEX('Compliance Database'!$O$2:$O$679,MATCH(44,Engine!$C$2:$C$679,0)))</f>
        <v/>
      </c>
      <c r="P57">
        <f>IF(ISNA(MATCH(44,Engine!$C$2:$C$679,0)),"",HYPERLINK(INDEX('Compliance Database'!$P$2:$P$679,MATCH(44,Engine!$C$2:$C$679,0)),"Open PDF"))</f>
        <v/>
      </c>
    </row>
    <row r="58">
      <c r="A58">
        <f>IF(ISNA(MATCH(45,Engine!$C$2:$C$679,0)),"",INDEX('Compliance Database'!$A$2:$A$679,MATCH(45,Engine!$C$2:$C$679,0)))</f>
        <v/>
      </c>
      <c r="B58">
        <f>IF(ISNA(MATCH(45,Engine!$C$2:$C$679,0)),"",INDEX('Compliance Database'!$B$2:$B$679,MATCH(45,Engine!$C$2:$C$679,0)))</f>
        <v/>
      </c>
      <c r="C58">
        <f>IF(ISNA(MATCH(45,Engine!$C$2:$C$679,0)),"",INDEX('Compliance Database'!$C$2:$C$679,MATCH(45,Engine!$C$2:$C$679,0)))</f>
        <v/>
      </c>
      <c r="D58" s="8">
        <f>IF(ISNA(MATCH(45,Engine!$C$2:$C$679,0)),"",INDEX('Compliance Database'!$D$2:$D$679,MATCH(45,Engine!$C$2:$C$679,0)))</f>
        <v/>
      </c>
      <c r="E58">
        <f>IF(ISNA(MATCH(45,Engine!$C$2:$C$679,0)),"",INDEX('Compliance Database'!$E$2:$E$679,MATCH(45,Engine!$C$2:$C$679,0)))</f>
        <v/>
      </c>
      <c r="F58">
        <f>IF(ISNA(MATCH(45,Engine!$C$2:$C$679,0)),"",INDEX('Compliance Database'!$F$2:$F$679,MATCH(45,Engine!$C$2:$C$679,0)))</f>
        <v/>
      </c>
      <c r="G58">
        <f>IF(ISNA(MATCH(45,Engine!$C$2:$C$679,0)),"",INDEX('Compliance Database'!$G$2:$G$679,MATCH(45,Engine!$C$2:$C$679,0)))</f>
        <v/>
      </c>
      <c r="H58">
        <f>IF(ISNA(MATCH(45,Engine!$C$2:$C$679,0)),"",INDEX('Compliance Database'!$H$2:$H$679,MATCH(45,Engine!$C$2:$C$679,0)))</f>
        <v/>
      </c>
      <c r="I58" s="8">
        <f>IF(ISNA(MATCH(45,Engine!$C$2:$C$679,0)),"",INDEX('Compliance Database'!$I$2:$I$679,MATCH(45,Engine!$C$2:$C$679,0)))</f>
        <v/>
      </c>
      <c r="J58" s="8">
        <f>IF(ISNA(MATCH(45,Engine!$C$2:$C$679,0)),"",INDEX('Compliance Database'!$J$2:$J$679,MATCH(45,Engine!$C$2:$C$679,0)))</f>
        <v/>
      </c>
      <c r="K58">
        <f>IF(ISNA(MATCH(45,Engine!$C$2:$C$679,0)),"",INDEX('Compliance Database'!$K$2:$K$679,MATCH(45,Engine!$C$2:$C$679,0)))</f>
        <v/>
      </c>
      <c r="L58" s="8">
        <f>IF(ISNA(MATCH(45,Engine!$C$2:$C$679,0)),"",INDEX('Compliance Database'!$L$2:$L$679,MATCH(45,Engine!$C$2:$C$679,0)))</f>
        <v/>
      </c>
      <c r="M58" s="8">
        <f>IF(ISNA(MATCH(45,Engine!$C$2:$C$679,0)),"",INDEX('Compliance Database'!$M$2:$M$679,MATCH(45,Engine!$C$2:$C$679,0)))</f>
        <v/>
      </c>
      <c r="N58" s="8">
        <f>IF(ISNA(MATCH(45,Engine!$C$2:$C$679,0)),"",INDEX('Compliance Database'!$N$2:$N$679,MATCH(45,Engine!$C$2:$C$679,0)))</f>
        <v/>
      </c>
      <c r="O58" s="8">
        <f>IF(ISNA(MATCH(45,Engine!$C$2:$C$679,0)),"",INDEX('Compliance Database'!$O$2:$O$679,MATCH(45,Engine!$C$2:$C$679,0)))</f>
        <v/>
      </c>
      <c r="P58">
        <f>IF(ISNA(MATCH(45,Engine!$C$2:$C$679,0)),"",HYPERLINK(INDEX('Compliance Database'!$P$2:$P$679,MATCH(45,Engine!$C$2:$C$679,0)),"Open PDF"))</f>
        <v/>
      </c>
    </row>
    <row r="59">
      <c r="A59">
        <f>IF(ISNA(MATCH(46,Engine!$C$2:$C$679,0)),"",INDEX('Compliance Database'!$A$2:$A$679,MATCH(46,Engine!$C$2:$C$679,0)))</f>
        <v/>
      </c>
      <c r="B59">
        <f>IF(ISNA(MATCH(46,Engine!$C$2:$C$679,0)),"",INDEX('Compliance Database'!$B$2:$B$679,MATCH(46,Engine!$C$2:$C$679,0)))</f>
        <v/>
      </c>
      <c r="C59">
        <f>IF(ISNA(MATCH(46,Engine!$C$2:$C$679,0)),"",INDEX('Compliance Database'!$C$2:$C$679,MATCH(46,Engine!$C$2:$C$679,0)))</f>
        <v/>
      </c>
      <c r="D59" s="8">
        <f>IF(ISNA(MATCH(46,Engine!$C$2:$C$679,0)),"",INDEX('Compliance Database'!$D$2:$D$679,MATCH(46,Engine!$C$2:$C$679,0)))</f>
        <v/>
      </c>
      <c r="E59">
        <f>IF(ISNA(MATCH(46,Engine!$C$2:$C$679,0)),"",INDEX('Compliance Database'!$E$2:$E$679,MATCH(46,Engine!$C$2:$C$679,0)))</f>
        <v/>
      </c>
      <c r="F59">
        <f>IF(ISNA(MATCH(46,Engine!$C$2:$C$679,0)),"",INDEX('Compliance Database'!$F$2:$F$679,MATCH(46,Engine!$C$2:$C$679,0)))</f>
        <v/>
      </c>
      <c r="G59">
        <f>IF(ISNA(MATCH(46,Engine!$C$2:$C$679,0)),"",INDEX('Compliance Database'!$G$2:$G$679,MATCH(46,Engine!$C$2:$C$679,0)))</f>
        <v/>
      </c>
      <c r="H59">
        <f>IF(ISNA(MATCH(46,Engine!$C$2:$C$679,0)),"",INDEX('Compliance Database'!$H$2:$H$679,MATCH(46,Engine!$C$2:$C$679,0)))</f>
        <v/>
      </c>
      <c r="I59" s="8">
        <f>IF(ISNA(MATCH(46,Engine!$C$2:$C$679,0)),"",INDEX('Compliance Database'!$I$2:$I$679,MATCH(46,Engine!$C$2:$C$679,0)))</f>
        <v/>
      </c>
      <c r="J59" s="8">
        <f>IF(ISNA(MATCH(46,Engine!$C$2:$C$679,0)),"",INDEX('Compliance Database'!$J$2:$J$679,MATCH(46,Engine!$C$2:$C$679,0)))</f>
        <v/>
      </c>
      <c r="K59">
        <f>IF(ISNA(MATCH(46,Engine!$C$2:$C$679,0)),"",INDEX('Compliance Database'!$K$2:$K$679,MATCH(46,Engine!$C$2:$C$679,0)))</f>
        <v/>
      </c>
      <c r="L59" s="8">
        <f>IF(ISNA(MATCH(46,Engine!$C$2:$C$679,0)),"",INDEX('Compliance Database'!$L$2:$L$679,MATCH(46,Engine!$C$2:$C$679,0)))</f>
        <v/>
      </c>
      <c r="M59" s="8">
        <f>IF(ISNA(MATCH(46,Engine!$C$2:$C$679,0)),"",INDEX('Compliance Database'!$M$2:$M$679,MATCH(46,Engine!$C$2:$C$679,0)))</f>
        <v/>
      </c>
      <c r="N59" s="8">
        <f>IF(ISNA(MATCH(46,Engine!$C$2:$C$679,0)),"",INDEX('Compliance Database'!$N$2:$N$679,MATCH(46,Engine!$C$2:$C$679,0)))</f>
        <v/>
      </c>
      <c r="O59" s="8">
        <f>IF(ISNA(MATCH(46,Engine!$C$2:$C$679,0)),"",INDEX('Compliance Database'!$O$2:$O$679,MATCH(46,Engine!$C$2:$C$679,0)))</f>
        <v/>
      </c>
      <c r="P59">
        <f>IF(ISNA(MATCH(46,Engine!$C$2:$C$679,0)),"",HYPERLINK(INDEX('Compliance Database'!$P$2:$P$679,MATCH(46,Engine!$C$2:$C$679,0)),"Open PDF"))</f>
        <v/>
      </c>
    </row>
    <row r="60">
      <c r="A60">
        <f>IF(ISNA(MATCH(47,Engine!$C$2:$C$679,0)),"",INDEX('Compliance Database'!$A$2:$A$679,MATCH(47,Engine!$C$2:$C$679,0)))</f>
        <v/>
      </c>
      <c r="B60">
        <f>IF(ISNA(MATCH(47,Engine!$C$2:$C$679,0)),"",INDEX('Compliance Database'!$B$2:$B$679,MATCH(47,Engine!$C$2:$C$679,0)))</f>
        <v/>
      </c>
      <c r="C60">
        <f>IF(ISNA(MATCH(47,Engine!$C$2:$C$679,0)),"",INDEX('Compliance Database'!$C$2:$C$679,MATCH(47,Engine!$C$2:$C$679,0)))</f>
        <v/>
      </c>
      <c r="D60" s="8">
        <f>IF(ISNA(MATCH(47,Engine!$C$2:$C$679,0)),"",INDEX('Compliance Database'!$D$2:$D$679,MATCH(47,Engine!$C$2:$C$679,0)))</f>
        <v/>
      </c>
      <c r="E60">
        <f>IF(ISNA(MATCH(47,Engine!$C$2:$C$679,0)),"",INDEX('Compliance Database'!$E$2:$E$679,MATCH(47,Engine!$C$2:$C$679,0)))</f>
        <v/>
      </c>
      <c r="F60">
        <f>IF(ISNA(MATCH(47,Engine!$C$2:$C$679,0)),"",INDEX('Compliance Database'!$F$2:$F$679,MATCH(47,Engine!$C$2:$C$679,0)))</f>
        <v/>
      </c>
      <c r="G60">
        <f>IF(ISNA(MATCH(47,Engine!$C$2:$C$679,0)),"",INDEX('Compliance Database'!$G$2:$G$679,MATCH(47,Engine!$C$2:$C$679,0)))</f>
        <v/>
      </c>
      <c r="H60">
        <f>IF(ISNA(MATCH(47,Engine!$C$2:$C$679,0)),"",INDEX('Compliance Database'!$H$2:$H$679,MATCH(47,Engine!$C$2:$C$679,0)))</f>
        <v/>
      </c>
      <c r="I60" s="8">
        <f>IF(ISNA(MATCH(47,Engine!$C$2:$C$679,0)),"",INDEX('Compliance Database'!$I$2:$I$679,MATCH(47,Engine!$C$2:$C$679,0)))</f>
        <v/>
      </c>
      <c r="J60" s="8">
        <f>IF(ISNA(MATCH(47,Engine!$C$2:$C$679,0)),"",INDEX('Compliance Database'!$J$2:$J$679,MATCH(47,Engine!$C$2:$C$679,0)))</f>
        <v/>
      </c>
      <c r="K60">
        <f>IF(ISNA(MATCH(47,Engine!$C$2:$C$679,0)),"",INDEX('Compliance Database'!$K$2:$K$679,MATCH(47,Engine!$C$2:$C$679,0)))</f>
        <v/>
      </c>
      <c r="L60" s="8">
        <f>IF(ISNA(MATCH(47,Engine!$C$2:$C$679,0)),"",INDEX('Compliance Database'!$L$2:$L$679,MATCH(47,Engine!$C$2:$C$679,0)))</f>
        <v/>
      </c>
      <c r="M60" s="8">
        <f>IF(ISNA(MATCH(47,Engine!$C$2:$C$679,0)),"",INDEX('Compliance Database'!$M$2:$M$679,MATCH(47,Engine!$C$2:$C$679,0)))</f>
        <v/>
      </c>
      <c r="N60" s="8">
        <f>IF(ISNA(MATCH(47,Engine!$C$2:$C$679,0)),"",INDEX('Compliance Database'!$N$2:$N$679,MATCH(47,Engine!$C$2:$C$679,0)))</f>
        <v/>
      </c>
      <c r="O60" s="8">
        <f>IF(ISNA(MATCH(47,Engine!$C$2:$C$679,0)),"",INDEX('Compliance Database'!$O$2:$O$679,MATCH(47,Engine!$C$2:$C$679,0)))</f>
        <v/>
      </c>
      <c r="P60">
        <f>IF(ISNA(MATCH(47,Engine!$C$2:$C$679,0)),"",HYPERLINK(INDEX('Compliance Database'!$P$2:$P$679,MATCH(47,Engine!$C$2:$C$679,0)),"Open PDF"))</f>
        <v/>
      </c>
    </row>
    <row r="61">
      <c r="A61">
        <f>IF(ISNA(MATCH(48,Engine!$C$2:$C$679,0)),"",INDEX('Compliance Database'!$A$2:$A$679,MATCH(48,Engine!$C$2:$C$679,0)))</f>
        <v/>
      </c>
      <c r="B61">
        <f>IF(ISNA(MATCH(48,Engine!$C$2:$C$679,0)),"",INDEX('Compliance Database'!$B$2:$B$679,MATCH(48,Engine!$C$2:$C$679,0)))</f>
        <v/>
      </c>
      <c r="C61">
        <f>IF(ISNA(MATCH(48,Engine!$C$2:$C$679,0)),"",INDEX('Compliance Database'!$C$2:$C$679,MATCH(48,Engine!$C$2:$C$679,0)))</f>
        <v/>
      </c>
      <c r="D61" s="8">
        <f>IF(ISNA(MATCH(48,Engine!$C$2:$C$679,0)),"",INDEX('Compliance Database'!$D$2:$D$679,MATCH(48,Engine!$C$2:$C$679,0)))</f>
        <v/>
      </c>
      <c r="E61">
        <f>IF(ISNA(MATCH(48,Engine!$C$2:$C$679,0)),"",INDEX('Compliance Database'!$E$2:$E$679,MATCH(48,Engine!$C$2:$C$679,0)))</f>
        <v/>
      </c>
      <c r="F61">
        <f>IF(ISNA(MATCH(48,Engine!$C$2:$C$679,0)),"",INDEX('Compliance Database'!$F$2:$F$679,MATCH(48,Engine!$C$2:$C$679,0)))</f>
        <v/>
      </c>
      <c r="G61">
        <f>IF(ISNA(MATCH(48,Engine!$C$2:$C$679,0)),"",INDEX('Compliance Database'!$G$2:$G$679,MATCH(48,Engine!$C$2:$C$679,0)))</f>
        <v/>
      </c>
      <c r="H61">
        <f>IF(ISNA(MATCH(48,Engine!$C$2:$C$679,0)),"",INDEX('Compliance Database'!$H$2:$H$679,MATCH(48,Engine!$C$2:$C$679,0)))</f>
        <v/>
      </c>
      <c r="I61" s="8">
        <f>IF(ISNA(MATCH(48,Engine!$C$2:$C$679,0)),"",INDEX('Compliance Database'!$I$2:$I$679,MATCH(48,Engine!$C$2:$C$679,0)))</f>
        <v/>
      </c>
      <c r="J61" s="8">
        <f>IF(ISNA(MATCH(48,Engine!$C$2:$C$679,0)),"",INDEX('Compliance Database'!$J$2:$J$679,MATCH(48,Engine!$C$2:$C$679,0)))</f>
        <v/>
      </c>
      <c r="K61">
        <f>IF(ISNA(MATCH(48,Engine!$C$2:$C$679,0)),"",INDEX('Compliance Database'!$K$2:$K$679,MATCH(48,Engine!$C$2:$C$679,0)))</f>
        <v/>
      </c>
      <c r="L61" s="8">
        <f>IF(ISNA(MATCH(48,Engine!$C$2:$C$679,0)),"",INDEX('Compliance Database'!$L$2:$L$679,MATCH(48,Engine!$C$2:$C$679,0)))</f>
        <v/>
      </c>
      <c r="M61" s="8">
        <f>IF(ISNA(MATCH(48,Engine!$C$2:$C$679,0)),"",INDEX('Compliance Database'!$M$2:$M$679,MATCH(48,Engine!$C$2:$C$679,0)))</f>
        <v/>
      </c>
      <c r="N61" s="8">
        <f>IF(ISNA(MATCH(48,Engine!$C$2:$C$679,0)),"",INDEX('Compliance Database'!$N$2:$N$679,MATCH(48,Engine!$C$2:$C$679,0)))</f>
        <v/>
      </c>
      <c r="O61" s="8">
        <f>IF(ISNA(MATCH(48,Engine!$C$2:$C$679,0)),"",INDEX('Compliance Database'!$O$2:$O$679,MATCH(48,Engine!$C$2:$C$679,0)))</f>
        <v/>
      </c>
      <c r="P61">
        <f>IF(ISNA(MATCH(48,Engine!$C$2:$C$679,0)),"",HYPERLINK(INDEX('Compliance Database'!$P$2:$P$679,MATCH(48,Engine!$C$2:$C$679,0)),"Open PDF"))</f>
        <v/>
      </c>
    </row>
    <row r="62">
      <c r="A62">
        <f>IF(ISNA(MATCH(49,Engine!$C$2:$C$679,0)),"",INDEX('Compliance Database'!$A$2:$A$679,MATCH(49,Engine!$C$2:$C$679,0)))</f>
        <v/>
      </c>
      <c r="B62">
        <f>IF(ISNA(MATCH(49,Engine!$C$2:$C$679,0)),"",INDEX('Compliance Database'!$B$2:$B$679,MATCH(49,Engine!$C$2:$C$679,0)))</f>
        <v/>
      </c>
      <c r="C62">
        <f>IF(ISNA(MATCH(49,Engine!$C$2:$C$679,0)),"",INDEX('Compliance Database'!$C$2:$C$679,MATCH(49,Engine!$C$2:$C$679,0)))</f>
        <v/>
      </c>
      <c r="D62" s="8">
        <f>IF(ISNA(MATCH(49,Engine!$C$2:$C$679,0)),"",INDEX('Compliance Database'!$D$2:$D$679,MATCH(49,Engine!$C$2:$C$679,0)))</f>
        <v/>
      </c>
      <c r="E62">
        <f>IF(ISNA(MATCH(49,Engine!$C$2:$C$679,0)),"",INDEX('Compliance Database'!$E$2:$E$679,MATCH(49,Engine!$C$2:$C$679,0)))</f>
        <v/>
      </c>
      <c r="F62">
        <f>IF(ISNA(MATCH(49,Engine!$C$2:$C$679,0)),"",INDEX('Compliance Database'!$F$2:$F$679,MATCH(49,Engine!$C$2:$C$679,0)))</f>
        <v/>
      </c>
      <c r="G62">
        <f>IF(ISNA(MATCH(49,Engine!$C$2:$C$679,0)),"",INDEX('Compliance Database'!$G$2:$G$679,MATCH(49,Engine!$C$2:$C$679,0)))</f>
        <v/>
      </c>
      <c r="H62">
        <f>IF(ISNA(MATCH(49,Engine!$C$2:$C$679,0)),"",INDEX('Compliance Database'!$H$2:$H$679,MATCH(49,Engine!$C$2:$C$679,0)))</f>
        <v/>
      </c>
      <c r="I62" s="8">
        <f>IF(ISNA(MATCH(49,Engine!$C$2:$C$679,0)),"",INDEX('Compliance Database'!$I$2:$I$679,MATCH(49,Engine!$C$2:$C$679,0)))</f>
        <v/>
      </c>
      <c r="J62" s="8">
        <f>IF(ISNA(MATCH(49,Engine!$C$2:$C$679,0)),"",INDEX('Compliance Database'!$J$2:$J$679,MATCH(49,Engine!$C$2:$C$679,0)))</f>
        <v/>
      </c>
      <c r="K62">
        <f>IF(ISNA(MATCH(49,Engine!$C$2:$C$679,0)),"",INDEX('Compliance Database'!$K$2:$K$679,MATCH(49,Engine!$C$2:$C$679,0)))</f>
        <v/>
      </c>
      <c r="L62" s="8">
        <f>IF(ISNA(MATCH(49,Engine!$C$2:$C$679,0)),"",INDEX('Compliance Database'!$L$2:$L$679,MATCH(49,Engine!$C$2:$C$679,0)))</f>
        <v/>
      </c>
      <c r="M62" s="8">
        <f>IF(ISNA(MATCH(49,Engine!$C$2:$C$679,0)),"",INDEX('Compliance Database'!$M$2:$M$679,MATCH(49,Engine!$C$2:$C$679,0)))</f>
        <v/>
      </c>
      <c r="N62" s="8">
        <f>IF(ISNA(MATCH(49,Engine!$C$2:$C$679,0)),"",INDEX('Compliance Database'!$N$2:$N$679,MATCH(49,Engine!$C$2:$C$679,0)))</f>
        <v/>
      </c>
      <c r="O62" s="8">
        <f>IF(ISNA(MATCH(49,Engine!$C$2:$C$679,0)),"",INDEX('Compliance Database'!$O$2:$O$679,MATCH(49,Engine!$C$2:$C$679,0)))</f>
        <v/>
      </c>
      <c r="P62">
        <f>IF(ISNA(MATCH(49,Engine!$C$2:$C$679,0)),"",HYPERLINK(INDEX('Compliance Database'!$P$2:$P$679,MATCH(49,Engine!$C$2:$C$679,0)),"Open PDF"))</f>
        <v/>
      </c>
    </row>
    <row r="63">
      <c r="A63">
        <f>IF(ISNA(MATCH(50,Engine!$C$2:$C$679,0)),"",INDEX('Compliance Database'!$A$2:$A$679,MATCH(50,Engine!$C$2:$C$679,0)))</f>
        <v/>
      </c>
      <c r="B63">
        <f>IF(ISNA(MATCH(50,Engine!$C$2:$C$679,0)),"",INDEX('Compliance Database'!$B$2:$B$679,MATCH(50,Engine!$C$2:$C$679,0)))</f>
        <v/>
      </c>
      <c r="C63">
        <f>IF(ISNA(MATCH(50,Engine!$C$2:$C$679,0)),"",INDEX('Compliance Database'!$C$2:$C$679,MATCH(50,Engine!$C$2:$C$679,0)))</f>
        <v/>
      </c>
      <c r="D63" s="8">
        <f>IF(ISNA(MATCH(50,Engine!$C$2:$C$679,0)),"",INDEX('Compliance Database'!$D$2:$D$679,MATCH(50,Engine!$C$2:$C$679,0)))</f>
        <v/>
      </c>
      <c r="E63">
        <f>IF(ISNA(MATCH(50,Engine!$C$2:$C$679,0)),"",INDEX('Compliance Database'!$E$2:$E$679,MATCH(50,Engine!$C$2:$C$679,0)))</f>
        <v/>
      </c>
      <c r="F63">
        <f>IF(ISNA(MATCH(50,Engine!$C$2:$C$679,0)),"",INDEX('Compliance Database'!$F$2:$F$679,MATCH(50,Engine!$C$2:$C$679,0)))</f>
        <v/>
      </c>
      <c r="G63">
        <f>IF(ISNA(MATCH(50,Engine!$C$2:$C$679,0)),"",INDEX('Compliance Database'!$G$2:$G$679,MATCH(50,Engine!$C$2:$C$679,0)))</f>
        <v/>
      </c>
      <c r="H63">
        <f>IF(ISNA(MATCH(50,Engine!$C$2:$C$679,0)),"",INDEX('Compliance Database'!$H$2:$H$679,MATCH(50,Engine!$C$2:$C$679,0)))</f>
        <v/>
      </c>
      <c r="I63" s="8">
        <f>IF(ISNA(MATCH(50,Engine!$C$2:$C$679,0)),"",INDEX('Compliance Database'!$I$2:$I$679,MATCH(50,Engine!$C$2:$C$679,0)))</f>
        <v/>
      </c>
      <c r="J63" s="8">
        <f>IF(ISNA(MATCH(50,Engine!$C$2:$C$679,0)),"",INDEX('Compliance Database'!$J$2:$J$679,MATCH(50,Engine!$C$2:$C$679,0)))</f>
        <v/>
      </c>
      <c r="K63">
        <f>IF(ISNA(MATCH(50,Engine!$C$2:$C$679,0)),"",INDEX('Compliance Database'!$K$2:$K$679,MATCH(50,Engine!$C$2:$C$679,0)))</f>
        <v/>
      </c>
      <c r="L63" s="8">
        <f>IF(ISNA(MATCH(50,Engine!$C$2:$C$679,0)),"",INDEX('Compliance Database'!$L$2:$L$679,MATCH(50,Engine!$C$2:$C$679,0)))</f>
        <v/>
      </c>
      <c r="M63" s="8">
        <f>IF(ISNA(MATCH(50,Engine!$C$2:$C$679,0)),"",INDEX('Compliance Database'!$M$2:$M$679,MATCH(50,Engine!$C$2:$C$679,0)))</f>
        <v/>
      </c>
      <c r="N63" s="8">
        <f>IF(ISNA(MATCH(50,Engine!$C$2:$C$679,0)),"",INDEX('Compliance Database'!$N$2:$N$679,MATCH(50,Engine!$C$2:$C$679,0)))</f>
        <v/>
      </c>
      <c r="O63" s="8">
        <f>IF(ISNA(MATCH(50,Engine!$C$2:$C$679,0)),"",INDEX('Compliance Database'!$O$2:$O$679,MATCH(50,Engine!$C$2:$C$679,0)))</f>
        <v/>
      </c>
      <c r="P63">
        <f>IF(ISNA(MATCH(50,Engine!$C$2:$C$679,0)),"",HYPERLINK(INDEX('Compliance Database'!$P$2:$P$679,MATCH(50,Engine!$C$2:$C$679,0)),"Open PDF"))</f>
        <v/>
      </c>
    </row>
    <row r="64">
      <c r="A64">
        <f>IF(ISNA(MATCH(51,Engine!$C$2:$C$679,0)),"",INDEX('Compliance Database'!$A$2:$A$679,MATCH(51,Engine!$C$2:$C$679,0)))</f>
        <v/>
      </c>
      <c r="B64">
        <f>IF(ISNA(MATCH(51,Engine!$C$2:$C$679,0)),"",INDEX('Compliance Database'!$B$2:$B$679,MATCH(51,Engine!$C$2:$C$679,0)))</f>
        <v/>
      </c>
      <c r="C64">
        <f>IF(ISNA(MATCH(51,Engine!$C$2:$C$679,0)),"",INDEX('Compliance Database'!$C$2:$C$679,MATCH(51,Engine!$C$2:$C$679,0)))</f>
        <v/>
      </c>
      <c r="D64" s="8">
        <f>IF(ISNA(MATCH(51,Engine!$C$2:$C$679,0)),"",INDEX('Compliance Database'!$D$2:$D$679,MATCH(51,Engine!$C$2:$C$679,0)))</f>
        <v/>
      </c>
      <c r="E64">
        <f>IF(ISNA(MATCH(51,Engine!$C$2:$C$679,0)),"",INDEX('Compliance Database'!$E$2:$E$679,MATCH(51,Engine!$C$2:$C$679,0)))</f>
        <v/>
      </c>
      <c r="F64">
        <f>IF(ISNA(MATCH(51,Engine!$C$2:$C$679,0)),"",INDEX('Compliance Database'!$F$2:$F$679,MATCH(51,Engine!$C$2:$C$679,0)))</f>
        <v/>
      </c>
      <c r="G64">
        <f>IF(ISNA(MATCH(51,Engine!$C$2:$C$679,0)),"",INDEX('Compliance Database'!$G$2:$G$679,MATCH(51,Engine!$C$2:$C$679,0)))</f>
        <v/>
      </c>
      <c r="H64">
        <f>IF(ISNA(MATCH(51,Engine!$C$2:$C$679,0)),"",INDEX('Compliance Database'!$H$2:$H$679,MATCH(51,Engine!$C$2:$C$679,0)))</f>
        <v/>
      </c>
      <c r="I64" s="8">
        <f>IF(ISNA(MATCH(51,Engine!$C$2:$C$679,0)),"",INDEX('Compliance Database'!$I$2:$I$679,MATCH(51,Engine!$C$2:$C$679,0)))</f>
        <v/>
      </c>
      <c r="J64" s="8">
        <f>IF(ISNA(MATCH(51,Engine!$C$2:$C$679,0)),"",INDEX('Compliance Database'!$J$2:$J$679,MATCH(51,Engine!$C$2:$C$679,0)))</f>
        <v/>
      </c>
      <c r="K64">
        <f>IF(ISNA(MATCH(51,Engine!$C$2:$C$679,0)),"",INDEX('Compliance Database'!$K$2:$K$679,MATCH(51,Engine!$C$2:$C$679,0)))</f>
        <v/>
      </c>
      <c r="L64" s="8">
        <f>IF(ISNA(MATCH(51,Engine!$C$2:$C$679,0)),"",INDEX('Compliance Database'!$L$2:$L$679,MATCH(51,Engine!$C$2:$C$679,0)))</f>
        <v/>
      </c>
      <c r="M64" s="8">
        <f>IF(ISNA(MATCH(51,Engine!$C$2:$C$679,0)),"",INDEX('Compliance Database'!$M$2:$M$679,MATCH(51,Engine!$C$2:$C$679,0)))</f>
        <v/>
      </c>
      <c r="N64" s="8">
        <f>IF(ISNA(MATCH(51,Engine!$C$2:$C$679,0)),"",INDEX('Compliance Database'!$N$2:$N$679,MATCH(51,Engine!$C$2:$C$679,0)))</f>
        <v/>
      </c>
      <c r="O64" s="8">
        <f>IF(ISNA(MATCH(51,Engine!$C$2:$C$679,0)),"",INDEX('Compliance Database'!$O$2:$O$679,MATCH(51,Engine!$C$2:$C$679,0)))</f>
        <v/>
      </c>
      <c r="P64">
        <f>IF(ISNA(MATCH(51,Engine!$C$2:$C$679,0)),"",HYPERLINK(INDEX('Compliance Database'!$P$2:$P$679,MATCH(51,Engine!$C$2:$C$679,0)),"Open PDF"))</f>
        <v/>
      </c>
    </row>
    <row r="65">
      <c r="A65">
        <f>IF(ISNA(MATCH(52,Engine!$C$2:$C$679,0)),"",INDEX('Compliance Database'!$A$2:$A$679,MATCH(52,Engine!$C$2:$C$679,0)))</f>
        <v/>
      </c>
      <c r="B65">
        <f>IF(ISNA(MATCH(52,Engine!$C$2:$C$679,0)),"",INDEX('Compliance Database'!$B$2:$B$679,MATCH(52,Engine!$C$2:$C$679,0)))</f>
        <v/>
      </c>
      <c r="C65">
        <f>IF(ISNA(MATCH(52,Engine!$C$2:$C$679,0)),"",INDEX('Compliance Database'!$C$2:$C$679,MATCH(52,Engine!$C$2:$C$679,0)))</f>
        <v/>
      </c>
      <c r="D65" s="8">
        <f>IF(ISNA(MATCH(52,Engine!$C$2:$C$679,0)),"",INDEX('Compliance Database'!$D$2:$D$679,MATCH(52,Engine!$C$2:$C$679,0)))</f>
        <v/>
      </c>
      <c r="E65">
        <f>IF(ISNA(MATCH(52,Engine!$C$2:$C$679,0)),"",INDEX('Compliance Database'!$E$2:$E$679,MATCH(52,Engine!$C$2:$C$679,0)))</f>
        <v/>
      </c>
      <c r="F65">
        <f>IF(ISNA(MATCH(52,Engine!$C$2:$C$679,0)),"",INDEX('Compliance Database'!$F$2:$F$679,MATCH(52,Engine!$C$2:$C$679,0)))</f>
        <v/>
      </c>
      <c r="G65">
        <f>IF(ISNA(MATCH(52,Engine!$C$2:$C$679,0)),"",INDEX('Compliance Database'!$G$2:$G$679,MATCH(52,Engine!$C$2:$C$679,0)))</f>
        <v/>
      </c>
      <c r="H65">
        <f>IF(ISNA(MATCH(52,Engine!$C$2:$C$679,0)),"",INDEX('Compliance Database'!$H$2:$H$679,MATCH(52,Engine!$C$2:$C$679,0)))</f>
        <v/>
      </c>
      <c r="I65" s="8">
        <f>IF(ISNA(MATCH(52,Engine!$C$2:$C$679,0)),"",INDEX('Compliance Database'!$I$2:$I$679,MATCH(52,Engine!$C$2:$C$679,0)))</f>
        <v/>
      </c>
      <c r="J65" s="8">
        <f>IF(ISNA(MATCH(52,Engine!$C$2:$C$679,0)),"",INDEX('Compliance Database'!$J$2:$J$679,MATCH(52,Engine!$C$2:$C$679,0)))</f>
        <v/>
      </c>
      <c r="K65">
        <f>IF(ISNA(MATCH(52,Engine!$C$2:$C$679,0)),"",INDEX('Compliance Database'!$K$2:$K$679,MATCH(52,Engine!$C$2:$C$679,0)))</f>
        <v/>
      </c>
      <c r="L65" s="8">
        <f>IF(ISNA(MATCH(52,Engine!$C$2:$C$679,0)),"",INDEX('Compliance Database'!$L$2:$L$679,MATCH(52,Engine!$C$2:$C$679,0)))</f>
        <v/>
      </c>
      <c r="M65" s="8">
        <f>IF(ISNA(MATCH(52,Engine!$C$2:$C$679,0)),"",INDEX('Compliance Database'!$M$2:$M$679,MATCH(52,Engine!$C$2:$C$679,0)))</f>
        <v/>
      </c>
      <c r="N65" s="8">
        <f>IF(ISNA(MATCH(52,Engine!$C$2:$C$679,0)),"",INDEX('Compliance Database'!$N$2:$N$679,MATCH(52,Engine!$C$2:$C$679,0)))</f>
        <v/>
      </c>
      <c r="O65" s="8">
        <f>IF(ISNA(MATCH(52,Engine!$C$2:$C$679,0)),"",INDEX('Compliance Database'!$O$2:$O$679,MATCH(52,Engine!$C$2:$C$679,0)))</f>
        <v/>
      </c>
      <c r="P65">
        <f>IF(ISNA(MATCH(52,Engine!$C$2:$C$679,0)),"",HYPERLINK(INDEX('Compliance Database'!$P$2:$P$679,MATCH(52,Engine!$C$2:$C$679,0)),"Open PDF"))</f>
        <v/>
      </c>
    </row>
    <row r="66">
      <c r="A66">
        <f>IF(ISNA(MATCH(53,Engine!$C$2:$C$679,0)),"",INDEX('Compliance Database'!$A$2:$A$679,MATCH(53,Engine!$C$2:$C$679,0)))</f>
        <v/>
      </c>
      <c r="B66">
        <f>IF(ISNA(MATCH(53,Engine!$C$2:$C$679,0)),"",INDEX('Compliance Database'!$B$2:$B$679,MATCH(53,Engine!$C$2:$C$679,0)))</f>
        <v/>
      </c>
      <c r="C66">
        <f>IF(ISNA(MATCH(53,Engine!$C$2:$C$679,0)),"",INDEX('Compliance Database'!$C$2:$C$679,MATCH(53,Engine!$C$2:$C$679,0)))</f>
        <v/>
      </c>
      <c r="D66" s="8">
        <f>IF(ISNA(MATCH(53,Engine!$C$2:$C$679,0)),"",INDEX('Compliance Database'!$D$2:$D$679,MATCH(53,Engine!$C$2:$C$679,0)))</f>
        <v/>
      </c>
      <c r="E66">
        <f>IF(ISNA(MATCH(53,Engine!$C$2:$C$679,0)),"",INDEX('Compliance Database'!$E$2:$E$679,MATCH(53,Engine!$C$2:$C$679,0)))</f>
        <v/>
      </c>
      <c r="F66">
        <f>IF(ISNA(MATCH(53,Engine!$C$2:$C$679,0)),"",INDEX('Compliance Database'!$F$2:$F$679,MATCH(53,Engine!$C$2:$C$679,0)))</f>
        <v/>
      </c>
      <c r="G66">
        <f>IF(ISNA(MATCH(53,Engine!$C$2:$C$679,0)),"",INDEX('Compliance Database'!$G$2:$G$679,MATCH(53,Engine!$C$2:$C$679,0)))</f>
        <v/>
      </c>
      <c r="H66">
        <f>IF(ISNA(MATCH(53,Engine!$C$2:$C$679,0)),"",INDEX('Compliance Database'!$H$2:$H$679,MATCH(53,Engine!$C$2:$C$679,0)))</f>
        <v/>
      </c>
      <c r="I66" s="8">
        <f>IF(ISNA(MATCH(53,Engine!$C$2:$C$679,0)),"",INDEX('Compliance Database'!$I$2:$I$679,MATCH(53,Engine!$C$2:$C$679,0)))</f>
        <v/>
      </c>
      <c r="J66" s="8">
        <f>IF(ISNA(MATCH(53,Engine!$C$2:$C$679,0)),"",INDEX('Compliance Database'!$J$2:$J$679,MATCH(53,Engine!$C$2:$C$679,0)))</f>
        <v/>
      </c>
      <c r="K66">
        <f>IF(ISNA(MATCH(53,Engine!$C$2:$C$679,0)),"",INDEX('Compliance Database'!$K$2:$K$679,MATCH(53,Engine!$C$2:$C$679,0)))</f>
        <v/>
      </c>
      <c r="L66" s="8">
        <f>IF(ISNA(MATCH(53,Engine!$C$2:$C$679,0)),"",INDEX('Compliance Database'!$L$2:$L$679,MATCH(53,Engine!$C$2:$C$679,0)))</f>
        <v/>
      </c>
      <c r="M66" s="8">
        <f>IF(ISNA(MATCH(53,Engine!$C$2:$C$679,0)),"",INDEX('Compliance Database'!$M$2:$M$679,MATCH(53,Engine!$C$2:$C$679,0)))</f>
        <v/>
      </c>
      <c r="N66" s="8">
        <f>IF(ISNA(MATCH(53,Engine!$C$2:$C$679,0)),"",INDEX('Compliance Database'!$N$2:$N$679,MATCH(53,Engine!$C$2:$C$679,0)))</f>
        <v/>
      </c>
      <c r="O66" s="8">
        <f>IF(ISNA(MATCH(53,Engine!$C$2:$C$679,0)),"",INDEX('Compliance Database'!$O$2:$O$679,MATCH(53,Engine!$C$2:$C$679,0)))</f>
        <v/>
      </c>
      <c r="P66">
        <f>IF(ISNA(MATCH(53,Engine!$C$2:$C$679,0)),"",HYPERLINK(INDEX('Compliance Database'!$P$2:$P$679,MATCH(53,Engine!$C$2:$C$679,0)),"Open PDF"))</f>
        <v/>
      </c>
    </row>
    <row r="67">
      <c r="A67">
        <f>IF(ISNA(MATCH(54,Engine!$C$2:$C$679,0)),"",INDEX('Compliance Database'!$A$2:$A$679,MATCH(54,Engine!$C$2:$C$679,0)))</f>
        <v/>
      </c>
      <c r="B67">
        <f>IF(ISNA(MATCH(54,Engine!$C$2:$C$679,0)),"",INDEX('Compliance Database'!$B$2:$B$679,MATCH(54,Engine!$C$2:$C$679,0)))</f>
        <v/>
      </c>
      <c r="C67">
        <f>IF(ISNA(MATCH(54,Engine!$C$2:$C$679,0)),"",INDEX('Compliance Database'!$C$2:$C$679,MATCH(54,Engine!$C$2:$C$679,0)))</f>
        <v/>
      </c>
      <c r="D67" s="8">
        <f>IF(ISNA(MATCH(54,Engine!$C$2:$C$679,0)),"",INDEX('Compliance Database'!$D$2:$D$679,MATCH(54,Engine!$C$2:$C$679,0)))</f>
        <v/>
      </c>
      <c r="E67">
        <f>IF(ISNA(MATCH(54,Engine!$C$2:$C$679,0)),"",INDEX('Compliance Database'!$E$2:$E$679,MATCH(54,Engine!$C$2:$C$679,0)))</f>
        <v/>
      </c>
      <c r="F67">
        <f>IF(ISNA(MATCH(54,Engine!$C$2:$C$679,0)),"",INDEX('Compliance Database'!$F$2:$F$679,MATCH(54,Engine!$C$2:$C$679,0)))</f>
        <v/>
      </c>
      <c r="G67">
        <f>IF(ISNA(MATCH(54,Engine!$C$2:$C$679,0)),"",INDEX('Compliance Database'!$G$2:$G$679,MATCH(54,Engine!$C$2:$C$679,0)))</f>
        <v/>
      </c>
      <c r="H67">
        <f>IF(ISNA(MATCH(54,Engine!$C$2:$C$679,0)),"",INDEX('Compliance Database'!$H$2:$H$679,MATCH(54,Engine!$C$2:$C$679,0)))</f>
        <v/>
      </c>
      <c r="I67" s="8">
        <f>IF(ISNA(MATCH(54,Engine!$C$2:$C$679,0)),"",INDEX('Compliance Database'!$I$2:$I$679,MATCH(54,Engine!$C$2:$C$679,0)))</f>
        <v/>
      </c>
      <c r="J67" s="8">
        <f>IF(ISNA(MATCH(54,Engine!$C$2:$C$679,0)),"",INDEX('Compliance Database'!$J$2:$J$679,MATCH(54,Engine!$C$2:$C$679,0)))</f>
        <v/>
      </c>
      <c r="K67">
        <f>IF(ISNA(MATCH(54,Engine!$C$2:$C$679,0)),"",INDEX('Compliance Database'!$K$2:$K$679,MATCH(54,Engine!$C$2:$C$679,0)))</f>
        <v/>
      </c>
      <c r="L67" s="8">
        <f>IF(ISNA(MATCH(54,Engine!$C$2:$C$679,0)),"",INDEX('Compliance Database'!$L$2:$L$679,MATCH(54,Engine!$C$2:$C$679,0)))</f>
        <v/>
      </c>
      <c r="M67" s="8">
        <f>IF(ISNA(MATCH(54,Engine!$C$2:$C$679,0)),"",INDEX('Compliance Database'!$M$2:$M$679,MATCH(54,Engine!$C$2:$C$679,0)))</f>
        <v/>
      </c>
      <c r="N67" s="8">
        <f>IF(ISNA(MATCH(54,Engine!$C$2:$C$679,0)),"",INDEX('Compliance Database'!$N$2:$N$679,MATCH(54,Engine!$C$2:$C$679,0)))</f>
        <v/>
      </c>
      <c r="O67" s="8">
        <f>IF(ISNA(MATCH(54,Engine!$C$2:$C$679,0)),"",INDEX('Compliance Database'!$O$2:$O$679,MATCH(54,Engine!$C$2:$C$679,0)))</f>
        <v/>
      </c>
      <c r="P67">
        <f>IF(ISNA(MATCH(54,Engine!$C$2:$C$679,0)),"",HYPERLINK(INDEX('Compliance Database'!$P$2:$P$679,MATCH(54,Engine!$C$2:$C$679,0)),"Open PDF"))</f>
        <v/>
      </c>
    </row>
    <row r="68">
      <c r="A68">
        <f>IF(ISNA(MATCH(55,Engine!$C$2:$C$679,0)),"",INDEX('Compliance Database'!$A$2:$A$679,MATCH(55,Engine!$C$2:$C$679,0)))</f>
        <v/>
      </c>
      <c r="B68">
        <f>IF(ISNA(MATCH(55,Engine!$C$2:$C$679,0)),"",INDEX('Compliance Database'!$B$2:$B$679,MATCH(55,Engine!$C$2:$C$679,0)))</f>
        <v/>
      </c>
      <c r="C68">
        <f>IF(ISNA(MATCH(55,Engine!$C$2:$C$679,0)),"",INDEX('Compliance Database'!$C$2:$C$679,MATCH(55,Engine!$C$2:$C$679,0)))</f>
        <v/>
      </c>
      <c r="D68" s="8">
        <f>IF(ISNA(MATCH(55,Engine!$C$2:$C$679,0)),"",INDEX('Compliance Database'!$D$2:$D$679,MATCH(55,Engine!$C$2:$C$679,0)))</f>
        <v/>
      </c>
      <c r="E68">
        <f>IF(ISNA(MATCH(55,Engine!$C$2:$C$679,0)),"",INDEX('Compliance Database'!$E$2:$E$679,MATCH(55,Engine!$C$2:$C$679,0)))</f>
        <v/>
      </c>
      <c r="F68">
        <f>IF(ISNA(MATCH(55,Engine!$C$2:$C$679,0)),"",INDEX('Compliance Database'!$F$2:$F$679,MATCH(55,Engine!$C$2:$C$679,0)))</f>
        <v/>
      </c>
      <c r="G68">
        <f>IF(ISNA(MATCH(55,Engine!$C$2:$C$679,0)),"",INDEX('Compliance Database'!$G$2:$G$679,MATCH(55,Engine!$C$2:$C$679,0)))</f>
        <v/>
      </c>
      <c r="H68">
        <f>IF(ISNA(MATCH(55,Engine!$C$2:$C$679,0)),"",INDEX('Compliance Database'!$H$2:$H$679,MATCH(55,Engine!$C$2:$C$679,0)))</f>
        <v/>
      </c>
      <c r="I68" s="8">
        <f>IF(ISNA(MATCH(55,Engine!$C$2:$C$679,0)),"",INDEX('Compliance Database'!$I$2:$I$679,MATCH(55,Engine!$C$2:$C$679,0)))</f>
        <v/>
      </c>
      <c r="J68" s="8">
        <f>IF(ISNA(MATCH(55,Engine!$C$2:$C$679,0)),"",INDEX('Compliance Database'!$J$2:$J$679,MATCH(55,Engine!$C$2:$C$679,0)))</f>
        <v/>
      </c>
      <c r="K68">
        <f>IF(ISNA(MATCH(55,Engine!$C$2:$C$679,0)),"",INDEX('Compliance Database'!$K$2:$K$679,MATCH(55,Engine!$C$2:$C$679,0)))</f>
        <v/>
      </c>
      <c r="L68" s="8">
        <f>IF(ISNA(MATCH(55,Engine!$C$2:$C$679,0)),"",INDEX('Compliance Database'!$L$2:$L$679,MATCH(55,Engine!$C$2:$C$679,0)))</f>
        <v/>
      </c>
      <c r="M68" s="8">
        <f>IF(ISNA(MATCH(55,Engine!$C$2:$C$679,0)),"",INDEX('Compliance Database'!$M$2:$M$679,MATCH(55,Engine!$C$2:$C$679,0)))</f>
        <v/>
      </c>
      <c r="N68" s="8">
        <f>IF(ISNA(MATCH(55,Engine!$C$2:$C$679,0)),"",INDEX('Compliance Database'!$N$2:$N$679,MATCH(55,Engine!$C$2:$C$679,0)))</f>
        <v/>
      </c>
      <c r="O68" s="8">
        <f>IF(ISNA(MATCH(55,Engine!$C$2:$C$679,0)),"",INDEX('Compliance Database'!$O$2:$O$679,MATCH(55,Engine!$C$2:$C$679,0)))</f>
        <v/>
      </c>
      <c r="P68">
        <f>IF(ISNA(MATCH(55,Engine!$C$2:$C$679,0)),"",HYPERLINK(INDEX('Compliance Database'!$P$2:$P$679,MATCH(55,Engine!$C$2:$C$679,0)),"Open PDF"))</f>
        <v/>
      </c>
    </row>
    <row r="69">
      <c r="A69">
        <f>IF(ISNA(MATCH(56,Engine!$C$2:$C$679,0)),"",INDEX('Compliance Database'!$A$2:$A$679,MATCH(56,Engine!$C$2:$C$679,0)))</f>
        <v/>
      </c>
      <c r="B69">
        <f>IF(ISNA(MATCH(56,Engine!$C$2:$C$679,0)),"",INDEX('Compliance Database'!$B$2:$B$679,MATCH(56,Engine!$C$2:$C$679,0)))</f>
        <v/>
      </c>
      <c r="C69">
        <f>IF(ISNA(MATCH(56,Engine!$C$2:$C$679,0)),"",INDEX('Compliance Database'!$C$2:$C$679,MATCH(56,Engine!$C$2:$C$679,0)))</f>
        <v/>
      </c>
      <c r="D69" s="8">
        <f>IF(ISNA(MATCH(56,Engine!$C$2:$C$679,0)),"",INDEX('Compliance Database'!$D$2:$D$679,MATCH(56,Engine!$C$2:$C$679,0)))</f>
        <v/>
      </c>
      <c r="E69">
        <f>IF(ISNA(MATCH(56,Engine!$C$2:$C$679,0)),"",INDEX('Compliance Database'!$E$2:$E$679,MATCH(56,Engine!$C$2:$C$679,0)))</f>
        <v/>
      </c>
      <c r="F69">
        <f>IF(ISNA(MATCH(56,Engine!$C$2:$C$679,0)),"",INDEX('Compliance Database'!$F$2:$F$679,MATCH(56,Engine!$C$2:$C$679,0)))</f>
        <v/>
      </c>
      <c r="G69">
        <f>IF(ISNA(MATCH(56,Engine!$C$2:$C$679,0)),"",INDEX('Compliance Database'!$G$2:$G$679,MATCH(56,Engine!$C$2:$C$679,0)))</f>
        <v/>
      </c>
      <c r="H69">
        <f>IF(ISNA(MATCH(56,Engine!$C$2:$C$679,0)),"",INDEX('Compliance Database'!$H$2:$H$679,MATCH(56,Engine!$C$2:$C$679,0)))</f>
        <v/>
      </c>
      <c r="I69" s="8">
        <f>IF(ISNA(MATCH(56,Engine!$C$2:$C$679,0)),"",INDEX('Compliance Database'!$I$2:$I$679,MATCH(56,Engine!$C$2:$C$679,0)))</f>
        <v/>
      </c>
      <c r="J69" s="8">
        <f>IF(ISNA(MATCH(56,Engine!$C$2:$C$679,0)),"",INDEX('Compliance Database'!$J$2:$J$679,MATCH(56,Engine!$C$2:$C$679,0)))</f>
        <v/>
      </c>
      <c r="K69">
        <f>IF(ISNA(MATCH(56,Engine!$C$2:$C$679,0)),"",INDEX('Compliance Database'!$K$2:$K$679,MATCH(56,Engine!$C$2:$C$679,0)))</f>
        <v/>
      </c>
      <c r="L69" s="8">
        <f>IF(ISNA(MATCH(56,Engine!$C$2:$C$679,0)),"",INDEX('Compliance Database'!$L$2:$L$679,MATCH(56,Engine!$C$2:$C$679,0)))</f>
        <v/>
      </c>
      <c r="M69" s="8">
        <f>IF(ISNA(MATCH(56,Engine!$C$2:$C$679,0)),"",INDEX('Compliance Database'!$M$2:$M$679,MATCH(56,Engine!$C$2:$C$679,0)))</f>
        <v/>
      </c>
      <c r="N69" s="8">
        <f>IF(ISNA(MATCH(56,Engine!$C$2:$C$679,0)),"",INDEX('Compliance Database'!$N$2:$N$679,MATCH(56,Engine!$C$2:$C$679,0)))</f>
        <v/>
      </c>
      <c r="O69" s="8">
        <f>IF(ISNA(MATCH(56,Engine!$C$2:$C$679,0)),"",INDEX('Compliance Database'!$O$2:$O$679,MATCH(56,Engine!$C$2:$C$679,0)))</f>
        <v/>
      </c>
      <c r="P69">
        <f>IF(ISNA(MATCH(56,Engine!$C$2:$C$679,0)),"",HYPERLINK(INDEX('Compliance Database'!$P$2:$P$679,MATCH(56,Engine!$C$2:$C$679,0)),"Open PDF"))</f>
        <v/>
      </c>
    </row>
    <row r="70">
      <c r="A70">
        <f>IF(ISNA(MATCH(57,Engine!$C$2:$C$679,0)),"",INDEX('Compliance Database'!$A$2:$A$679,MATCH(57,Engine!$C$2:$C$679,0)))</f>
        <v/>
      </c>
      <c r="B70">
        <f>IF(ISNA(MATCH(57,Engine!$C$2:$C$679,0)),"",INDEX('Compliance Database'!$B$2:$B$679,MATCH(57,Engine!$C$2:$C$679,0)))</f>
        <v/>
      </c>
      <c r="C70">
        <f>IF(ISNA(MATCH(57,Engine!$C$2:$C$679,0)),"",INDEX('Compliance Database'!$C$2:$C$679,MATCH(57,Engine!$C$2:$C$679,0)))</f>
        <v/>
      </c>
      <c r="D70" s="8">
        <f>IF(ISNA(MATCH(57,Engine!$C$2:$C$679,0)),"",INDEX('Compliance Database'!$D$2:$D$679,MATCH(57,Engine!$C$2:$C$679,0)))</f>
        <v/>
      </c>
      <c r="E70">
        <f>IF(ISNA(MATCH(57,Engine!$C$2:$C$679,0)),"",INDEX('Compliance Database'!$E$2:$E$679,MATCH(57,Engine!$C$2:$C$679,0)))</f>
        <v/>
      </c>
      <c r="F70">
        <f>IF(ISNA(MATCH(57,Engine!$C$2:$C$679,0)),"",INDEX('Compliance Database'!$F$2:$F$679,MATCH(57,Engine!$C$2:$C$679,0)))</f>
        <v/>
      </c>
      <c r="G70">
        <f>IF(ISNA(MATCH(57,Engine!$C$2:$C$679,0)),"",INDEX('Compliance Database'!$G$2:$G$679,MATCH(57,Engine!$C$2:$C$679,0)))</f>
        <v/>
      </c>
      <c r="H70">
        <f>IF(ISNA(MATCH(57,Engine!$C$2:$C$679,0)),"",INDEX('Compliance Database'!$H$2:$H$679,MATCH(57,Engine!$C$2:$C$679,0)))</f>
        <v/>
      </c>
      <c r="I70" s="8">
        <f>IF(ISNA(MATCH(57,Engine!$C$2:$C$679,0)),"",INDEX('Compliance Database'!$I$2:$I$679,MATCH(57,Engine!$C$2:$C$679,0)))</f>
        <v/>
      </c>
      <c r="J70" s="8">
        <f>IF(ISNA(MATCH(57,Engine!$C$2:$C$679,0)),"",INDEX('Compliance Database'!$J$2:$J$679,MATCH(57,Engine!$C$2:$C$679,0)))</f>
        <v/>
      </c>
      <c r="K70">
        <f>IF(ISNA(MATCH(57,Engine!$C$2:$C$679,0)),"",INDEX('Compliance Database'!$K$2:$K$679,MATCH(57,Engine!$C$2:$C$679,0)))</f>
        <v/>
      </c>
      <c r="L70" s="8">
        <f>IF(ISNA(MATCH(57,Engine!$C$2:$C$679,0)),"",INDEX('Compliance Database'!$L$2:$L$679,MATCH(57,Engine!$C$2:$C$679,0)))</f>
        <v/>
      </c>
      <c r="M70" s="8">
        <f>IF(ISNA(MATCH(57,Engine!$C$2:$C$679,0)),"",INDEX('Compliance Database'!$M$2:$M$679,MATCH(57,Engine!$C$2:$C$679,0)))</f>
        <v/>
      </c>
      <c r="N70" s="8">
        <f>IF(ISNA(MATCH(57,Engine!$C$2:$C$679,0)),"",INDEX('Compliance Database'!$N$2:$N$679,MATCH(57,Engine!$C$2:$C$679,0)))</f>
        <v/>
      </c>
      <c r="O70" s="8">
        <f>IF(ISNA(MATCH(57,Engine!$C$2:$C$679,0)),"",INDEX('Compliance Database'!$O$2:$O$679,MATCH(57,Engine!$C$2:$C$679,0)))</f>
        <v/>
      </c>
      <c r="P70">
        <f>IF(ISNA(MATCH(57,Engine!$C$2:$C$679,0)),"",HYPERLINK(INDEX('Compliance Database'!$P$2:$P$679,MATCH(57,Engine!$C$2:$C$679,0)),"Open PDF"))</f>
        <v/>
      </c>
    </row>
    <row r="71">
      <c r="A71">
        <f>IF(ISNA(MATCH(58,Engine!$C$2:$C$679,0)),"",INDEX('Compliance Database'!$A$2:$A$679,MATCH(58,Engine!$C$2:$C$679,0)))</f>
        <v/>
      </c>
      <c r="B71">
        <f>IF(ISNA(MATCH(58,Engine!$C$2:$C$679,0)),"",INDEX('Compliance Database'!$B$2:$B$679,MATCH(58,Engine!$C$2:$C$679,0)))</f>
        <v/>
      </c>
      <c r="C71">
        <f>IF(ISNA(MATCH(58,Engine!$C$2:$C$679,0)),"",INDEX('Compliance Database'!$C$2:$C$679,MATCH(58,Engine!$C$2:$C$679,0)))</f>
        <v/>
      </c>
      <c r="D71" s="8">
        <f>IF(ISNA(MATCH(58,Engine!$C$2:$C$679,0)),"",INDEX('Compliance Database'!$D$2:$D$679,MATCH(58,Engine!$C$2:$C$679,0)))</f>
        <v/>
      </c>
      <c r="E71">
        <f>IF(ISNA(MATCH(58,Engine!$C$2:$C$679,0)),"",INDEX('Compliance Database'!$E$2:$E$679,MATCH(58,Engine!$C$2:$C$679,0)))</f>
        <v/>
      </c>
      <c r="F71">
        <f>IF(ISNA(MATCH(58,Engine!$C$2:$C$679,0)),"",INDEX('Compliance Database'!$F$2:$F$679,MATCH(58,Engine!$C$2:$C$679,0)))</f>
        <v/>
      </c>
      <c r="G71">
        <f>IF(ISNA(MATCH(58,Engine!$C$2:$C$679,0)),"",INDEX('Compliance Database'!$G$2:$G$679,MATCH(58,Engine!$C$2:$C$679,0)))</f>
        <v/>
      </c>
      <c r="H71">
        <f>IF(ISNA(MATCH(58,Engine!$C$2:$C$679,0)),"",INDEX('Compliance Database'!$H$2:$H$679,MATCH(58,Engine!$C$2:$C$679,0)))</f>
        <v/>
      </c>
      <c r="I71" s="8">
        <f>IF(ISNA(MATCH(58,Engine!$C$2:$C$679,0)),"",INDEX('Compliance Database'!$I$2:$I$679,MATCH(58,Engine!$C$2:$C$679,0)))</f>
        <v/>
      </c>
      <c r="J71" s="8">
        <f>IF(ISNA(MATCH(58,Engine!$C$2:$C$679,0)),"",INDEX('Compliance Database'!$J$2:$J$679,MATCH(58,Engine!$C$2:$C$679,0)))</f>
        <v/>
      </c>
      <c r="K71">
        <f>IF(ISNA(MATCH(58,Engine!$C$2:$C$679,0)),"",INDEX('Compliance Database'!$K$2:$K$679,MATCH(58,Engine!$C$2:$C$679,0)))</f>
        <v/>
      </c>
      <c r="L71" s="8">
        <f>IF(ISNA(MATCH(58,Engine!$C$2:$C$679,0)),"",INDEX('Compliance Database'!$L$2:$L$679,MATCH(58,Engine!$C$2:$C$679,0)))</f>
        <v/>
      </c>
      <c r="M71" s="8">
        <f>IF(ISNA(MATCH(58,Engine!$C$2:$C$679,0)),"",INDEX('Compliance Database'!$M$2:$M$679,MATCH(58,Engine!$C$2:$C$679,0)))</f>
        <v/>
      </c>
      <c r="N71" s="8">
        <f>IF(ISNA(MATCH(58,Engine!$C$2:$C$679,0)),"",INDEX('Compliance Database'!$N$2:$N$679,MATCH(58,Engine!$C$2:$C$679,0)))</f>
        <v/>
      </c>
      <c r="O71" s="8">
        <f>IF(ISNA(MATCH(58,Engine!$C$2:$C$679,0)),"",INDEX('Compliance Database'!$O$2:$O$679,MATCH(58,Engine!$C$2:$C$679,0)))</f>
        <v/>
      </c>
      <c r="P71">
        <f>IF(ISNA(MATCH(58,Engine!$C$2:$C$679,0)),"",HYPERLINK(INDEX('Compliance Database'!$P$2:$P$679,MATCH(58,Engine!$C$2:$C$679,0)),"Open PDF"))</f>
        <v/>
      </c>
    </row>
    <row r="72">
      <c r="A72">
        <f>IF(ISNA(MATCH(59,Engine!$C$2:$C$679,0)),"",INDEX('Compliance Database'!$A$2:$A$679,MATCH(59,Engine!$C$2:$C$679,0)))</f>
        <v/>
      </c>
      <c r="B72">
        <f>IF(ISNA(MATCH(59,Engine!$C$2:$C$679,0)),"",INDEX('Compliance Database'!$B$2:$B$679,MATCH(59,Engine!$C$2:$C$679,0)))</f>
        <v/>
      </c>
      <c r="C72">
        <f>IF(ISNA(MATCH(59,Engine!$C$2:$C$679,0)),"",INDEX('Compliance Database'!$C$2:$C$679,MATCH(59,Engine!$C$2:$C$679,0)))</f>
        <v/>
      </c>
      <c r="D72" s="8">
        <f>IF(ISNA(MATCH(59,Engine!$C$2:$C$679,0)),"",INDEX('Compliance Database'!$D$2:$D$679,MATCH(59,Engine!$C$2:$C$679,0)))</f>
        <v/>
      </c>
      <c r="E72">
        <f>IF(ISNA(MATCH(59,Engine!$C$2:$C$679,0)),"",INDEX('Compliance Database'!$E$2:$E$679,MATCH(59,Engine!$C$2:$C$679,0)))</f>
        <v/>
      </c>
      <c r="F72">
        <f>IF(ISNA(MATCH(59,Engine!$C$2:$C$679,0)),"",INDEX('Compliance Database'!$F$2:$F$679,MATCH(59,Engine!$C$2:$C$679,0)))</f>
        <v/>
      </c>
      <c r="G72">
        <f>IF(ISNA(MATCH(59,Engine!$C$2:$C$679,0)),"",INDEX('Compliance Database'!$G$2:$G$679,MATCH(59,Engine!$C$2:$C$679,0)))</f>
        <v/>
      </c>
      <c r="H72">
        <f>IF(ISNA(MATCH(59,Engine!$C$2:$C$679,0)),"",INDEX('Compliance Database'!$H$2:$H$679,MATCH(59,Engine!$C$2:$C$679,0)))</f>
        <v/>
      </c>
      <c r="I72" s="8">
        <f>IF(ISNA(MATCH(59,Engine!$C$2:$C$679,0)),"",INDEX('Compliance Database'!$I$2:$I$679,MATCH(59,Engine!$C$2:$C$679,0)))</f>
        <v/>
      </c>
      <c r="J72" s="8">
        <f>IF(ISNA(MATCH(59,Engine!$C$2:$C$679,0)),"",INDEX('Compliance Database'!$J$2:$J$679,MATCH(59,Engine!$C$2:$C$679,0)))</f>
        <v/>
      </c>
      <c r="K72">
        <f>IF(ISNA(MATCH(59,Engine!$C$2:$C$679,0)),"",INDEX('Compliance Database'!$K$2:$K$679,MATCH(59,Engine!$C$2:$C$679,0)))</f>
        <v/>
      </c>
      <c r="L72" s="8">
        <f>IF(ISNA(MATCH(59,Engine!$C$2:$C$679,0)),"",INDEX('Compliance Database'!$L$2:$L$679,MATCH(59,Engine!$C$2:$C$679,0)))</f>
        <v/>
      </c>
      <c r="M72" s="8">
        <f>IF(ISNA(MATCH(59,Engine!$C$2:$C$679,0)),"",INDEX('Compliance Database'!$M$2:$M$679,MATCH(59,Engine!$C$2:$C$679,0)))</f>
        <v/>
      </c>
      <c r="N72" s="8">
        <f>IF(ISNA(MATCH(59,Engine!$C$2:$C$679,0)),"",INDEX('Compliance Database'!$N$2:$N$679,MATCH(59,Engine!$C$2:$C$679,0)))</f>
        <v/>
      </c>
      <c r="O72" s="8">
        <f>IF(ISNA(MATCH(59,Engine!$C$2:$C$679,0)),"",INDEX('Compliance Database'!$O$2:$O$679,MATCH(59,Engine!$C$2:$C$679,0)))</f>
        <v/>
      </c>
      <c r="P72">
        <f>IF(ISNA(MATCH(59,Engine!$C$2:$C$679,0)),"",HYPERLINK(INDEX('Compliance Database'!$P$2:$P$679,MATCH(59,Engine!$C$2:$C$679,0)),"Open PDF"))</f>
        <v/>
      </c>
    </row>
    <row r="73">
      <c r="A73">
        <f>IF(ISNA(MATCH(60,Engine!$C$2:$C$679,0)),"",INDEX('Compliance Database'!$A$2:$A$679,MATCH(60,Engine!$C$2:$C$679,0)))</f>
        <v/>
      </c>
      <c r="B73">
        <f>IF(ISNA(MATCH(60,Engine!$C$2:$C$679,0)),"",INDEX('Compliance Database'!$B$2:$B$679,MATCH(60,Engine!$C$2:$C$679,0)))</f>
        <v/>
      </c>
      <c r="C73">
        <f>IF(ISNA(MATCH(60,Engine!$C$2:$C$679,0)),"",INDEX('Compliance Database'!$C$2:$C$679,MATCH(60,Engine!$C$2:$C$679,0)))</f>
        <v/>
      </c>
      <c r="D73" s="8">
        <f>IF(ISNA(MATCH(60,Engine!$C$2:$C$679,0)),"",INDEX('Compliance Database'!$D$2:$D$679,MATCH(60,Engine!$C$2:$C$679,0)))</f>
        <v/>
      </c>
      <c r="E73">
        <f>IF(ISNA(MATCH(60,Engine!$C$2:$C$679,0)),"",INDEX('Compliance Database'!$E$2:$E$679,MATCH(60,Engine!$C$2:$C$679,0)))</f>
        <v/>
      </c>
      <c r="F73">
        <f>IF(ISNA(MATCH(60,Engine!$C$2:$C$679,0)),"",INDEX('Compliance Database'!$F$2:$F$679,MATCH(60,Engine!$C$2:$C$679,0)))</f>
        <v/>
      </c>
      <c r="G73">
        <f>IF(ISNA(MATCH(60,Engine!$C$2:$C$679,0)),"",INDEX('Compliance Database'!$G$2:$G$679,MATCH(60,Engine!$C$2:$C$679,0)))</f>
        <v/>
      </c>
      <c r="H73">
        <f>IF(ISNA(MATCH(60,Engine!$C$2:$C$679,0)),"",INDEX('Compliance Database'!$H$2:$H$679,MATCH(60,Engine!$C$2:$C$679,0)))</f>
        <v/>
      </c>
      <c r="I73" s="8">
        <f>IF(ISNA(MATCH(60,Engine!$C$2:$C$679,0)),"",INDEX('Compliance Database'!$I$2:$I$679,MATCH(60,Engine!$C$2:$C$679,0)))</f>
        <v/>
      </c>
      <c r="J73" s="8">
        <f>IF(ISNA(MATCH(60,Engine!$C$2:$C$679,0)),"",INDEX('Compliance Database'!$J$2:$J$679,MATCH(60,Engine!$C$2:$C$679,0)))</f>
        <v/>
      </c>
      <c r="K73">
        <f>IF(ISNA(MATCH(60,Engine!$C$2:$C$679,0)),"",INDEX('Compliance Database'!$K$2:$K$679,MATCH(60,Engine!$C$2:$C$679,0)))</f>
        <v/>
      </c>
      <c r="L73" s="8">
        <f>IF(ISNA(MATCH(60,Engine!$C$2:$C$679,0)),"",INDEX('Compliance Database'!$L$2:$L$679,MATCH(60,Engine!$C$2:$C$679,0)))</f>
        <v/>
      </c>
      <c r="M73" s="8">
        <f>IF(ISNA(MATCH(60,Engine!$C$2:$C$679,0)),"",INDEX('Compliance Database'!$M$2:$M$679,MATCH(60,Engine!$C$2:$C$679,0)))</f>
        <v/>
      </c>
      <c r="N73" s="8">
        <f>IF(ISNA(MATCH(60,Engine!$C$2:$C$679,0)),"",INDEX('Compliance Database'!$N$2:$N$679,MATCH(60,Engine!$C$2:$C$679,0)))</f>
        <v/>
      </c>
      <c r="O73" s="8">
        <f>IF(ISNA(MATCH(60,Engine!$C$2:$C$679,0)),"",INDEX('Compliance Database'!$O$2:$O$679,MATCH(60,Engine!$C$2:$C$679,0)))</f>
        <v/>
      </c>
      <c r="P73">
        <f>IF(ISNA(MATCH(60,Engine!$C$2:$C$679,0)),"",HYPERLINK(INDEX('Compliance Database'!$P$2:$P$679,MATCH(60,Engine!$C$2:$C$679,0)),"Open PDF"))</f>
        <v/>
      </c>
    </row>
    <row r="74">
      <c r="A74">
        <f>IF(ISNA(MATCH(61,Engine!$C$2:$C$679,0)),"",INDEX('Compliance Database'!$A$2:$A$679,MATCH(61,Engine!$C$2:$C$679,0)))</f>
        <v/>
      </c>
      <c r="B74">
        <f>IF(ISNA(MATCH(61,Engine!$C$2:$C$679,0)),"",INDEX('Compliance Database'!$B$2:$B$679,MATCH(61,Engine!$C$2:$C$679,0)))</f>
        <v/>
      </c>
      <c r="C74">
        <f>IF(ISNA(MATCH(61,Engine!$C$2:$C$679,0)),"",INDEX('Compliance Database'!$C$2:$C$679,MATCH(61,Engine!$C$2:$C$679,0)))</f>
        <v/>
      </c>
      <c r="D74" s="8">
        <f>IF(ISNA(MATCH(61,Engine!$C$2:$C$679,0)),"",INDEX('Compliance Database'!$D$2:$D$679,MATCH(61,Engine!$C$2:$C$679,0)))</f>
        <v/>
      </c>
      <c r="E74">
        <f>IF(ISNA(MATCH(61,Engine!$C$2:$C$679,0)),"",INDEX('Compliance Database'!$E$2:$E$679,MATCH(61,Engine!$C$2:$C$679,0)))</f>
        <v/>
      </c>
      <c r="F74">
        <f>IF(ISNA(MATCH(61,Engine!$C$2:$C$679,0)),"",INDEX('Compliance Database'!$F$2:$F$679,MATCH(61,Engine!$C$2:$C$679,0)))</f>
        <v/>
      </c>
      <c r="G74">
        <f>IF(ISNA(MATCH(61,Engine!$C$2:$C$679,0)),"",INDEX('Compliance Database'!$G$2:$G$679,MATCH(61,Engine!$C$2:$C$679,0)))</f>
        <v/>
      </c>
      <c r="H74">
        <f>IF(ISNA(MATCH(61,Engine!$C$2:$C$679,0)),"",INDEX('Compliance Database'!$H$2:$H$679,MATCH(61,Engine!$C$2:$C$679,0)))</f>
        <v/>
      </c>
      <c r="I74" s="8">
        <f>IF(ISNA(MATCH(61,Engine!$C$2:$C$679,0)),"",INDEX('Compliance Database'!$I$2:$I$679,MATCH(61,Engine!$C$2:$C$679,0)))</f>
        <v/>
      </c>
      <c r="J74" s="8">
        <f>IF(ISNA(MATCH(61,Engine!$C$2:$C$679,0)),"",INDEX('Compliance Database'!$J$2:$J$679,MATCH(61,Engine!$C$2:$C$679,0)))</f>
        <v/>
      </c>
      <c r="K74">
        <f>IF(ISNA(MATCH(61,Engine!$C$2:$C$679,0)),"",INDEX('Compliance Database'!$K$2:$K$679,MATCH(61,Engine!$C$2:$C$679,0)))</f>
        <v/>
      </c>
      <c r="L74" s="8">
        <f>IF(ISNA(MATCH(61,Engine!$C$2:$C$679,0)),"",INDEX('Compliance Database'!$L$2:$L$679,MATCH(61,Engine!$C$2:$C$679,0)))</f>
        <v/>
      </c>
      <c r="M74" s="8">
        <f>IF(ISNA(MATCH(61,Engine!$C$2:$C$679,0)),"",INDEX('Compliance Database'!$M$2:$M$679,MATCH(61,Engine!$C$2:$C$679,0)))</f>
        <v/>
      </c>
      <c r="N74" s="8">
        <f>IF(ISNA(MATCH(61,Engine!$C$2:$C$679,0)),"",INDEX('Compliance Database'!$N$2:$N$679,MATCH(61,Engine!$C$2:$C$679,0)))</f>
        <v/>
      </c>
      <c r="O74" s="8">
        <f>IF(ISNA(MATCH(61,Engine!$C$2:$C$679,0)),"",INDEX('Compliance Database'!$O$2:$O$679,MATCH(61,Engine!$C$2:$C$679,0)))</f>
        <v/>
      </c>
      <c r="P74">
        <f>IF(ISNA(MATCH(61,Engine!$C$2:$C$679,0)),"",HYPERLINK(INDEX('Compliance Database'!$P$2:$P$679,MATCH(61,Engine!$C$2:$C$679,0)),"Open PDF"))</f>
        <v/>
      </c>
    </row>
    <row r="75">
      <c r="A75">
        <f>IF(ISNA(MATCH(62,Engine!$C$2:$C$679,0)),"",INDEX('Compliance Database'!$A$2:$A$679,MATCH(62,Engine!$C$2:$C$679,0)))</f>
        <v/>
      </c>
      <c r="B75">
        <f>IF(ISNA(MATCH(62,Engine!$C$2:$C$679,0)),"",INDEX('Compliance Database'!$B$2:$B$679,MATCH(62,Engine!$C$2:$C$679,0)))</f>
        <v/>
      </c>
      <c r="C75">
        <f>IF(ISNA(MATCH(62,Engine!$C$2:$C$679,0)),"",INDEX('Compliance Database'!$C$2:$C$679,MATCH(62,Engine!$C$2:$C$679,0)))</f>
        <v/>
      </c>
      <c r="D75" s="8">
        <f>IF(ISNA(MATCH(62,Engine!$C$2:$C$679,0)),"",INDEX('Compliance Database'!$D$2:$D$679,MATCH(62,Engine!$C$2:$C$679,0)))</f>
        <v/>
      </c>
      <c r="E75">
        <f>IF(ISNA(MATCH(62,Engine!$C$2:$C$679,0)),"",INDEX('Compliance Database'!$E$2:$E$679,MATCH(62,Engine!$C$2:$C$679,0)))</f>
        <v/>
      </c>
      <c r="F75">
        <f>IF(ISNA(MATCH(62,Engine!$C$2:$C$679,0)),"",INDEX('Compliance Database'!$F$2:$F$679,MATCH(62,Engine!$C$2:$C$679,0)))</f>
        <v/>
      </c>
      <c r="G75">
        <f>IF(ISNA(MATCH(62,Engine!$C$2:$C$679,0)),"",INDEX('Compliance Database'!$G$2:$G$679,MATCH(62,Engine!$C$2:$C$679,0)))</f>
        <v/>
      </c>
      <c r="H75">
        <f>IF(ISNA(MATCH(62,Engine!$C$2:$C$679,0)),"",INDEX('Compliance Database'!$H$2:$H$679,MATCH(62,Engine!$C$2:$C$679,0)))</f>
        <v/>
      </c>
      <c r="I75" s="8">
        <f>IF(ISNA(MATCH(62,Engine!$C$2:$C$679,0)),"",INDEX('Compliance Database'!$I$2:$I$679,MATCH(62,Engine!$C$2:$C$679,0)))</f>
        <v/>
      </c>
      <c r="J75" s="8">
        <f>IF(ISNA(MATCH(62,Engine!$C$2:$C$679,0)),"",INDEX('Compliance Database'!$J$2:$J$679,MATCH(62,Engine!$C$2:$C$679,0)))</f>
        <v/>
      </c>
      <c r="K75">
        <f>IF(ISNA(MATCH(62,Engine!$C$2:$C$679,0)),"",INDEX('Compliance Database'!$K$2:$K$679,MATCH(62,Engine!$C$2:$C$679,0)))</f>
        <v/>
      </c>
      <c r="L75" s="8">
        <f>IF(ISNA(MATCH(62,Engine!$C$2:$C$679,0)),"",INDEX('Compliance Database'!$L$2:$L$679,MATCH(62,Engine!$C$2:$C$679,0)))</f>
        <v/>
      </c>
      <c r="M75" s="8">
        <f>IF(ISNA(MATCH(62,Engine!$C$2:$C$679,0)),"",INDEX('Compliance Database'!$M$2:$M$679,MATCH(62,Engine!$C$2:$C$679,0)))</f>
        <v/>
      </c>
      <c r="N75" s="8">
        <f>IF(ISNA(MATCH(62,Engine!$C$2:$C$679,0)),"",INDEX('Compliance Database'!$N$2:$N$679,MATCH(62,Engine!$C$2:$C$679,0)))</f>
        <v/>
      </c>
      <c r="O75" s="8">
        <f>IF(ISNA(MATCH(62,Engine!$C$2:$C$679,0)),"",INDEX('Compliance Database'!$O$2:$O$679,MATCH(62,Engine!$C$2:$C$679,0)))</f>
        <v/>
      </c>
      <c r="P75">
        <f>IF(ISNA(MATCH(62,Engine!$C$2:$C$679,0)),"",HYPERLINK(INDEX('Compliance Database'!$P$2:$P$679,MATCH(62,Engine!$C$2:$C$679,0)),"Open PDF"))</f>
        <v/>
      </c>
    </row>
    <row r="76">
      <c r="A76">
        <f>IF(ISNA(MATCH(63,Engine!$C$2:$C$679,0)),"",INDEX('Compliance Database'!$A$2:$A$679,MATCH(63,Engine!$C$2:$C$679,0)))</f>
        <v/>
      </c>
      <c r="B76">
        <f>IF(ISNA(MATCH(63,Engine!$C$2:$C$679,0)),"",INDEX('Compliance Database'!$B$2:$B$679,MATCH(63,Engine!$C$2:$C$679,0)))</f>
        <v/>
      </c>
      <c r="C76">
        <f>IF(ISNA(MATCH(63,Engine!$C$2:$C$679,0)),"",INDEX('Compliance Database'!$C$2:$C$679,MATCH(63,Engine!$C$2:$C$679,0)))</f>
        <v/>
      </c>
      <c r="D76" s="8">
        <f>IF(ISNA(MATCH(63,Engine!$C$2:$C$679,0)),"",INDEX('Compliance Database'!$D$2:$D$679,MATCH(63,Engine!$C$2:$C$679,0)))</f>
        <v/>
      </c>
      <c r="E76">
        <f>IF(ISNA(MATCH(63,Engine!$C$2:$C$679,0)),"",INDEX('Compliance Database'!$E$2:$E$679,MATCH(63,Engine!$C$2:$C$679,0)))</f>
        <v/>
      </c>
      <c r="F76">
        <f>IF(ISNA(MATCH(63,Engine!$C$2:$C$679,0)),"",INDEX('Compliance Database'!$F$2:$F$679,MATCH(63,Engine!$C$2:$C$679,0)))</f>
        <v/>
      </c>
      <c r="G76">
        <f>IF(ISNA(MATCH(63,Engine!$C$2:$C$679,0)),"",INDEX('Compliance Database'!$G$2:$G$679,MATCH(63,Engine!$C$2:$C$679,0)))</f>
        <v/>
      </c>
      <c r="H76">
        <f>IF(ISNA(MATCH(63,Engine!$C$2:$C$679,0)),"",INDEX('Compliance Database'!$H$2:$H$679,MATCH(63,Engine!$C$2:$C$679,0)))</f>
        <v/>
      </c>
      <c r="I76" s="8">
        <f>IF(ISNA(MATCH(63,Engine!$C$2:$C$679,0)),"",INDEX('Compliance Database'!$I$2:$I$679,MATCH(63,Engine!$C$2:$C$679,0)))</f>
        <v/>
      </c>
      <c r="J76" s="8">
        <f>IF(ISNA(MATCH(63,Engine!$C$2:$C$679,0)),"",INDEX('Compliance Database'!$J$2:$J$679,MATCH(63,Engine!$C$2:$C$679,0)))</f>
        <v/>
      </c>
      <c r="K76">
        <f>IF(ISNA(MATCH(63,Engine!$C$2:$C$679,0)),"",INDEX('Compliance Database'!$K$2:$K$679,MATCH(63,Engine!$C$2:$C$679,0)))</f>
        <v/>
      </c>
      <c r="L76" s="8">
        <f>IF(ISNA(MATCH(63,Engine!$C$2:$C$679,0)),"",INDEX('Compliance Database'!$L$2:$L$679,MATCH(63,Engine!$C$2:$C$679,0)))</f>
        <v/>
      </c>
      <c r="M76" s="8">
        <f>IF(ISNA(MATCH(63,Engine!$C$2:$C$679,0)),"",INDEX('Compliance Database'!$M$2:$M$679,MATCH(63,Engine!$C$2:$C$679,0)))</f>
        <v/>
      </c>
      <c r="N76" s="8">
        <f>IF(ISNA(MATCH(63,Engine!$C$2:$C$679,0)),"",INDEX('Compliance Database'!$N$2:$N$679,MATCH(63,Engine!$C$2:$C$679,0)))</f>
        <v/>
      </c>
      <c r="O76" s="8">
        <f>IF(ISNA(MATCH(63,Engine!$C$2:$C$679,0)),"",INDEX('Compliance Database'!$O$2:$O$679,MATCH(63,Engine!$C$2:$C$679,0)))</f>
        <v/>
      </c>
      <c r="P76">
        <f>IF(ISNA(MATCH(63,Engine!$C$2:$C$679,0)),"",HYPERLINK(INDEX('Compliance Database'!$P$2:$P$679,MATCH(63,Engine!$C$2:$C$679,0)),"Open PDF"))</f>
        <v/>
      </c>
    </row>
    <row r="77">
      <c r="A77">
        <f>IF(ISNA(MATCH(64,Engine!$C$2:$C$679,0)),"",INDEX('Compliance Database'!$A$2:$A$679,MATCH(64,Engine!$C$2:$C$679,0)))</f>
        <v/>
      </c>
      <c r="B77">
        <f>IF(ISNA(MATCH(64,Engine!$C$2:$C$679,0)),"",INDEX('Compliance Database'!$B$2:$B$679,MATCH(64,Engine!$C$2:$C$679,0)))</f>
        <v/>
      </c>
      <c r="C77">
        <f>IF(ISNA(MATCH(64,Engine!$C$2:$C$679,0)),"",INDEX('Compliance Database'!$C$2:$C$679,MATCH(64,Engine!$C$2:$C$679,0)))</f>
        <v/>
      </c>
      <c r="D77" s="8">
        <f>IF(ISNA(MATCH(64,Engine!$C$2:$C$679,0)),"",INDEX('Compliance Database'!$D$2:$D$679,MATCH(64,Engine!$C$2:$C$679,0)))</f>
        <v/>
      </c>
      <c r="E77">
        <f>IF(ISNA(MATCH(64,Engine!$C$2:$C$679,0)),"",INDEX('Compliance Database'!$E$2:$E$679,MATCH(64,Engine!$C$2:$C$679,0)))</f>
        <v/>
      </c>
      <c r="F77">
        <f>IF(ISNA(MATCH(64,Engine!$C$2:$C$679,0)),"",INDEX('Compliance Database'!$F$2:$F$679,MATCH(64,Engine!$C$2:$C$679,0)))</f>
        <v/>
      </c>
      <c r="G77">
        <f>IF(ISNA(MATCH(64,Engine!$C$2:$C$679,0)),"",INDEX('Compliance Database'!$G$2:$G$679,MATCH(64,Engine!$C$2:$C$679,0)))</f>
        <v/>
      </c>
      <c r="H77">
        <f>IF(ISNA(MATCH(64,Engine!$C$2:$C$679,0)),"",INDEX('Compliance Database'!$H$2:$H$679,MATCH(64,Engine!$C$2:$C$679,0)))</f>
        <v/>
      </c>
      <c r="I77" s="8">
        <f>IF(ISNA(MATCH(64,Engine!$C$2:$C$679,0)),"",INDEX('Compliance Database'!$I$2:$I$679,MATCH(64,Engine!$C$2:$C$679,0)))</f>
        <v/>
      </c>
      <c r="J77" s="8">
        <f>IF(ISNA(MATCH(64,Engine!$C$2:$C$679,0)),"",INDEX('Compliance Database'!$J$2:$J$679,MATCH(64,Engine!$C$2:$C$679,0)))</f>
        <v/>
      </c>
      <c r="K77">
        <f>IF(ISNA(MATCH(64,Engine!$C$2:$C$679,0)),"",INDEX('Compliance Database'!$K$2:$K$679,MATCH(64,Engine!$C$2:$C$679,0)))</f>
        <v/>
      </c>
      <c r="L77" s="8">
        <f>IF(ISNA(MATCH(64,Engine!$C$2:$C$679,0)),"",INDEX('Compliance Database'!$L$2:$L$679,MATCH(64,Engine!$C$2:$C$679,0)))</f>
        <v/>
      </c>
      <c r="M77" s="8">
        <f>IF(ISNA(MATCH(64,Engine!$C$2:$C$679,0)),"",INDEX('Compliance Database'!$M$2:$M$679,MATCH(64,Engine!$C$2:$C$679,0)))</f>
        <v/>
      </c>
      <c r="N77" s="8">
        <f>IF(ISNA(MATCH(64,Engine!$C$2:$C$679,0)),"",INDEX('Compliance Database'!$N$2:$N$679,MATCH(64,Engine!$C$2:$C$679,0)))</f>
        <v/>
      </c>
      <c r="O77" s="8">
        <f>IF(ISNA(MATCH(64,Engine!$C$2:$C$679,0)),"",INDEX('Compliance Database'!$O$2:$O$679,MATCH(64,Engine!$C$2:$C$679,0)))</f>
        <v/>
      </c>
      <c r="P77">
        <f>IF(ISNA(MATCH(64,Engine!$C$2:$C$679,0)),"",HYPERLINK(INDEX('Compliance Database'!$P$2:$P$679,MATCH(64,Engine!$C$2:$C$679,0)),"Open PDF"))</f>
        <v/>
      </c>
    </row>
    <row r="78">
      <c r="A78">
        <f>IF(ISNA(MATCH(65,Engine!$C$2:$C$679,0)),"",INDEX('Compliance Database'!$A$2:$A$679,MATCH(65,Engine!$C$2:$C$679,0)))</f>
        <v/>
      </c>
      <c r="B78">
        <f>IF(ISNA(MATCH(65,Engine!$C$2:$C$679,0)),"",INDEX('Compliance Database'!$B$2:$B$679,MATCH(65,Engine!$C$2:$C$679,0)))</f>
        <v/>
      </c>
      <c r="C78">
        <f>IF(ISNA(MATCH(65,Engine!$C$2:$C$679,0)),"",INDEX('Compliance Database'!$C$2:$C$679,MATCH(65,Engine!$C$2:$C$679,0)))</f>
        <v/>
      </c>
      <c r="D78" s="8">
        <f>IF(ISNA(MATCH(65,Engine!$C$2:$C$679,0)),"",INDEX('Compliance Database'!$D$2:$D$679,MATCH(65,Engine!$C$2:$C$679,0)))</f>
        <v/>
      </c>
      <c r="E78">
        <f>IF(ISNA(MATCH(65,Engine!$C$2:$C$679,0)),"",INDEX('Compliance Database'!$E$2:$E$679,MATCH(65,Engine!$C$2:$C$679,0)))</f>
        <v/>
      </c>
      <c r="F78">
        <f>IF(ISNA(MATCH(65,Engine!$C$2:$C$679,0)),"",INDEX('Compliance Database'!$F$2:$F$679,MATCH(65,Engine!$C$2:$C$679,0)))</f>
        <v/>
      </c>
      <c r="G78">
        <f>IF(ISNA(MATCH(65,Engine!$C$2:$C$679,0)),"",INDEX('Compliance Database'!$G$2:$G$679,MATCH(65,Engine!$C$2:$C$679,0)))</f>
        <v/>
      </c>
      <c r="H78">
        <f>IF(ISNA(MATCH(65,Engine!$C$2:$C$679,0)),"",INDEX('Compliance Database'!$H$2:$H$679,MATCH(65,Engine!$C$2:$C$679,0)))</f>
        <v/>
      </c>
      <c r="I78" s="8">
        <f>IF(ISNA(MATCH(65,Engine!$C$2:$C$679,0)),"",INDEX('Compliance Database'!$I$2:$I$679,MATCH(65,Engine!$C$2:$C$679,0)))</f>
        <v/>
      </c>
      <c r="J78" s="8">
        <f>IF(ISNA(MATCH(65,Engine!$C$2:$C$679,0)),"",INDEX('Compliance Database'!$J$2:$J$679,MATCH(65,Engine!$C$2:$C$679,0)))</f>
        <v/>
      </c>
      <c r="K78">
        <f>IF(ISNA(MATCH(65,Engine!$C$2:$C$679,0)),"",INDEX('Compliance Database'!$K$2:$K$679,MATCH(65,Engine!$C$2:$C$679,0)))</f>
        <v/>
      </c>
      <c r="L78" s="8">
        <f>IF(ISNA(MATCH(65,Engine!$C$2:$C$679,0)),"",INDEX('Compliance Database'!$L$2:$L$679,MATCH(65,Engine!$C$2:$C$679,0)))</f>
        <v/>
      </c>
      <c r="M78" s="8">
        <f>IF(ISNA(MATCH(65,Engine!$C$2:$C$679,0)),"",INDEX('Compliance Database'!$M$2:$M$679,MATCH(65,Engine!$C$2:$C$679,0)))</f>
        <v/>
      </c>
      <c r="N78" s="8">
        <f>IF(ISNA(MATCH(65,Engine!$C$2:$C$679,0)),"",INDEX('Compliance Database'!$N$2:$N$679,MATCH(65,Engine!$C$2:$C$679,0)))</f>
        <v/>
      </c>
      <c r="O78" s="8">
        <f>IF(ISNA(MATCH(65,Engine!$C$2:$C$679,0)),"",INDEX('Compliance Database'!$O$2:$O$679,MATCH(65,Engine!$C$2:$C$679,0)))</f>
        <v/>
      </c>
      <c r="P78">
        <f>IF(ISNA(MATCH(65,Engine!$C$2:$C$679,0)),"",HYPERLINK(INDEX('Compliance Database'!$P$2:$P$679,MATCH(65,Engine!$C$2:$C$679,0)),"Open PDF"))</f>
        <v/>
      </c>
    </row>
    <row r="79">
      <c r="A79">
        <f>IF(ISNA(MATCH(66,Engine!$C$2:$C$679,0)),"",INDEX('Compliance Database'!$A$2:$A$679,MATCH(66,Engine!$C$2:$C$679,0)))</f>
        <v/>
      </c>
      <c r="B79">
        <f>IF(ISNA(MATCH(66,Engine!$C$2:$C$679,0)),"",INDEX('Compliance Database'!$B$2:$B$679,MATCH(66,Engine!$C$2:$C$679,0)))</f>
        <v/>
      </c>
      <c r="C79">
        <f>IF(ISNA(MATCH(66,Engine!$C$2:$C$679,0)),"",INDEX('Compliance Database'!$C$2:$C$679,MATCH(66,Engine!$C$2:$C$679,0)))</f>
        <v/>
      </c>
      <c r="D79" s="8">
        <f>IF(ISNA(MATCH(66,Engine!$C$2:$C$679,0)),"",INDEX('Compliance Database'!$D$2:$D$679,MATCH(66,Engine!$C$2:$C$679,0)))</f>
        <v/>
      </c>
      <c r="E79">
        <f>IF(ISNA(MATCH(66,Engine!$C$2:$C$679,0)),"",INDEX('Compliance Database'!$E$2:$E$679,MATCH(66,Engine!$C$2:$C$679,0)))</f>
        <v/>
      </c>
      <c r="F79">
        <f>IF(ISNA(MATCH(66,Engine!$C$2:$C$679,0)),"",INDEX('Compliance Database'!$F$2:$F$679,MATCH(66,Engine!$C$2:$C$679,0)))</f>
        <v/>
      </c>
      <c r="G79">
        <f>IF(ISNA(MATCH(66,Engine!$C$2:$C$679,0)),"",INDEX('Compliance Database'!$G$2:$G$679,MATCH(66,Engine!$C$2:$C$679,0)))</f>
        <v/>
      </c>
      <c r="H79">
        <f>IF(ISNA(MATCH(66,Engine!$C$2:$C$679,0)),"",INDEX('Compliance Database'!$H$2:$H$679,MATCH(66,Engine!$C$2:$C$679,0)))</f>
        <v/>
      </c>
      <c r="I79" s="8">
        <f>IF(ISNA(MATCH(66,Engine!$C$2:$C$679,0)),"",INDEX('Compliance Database'!$I$2:$I$679,MATCH(66,Engine!$C$2:$C$679,0)))</f>
        <v/>
      </c>
      <c r="J79" s="8">
        <f>IF(ISNA(MATCH(66,Engine!$C$2:$C$679,0)),"",INDEX('Compliance Database'!$J$2:$J$679,MATCH(66,Engine!$C$2:$C$679,0)))</f>
        <v/>
      </c>
      <c r="K79">
        <f>IF(ISNA(MATCH(66,Engine!$C$2:$C$679,0)),"",INDEX('Compliance Database'!$K$2:$K$679,MATCH(66,Engine!$C$2:$C$679,0)))</f>
        <v/>
      </c>
      <c r="L79" s="8">
        <f>IF(ISNA(MATCH(66,Engine!$C$2:$C$679,0)),"",INDEX('Compliance Database'!$L$2:$L$679,MATCH(66,Engine!$C$2:$C$679,0)))</f>
        <v/>
      </c>
      <c r="M79" s="8">
        <f>IF(ISNA(MATCH(66,Engine!$C$2:$C$679,0)),"",INDEX('Compliance Database'!$M$2:$M$679,MATCH(66,Engine!$C$2:$C$679,0)))</f>
        <v/>
      </c>
      <c r="N79" s="8">
        <f>IF(ISNA(MATCH(66,Engine!$C$2:$C$679,0)),"",INDEX('Compliance Database'!$N$2:$N$679,MATCH(66,Engine!$C$2:$C$679,0)))</f>
        <v/>
      </c>
      <c r="O79" s="8">
        <f>IF(ISNA(MATCH(66,Engine!$C$2:$C$679,0)),"",INDEX('Compliance Database'!$O$2:$O$679,MATCH(66,Engine!$C$2:$C$679,0)))</f>
        <v/>
      </c>
      <c r="P79">
        <f>IF(ISNA(MATCH(66,Engine!$C$2:$C$679,0)),"",HYPERLINK(INDEX('Compliance Database'!$P$2:$P$679,MATCH(66,Engine!$C$2:$C$679,0)),"Open PDF"))</f>
        <v/>
      </c>
    </row>
    <row r="80">
      <c r="A80">
        <f>IF(ISNA(MATCH(67,Engine!$C$2:$C$679,0)),"",INDEX('Compliance Database'!$A$2:$A$679,MATCH(67,Engine!$C$2:$C$679,0)))</f>
        <v/>
      </c>
      <c r="B80">
        <f>IF(ISNA(MATCH(67,Engine!$C$2:$C$679,0)),"",INDEX('Compliance Database'!$B$2:$B$679,MATCH(67,Engine!$C$2:$C$679,0)))</f>
        <v/>
      </c>
      <c r="C80">
        <f>IF(ISNA(MATCH(67,Engine!$C$2:$C$679,0)),"",INDEX('Compliance Database'!$C$2:$C$679,MATCH(67,Engine!$C$2:$C$679,0)))</f>
        <v/>
      </c>
      <c r="D80" s="8">
        <f>IF(ISNA(MATCH(67,Engine!$C$2:$C$679,0)),"",INDEX('Compliance Database'!$D$2:$D$679,MATCH(67,Engine!$C$2:$C$679,0)))</f>
        <v/>
      </c>
      <c r="E80">
        <f>IF(ISNA(MATCH(67,Engine!$C$2:$C$679,0)),"",INDEX('Compliance Database'!$E$2:$E$679,MATCH(67,Engine!$C$2:$C$679,0)))</f>
        <v/>
      </c>
      <c r="F80">
        <f>IF(ISNA(MATCH(67,Engine!$C$2:$C$679,0)),"",INDEX('Compliance Database'!$F$2:$F$679,MATCH(67,Engine!$C$2:$C$679,0)))</f>
        <v/>
      </c>
      <c r="G80">
        <f>IF(ISNA(MATCH(67,Engine!$C$2:$C$679,0)),"",INDEX('Compliance Database'!$G$2:$G$679,MATCH(67,Engine!$C$2:$C$679,0)))</f>
        <v/>
      </c>
      <c r="H80">
        <f>IF(ISNA(MATCH(67,Engine!$C$2:$C$679,0)),"",INDEX('Compliance Database'!$H$2:$H$679,MATCH(67,Engine!$C$2:$C$679,0)))</f>
        <v/>
      </c>
      <c r="I80" s="8">
        <f>IF(ISNA(MATCH(67,Engine!$C$2:$C$679,0)),"",INDEX('Compliance Database'!$I$2:$I$679,MATCH(67,Engine!$C$2:$C$679,0)))</f>
        <v/>
      </c>
      <c r="J80" s="8">
        <f>IF(ISNA(MATCH(67,Engine!$C$2:$C$679,0)),"",INDEX('Compliance Database'!$J$2:$J$679,MATCH(67,Engine!$C$2:$C$679,0)))</f>
        <v/>
      </c>
      <c r="K80">
        <f>IF(ISNA(MATCH(67,Engine!$C$2:$C$679,0)),"",INDEX('Compliance Database'!$K$2:$K$679,MATCH(67,Engine!$C$2:$C$679,0)))</f>
        <v/>
      </c>
      <c r="L80" s="8">
        <f>IF(ISNA(MATCH(67,Engine!$C$2:$C$679,0)),"",INDEX('Compliance Database'!$L$2:$L$679,MATCH(67,Engine!$C$2:$C$679,0)))</f>
        <v/>
      </c>
      <c r="M80" s="8">
        <f>IF(ISNA(MATCH(67,Engine!$C$2:$C$679,0)),"",INDEX('Compliance Database'!$M$2:$M$679,MATCH(67,Engine!$C$2:$C$679,0)))</f>
        <v/>
      </c>
      <c r="N80" s="8">
        <f>IF(ISNA(MATCH(67,Engine!$C$2:$C$679,0)),"",INDEX('Compliance Database'!$N$2:$N$679,MATCH(67,Engine!$C$2:$C$679,0)))</f>
        <v/>
      </c>
      <c r="O80" s="8">
        <f>IF(ISNA(MATCH(67,Engine!$C$2:$C$679,0)),"",INDEX('Compliance Database'!$O$2:$O$679,MATCH(67,Engine!$C$2:$C$679,0)))</f>
        <v/>
      </c>
      <c r="P80">
        <f>IF(ISNA(MATCH(67,Engine!$C$2:$C$679,0)),"",HYPERLINK(INDEX('Compliance Database'!$P$2:$P$679,MATCH(67,Engine!$C$2:$C$679,0)),"Open PDF"))</f>
        <v/>
      </c>
    </row>
    <row r="81">
      <c r="A81">
        <f>IF(ISNA(MATCH(68,Engine!$C$2:$C$679,0)),"",INDEX('Compliance Database'!$A$2:$A$679,MATCH(68,Engine!$C$2:$C$679,0)))</f>
        <v/>
      </c>
      <c r="B81">
        <f>IF(ISNA(MATCH(68,Engine!$C$2:$C$679,0)),"",INDEX('Compliance Database'!$B$2:$B$679,MATCH(68,Engine!$C$2:$C$679,0)))</f>
        <v/>
      </c>
      <c r="C81">
        <f>IF(ISNA(MATCH(68,Engine!$C$2:$C$679,0)),"",INDEX('Compliance Database'!$C$2:$C$679,MATCH(68,Engine!$C$2:$C$679,0)))</f>
        <v/>
      </c>
      <c r="D81" s="8">
        <f>IF(ISNA(MATCH(68,Engine!$C$2:$C$679,0)),"",INDEX('Compliance Database'!$D$2:$D$679,MATCH(68,Engine!$C$2:$C$679,0)))</f>
        <v/>
      </c>
      <c r="E81">
        <f>IF(ISNA(MATCH(68,Engine!$C$2:$C$679,0)),"",INDEX('Compliance Database'!$E$2:$E$679,MATCH(68,Engine!$C$2:$C$679,0)))</f>
        <v/>
      </c>
      <c r="F81">
        <f>IF(ISNA(MATCH(68,Engine!$C$2:$C$679,0)),"",INDEX('Compliance Database'!$F$2:$F$679,MATCH(68,Engine!$C$2:$C$679,0)))</f>
        <v/>
      </c>
      <c r="G81">
        <f>IF(ISNA(MATCH(68,Engine!$C$2:$C$679,0)),"",INDEX('Compliance Database'!$G$2:$G$679,MATCH(68,Engine!$C$2:$C$679,0)))</f>
        <v/>
      </c>
      <c r="H81">
        <f>IF(ISNA(MATCH(68,Engine!$C$2:$C$679,0)),"",INDEX('Compliance Database'!$H$2:$H$679,MATCH(68,Engine!$C$2:$C$679,0)))</f>
        <v/>
      </c>
      <c r="I81" s="8">
        <f>IF(ISNA(MATCH(68,Engine!$C$2:$C$679,0)),"",INDEX('Compliance Database'!$I$2:$I$679,MATCH(68,Engine!$C$2:$C$679,0)))</f>
        <v/>
      </c>
      <c r="J81" s="8">
        <f>IF(ISNA(MATCH(68,Engine!$C$2:$C$679,0)),"",INDEX('Compliance Database'!$J$2:$J$679,MATCH(68,Engine!$C$2:$C$679,0)))</f>
        <v/>
      </c>
      <c r="K81">
        <f>IF(ISNA(MATCH(68,Engine!$C$2:$C$679,0)),"",INDEX('Compliance Database'!$K$2:$K$679,MATCH(68,Engine!$C$2:$C$679,0)))</f>
        <v/>
      </c>
      <c r="L81" s="8">
        <f>IF(ISNA(MATCH(68,Engine!$C$2:$C$679,0)),"",INDEX('Compliance Database'!$L$2:$L$679,MATCH(68,Engine!$C$2:$C$679,0)))</f>
        <v/>
      </c>
      <c r="M81" s="8">
        <f>IF(ISNA(MATCH(68,Engine!$C$2:$C$679,0)),"",INDEX('Compliance Database'!$M$2:$M$679,MATCH(68,Engine!$C$2:$C$679,0)))</f>
        <v/>
      </c>
      <c r="N81" s="8">
        <f>IF(ISNA(MATCH(68,Engine!$C$2:$C$679,0)),"",INDEX('Compliance Database'!$N$2:$N$679,MATCH(68,Engine!$C$2:$C$679,0)))</f>
        <v/>
      </c>
      <c r="O81" s="8">
        <f>IF(ISNA(MATCH(68,Engine!$C$2:$C$679,0)),"",INDEX('Compliance Database'!$O$2:$O$679,MATCH(68,Engine!$C$2:$C$679,0)))</f>
        <v/>
      </c>
      <c r="P81">
        <f>IF(ISNA(MATCH(68,Engine!$C$2:$C$679,0)),"",HYPERLINK(INDEX('Compliance Database'!$P$2:$P$679,MATCH(68,Engine!$C$2:$C$679,0)),"Open PDF"))</f>
        <v/>
      </c>
    </row>
    <row r="82">
      <c r="A82">
        <f>IF(ISNA(MATCH(69,Engine!$C$2:$C$679,0)),"",INDEX('Compliance Database'!$A$2:$A$679,MATCH(69,Engine!$C$2:$C$679,0)))</f>
        <v/>
      </c>
      <c r="B82">
        <f>IF(ISNA(MATCH(69,Engine!$C$2:$C$679,0)),"",INDEX('Compliance Database'!$B$2:$B$679,MATCH(69,Engine!$C$2:$C$679,0)))</f>
        <v/>
      </c>
      <c r="C82">
        <f>IF(ISNA(MATCH(69,Engine!$C$2:$C$679,0)),"",INDEX('Compliance Database'!$C$2:$C$679,MATCH(69,Engine!$C$2:$C$679,0)))</f>
        <v/>
      </c>
      <c r="D82" s="8">
        <f>IF(ISNA(MATCH(69,Engine!$C$2:$C$679,0)),"",INDEX('Compliance Database'!$D$2:$D$679,MATCH(69,Engine!$C$2:$C$679,0)))</f>
        <v/>
      </c>
      <c r="E82">
        <f>IF(ISNA(MATCH(69,Engine!$C$2:$C$679,0)),"",INDEX('Compliance Database'!$E$2:$E$679,MATCH(69,Engine!$C$2:$C$679,0)))</f>
        <v/>
      </c>
      <c r="F82">
        <f>IF(ISNA(MATCH(69,Engine!$C$2:$C$679,0)),"",INDEX('Compliance Database'!$F$2:$F$679,MATCH(69,Engine!$C$2:$C$679,0)))</f>
        <v/>
      </c>
      <c r="G82">
        <f>IF(ISNA(MATCH(69,Engine!$C$2:$C$679,0)),"",INDEX('Compliance Database'!$G$2:$G$679,MATCH(69,Engine!$C$2:$C$679,0)))</f>
        <v/>
      </c>
      <c r="H82">
        <f>IF(ISNA(MATCH(69,Engine!$C$2:$C$679,0)),"",INDEX('Compliance Database'!$H$2:$H$679,MATCH(69,Engine!$C$2:$C$679,0)))</f>
        <v/>
      </c>
      <c r="I82" s="8">
        <f>IF(ISNA(MATCH(69,Engine!$C$2:$C$679,0)),"",INDEX('Compliance Database'!$I$2:$I$679,MATCH(69,Engine!$C$2:$C$679,0)))</f>
        <v/>
      </c>
      <c r="J82" s="8">
        <f>IF(ISNA(MATCH(69,Engine!$C$2:$C$679,0)),"",INDEX('Compliance Database'!$J$2:$J$679,MATCH(69,Engine!$C$2:$C$679,0)))</f>
        <v/>
      </c>
      <c r="K82">
        <f>IF(ISNA(MATCH(69,Engine!$C$2:$C$679,0)),"",INDEX('Compliance Database'!$K$2:$K$679,MATCH(69,Engine!$C$2:$C$679,0)))</f>
        <v/>
      </c>
      <c r="L82" s="8">
        <f>IF(ISNA(MATCH(69,Engine!$C$2:$C$679,0)),"",INDEX('Compliance Database'!$L$2:$L$679,MATCH(69,Engine!$C$2:$C$679,0)))</f>
        <v/>
      </c>
      <c r="M82" s="8">
        <f>IF(ISNA(MATCH(69,Engine!$C$2:$C$679,0)),"",INDEX('Compliance Database'!$M$2:$M$679,MATCH(69,Engine!$C$2:$C$679,0)))</f>
        <v/>
      </c>
      <c r="N82" s="8">
        <f>IF(ISNA(MATCH(69,Engine!$C$2:$C$679,0)),"",INDEX('Compliance Database'!$N$2:$N$679,MATCH(69,Engine!$C$2:$C$679,0)))</f>
        <v/>
      </c>
      <c r="O82" s="8">
        <f>IF(ISNA(MATCH(69,Engine!$C$2:$C$679,0)),"",INDEX('Compliance Database'!$O$2:$O$679,MATCH(69,Engine!$C$2:$C$679,0)))</f>
        <v/>
      </c>
      <c r="P82">
        <f>IF(ISNA(MATCH(69,Engine!$C$2:$C$679,0)),"",HYPERLINK(INDEX('Compliance Database'!$P$2:$P$679,MATCH(69,Engine!$C$2:$C$679,0)),"Open PDF"))</f>
        <v/>
      </c>
    </row>
    <row r="83">
      <c r="A83">
        <f>IF(ISNA(MATCH(70,Engine!$C$2:$C$679,0)),"",INDEX('Compliance Database'!$A$2:$A$679,MATCH(70,Engine!$C$2:$C$679,0)))</f>
        <v/>
      </c>
      <c r="B83">
        <f>IF(ISNA(MATCH(70,Engine!$C$2:$C$679,0)),"",INDEX('Compliance Database'!$B$2:$B$679,MATCH(70,Engine!$C$2:$C$679,0)))</f>
        <v/>
      </c>
      <c r="C83">
        <f>IF(ISNA(MATCH(70,Engine!$C$2:$C$679,0)),"",INDEX('Compliance Database'!$C$2:$C$679,MATCH(70,Engine!$C$2:$C$679,0)))</f>
        <v/>
      </c>
      <c r="D83" s="8">
        <f>IF(ISNA(MATCH(70,Engine!$C$2:$C$679,0)),"",INDEX('Compliance Database'!$D$2:$D$679,MATCH(70,Engine!$C$2:$C$679,0)))</f>
        <v/>
      </c>
      <c r="E83">
        <f>IF(ISNA(MATCH(70,Engine!$C$2:$C$679,0)),"",INDEX('Compliance Database'!$E$2:$E$679,MATCH(70,Engine!$C$2:$C$679,0)))</f>
        <v/>
      </c>
      <c r="F83">
        <f>IF(ISNA(MATCH(70,Engine!$C$2:$C$679,0)),"",INDEX('Compliance Database'!$F$2:$F$679,MATCH(70,Engine!$C$2:$C$679,0)))</f>
        <v/>
      </c>
      <c r="G83">
        <f>IF(ISNA(MATCH(70,Engine!$C$2:$C$679,0)),"",INDEX('Compliance Database'!$G$2:$G$679,MATCH(70,Engine!$C$2:$C$679,0)))</f>
        <v/>
      </c>
      <c r="H83">
        <f>IF(ISNA(MATCH(70,Engine!$C$2:$C$679,0)),"",INDEX('Compliance Database'!$H$2:$H$679,MATCH(70,Engine!$C$2:$C$679,0)))</f>
        <v/>
      </c>
      <c r="I83" s="8">
        <f>IF(ISNA(MATCH(70,Engine!$C$2:$C$679,0)),"",INDEX('Compliance Database'!$I$2:$I$679,MATCH(70,Engine!$C$2:$C$679,0)))</f>
        <v/>
      </c>
      <c r="J83" s="8">
        <f>IF(ISNA(MATCH(70,Engine!$C$2:$C$679,0)),"",INDEX('Compliance Database'!$J$2:$J$679,MATCH(70,Engine!$C$2:$C$679,0)))</f>
        <v/>
      </c>
      <c r="K83">
        <f>IF(ISNA(MATCH(70,Engine!$C$2:$C$679,0)),"",INDEX('Compliance Database'!$K$2:$K$679,MATCH(70,Engine!$C$2:$C$679,0)))</f>
        <v/>
      </c>
      <c r="L83" s="8">
        <f>IF(ISNA(MATCH(70,Engine!$C$2:$C$679,0)),"",INDEX('Compliance Database'!$L$2:$L$679,MATCH(70,Engine!$C$2:$C$679,0)))</f>
        <v/>
      </c>
      <c r="M83" s="8">
        <f>IF(ISNA(MATCH(70,Engine!$C$2:$C$679,0)),"",INDEX('Compliance Database'!$M$2:$M$679,MATCH(70,Engine!$C$2:$C$679,0)))</f>
        <v/>
      </c>
      <c r="N83" s="8">
        <f>IF(ISNA(MATCH(70,Engine!$C$2:$C$679,0)),"",INDEX('Compliance Database'!$N$2:$N$679,MATCH(70,Engine!$C$2:$C$679,0)))</f>
        <v/>
      </c>
      <c r="O83" s="8">
        <f>IF(ISNA(MATCH(70,Engine!$C$2:$C$679,0)),"",INDEX('Compliance Database'!$O$2:$O$679,MATCH(70,Engine!$C$2:$C$679,0)))</f>
        <v/>
      </c>
      <c r="P83">
        <f>IF(ISNA(MATCH(70,Engine!$C$2:$C$679,0)),"",HYPERLINK(INDEX('Compliance Database'!$P$2:$P$679,MATCH(70,Engine!$C$2:$C$679,0)),"Open PDF"))</f>
        <v/>
      </c>
    </row>
    <row r="84">
      <c r="A84">
        <f>IF(ISNA(MATCH(71,Engine!$C$2:$C$679,0)),"",INDEX('Compliance Database'!$A$2:$A$679,MATCH(71,Engine!$C$2:$C$679,0)))</f>
        <v/>
      </c>
      <c r="B84">
        <f>IF(ISNA(MATCH(71,Engine!$C$2:$C$679,0)),"",INDEX('Compliance Database'!$B$2:$B$679,MATCH(71,Engine!$C$2:$C$679,0)))</f>
        <v/>
      </c>
      <c r="C84">
        <f>IF(ISNA(MATCH(71,Engine!$C$2:$C$679,0)),"",INDEX('Compliance Database'!$C$2:$C$679,MATCH(71,Engine!$C$2:$C$679,0)))</f>
        <v/>
      </c>
      <c r="D84" s="8">
        <f>IF(ISNA(MATCH(71,Engine!$C$2:$C$679,0)),"",INDEX('Compliance Database'!$D$2:$D$679,MATCH(71,Engine!$C$2:$C$679,0)))</f>
        <v/>
      </c>
      <c r="E84">
        <f>IF(ISNA(MATCH(71,Engine!$C$2:$C$679,0)),"",INDEX('Compliance Database'!$E$2:$E$679,MATCH(71,Engine!$C$2:$C$679,0)))</f>
        <v/>
      </c>
      <c r="F84">
        <f>IF(ISNA(MATCH(71,Engine!$C$2:$C$679,0)),"",INDEX('Compliance Database'!$F$2:$F$679,MATCH(71,Engine!$C$2:$C$679,0)))</f>
        <v/>
      </c>
      <c r="G84">
        <f>IF(ISNA(MATCH(71,Engine!$C$2:$C$679,0)),"",INDEX('Compliance Database'!$G$2:$G$679,MATCH(71,Engine!$C$2:$C$679,0)))</f>
        <v/>
      </c>
      <c r="H84">
        <f>IF(ISNA(MATCH(71,Engine!$C$2:$C$679,0)),"",INDEX('Compliance Database'!$H$2:$H$679,MATCH(71,Engine!$C$2:$C$679,0)))</f>
        <v/>
      </c>
      <c r="I84" s="8">
        <f>IF(ISNA(MATCH(71,Engine!$C$2:$C$679,0)),"",INDEX('Compliance Database'!$I$2:$I$679,MATCH(71,Engine!$C$2:$C$679,0)))</f>
        <v/>
      </c>
      <c r="J84" s="8">
        <f>IF(ISNA(MATCH(71,Engine!$C$2:$C$679,0)),"",INDEX('Compliance Database'!$J$2:$J$679,MATCH(71,Engine!$C$2:$C$679,0)))</f>
        <v/>
      </c>
      <c r="K84">
        <f>IF(ISNA(MATCH(71,Engine!$C$2:$C$679,0)),"",INDEX('Compliance Database'!$K$2:$K$679,MATCH(71,Engine!$C$2:$C$679,0)))</f>
        <v/>
      </c>
      <c r="L84" s="8">
        <f>IF(ISNA(MATCH(71,Engine!$C$2:$C$679,0)),"",INDEX('Compliance Database'!$L$2:$L$679,MATCH(71,Engine!$C$2:$C$679,0)))</f>
        <v/>
      </c>
      <c r="M84" s="8">
        <f>IF(ISNA(MATCH(71,Engine!$C$2:$C$679,0)),"",INDEX('Compliance Database'!$M$2:$M$679,MATCH(71,Engine!$C$2:$C$679,0)))</f>
        <v/>
      </c>
      <c r="N84" s="8">
        <f>IF(ISNA(MATCH(71,Engine!$C$2:$C$679,0)),"",INDEX('Compliance Database'!$N$2:$N$679,MATCH(71,Engine!$C$2:$C$679,0)))</f>
        <v/>
      </c>
      <c r="O84" s="8">
        <f>IF(ISNA(MATCH(71,Engine!$C$2:$C$679,0)),"",INDEX('Compliance Database'!$O$2:$O$679,MATCH(71,Engine!$C$2:$C$679,0)))</f>
        <v/>
      </c>
      <c r="P84">
        <f>IF(ISNA(MATCH(71,Engine!$C$2:$C$679,0)),"",HYPERLINK(INDEX('Compliance Database'!$P$2:$P$679,MATCH(71,Engine!$C$2:$C$679,0)),"Open PDF"))</f>
        <v/>
      </c>
    </row>
    <row r="85">
      <c r="A85">
        <f>IF(ISNA(MATCH(72,Engine!$C$2:$C$679,0)),"",INDEX('Compliance Database'!$A$2:$A$679,MATCH(72,Engine!$C$2:$C$679,0)))</f>
        <v/>
      </c>
      <c r="B85">
        <f>IF(ISNA(MATCH(72,Engine!$C$2:$C$679,0)),"",INDEX('Compliance Database'!$B$2:$B$679,MATCH(72,Engine!$C$2:$C$679,0)))</f>
        <v/>
      </c>
      <c r="C85">
        <f>IF(ISNA(MATCH(72,Engine!$C$2:$C$679,0)),"",INDEX('Compliance Database'!$C$2:$C$679,MATCH(72,Engine!$C$2:$C$679,0)))</f>
        <v/>
      </c>
      <c r="D85" s="8">
        <f>IF(ISNA(MATCH(72,Engine!$C$2:$C$679,0)),"",INDEX('Compliance Database'!$D$2:$D$679,MATCH(72,Engine!$C$2:$C$679,0)))</f>
        <v/>
      </c>
      <c r="E85">
        <f>IF(ISNA(MATCH(72,Engine!$C$2:$C$679,0)),"",INDEX('Compliance Database'!$E$2:$E$679,MATCH(72,Engine!$C$2:$C$679,0)))</f>
        <v/>
      </c>
      <c r="F85">
        <f>IF(ISNA(MATCH(72,Engine!$C$2:$C$679,0)),"",INDEX('Compliance Database'!$F$2:$F$679,MATCH(72,Engine!$C$2:$C$679,0)))</f>
        <v/>
      </c>
      <c r="G85">
        <f>IF(ISNA(MATCH(72,Engine!$C$2:$C$679,0)),"",INDEX('Compliance Database'!$G$2:$G$679,MATCH(72,Engine!$C$2:$C$679,0)))</f>
        <v/>
      </c>
      <c r="H85">
        <f>IF(ISNA(MATCH(72,Engine!$C$2:$C$679,0)),"",INDEX('Compliance Database'!$H$2:$H$679,MATCH(72,Engine!$C$2:$C$679,0)))</f>
        <v/>
      </c>
      <c r="I85" s="8">
        <f>IF(ISNA(MATCH(72,Engine!$C$2:$C$679,0)),"",INDEX('Compliance Database'!$I$2:$I$679,MATCH(72,Engine!$C$2:$C$679,0)))</f>
        <v/>
      </c>
      <c r="J85" s="8">
        <f>IF(ISNA(MATCH(72,Engine!$C$2:$C$679,0)),"",INDEX('Compliance Database'!$J$2:$J$679,MATCH(72,Engine!$C$2:$C$679,0)))</f>
        <v/>
      </c>
      <c r="K85">
        <f>IF(ISNA(MATCH(72,Engine!$C$2:$C$679,0)),"",INDEX('Compliance Database'!$K$2:$K$679,MATCH(72,Engine!$C$2:$C$679,0)))</f>
        <v/>
      </c>
      <c r="L85" s="8">
        <f>IF(ISNA(MATCH(72,Engine!$C$2:$C$679,0)),"",INDEX('Compliance Database'!$L$2:$L$679,MATCH(72,Engine!$C$2:$C$679,0)))</f>
        <v/>
      </c>
      <c r="M85" s="8">
        <f>IF(ISNA(MATCH(72,Engine!$C$2:$C$679,0)),"",INDEX('Compliance Database'!$M$2:$M$679,MATCH(72,Engine!$C$2:$C$679,0)))</f>
        <v/>
      </c>
      <c r="N85" s="8">
        <f>IF(ISNA(MATCH(72,Engine!$C$2:$C$679,0)),"",INDEX('Compliance Database'!$N$2:$N$679,MATCH(72,Engine!$C$2:$C$679,0)))</f>
        <v/>
      </c>
      <c r="O85" s="8">
        <f>IF(ISNA(MATCH(72,Engine!$C$2:$C$679,0)),"",INDEX('Compliance Database'!$O$2:$O$679,MATCH(72,Engine!$C$2:$C$679,0)))</f>
        <v/>
      </c>
      <c r="P85">
        <f>IF(ISNA(MATCH(72,Engine!$C$2:$C$679,0)),"",HYPERLINK(INDEX('Compliance Database'!$P$2:$P$679,MATCH(72,Engine!$C$2:$C$679,0)),"Open PDF"))</f>
        <v/>
      </c>
    </row>
    <row r="86">
      <c r="A86">
        <f>IF(ISNA(MATCH(73,Engine!$C$2:$C$679,0)),"",INDEX('Compliance Database'!$A$2:$A$679,MATCH(73,Engine!$C$2:$C$679,0)))</f>
        <v/>
      </c>
      <c r="B86">
        <f>IF(ISNA(MATCH(73,Engine!$C$2:$C$679,0)),"",INDEX('Compliance Database'!$B$2:$B$679,MATCH(73,Engine!$C$2:$C$679,0)))</f>
        <v/>
      </c>
      <c r="C86">
        <f>IF(ISNA(MATCH(73,Engine!$C$2:$C$679,0)),"",INDEX('Compliance Database'!$C$2:$C$679,MATCH(73,Engine!$C$2:$C$679,0)))</f>
        <v/>
      </c>
      <c r="D86" s="8">
        <f>IF(ISNA(MATCH(73,Engine!$C$2:$C$679,0)),"",INDEX('Compliance Database'!$D$2:$D$679,MATCH(73,Engine!$C$2:$C$679,0)))</f>
        <v/>
      </c>
      <c r="E86">
        <f>IF(ISNA(MATCH(73,Engine!$C$2:$C$679,0)),"",INDEX('Compliance Database'!$E$2:$E$679,MATCH(73,Engine!$C$2:$C$679,0)))</f>
        <v/>
      </c>
      <c r="F86">
        <f>IF(ISNA(MATCH(73,Engine!$C$2:$C$679,0)),"",INDEX('Compliance Database'!$F$2:$F$679,MATCH(73,Engine!$C$2:$C$679,0)))</f>
        <v/>
      </c>
      <c r="G86">
        <f>IF(ISNA(MATCH(73,Engine!$C$2:$C$679,0)),"",INDEX('Compliance Database'!$G$2:$G$679,MATCH(73,Engine!$C$2:$C$679,0)))</f>
        <v/>
      </c>
      <c r="H86">
        <f>IF(ISNA(MATCH(73,Engine!$C$2:$C$679,0)),"",INDEX('Compliance Database'!$H$2:$H$679,MATCH(73,Engine!$C$2:$C$679,0)))</f>
        <v/>
      </c>
      <c r="I86" s="8">
        <f>IF(ISNA(MATCH(73,Engine!$C$2:$C$679,0)),"",INDEX('Compliance Database'!$I$2:$I$679,MATCH(73,Engine!$C$2:$C$679,0)))</f>
        <v/>
      </c>
      <c r="J86" s="8">
        <f>IF(ISNA(MATCH(73,Engine!$C$2:$C$679,0)),"",INDEX('Compliance Database'!$J$2:$J$679,MATCH(73,Engine!$C$2:$C$679,0)))</f>
        <v/>
      </c>
      <c r="K86">
        <f>IF(ISNA(MATCH(73,Engine!$C$2:$C$679,0)),"",INDEX('Compliance Database'!$K$2:$K$679,MATCH(73,Engine!$C$2:$C$679,0)))</f>
        <v/>
      </c>
      <c r="L86" s="8">
        <f>IF(ISNA(MATCH(73,Engine!$C$2:$C$679,0)),"",INDEX('Compliance Database'!$L$2:$L$679,MATCH(73,Engine!$C$2:$C$679,0)))</f>
        <v/>
      </c>
      <c r="M86" s="8">
        <f>IF(ISNA(MATCH(73,Engine!$C$2:$C$679,0)),"",INDEX('Compliance Database'!$M$2:$M$679,MATCH(73,Engine!$C$2:$C$679,0)))</f>
        <v/>
      </c>
      <c r="N86" s="8">
        <f>IF(ISNA(MATCH(73,Engine!$C$2:$C$679,0)),"",INDEX('Compliance Database'!$N$2:$N$679,MATCH(73,Engine!$C$2:$C$679,0)))</f>
        <v/>
      </c>
      <c r="O86" s="8">
        <f>IF(ISNA(MATCH(73,Engine!$C$2:$C$679,0)),"",INDEX('Compliance Database'!$O$2:$O$679,MATCH(73,Engine!$C$2:$C$679,0)))</f>
        <v/>
      </c>
      <c r="P86">
        <f>IF(ISNA(MATCH(73,Engine!$C$2:$C$679,0)),"",HYPERLINK(INDEX('Compliance Database'!$P$2:$P$679,MATCH(73,Engine!$C$2:$C$679,0)),"Open PDF"))</f>
        <v/>
      </c>
    </row>
    <row r="87">
      <c r="A87">
        <f>IF(ISNA(MATCH(74,Engine!$C$2:$C$679,0)),"",INDEX('Compliance Database'!$A$2:$A$679,MATCH(74,Engine!$C$2:$C$679,0)))</f>
        <v/>
      </c>
      <c r="B87">
        <f>IF(ISNA(MATCH(74,Engine!$C$2:$C$679,0)),"",INDEX('Compliance Database'!$B$2:$B$679,MATCH(74,Engine!$C$2:$C$679,0)))</f>
        <v/>
      </c>
      <c r="C87">
        <f>IF(ISNA(MATCH(74,Engine!$C$2:$C$679,0)),"",INDEX('Compliance Database'!$C$2:$C$679,MATCH(74,Engine!$C$2:$C$679,0)))</f>
        <v/>
      </c>
      <c r="D87" s="8">
        <f>IF(ISNA(MATCH(74,Engine!$C$2:$C$679,0)),"",INDEX('Compliance Database'!$D$2:$D$679,MATCH(74,Engine!$C$2:$C$679,0)))</f>
        <v/>
      </c>
      <c r="E87">
        <f>IF(ISNA(MATCH(74,Engine!$C$2:$C$679,0)),"",INDEX('Compliance Database'!$E$2:$E$679,MATCH(74,Engine!$C$2:$C$679,0)))</f>
        <v/>
      </c>
      <c r="F87">
        <f>IF(ISNA(MATCH(74,Engine!$C$2:$C$679,0)),"",INDEX('Compliance Database'!$F$2:$F$679,MATCH(74,Engine!$C$2:$C$679,0)))</f>
        <v/>
      </c>
      <c r="G87">
        <f>IF(ISNA(MATCH(74,Engine!$C$2:$C$679,0)),"",INDEX('Compliance Database'!$G$2:$G$679,MATCH(74,Engine!$C$2:$C$679,0)))</f>
        <v/>
      </c>
      <c r="H87">
        <f>IF(ISNA(MATCH(74,Engine!$C$2:$C$679,0)),"",INDEX('Compliance Database'!$H$2:$H$679,MATCH(74,Engine!$C$2:$C$679,0)))</f>
        <v/>
      </c>
      <c r="I87" s="8">
        <f>IF(ISNA(MATCH(74,Engine!$C$2:$C$679,0)),"",INDEX('Compliance Database'!$I$2:$I$679,MATCH(74,Engine!$C$2:$C$679,0)))</f>
        <v/>
      </c>
      <c r="J87" s="8">
        <f>IF(ISNA(MATCH(74,Engine!$C$2:$C$679,0)),"",INDEX('Compliance Database'!$J$2:$J$679,MATCH(74,Engine!$C$2:$C$679,0)))</f>
        <v/>
      </c>
      <c r="K87">
        <f>IF(ISNA(MATCH(74,Engine!$C$2:$C$679,0)),"",INDEX('Compliance Database'!$K$2:$K$679,MATCH(74,Engine!$C$2:$C$679,0)))</f>
        <v/>
      </c>
      <c r="L87" s="8">
        <f>IF(ISNA(MATCH(74,Engine!$C$2:$C$679,0)),"",INDEX('Compliance Database'!$L$2:$L$679,MATCH(74,Engine!$C$2:$C$679,0)))</f>
        <v/>
      </c>
      <c r="M87" s="8">
        <f>IF(ISNA(MATCH(74,Engine!$C$2:$C$679,0)),"",INDEX('Compliance Database'!$M$2:$M$679,MATCH(74,Engine!$C$2:$C$679,0)))</f>
        <v/>
      </c>
      <c r="N87" s="8">
        <f>IF(ISNA(MATCH(74,Engine!$C$2:$C$679,0)),"",INDEX('Compliance Database'!$N$2:$N$679,MATCH(74,Engine!$C$2:$C$679,0)))</f>
        <v/>
      </c>
      <c r="O87" s="8">
        <f>IF(ISNA(MATCH(74,Engine!$C$2:$C$679,0)),"",INDEX('Compliance Database'!$O$2:$O$679,MATCH(74,Engine!$C$2:$C$679,0)))</f>
        <v/>
      </c>
      <c r="P87">
        <f>IF(ISNA(MATCH(74,Engine!$C$2:$C$679,0)),"",HYPERLINK(INDEX('Compliance Database'!$P$2:$P$679,MATCH(74,Engine!$C$2:$C$679,0)),"Open PDF"))</f>
        <v/>
      </c>
    </row>
    <row r="88">
      <c r="A88">
        <f>IF(ISNA(MATCH(75,Engine!$C$2:$C$679,0)),"",INDEX('Compliance Database'!$A$2:$A$679,MATCH(75,Engine!$C$2:$C$679,0)))</f>
        <v/>
      </c>
      <c r="B88">
        <f>IF(ISNA(MATCH(75,Engine!$C$2:$C$679,0)),"",INDEX('Compliance Database'!$B$2:$B$679,MATCH(75,Engine!$C$2:$C$679,0)))</f>
        <v/>
      </c>
      <c r="C88">
        <f>IF(ISNA(MATCH(75,Engine!$C$2:$C$679,0)),"",INDEX('Compliance Database'!$C$2:$C$679,MATCH(75,Engine!$C$2:$C$679,0)))</f>
        <v/>
      </c>
      <c r="D88" s="8">
        <f>IF(ISNA(MATCH(75,Engine!$C$2:$C$679,0)),"",INDEX('Compliance Database'!$D$2:$D$679,MATCH(75,Engine!$C$2:$C$679,0)))</f>
        <v/>
      </c>
      <c r="E88">
        <f>IF(ISNA(MATCH(75,Engine!$C$2:$C$679,0)),"",INDEX('Compliance Database'!$E$2:$E$679,MATCH(75,Engine!$C$2:$C$679,0)))</f>
        <v/>
      </c>
      <c r="F88">
        <f>IF(ISNA(MATCH(75,Engine!$C$2:$C$679,0)),"",INDEX('Compliance Database'!$F$2:$F$679,MATCH(75,Engine!$C$2:$C$679,0)))</f>
        <v/>
      </c>
      <c r="G88">
        <f>IF(ISNA(MATCH(75,Engine!$C$2:$C$679,0)),"",INDEX('Compliance Database'!$G$2:$G$679,MATCH(75,Engine!$C$2:$C$679,0)))</f>
        <v/>
      </c>
      <c r="H88">
        <f>IF(ISNA(MATCH(75,Engine!$C$2:$C$679,0)),"",INDEX('Compliance Database'!$H$2:$H$679,MATCH(75,Engine!$C$2:$C$679,0)))</f>
        <v/>
      </c>
      <c r="I88" s="8">
        <f>IF(ISNA(MATCH(75,Engine!$C$2:$C$679,0)),"",INDEX('Compliance Database'!$I$2:$I$679,MATCH(75,Engine!$C$2:$C$679,0)))</f>
        <v/>
      </c>
      <c r="J88" s="8">
        <f>IF(ISNA(MATCH(75,Engine!$C$2:$C$679,0)),"",INDEX('Compliance Database'!$J$2:$J$679,MATCH(75,Engine!$C$2:$C$679,0)))</f>
        <v/>
      </c>
      <c r="K88">
        <f>IF(ISNA(MATCH(75,Engine!$C$2:$C$679,0)),"",INDEX('Compliance Database'!$K$2:$K$679,MATCH(75,Engine!$C$2:$C$679,0)))</f>
        <v/>
      </c>
      <c r="L88" s="8">
        <f>IF(ISNA(MATCH(75,Engine!$C$2:$C$679,0)),"",INDEX('Compliance Database'!$L$2:$L$679,MATCH(75,Engine!$C$2:$C$679,0)))</f>
        <v/>
      </c>
      <c r="M88" s="8">
        <f>IF(ISNA(MATCH(75,Engine!$C$2:$C$679,0)),"",INDEX('Compliance Database'!$M$2:$M$679,MATCH(75,Engine!$C$2:$C$679,0)))</f>
        <v/>
      </c>
      <c r="N88" s="8">
        <f>IF(ISNA(MATCH(75,Engine!$C$2:$C$679,0)),"",INDEX('Compliance Database'!$N$2:$N$679,MATCH(75,Engine!$C$2:$C$679,0)))</f>
        <v/>
      </c>
      <c r="O88" s="8">
        <f>IF(ISNA(MATCH(75,Engine!$C$2:$C$679,0)),"",INDEX('Compliance Database'!$O$2:$O$679,MATCH(75,Engine!$C$2:$C$679,0)))</f>
        <v/>
      </c>
      <c r="P88">
        <f>IF(ISNA(MATCH(75,Engine!$C$2:$C$679,0)),"",HYPERLINK(INDEX('Compliance Database'!$P$2:$P$679,MATCH(75,Engine!$C$2:$C$679,0)),"Open PDF"))</f>
        <v/>
      </c>
    </row>
    <row r="89">
      <c r="A89">
        <f>IF(ISNA(MATCH(76,Engine!$C$2:$C$679,0)),"",INDEX('Compliance Database'!$A$2:$A$679,MATCH(76,Engine!$C$2:$C$679,0)))</f>
        <v/>
      </c>
      <c r="B89">
        <f>IF(ISNA(MATCH(76,Engine!$C$2:$C$679,0)),"",INDEX('Compliance Database'!$B$2:$B$679,MATCH(76,Engine!$C$2:$C$679,0)))</f>
        <v/>
      </c>
      <c r="C89">
        <f>IF(ISNA(MATCH(76,Engine!$C$2:$C$679,0)),"",INDEX('Compliance Database'!$C$2:$C$679,MATCH(76,Engine!$C$2:$C$679,0)))</f>
        <v/>
      </c>
      <c r="D89" s="8">
        <f>IF(ISNA(MATCH(76,Engine!$C$2:$C$679,0)),"",INDEX('Compliance Database'!$D$2:$D$679,MATCH(76,Engine!$C$2:$C$679,0)))</f>
        <v/>
      </c>
      <c r="E89">
        <f>IF(ISNA(MATCH(76,Engine!$C$2:$C$679,0)),"",INDEX('Compliance Database'!$E$2:$E$679,MATCH(76,Engine!$C$2:$C$679,0)))</f>
        <v/>
      </c>
      <c r="F89">
        <f>IF(ISNA(MATCH(76,Engine!$C$2:$C$679,0)),"",INDEX('Compliance Database'!$F$2:$F$679,MATCH(76,Engine!$C$2:$C$679,0)))</f>
        <v/>
      </c>
      <c r="G89">
        <f>IF(ISNA(MATCH(76,Engine!$C$2:$C$679,0)),"",INDEX('Compliance Database'!$G$2:$G$679,MATCH(76,Engine!$C$2:$C$679,0)))</f>
        <v/>
      </c>
      <c r="H89">
        <f>IF(ISNA(MATCH(76,Engine!$C$2:$C$679,0)),"",INDEX('Compliance Database'!$H$2:$H$679,MATCH(76,Engine!$C$2:$C$679,0)))</f>
        <v/>
      </c>
      <c r="I89" s="8">
        <f>IF(ISNA(MATCH(76,Engine!$C$2:$C$679,0)),"",INDEX('Compliance Database'!$I$2:$I$679,MATCH(76,Engine!$C$2:$C$679,0)))</f>
        <v/>
      </c>
      <c r="J89" s="8">
        <f>IF(ISNA(MATCH(76,Engine!$C$2:$C$679,0)),"",INDEX('Compliance Database'!$J$2:$J$679,MATCH(76,Engine!$C$2:$C$679,0)))</f>
        <v/>
      </c>
      <c r="K89">
        <f>IF(ISNA(MATCH(76,Engine!$C$2:$C$679,0)),"",INDEX('Compliance Database'!$K$2:$K$679,MATCH(76,Engine!$C$2:$C$679,0)))</f>
        <v/>
      </c>
      <c r="L89" s="8">
        <f>IF(ISNA(MATCH(76,Engine!$C$2:$C$679,0)),"",INDEX('Compliance Database'!$L$2:$L$679,MATCH(76,Engine!$C$2:$C$679,0)))</f>
        <v/>
      </c>
      <c r="M89" s="8">
        <f>IF(ISNA(MATCH(76,Engine!$C$2:$C$679,0)),"",INDEX('Compliance Database'!$M$2:$M$679,MATCH(76,Engine!$C$2:$C$679,0)))</f>
        <v/>
      </c>
      <c r="N89" s="8">
        <f>IF(ISNA(MATCH(76,Engine!$C$2:$C$679,0)),"",INDEX('Compliance Database'!$N$2:$N$679,MATCH(76,Engine!$C$2:$C$679,0)))</f>
        <v/>
      </c>
      <c r="O89" s="8">
        <f>IF(ISNA(MATCH(76,Engine!$C$2:$C$679,0)),"",INDEX('Compliance Database'!$O$2:$O$679,MATCH(76,Engine!$C$2:$C$679,0)))</f>
        <v/>
      </c>
      <c r="P89">
        <f>IF(ISNA(MATCH(76,Engine!$C$2:$C$679,0)),"",HYPERLINK(INDEX('Compliance Database'!$P$2:$P$679,MATCH(76,Engine!$C$2:$C$679,0)),"Open PDF"))</f>
        <v/>
      </c>
    </row>
    <row r="90">
      <c r="A90">
        <f>IF(ISNA(MATCH(77,Engine!$C$2:$C$679,0)),"",INDEX('Compliance Database'!$A$2:$A$679,MATCH(77,Engine!$C$2:$C$679,0)))</f>
        <v/>
      </c>
      <c r="B90">
        <f>IF(ISNA(MATCH(77,Engine!$C$2:$C$679,0)),"",INDEX('Compliance Database'!$B$2:$B$679,MATCH(77,Engine!$C$2:$C$679,0)))</f>
        <v/>
      </c>
      <c r="C90">
        <f>IF(ISNA(MATCH(77,Engine!$C$2:$C$679,0)),"",INDEX('Compliance Database'!$C$2:$C$679,MATCH(77,Engine!$C$2:$C$679,0)))</f>
        <v/>
      </c>
      <c r="D90" s="8">
        <f>IF(ISNA(MATCH(77,Engine!$C$2:$C$679,0)),"",INDEX('Compliance Database'!$D$2:$D$679,MATCH(77,Engine!$C$2:$C$679,0)))</f>
        <v/>
      </c>
      <c r="E90">
        <f>IF(ISNA(MATCH(77,Engine!$C$2:$C$679,0)),"",INDEX('Compliance Database'!$E$2:$E$679,MATCH(77,Engine!$C$2:$C$679,0)))</f>
        <v/>
      </c>
      <c r="F90">
        <f>IF(ISNA(MATCH(77,Engine!$C$2:$C$679,0)),"",INDEX('Compliance Database'!$F$2:$F$679,MATCH(77,Engine!$C$2:$C$679,0)))</f>
        <v/>
      </c>
      <c r="G90">
        <f>IF(ISNA(MATCH(77,Engine!$C$2:$C$679,0)),"",INDEX('Compliance Database'!$G$2:$G$679,MATCH(77,Engine!$C$2:$C$679,0)))</f>
        <v/>
      </c>
      <c r="H90">
        <f>IF(ISNA(MATCH(77,Engine!$C$2:$C$679,0)),"",INDEX('Compliance Database'!$H$2:$H$679,MATCH(77,Engine!$C$2:$C$679,0)))</f>
        <v/>
      </c>
      <c r="I90" s="8">
        <f>IF(ISNA(MATCH(77,Engine!$C$2:$C$679,0)),"",INDEX('Compliance Database'!$I$2:$I$679,MATCH(77,Engine!$C$2:$C$679,0)))</f>
        <v/>
      </c>
      <c r="J90" s="8">
        <f>IF(ISNA(MATCH(77,Engine!$C$2:$C$679,0)),"",INDEX('Compliance Database'!$J$2:$J$679,MATCH(77,Engine!$C$2:$C$679,0)))</f>
        <v/>
      </c>
      <c r="K90">
        <f>IF(ISNA(MATCH(77,Engine!$C$2:$C$679,0)),"",INDEX('Compliance Database'!$K$2:$K$679,MATCH(77,Engine!$C$2:$C$679,0)))</f>
        <v/>
      </c>
      <c r="L90" s="8">
        <f>IF(ISNA(MATCH(77,Engine!$C$2:$C$679,0)),"",INDEX('Compliance Database'!$L$2:$L$679,MATCH(77,Engine!$C$2:$C$679,0)))</f>
        <v/>
      </c>
      <c r="M90" s="8">
        <f>IF(ISNA(MATCH(77,Engine!$C$2:$C$679,0)),"",INDEX('Compliance Database'!$M$2:$M$679,MATCH(77,Engine!$C$2:$C$679,0)))</f>
        <v/>
      </c>
      <c r="N90" s="8">
        <f>IF(ISNA(MATCH(77,Engine!$C$2:$C$679,0)),"",INDEX('Compliance Database'!$N$2:$N$679,MATCH(77,Engine!$C$2:$C$679,0)))</f>
        <v/>
      </c>
      <c r="O90" s="8">
        <f>IF(ISNA(MATCH(77,Engine!$C$2:$C$679,0)),"",INDEX('Compliance Database'!$O$2:$O$679,MATCH(77,Engine!$C$2:$C$679,0)))</f>
        <v/>
      </c>
      <c r="P90">
        <f>IF(ISNA(MATCH(77,Engine!$C$2:$C$679,0)),"",HYPERLINK(INDEX('Compliance Database'!$P$2:$P$679,MATCH(77,Engine!$C$2:$C$679,0)),"Open PDF"))</f>
        <v/>
      </c>
    </row>
    <row r="91">
      <c r="A91">
        <f>IF(ISNA(MATCH(78,Engine!$C$2:$C$679,0)),"",INDEX('Compliance Database'!$A$2:$A$679,MATCH(78,Engine!$C$2:$C$679,0)))</f>
        <v/>
      </c>
      <c r="B91">
        <f>IF(ISNA(MATCH(78,Engine!$C$2:$C$679,0)),"",INDEX('Compliance Database'!$B$2:$B$679,MATCH(78,Engine!$C$2:$C$679,0)))</f>
        <v/>
      </c>
      <c r="C91">
        <f>IF(ISNA(MATCH(78,Engine!$C$2:$C$679,0)),"",INDEX('Compliance Database'!$C$2:$C$679,MATCH(78,Engine!$C$2:$C$679,0)))</f>
        <v/>
      </c>
      <c r="D91" s="8">
        <f>IF(ISNA(MATCH(78,Engine!$C$2:$C$679,0)),"",INDEX('Compliance Database'!$D$2:$D$679,MATCH(78,Engine!$C$2:$C$679,0)))</f>
        <v/>
      </c>
      <c r="E91">
        <f>IF(ISNA(MATCH(78,Engine!$C$2:$C$679,0)),"",INDEX('Compliance Database'!$E$2:$E$679,MATCH(78,Engine!$C$2:$C$679,0)))</f>
        <v/>
      </c>
      <c r="F91">
        <f>IF(ISNA(MATCH(78,Engine!$C$2:$C$679,0)),"",INDEX('Compliance Database'!$F$2:$F$679,MATCH(78,Engine!$C$2:$C$679,0)))</f>
        <v/>
      </c>
      <c r="G91">
        <f>IF(ISNA(MATCH(78,Engine!$C$2:$C$679,0)),"",INDEX('Compliance Database'!$G$2:$G$679,MATCH(78,Engine!$C$2:$C$679,0)))</f>
        <v/>
      </c>
      <c r="H91">
        <f>IF(ISNA(MATCH(78,Engine!$C$2:$C$679,0)),"",INDEX('Compliance Database'!$H$2:$H$679,MATCH(78,Engine!$C$2:$C$679,0)))</f>
        <v/>
      </c>
      <c r="I91" s="8">
        <f>IF(ISNA(MATCH(78,Engine!$C$2:$C$679,0)),"",INDEX('Compliance Database'!$I$2:$I$679,MATCH(78,Engine!$C$2:$C$679,0)))</f>
        <v/>
      </c>
      <c r="J91" s="8">
        <f>IF(ISNA(MATCH(78,Engine!$C$2:$C$679,0)),"",INDEX('Compliance Database'!$J$2:$J$679,MATCH(78,Engine!$C$2:$C$679,0)))</f>
        <v/>
      </c>
      <c r="K91">
        <f>IF(ISNA(MATCH(78,Engine!$C$2:$C$679,0)),"",INDEX('Compliance Database'!$K$2:$K$679,MATCH(78,Engine!$C$2:$C$679,0)))</f>
        <v/>
      </c>
      <c r="L91" s="8">
        <f>IF(ISNA(MATCH(78,Engine!$C$2:$C$679,0)),"",INDEX('Compliance Database'!$L$2:$L$679,MATCH(78,Engine!$C$2:$C$679,0)))</f>
        <v/>
      </c>
      <c r="M91" s="8">
        <f>IF(ISNA(MATCH(78,Engine!$C$2:$C$679,0)),"",INDEX('Compliance Database'!$M$2:$M$679,MATCH(78,Engine!$C$2:$C$679,0)))</f>
        <v/>
      </c>
      <c r="N91" s="8">
        <f>IF(ISNA(MATCH(78,Engine!$C$2:$C$679,0)),"",INDEX('Compliance Database'!$N$2:$N$679,MATCH(78,Engine!$C$2:$C$679,0)))</f>
        <v/>
      </c>
      <c r="O91" s="8">
        <f>IF(ISNA(MATCH(78,Engine!$C$2:$C$679,0)),"",INDEX('Compliance Database'!$O$2:$O$679,MATCH(78,Engine!$C$2:$C$679,0)))</f>
        <v/>
      </c>
      <c r="P91">
        <f>IF(ISNA(MATCH(78,Engine!$C$2:$C$679,0)),"",HYPERLINK(INDEX('Compliance Database'!$P$2:$P$679,MATCH(78,Engine!$C$2:$C$679,0)),"Open PDF"))</f>
        <v/>
      </c>
    </row>
    <row r="92">
      <c r="A92">
        <f>IF(ISNA(MATCH(79,Engine!$C$2:$C$679,0)),"",INDEX('Compliance Database'!$A$2:$A$679,MATCH(79,Engine!$C$2:$C$679,0)))</f>
        <v/>
      </c>
      <c r="B92">
        <f>IF(ISNA(MATCH(79,Engine!$C$2:$C$679,0)),"",INDEX('Compliance Database'!$B$2:$B$679,MATCH(79,Engine!$C$2:$C$679,0)))</f>
        <v/>
      </c>
      <c r="C92">
        <f>IF(ISNA(MATCH(79,Engine!$C$2:$C$679,0)),"",INDEX('Compliance Database'!$C$2:$C$679,MATCH(79,Engine!$C$2:$C$679,0)))</f>
        <v/>
      </c>
      <c r="D92" s="8">
        <f>IF(ISNA(MATCH(79,Engine!$C$2:$C$679,0)),"",INDEX('Compliance Database'!$D$2:$D$679,MATCH(79,Engine!$C$2:$C$679,0)))</f>
        <v/>
      </c>
      <c r="E92">
        <f>IF(ISNA(MATCH(79,Engine!$C$2:$C$679,0)),"",INDEX('Compliance Database'!$E$2:$E$679,MATCH(79,Engine!$C$2:$C$679,0)))</f>
        <v/>
      </c>
      <c r="F92">
        <f>IF(ISNA(MATCH(79,Engine!$C$2:$C$679,0)),"",INDEX('Compliance Database'!$F$2:$F$679,MATCH(79,Engine!$C$2:$C$679,0)))</f>
        <v/>
      </c>
      <c r="G92">
        <f>IF(ISNA(MATCH(79,Engine!$C$2:$C$679,0)),"",INDEX('Compliance Database'!$G$2:$G$679,MATCH(79,Engine!$C$2:$C$679,0)))</f>
        <v/>
      </c>
      <c r="H92">
        <f>IF(ISNA(MATCH(79,Engine!$C$2:$C$679,0)),"",INDEX('Compliance Database'!$H$2:$H$679,MATCH(79,Engine!$C$2:$C$679,0)))</f>
        <v/>
      </c>
      <c r="I92" s="8">
        <f>IF(ISNA(MATCH(79,Engine!$C$2:$C$679,0)),"",INDEX('Compliance Database'!$I$2:$I$679,MATCH(79,Engine!$C$2:$C$679,0)))</f>
        <v/>
      </c>
      <c r="J92" s="8">
        <f>IF(ISNA(MATCH(79,Engine!$C$2:$C$679,0)),"",INDEX('Compliance Database'!$J$2:$J$679,MATCH(79,Engine!$C$2:$C$679,0)))</f>
        <v/>
      </c>
      <c r="K92">
        <f>IF(ISNA(MATCH(79,Engine!$C$2:$C$679,0)),"",INDEX('Compliance Database'!$K$2:$K$679,MATCH(79,Engine!$C$2:$C$679,0)))</f>
        <v/>
      </c>
      <c r="L92" s="8">
        <f>IF(ISNA(MATCH(79,Engine!$C$2:$C$679,0)),"",INDEX('Compliance Database'!$L$2:$L$679,MATCH(79,Engine!$C$2:$C$679,0)))</f>
        <v/>
      </c>
      <c r="M92" s="8">
        <f>IF(ISNA(MATCH(79,Engine!$C$2:$C$679,0)),"",INDEX('Compliance Database'!$M$2:$M$679,MATCH(79,Engine!$C$2:$C$679,0)))</f>
        <v/>
      </c>
      <c r="N92" s="8">
        <f>IF(ISNA(MATCH(79,Engine!$C$2:$C$679,0)),"",INDEX('Compliance Database'!$N$2:$N$679,MATCH(79,Engine!$C$2:$C$679,0)))</f>
        <v/>
      </c>
      <c r="O92" s="8">
        <f>IF(ISNA(MATCH(79,Engine!$C$2:$C$679,0)),"",INDEX('Compliance Database'!$O$2:$O$679,MATCH(79,Engine!$C$2:$C$679,0)))</f>
        <v/>
      </c>
      <c r="P92">
        <f>IF(ISNA(MATCH(79,Engine!$C$2:$C$679,0)),"",HYPERLINK(INDEX('Compliance Database'!$P$2:$P$679,MATCH(79,Engine!$C$2:$C$679,0)),"Open PDF"))</f>
        <v/>
      </c>
    </row>
    <row r="93">
      <c r="A93">
        <f>IF(ISNA(MATCH(80,Engine!$C$2:$C$679,0)),"",INDEX('Compliance Database'!$A$2:$A$679,MATCH(80,Engine!$C$2:$C$679,0)))</f>
        <v/>
      </c>
      <c r="B93">
        <f>IF(ISNA(MATCH(80,Engine!$C$2:$C$679,0)),"",INDEX('Compliance Database'!$B$2:$B$679,MATCH(80,Engine!$C$2:$C$679,0)))</f>
        <v/>
      </c>
      <c r="C93">
        <f>IF(ISNA(MATCH(80,Engine!$C$2:$C$679,0)),"",INDEX('Compliance Database'!$C$2:$C$679,MATCH(80,Engine!$C$2:$C$679,0)))</f>
        <v/>
      </c>
      <c r="D93" s="8">
        <f>IF(ISNA(MATCH(80,Engine!$C$2:$C$679,0)),"",INDEX('Compliance Database'!$D$2:$D$679,MATCH(80,Engine!$C$2:$C$679,0)))</f>
        <v/>
      </c>
      <c r="E93">
        <f>IF(ISNA(MATCH(80,Engine!$C$2:$C$679,0)),"",INDEX('Compliance Database'!$E$2:$E$679,MATCH(80,Engine!$C$2:$C$679,0)))</f>
        <v/>
      </c>
      <c r="F93">
        <f>IF(ISNA(MATCH(80,Engine!$C$2:$C$679,0)),"",INDEX('Compliance Database'!$F$2:$F$679,MATCH(80,Engine!$C$2:$C$679,0)))</f>
        <v/>
      </c>
      <c r="G93">
        <f>IF(ISNA(MATCH(80,Engine!$C$2:$C$679,0)),"",INDEX('Compliance Database'!$G$2:$G$679,MATCH(80,Engine!$C$2:$C$679,0)))</f>
        <v/>
      </c>
      <c r="H93">
        <f>IF(ISNA(MATCH(80,Engine!$C$2:$C$679,0)),"",INDEX('Compliance Database'!$H$2:$H$679,MATCH(80,Engine!$C$2:$C$679,0)))</f>
        <v/>
      </c>
      <c r="I93" s="8">
        <f>IF(ISNA(MATCH(80,Engine!$C$2:$C$679,0)),"",INDEX('Compliance Database'!$I$2:$I$679,MATCH(80,Engine!$C$2:$C$679,0)))</f>
        <v/>
      </c>
      <c r="J93" s="8">
        <f>IF(ISNA(MATCH(80,Engine!$C$2:$C$679,0)),"",INDEX('Compliance Database'!$J$2:$J$679,MATCH(80,Engine!$C$2:$C$679,0)))</f>
        <v/>
      </c>
      <c r="K93">
        <f>IF(ISNA(MATCH(80,Engine!$C$2:$C$679,0)),"",INDEX('Compliance Database'!$K$2:$K$679,MATCH(80,Engine!$C$2:$C$679,0)))</f>
        <v/>
      </c>
      <c r="L93" s="8">
        <f>IF(ISNA(MATCH(80,Engine!$C$2:$C$679,0)),"",INDEX('Compliance Database'!$L$2:$L$679,MATCH(80,Engine!$C$2:$C$679,0)))</f>
        <v/>
      </c>
      <c r="M93" s="8">
        <f>IF(ISNA(MATCH(80,Engine!$C$2:$C$679,0)),"",INDEX('Compliance Database'!$M$2:$M$679,MATCH(80,Engine!$C$2:$C$679,0)))</f>
        <v/>
      </c>
      <c r="N93" s="8">
        <f>IF(ISNA(MATCH(80,Engine!$C$2:$C$679,0)),"",INDEX('Compliance Database'!$N$2:$N$679,MATCH(80,Engine!$C$2:$C$679,0)))</f>
        <v/>
      </c>
      <c r="O93" s="8">
        <f>IF(ISNA(MATCH(80,Engine!$C$2:$C$679,0)),"",INDEX('Compliance Database'!$O$2:$O$679,MATCH(80,Engine!$C$2:$C$679,0)))</f>
        <v/>
      </c>
      <c r="P93">
        <f>IF(ISNA(MATCH(80,Engine!$C$2:$C$679,0)),"",HYPERLINK(INDEX('Compliance Database'!$P$2:$P$679,MATCH(80,Engine!$C$2:$C$679,0)),"Open PDF"))</f>
        <v/>
      </c>
    </row>
    <row r="94">
      <c r="A94">
        <f>IF(ISNA(MATCH(81,Engine!$C$2:$C$679,0)),"",INDEX('Compliance Database'!$A$2:$A$679,MATCH(81,Engine!$C$2:$C$679,0)))</f>
        <v/>
      </c>
      <c r="B94">
        <f>IF(ISNA(MATCH(81,Engine!$C$2:$C$679,0)),"",INDEX('Compliance Database'!$B$2:$B$679,MATCH(81,Engine!$C$2:$C$679,0)))</f>
        <v/>
      </c>
      <c r="C94">
        <f>IF(ISNA(MATCH(81,Engine!$C$2:$C$679,0)),"",INDEX('Compliance Database'!$C$2:$C$679,MATCH(81,Engine!$C$2:$C$679,0)))</f>
        <v/>
      </c>
      <c r="D94" s="8">
        <f>IF(ISNA(MATCH(81,Engine!$C$2:$C$679,0)),"",INDEX('Compliance Database'!$D$2:$D$679,MATCH(81,Engine!$C$2:$C$679,0)))</f>
        <v/>
      </c>
      <c r="E94">
        <f>IF(ISNA(MATCH(81,Engine!$C$2:$C$679,0)),"",INDEX('Compliance Database'!$E$2:$E$679,MATCH(81,Engine!$C$2:$C$679,0)))</f>
        <v/>
      </c>
      <c r="F94">
        <f>IF(ISNA(MATCH(81,Engine!$C$2:$C$679,0)),"",INDEX('Compliance Database'!$F$2:$F$679,MATCH(81,Engine!$C$2:$C$679,0)))</f>
        <v/>
      </c>
      <c r="G94">
        <f>IF(ISNA(MATCH(81,Engine!$C$2:$C$679,0)),"",INDEX('Compliance Database'!$G$2:$G$679,MATCH(81,Engine!$C$2:$C$679,0)))</f>
        <v/>
      </c>
      <c r="H94">
        <f>IF(ISNA(MATCH(81,Engine!$C$2:$C$679,0)),"",INDEX('Compliance Database'!$H$2:$H$679,MATCH(81,Engine!$C$2:$C$679,0)))</f>
        <v/>
      </c>
      <c r="I94" s="8">
        <f>IF(ISNA(MATCH(81,Engine!$C$2:$C$679,0)),"",INDEX('Compliance Database'!$I$2:$I$679,MATCH(81,Engine!$C$2:$C$679,0)))</f>
        <v/>
      </c>
      <c r="J94" s="8">
        <f>IF(ISNA(MATCH(81,Engine!$C$2:$C$679,0)),"",INDEX('Compliance Database'!$J$2:$J$679,MATCH(81,Engine!$C$2:$C$679,0)))</f>
        <v/>
      </c>
      <c r="K94">
        <f>IF(ISNA(MATCH(81,Engine!$C$2:$C$679,0)),"",INDEX('Compliance Database'!$K$2:$K$679,MATCH(81,Engine!$C$2:$C$679,0)))</f>
        <v/>
      </c>
      <c r="L94" s="8">
        <f>IF(ISNA(MATCH(81,Engine!$C$2:$C$679,0)),"",INDEX('Compliance Database'!$L$2:$L$679,MATCH(81,Engine!$C$2:$C$679,0)))</f>
        <v/>
      </c>
      <c r="M94" s="8">
        <f>IF(ISNA(MATCH(81,Engine!$C$2:$C$679,0)),"",INDEX('Compliance Database'!$M$2:$M$679,MATCH(81,Engine!$C$2:$C$679,0)))</f>
        <v/>
      </c>
      <c r="N94" s="8">
        <f>IF(ISNA(MATCH(81,Engine!$C$2:$C$679,0)),"",INDEX('Compliance Database'!$N$2:$N$679,MATCH(81,Engine!$C$2:$C$679,0)))</f>
        <v/>
      </c>
      <c r="O94" s="8">
        <f>IF(ISNA(MATCH(81,Engine!$C$2:$C$679,0)),"",INDEX('Compliance Database'!$O$2:$O$679,MATCH(81,Engine!$C$2:$C$679,0)))</f>
        <v/>
      </c>
      <c r="P94">
        <f>IF(ISNA(MATCH(81,Engine!$C$2:$C$679,0)),"",HYPERLINK(INDEX('Compliance Database'!$P$2:$P$679,MATCH(81,Engine!$C$2:$C$679,0)),"Open PDF"))</f>
        <v/>
      </c>
    </row>
    <row r="95">
      <c r="A95">
        <f>IF(ISNA(MATCH(82,Engine!$C$2:$C$679,0)),"",INDEX('Compliance Database'!$A$2:$A$679,MATCH(82,Engine!$C$2:$C$679,0)))</f>
        <v/>
      </c>
      <c r="B95">
        <f>IF(ISNA(MATCH(82,Engine!$C$2:$C$679,0)),"",INDEX('Compliance Database'!$B$2:$B$679,MATCH(82,Engine!$C$2:$C$679,0)))</f>
        <v/>
      </c>
      <c r="C95">
        <f>IF(ISNA(MATCH(82,Engine!$C$2:$C$679,0)),"",INDEX('Compliance Database'!$C$2:$C$679,MATCH(82,Engine!$C$2:$C$679,0)))</f>
        <v/>
      </c>
      <c r="D95" s="8">
        <f>IF(ISNA(MATCH(82,Engine!$C$2:$C$679,0)),"",INDEX('Compliance Database'!$D$2:$D$679,MATCH(82,Engine!$C$2:$C$679,0)))</f>
        <v/>
      </c>
      <c r="E95">
        <f>IF(ISNA(MATCH(82,Engine!$C$2:$C$679,0)),"",INDEX('Compliance Database'!$E$2:$E$679,MATCH(82,Engine!$C$2:$C$679,0)))</f>
        <v/>
      </c>
      <c r="F95">
        <f>IF(ISNA(MATCH(82,Engine!$C$2:$C$679,0)),"",INDEX('Compliance Database'!$F$2:$F$679,MATCH(82,Engine!$C$2:$C$679,0)))</f>
        <v/>
      </c>
      <c r="G95">
        <f>IF(ISNA(MATCH(82,Engine!$C$2:$C$679,0)),"",INDEX('Compliance Database'!$G$2:$G$679,MATCH(82,Engine!$C$2:$C$679,0)))</f>
        <v/>
      </c>
      <c r="H95">
        <f>IF(ISNA(MATCH(82,Engine!$C$2:$C$679,0)),"",INDEX('Compliance Database'!$H$2:$H$679,MATCH(82,Engine!$C$2:$C$679,0)))</f>
        <v/>
      </c>
      <c r="I95" s="8">
        <f>IF(ISNA(MATCH(82,Engine!$C$2:$C$679,0)),"",INDEX('Compliance Database'!$I$2:$I$679,MATCH(82,Engine!$C$2:$C$679,0)))</f>
        <v/>
      </c>
      <c r="J95" s="8">
        <f>IF(ISNA(MATCH(82,Engine!$C$2:$C$679,0)),"",INDEX('Compliance Database'!$J$2:$J$679,MATCH(82,Engine!$C$2:$C$679,0)))</f>
        <v/>
      </c>
      <c r="K95">
        <f>IF(ISNA(MATCH(82,Engine!$C$2:$C$679,0)),"",INDEX('Compliance Database'!$K$2:$K$679,MATCH(82,Engine!$C$2:$C$679,0)))</f>
        <v/>
      </c>
      <c r="L95" s="8">
        <f>IF(ISNA(MATCH(82,Engine!$C$2:$C$679,0)),"",INDEX('Compliance Database'!$L$2:$L$679,MATCH(82,Engine!$C$2:$C$679,0)))</f>
        <v/>
      </c>
      <c r="M95" s="8">
        <f>IF(ISNA(MATCH(82,Engine!$C$2:$C$679,0)),"",INDEX('Compliance Database'!$M$2:$M$679,MATCH(82,Engine!$C$2:$C$679,0)))</f>
        <v/>
      </c>
      <c r="N95" s="8">
        <f>IF(ISNA(MATCH(82,Engine!$C$2:$C$679,0)),"",INDEX('Compliance Database'!$N$2:$N$679,MATCH(82,Engine!$C$2:$C$679,0)))</f>
        <v/>
      </c>
      <c r="O95" s="8">
        <f>IF(ISNA(MATCH(82,Engine!$C$2:$C$679,0)),"",INDEX('Compliance Database'!$O$2:$O$679,MATCH(82,Engine!$C$2:$C$679,0)))</f>
        <v/>
      </c>
      <c r="P95">
        <f>IF(ISNA(MATCH(82,Engine!$C$2:$C$679,0)),"",HYPERLINK(INDEX('Compliance Database'!$P$2:$P$679,MATCH(82,Engine!$C$2:$C$679,0)),"Open PDF"))</f>
        <v/>
      </c>
    </row>
    <row r="96">
      <c r="A96">
        <f>IF(ISNA(MATCH(83,Engine!$C$2:$C$679,0)),"",INDEX('Compliance Database'!$A$2:$A$679,MATCH(83,Engine!$C$2:$C$679,0)))</f>
        <v/>
      </c>
      <c r="B96">
        <f>IF(ISNA(MATCH(83,Engine!$C$2:$C$679,0)),"",INDEX('Compliance Database'!$B$2:$B$679,MATCH(83,Engine!$C$2:$C$679,0)))</f>
        <v/>
      </c>
      <c r="C96">
        <f>IF(ISNA(MATCH(83,Engine!$C$2:$C$679,0)),"",INDEX('Compliance Database'!$C$2:$C$679,MATCH(83,Engine!$C$2:$C$679,0)))</f>
        <v/>
      </c>
      <c r="D96" s="8">
        <f>IF(ISNA(MATCH(83,Engine!$C$2:$C$679,0)),"",INDEX('Compliance Database'!$D$2:$D$679,MATCH(83,Engine!$C$2:$C$679,0)))</f>
        <v/>
      </c>
      <c r="E96">
        <f>IF(ISNA(MATCH(83,Engine!$C$2:$C$679,0)),"",INDEX('Compliance Database'!$E$2:$E$679,MATCH(83,Engine!$C$2:$C$679,0)))</f>
        <v/>
      </c>
      <c r="F96">
        <f>IF(ISNA(MATCH(83,Engine!$C$2:$C$679,0)),"",INDEX('Compliance Database'!$F$2:$F$679,MATCH(83,Engine!$C$2:$C$679,0)))</f>
        <v/>
      </c>
      <c r="G96">
        <f>IF(ISNA(MATCH(83,Engine!$C$2:$C$679,0)),"",INDEX('Compliance Database'!$G$2:$G$679,MATCH(83,Engine!$C$2:$C$679,0)))</f>
        <v/>
      </c>
      <c r="H96">
        <f>IF(ISNA(MATCH(83,Engine!$C$2:$C$679,0)),"",INDEX('Compliance Database'!$H$2:$H$679,MATCH(83,Engine!$C$2:$C$679,0)))</f>
        <v/>
      </c>
      <c r="I96" s="8">
        <f>IF(ISNA(MATCH(83,Engine!$C$2:$C$679,0)),"",INDEX('Compliance Database'!$I$2:$I$679,MATCH(83,Engine!$C$2:$C$679,0)))</f>
        <v/>
      </c>
      <c r="J96" s="8">
        <f>IF(ISNA(MATCH(83,Engine!$C$2:$C$679,0)),"",INDEX('Compliance Database'!$J$2:$J$679,MATCH(83,Engine!$C$2:$C$679,0)))</f>
        <v/>
      </c>
      <c r="K96">
        <f>IF(ISNA(MATCH(83,Engine!$C$2:$C$679,0)),"",INDEX('Compliance Database'!$K$2:$K$679,MATCH(83,Engine!$C$2:$C$679,0)))</f>
        <v/>
      </c>
      <c r="L96" s="8">
        <f>IF(ISNA(MATCH(83,Engine!$C$2:$C$679,0)),"",INDEX('Compliance Database'!$L$2:$L$679,MATCH(83,Engine!$C$2:$C$679,0)))</f>
        <v/>
      </c>
      <c r="M96" s="8">
        <f>IF(ISNA(MATCH(83,Engine!$C$2:$C$679,0)),"",INDEX('Compliance Database'!$M$2:$M$679,MATCH(83,Engine!$C$2:$C$679,0)))</f>
        <v/>
      </c>
      <c r="N96" s="8">
        <f>IF(ISNA(MATCH(83,Engine!$C$2:$C$679,0)),"",INDEX('Compliance Database'!$N$2:$N$679,MATCH(83,Engine!$C$2:$C$679,0)))</f>
        <v/>
      </c>
      <c r="O96" s="8">
        <f>IF(ISNA(MATCH(83,Engine!$C$2:$C$679,0)),"",INDEX('Compliance Database'!$O$2:$O$679,MATCH(83,Engine!$C$2:$C$679,0)))</f>
        <v/>
      </c>
      <c r="P96">
        <f>IF(ISNA(MATCH(83,Engine!$C$2:$C$679,0)),"",HYPERLINK(INDEX('Compliance Database'!$P$2:$P$679,MATCH(83,Engine!$C$2:$C$679,0)),"Open PDF"))</f>
        <v/>
      </c>
    </row>
    <row r="97">
      <c r="A97">
        <f>IF(ISNA(MATCH(84,Engine!$C$2:$C$679,0)),"",INDEX('Compliance Database'!$A$2:$A$679,MATCH(84,Engine!$C$2:$C$679,0)))</f>
        <v/>
      </c>
      <c r="B97">
        <f>IF(ISNA(MATCH(84,Engine!$C$2:$C$679,0)),"",INDEX('Compliance Database'!$B$2:$B$679,MATCH(84,Engine!$C$2:$C$679,0)))</f>
        <v/>
      </c>
      <c r="C97">
        <f>IF(ISNA(MATCH(84,Engine!$C$2:$C$679,0)),"",INDEX('Compliance Database'!$C$2:$C$679,MATCH(84,Engine!$C$2:$C$679,0)))</f>
        <v/>
      </c>
      <c r="D97" s="8">
        <f>IF(ISNA(MATCH(84,Engine!$C$2:$C$679,0)),"",INDEX('Compliance Database'!$D$2:$D$679,MATCH(84,Engine!$C$2:$C$679,0)))</f>
        <v/>
      </c>
      <c r="E97">
        <f>IF(ISNA(MATCH(84,Engine!$C$2:$C$679,0)),"",INDEX('Compliance Database'!$E$2:$E$679,MATCH(84,Engine!$C$2:$C$679,0)))</f>
        <v/>
      </c>
      <c r="F97">
        <f>IF(ISNA(MATCH(84,Engine!$C$2:$C$679,0)),"",INDEX('Compliance Database'!$F$2:$F$679,MATCH(84,Engine!$C$2:$C$679,0)))</f>
        <v/>
      </c>
      <c r="G97">
        <f>IF(ISNA(MATCH(84,Engine!$C$2:$C$679,0)),"",INDEX('Compliance Database'!$G$2:$G$679,MATCH(84,Engine!$C$2:$C$679,0)))</f>
        <v/>
      </c>
      <c r="H97">
        <f>IF(ISNA(MATCH(84,Engine!$C$2:$C$679,0)),"",INDEX('Compliance Database'!$H$2:$H$679,MATCH(84,Engine!$C$2:$C$679,0)))</f>
        <v/>
      </c>
      <c r="I97" s="8">
        <f>IF(ISNA(MATCH(84,Engine!$C$2:$C$679,0)),"",INDEX('Compliance Database'!$I$2:$I$679,MATCH(84,Engine!$C$2:$C$679,0)))</f>
        <v/>
      </c>
      <c r="J97" s="8">
        <f>IF(ISNA(MATCH(84,Engine!$C$2:$C$679,0)),"",INDEX('Compliance Database'!$J$2:$J$679,MATCH(84,Engine!$C$2:$C$679,0)))</f>
        <v/>
      </c>
      <c r="K97">
        <f>IF(ISNA(MATCH(84,Engine!$C$2:$C$679,0)),"",INDEX('Compliance Database'!$K$2:$K$679,MATCH(84,Engine!$C$2:$C$679,0)))</f>
        <v/>
      </c>
      <c r="L97" s="8">
        <f>IF(ISNA(MATCH(84,Engine!$C$2:$C$679,0)),"",INDEX('Compliance Database'!$L$2:$L$679,MATCH(84,Engine!$C$2:$C$679,0)))</f>
        <v/>
      </c>
      <c r="M97" s="8">
        <f>IF(ISNA(MATCH(84,Engine!$C$2:$C$679,0)),"",INDEX('Compliance Database'!$M$2:$M$679,MATCH(84,Engine!$C$2:$C$679,0)))</f>
        <v/>
      </c>
      <c r="N97" s="8">
        <f>IF(ISNA(MATCH(84,Engine!$C$2:$C$679,0)),"",INDEX('Compliance Database'!$N$2:$N$679,MATCH(84,Engine!$C$2:$C$679,0)))</f>
        <v/>
      </c>
      <c r="O97" s="8">
        <f>IF(ISNA(MATCH(84,Engine!$C$2:$C$679,0)),"",INDEX('Compliance Database'!$O$2:$O$679,MATCH(84,Engine!$C$2:$C$679,0)))</f>
        <v/>
      </c>
      <c r="P97">
        <f>IF(ISNA(MATCH(84,Engine!$C$2:$C$679,0)),"",HYPERLINK(INDEX('Compliance Database'!$P$2:$P$679,MATCH(84,Engine!$C$2:$C$679,0)),"Open PDF"))</f>
        <v/>
      </c>
    </row>
    <row r="98">
      <c r="A98">
        <f>IF(ISNA(MATCH(85,Engine!$C$2:$C$679,0)),"",INDEX('Compliance Database'!$A$2:$A$679,MATCH(85,Engine!$C$2:$C$679,0)))</f>
        <v/>
      </c>
      <c r="B98">
        <f>IF(ISNA(MATCH(85,Engine!$C$2:$C$679,0)),"",INDEX('Compliance Database'!$B$2:$B$679,MATCH(85,Engine!$C$2:$C$679,0)))</f>
        <v/>
      </c>
      <c r="C98">
        <f>IF(ISNA(MATCH(85,Engine!$C$2:$C$679,0)),"",INDEX('Compliance Database'!$C$2:$C$679,MATCH(85,Engine!$C$2:$C$679,0)))</f>
        <v/>
      </c>
      <c r="D98" s="8">
        <f>IF(ISNA(MATCH(85,Engine!$C$2:$C$679,0)),"",INDEX('Compliance Database'!$D$2:$D$679,MATCH(85,Engine!$C$2:$C$679,0)))</f>
        <v/>
      </c>
      <c r="E98">
        <f>IF(ISNA(MATCH(85,Engine!$C$2:$C$679,0)),"",INDEX('Compliance Database'!$E$2:$E$679,MATCH(85,Engine!$C$2:$C$679,0)))</f>
        <v/>
      </c>
      <c r="F98">
        <f>IF(ISNA(MATCH(85,Engine!$C$2:$C$679,0)),"",INDEX('Compliance Database'!$F$2:$F$679,MATCH(85,Engine!$C$2:$C$679,0)))</f>
        <v/>
      </c>
      <c r="G98">
        <f>IF(ISNA(MATCH(85,Engine!$C$2:$C$679,0)),"",INDEX('Compliance Database'!$G$2:$G$679,MATCH(85,Engine!$C$2:$C$679,0)))</f>
        <v/>
      </c>
      <c r="H98">
        <f>IF(ISNA(MATCH(85,Engine!$C$2:$C$679,0)),"",INDEX('Compliance Database'!$H$2:$H$679,MATCH(85,Engine!$C$2:$C$679,0)))</f>
        <v/>
      </c>
      <c r="I98" s="8">
        <f>IF(ISNA(MATCH(85,Engine!$C$2:$C$679,0)),"",INDEX('Compliance Database'!$I$2:$I$679,MATCH(85,Engine!$C$2:$C$679,0)))</f>
        <v/>
      </c>
      <c r="J98" s="8">
        <f>IF(ISNA(MATCH(85,Engine!$C$2:$C$679,0)),"",INDEX('Compliance Database'!$J$2:$J$679,MATCH(85,Engine!$C$2:$C$679,0)))</f>
        <v/>
      </c>
      <c r="K98">
        <f>IF(ISNA(MATCH(85,Engine!$C$2:$C$679,0)),"",INDEX('Compliance Database'!$K$2:$K$679,MATCH(85,Engine!$C$2:$C$679,0)))</f>
        <v/>
      </c>
      <c r="L98" s="8">
        <f>IF(ISNA(MATCH(85,Engine!$C$2:$C$679,0)),"",INDEX('Compliance Database'!$L$2:$L$679,MATCH(85,Engine!$C$2:$C$679,0)))</f>
        <v/>
      </c>
      <c r="M98" s="8">
        <f>IF(ISNA(MATCH(85,Engine!$C$2:$C$679,0)),"",INDEX('Compliance Database'!$M$2:$M$679,MATCH(85,Engine!$C$2:$C$679,0)))</f>
        <v/>
      </c>
      <c r="N98" s="8">
        <f>IF(ISNA(MATCH(85,Engine!$C$2:$C$679,0)),"",INDEX('Compliance Database'!$N$2:$N$679,MATCH(85,Engine!$C$2:$C$679,0)))</f>
        <v/>
      </c>
      <c r="O98" s="8">
        <f>IF(ISNA(MATCH(85,Engine!$C$2:$C$679,0)),"",INDEX('Compliance Database'!$O$2:$O$679,MATCH(85,Engine!$C$2:$C$679,0)))</f>
        <v/>
      </c>
      <c r="P98">
        <f>IF(ISNA(MATCH(85,Engine!$C$2:$C$679,0)),"",HYPERLINK(INDEX('Compliance Database'!$P$2:$P$679,MATCH(85,Engine!$C$2:$C$679,0)),"Open PDF"))</f>
        <v/>
      </c>
    </row>
    <row r="99">
      <c r="A99">
        <f>IF(ISNA(MATCH(86,Engine!$C$2:$C$679,0)),"",INDEX('Compliance Database'!$A$2:$A$679,MATCH(86,Engine!$C$2:$C$679,0)))</f>
        <v/>
      </c>
      <c r="B99">
        <f>IF(ISNA(MATCH(86,Engine!$C$2:$C$679,0)),"",INDEX('Compliance Database'!$B$2:$B$679,MATCH(86,Engine!$C$2:$C$679,0)))</f>
        <v/>
      </c>
      <c r="C99">
        <f>IF(ISNA(MATCH(86,Engine!$C$2:$C$679,0)),"",INDEX('Compliance Database'!$C$2:$C$679,MATCH(86,Engine!$C$2:$C$679,0)))</f>
        <v/>
      </c>
      <c r="D99" s="8">
        <f>IF(ISNA(MATCH(86,Engine!$C$2:$C$679,0)),"",INDEX('Compliance Database'!$D$2:$D$679,MATCH(86,Engine!$C$2:$C$679,0)))</f>
        <v/>
      </c>
      <c r="E99">
        <f>IF(ISNA(MATCH(86,Engine!$C$2:$C$679,0)),"",INDEX('Compliance Database'!$E$2:$E$679,MATCH(86,Engine!$C$2:$C$679,0)))</f>
        <v/>
      </c>
      <c r="F99">
        <f>IF(ISNA(MATCH(86,Engine!$C$2:$C$679,0)),"",INDEX('Compliance Database'!$F$2:$F$679,MATCH(86,Engine!$C$2:$C$679,0)))</f>
        <v/>
      </c>
      <c r="G99">
        <f>IF(ISNA(MATCH(86,Engine!$C$2:$C$679,0)),"",INDEX('Compliance Database'!$G$2:$G$679,MATCH(86,Engine!$C$2:$C$679,0)))</f>
        <v/>
      </c>
      <c r="H99">
        <f>IF(ISNA(MATCH(86,Engine!$C$2:$C$679,0)),"",INDEX('Compliance Database'!$H$2:$H$679,MATCH(86,Engine!$C$2:$C$679,0)))</f>
        <v/>
      </c>
      <c r="I99" s="8">
        <f>IF(ISNA(MATCH(86,Engine!$C$2:$C$679,0)),"",INDEX('Compliance Database'!$I$2:$I$679,MATCH(86,Engine!$C$2:$C$679,0)))</f>
        <v/>
      </c>
      <c r="J99" s="8">
        <f>IF(ISNA(MATCH(86,Engine!$C$2:$C$679,0)),"",INDEX('Compliance Database'!$J$2:$J$679,MATCH(86,Engine!$C$2:$C$679,0)))</f>
        <v/>
      </c>
      <c r="K99">
        <f>IF(ISNA(MATCH(86,Engine!$C$2:$C$679,0)),"",INDEX('Compliance Database'!$K$2:$K$679,MATCH(86,Engine!$C$2:$C$679,0)))</f>
        <v/>
      </c>
      <c r="L99" s="8">
        <f>IF(ISNA(MATCH(86,Engine!$C$2:$C$679,0)),"",INDEX('Compliance Database'!$L$2:$L$679,MATCH(86,Engine!$C$2:$C$679,0)))</f>
        <v/>
      </c>
      <c r="M99" s="8">
        <f>IF(ISNA(MATCH(86,Engine!$C$2:$C$679,0)),"",INDEX('Compliance Database'!$M$2:$M$679,MATCH(86,Engine!$C$2:$C$679,0)))</f>
        <v/>
      </c>
      <c r="N99" s="8">
        <f>IF(ISNA(MATCH(86,Engine!$C$2:$C$679,0)),"",INDEX('Compliance Database'!$N$2:$N$679,MATCH(86,Engine!$C$2:$C$679,0)))</f>
        <v/>
      </c>
      <c r="O99" s="8">
        <f>IF(ISNA(MATCH(86,Engine!$C$2:$C$679,0)),"",INDEX('Compliance Database'!$O$2:$O$679,MATCH(86,Engine!$C$2:$C$679,0)))</f>
        <v/>
      </c>
      <c r="P99">
        <f>IF(ISNA(MATCH(86,Engine!$C$2:$C$679,0)),"",HYPERLINK(INDEX('Compliance Database'!$P$2:$P$679,MATCH(86,Engine!$C$2:$C$679,0)),"Open PDF"))</f>
        <v/>
      </c>
    </row>
    <row r="100">
      <c r="A100">
        <f>IF(ISNA(MATCH(87,Engine!$C$2:$C$679,0)),"",INDEX('Compliance Database'!$A$2:$A$679,MATCH(87,Engine!$C$2:$C$679,0)))</f>
        <v/>
      </c>
      <c r="B100">
        <f>IF(ISNA(MATCH(87,Engine!$C$2:$C$679,0)),"",INDEX('Compliance Database'!$B$2:$B$679,MATCH(87,Engine!$C$2:$C$679,0)))</f>
        <v/>
      </c>
      <c r="C100">
        <f>IF(ISNA(MATCH(87,Engine!$C$2:$C$679,0)),"",INDEX('Compliance Database'!$C$2:$C$679,MATCH(87,Engine!$C$2:$C$679,0)))</f>
        <v/>
      </c>
      <c r="D100" s="8">
        <f>IF(ISNA(MATCH(87,Engine!$C$2:$C$679,0)),"",INDEX('Compliance Database'!$D$2:$D$679,MATCH(87,Engine!$C$2:$C$679,0)))</f>
        <v/>
      </c>
      <c r="E100">
        <f>IF(ISNA(MATCH(87,Engine!$C$2:$C$679,0)),"",INDEX('Compliance Database'!$E$2:$E$679,MATCH(87,Engine!$C$2:$C$679,0)))</f>
        <v/>
      </c>
      <c r="F100">
        <f>IF(ISNA(MATCH(87,Engine!$C$2:$C$679,0)),"",INDEX('Compliance Database'!$F$2:$F$679,MATCH(87,Engine!$C$2:$C$679,0)))</f>
        <v/>
      </c>
      <c r="G100">
        <f>IF(ISNA(MATCH(87,Engine!$C$2:$C$679,0)),"",INDEX('Compliance Database'!$G$2:$G$679,MATCH(87,Engine!$C$2:$C$679,0)))</f>
        <v/>
      </c>
      <c r="H100">
        <f>IF(ISNA(MATCH(87,Engine!$C$2:$C$679,0)),"",INDEX('Compliance Database'!$H$2:$H$679,MATCH(87,Engine!$C$2:$C$679,0)))</f>
        <v/>
      </c>
      <c r="I100" s="8">
        <f>IF(ISNA(MATCH(87,Engine!$C$2:$C$679,0)),"",INDEX('Compliance Database'!$I$2:$I$679,MATCH(87,Engine!$C$2:$C$679,0)))</f>
        <v/>
      </c>
      <c r="J100" s="8">
        <f>IF(ISNA(MATCH(87,Engine!$C$2:$C$679,0)),"",INDEX('Compliance Database'!$J$2:$J$679,MATCH(87,Engine!$C$2:$C$679,0)))</f>
        <v/>
      </c>
      <c r="K100">
        <f>IF(ISNA(MATCH(87,Engine!$C$2:$C$679,0)),"",INDEX('Compliance Database'!$K$2:$K$679,MATCH(87,Engine!$C$2:$C$679,0)))</f>
        <v/>
      </c>
      <c r="L100" s="8">
        <f>IF(ISNA(MATCH(87,Engine!$C$2:$C$679,0)),"",INDEX('Compliance Database'!$L$2:$L$679,MATCH(87,Engine!$C$2:$C$679,0)))</f>
        <v/>
      </c>
      <c r="M100" s="8">
        <f>IF(ISNA(MATCH(87,Engine!$C$2:$C$679,0)),"",INDEX('Compliance Database'!$M$2:$M$679,MATCH(87,Engine!$C$2:$C$679,0)))</f>
        <v/>
      </c>
      <c r="N100" s="8">
        <f>IF(ISNA(MATCH(87,Engine!$C$2:$C$679,0)),"",INDEX('Compliance Database'!$N$2:$N$679,MATCH(87,Engine!$C$2:$C$679,0)))</f>
        <v/>
      </c>
      <c r="O100" s="8">
        <f>IF(ISNA(MATCH(87,Engine!$C$2:$C$679,0)),"",INDEX('Compliance Database'!$O$2:$O$679,MATCH(87,Engine!$C$2:$C$679,0)))</f>
        <v/>
      </c>
      <c r="P100">
        <f>IF(ISNA(MATCH(87,Engine!$C$2:$C$679,0)),"",HYPERLINK(INDEX('Compliance Database'!$P$2:$P$679,MATCH(87,Engine!$C$2:$C$679,0)),"Open PDF"))</f>
        <v/>
      </c>
    </row>
    <row r="101">
      <c r="A101">
        <f>IF(ISNA(MATCH(88,Engine!$C$2:$C$679,0)),"",INDEX('Compliance Database'!$A$2:$A$679,MATCH(88,Engine!$C$2:$C$679,0)))</f>
        <v/>
      </c>
      <c r="B101">
        <f>IF(ISNA(MATCH(88,Engine!$C$2:$C$679,0)),"",INDEX('Compliance Database'!$B$2:$B$679,MATCH(88,Engine!$C$2:$C$679,0)))</f>
        <v/>
      </c>
      <c r="C101">
        <f>IF(ISNA(MATCH(88,Engine!$C$2:$C$679,0)),"",INDEX('Compliance Database'!$C$2:$C$679,MATCH(88,Engine!$C$2:$C$679,0)))</f>
        <v/>
      </c>
      <c r="D101" s="8">
        <f>IF(ISNA(MATCH(88,Engine!$C$2:$C$679,0)),"",INDEX('Compliance Database'!$D$2:$D$679,MATCH(88,Engine!$C$2:$C$679,0)))</f>
        <v/>
      </c>
      <c r="E101">
        <f>IF(ISNA(MATCH(88,Engine!$C$2:$C$679,0)),"",INDEX('Compliance Database'!$E$2:$E$679,MATCH(88,Engine!$C$2:$C$679,0)))</f>
        <v/>
      </c>
      <c r="F101">
        <f>IF(ISNA(MATCH(88,Engine!$C$2:$C$679,0)),"",INDEX('Compliance Database'!$F$2:$F$679,MATCH(88,Engine!$C$2:$C$679,0)))</f>
        <v/>
      </c>
      <c r="G101">
        <f>IF(ISNA(MATCH(88,Engine!$C$2:$C$679,0)),"",INDEX('Compliance Database'!$G$2:$G$679,MATCH(88,Engine!$C$2:$C$679,0)))</f>
        <v/>
      </c>
      <c r="H101">
        <f>IF(ISNA(MATCH(88,Engine!$C$2:$C$679,0)),"",INDEX('Compliance Database'!$H$2:$H$679,MATCH(88,Engine!$C$2:$C$679,0)))</f>
        <v/>
      </c>
      <c r="I101" s="8">
        <f>IF(ISNA(MATCH(88,Engine!$C$2:$C$679,0)),"",INDEX('Compliance Database'!$I$2:$I$679,MATCH(88,Engine!$C$2:$C$679,0)))</f>
        <v/>
      </c>
      <c r="J101" s="8">
        <f>IF(ISNA(MATCH(88,Engine!$C$2:$C$679,0)),"",INDEX('Compliance Database'!$J$2:$J$679,MATCH(88,Engine!$C$2:$C$679,0)))</f>
        <v/>
      </c>
      <c r="K101">
        <f>IF(ISNA(MATCH(88,Engine!$C$2:$C$679,0)),"",INDEX('Compliance Database'!$K$2:$K$679,MATCH(88,Engine!$C$2:$C$679,0)))</f>
        <v/>
      </c>
      <c r="L101" s="8">
        <f>IF(ISNA(MATCH(88,Engine!$C$2:$C$679,0)),"",INDEX('Compliance Database'!$L$2:$L$679,MATCH(88,Engine!$C$2:$C$679,0)))</f>
        <v/>
      </c>
      <c r="M101" s="8">
        <f>IF(ISNA(MATCH(88,Engine!$C$2:$C$679,0)),"",INDEX('Compliance Database'!$M$2:$M$679,MATCH(88,Engine!$C$2:$C$679,0)))</f>
        <v/>
      </c>
      <c r="N101" s="8">
        <f>IF(ISNA(MATCH(88,Engine!$C$2:$C$679,0)),"",INDEX('Compliance Database'!$N$2:$N$679,MATCH(88,Engine!$C$2:$C$679,0)))</f>
        <v/>
      </c>
      <c r="O101" s="8">
        <f>IF(ISNA(MATCH(88,Engine!$C$2:$C$679,0)),"",INDEX('Compliance Database'!$O$2:$O$679,MATCH(88,Engine!$C$2:$C$679,0)))</f>
        <v/>
      </c>
      <c r="P101">
        <f>IF(ISNA(MATCH(88,Engine!$C$2:$C$679,0)),"",HYPERLINK(INDEX('Compliance Database'!$P$2:$P$679,MATCH(88,Engine!$C$2:$C$679,0)),"Open PDF"))</f>
        <v/>
      </c>
    </row>
    <row r="102">
      <c r="A102">
        <f>IF(ISNA(MATCH(89,Engine!$C$2:$C$679,0)),"",INDEX('Compliance Database'!$A$2:$A$679,MATCH(89,Engine!$C$2:$C$679,0)))</f>
        <v/>
      </c>
      <c r="B102">
        <f>IF(ISNA(MATCH(89,Engine!$C$2:$C$679,0)),"",INDEX('Compliance Database'!$B$2:$B$679,MATCH(89,Engine!$C$2:$C$679,0)))</f>
        <v/>
      </c>
      <c r="C102">
        <f>IF(ISNA(MATCH(89,Engine!$C$2:$C$679,0)),"",INDEX('Compliance Database'!$C$2:$C$679,MATCH(89,Engine!$C$2:$C$679,0)))</f>
        <v/>
      </c>
      <c r="D102" s="8">
        <f>IF(ISNA(MATCH(89,Engine!$C$2:$C$679,0)),"",INDEX('Compliance Database'!$D$2:$D$679,MATCH(89,Engine!$C$2:$C$679,0)))</f>
        <v/>
      </c>
      <c r="E102">
        <f>IF(ISNA(MATCH(89,Engine!$C$2:$C$679,0)),"",INDEX('Compliance Database'!$E$2:$E$679,MATCH(89,Engine!$C$2:$C$679,0)))</f>
        <v/>
      </c>
      <c r="F102">
        <f>IF(ISNA(MATCH(89,Engine!$C$2:$C$679,0)),"",INDEX('Compliance Database'!$F$2:$F$679,MATCH(89,Engine!$C$2:$C$679,0)))</f>
        <v/>
      </c>
      <c r="G102">
        <f>IF(ISNA(MATCH(89,Engine!$C$2:$C$679,0)),"",INDEX('Compliance Database'!$G$2:$G$679,MATCH(89,Engine!$C$2:$C$679,0)))</f>
        <v/>
      </c>
      <c r="H102">
        <f>IF(ISNA(MATCH(89,Engine!$C$2:$C$679,0)),"",INDEX('Compliance Database'!$H$2:$H$679,MATCH(89,Engine!$C$2:$C$679,0)))</f>
        <v/>
      </c>
      <c r="I102" s="8">
        <f>IF(ISNA(MATCH(89,Engine!$C$2:$C$679,0)),"",INDEX('Compliance Database'!$I$2:$I$679,MATCH(89,Engine!$C$2:$C$679,0)))</f>
        <v/>
      </c>
      <c r="J102" s="8">
        <f>IF(ISNA(MATCH(89,Engine!$C$2:$C$679,0)),"",INDEX('Compliance Database'!$J$2:$J$679,MATCH(89,Engine!$C$2:$C$679,0)))</f>
        <v/>
      </c>
      <c r="K102">
        <f>IF(ISNA(MATCH(89,Engine!$C$2:$C$679,0)),"",INDEX('Compliance Database'!$K$2:$K$679,MATCH(89,Engine!$C$2:$C$679,0)))</f>
        <v/>
      </c>
      <c r="L102" s="8">
        <f>IF(ISNA(MATCH(89,Engine!$C$2:$C$679,0)),"",INDEX('Compliance Database'!$L$2:$L$679,MATCH(89,Engine!$C$2:$C$679,0)))</f>
        <v/>
      </c>
      <c r="M102" s="8">
        <f>IF(ISNA(MATCH(89,Engine!$C$2:$C$679,0)),"",INDEX('Compliance Database'!$M$2:$M$679,MATCH(89,Engine!$C$2:$C$679,0)))</f>
        <v/>
      </c>
      <c r="N102" s="8">
        <f>IF(ISNA(MATCH(89,Engine!$C$2:$C$679,0)),"",INDEX('Compliance Database'!$N$2:$N$679,MATCH(89,Engine!$C$2:$C$679,0)))</f>
        <v/>
      </c>
      <c r="O102" s="8">
        <f>IF(ISNA(MATCH(89,Engine!$C$2:$C$679,0)),"",INDEX('Compliance Database'!$O$2:$O$679,MATCH(89,Engine!$C$2:$C$679,0)))</f>
        <v/>
      </c>
      <c r="P102">
        <f>IF(ISNA(MATCH(89,Engine!$C$2:$C$679,0)),"",HYPERLINK(INDEX('Compliance Database'!$P$2:$P$679,MATCH(89,Engine!$C$2:$C$679,0)),"Open PDF"))</f>
        <v/>
      </c>
    </row>
    <row r="103">
      <c r="A103">
        <f>IF(ISNA(MATCH(90,Engine!$C$2:$C$679,0)),"",INDEX('Compliance Database'!$A$2:$A$679,MATCH(90,Engine!$C$2:$C$679,0)))</f>
        <v/>
      </c>
      <c r="B103">
        <f>IF(ISNA(MATCH(90,Engine!$C$2:$C$679,0)),"",INDEX('Compliance Database'!$B$2:$B$679,MATCH(90,Engine!$C$2:$C$679,0)))</f>
        <v/>
      </c>
      <c r="C103">
        <f>IF(ISNA(MATCH(90,Engine!$C$2:$C$679,0)),"",INDEX('Compliance Database'!$C$2:$C$679,MATCH(90,Engine!$C$2:$C$679,0)))</f>
        <v/>
      </c>
      <c r="D103" s="8">
        <f>IF(ISNA(MATCH(90,Engine!$C$2:$C$679,0)),"",INDEX('Compliance Database'!$D$2:$D$679,MATCH(90,Engine!$C$2:$C$679,0)))</f>
        <v/>
      </c>
      <c r="E103">
        <f>IF(ISNA(MATCH(90,Engine!$C$2:$C$679,0)),"",INDEX('Compliance Database'!$E$2:$E$679,MATCH(90,Engine!$C$2:$C$679,0)))</f>
        <v/>
      </c>
      <c r="F103">
        <f>IF(ISNA(MATCH(90,Engine!$C$2:$C$679,0)),"",INDEX('Compliance Database'!$F$2:$F$679,MATCH(90,Engine!$C$2:$C$679,0)))</f>
        <v/>
      </c>
      <c r="G103">
        <f>IF(ISNA(MATCH(90,Engine!$C$2:$C$679,0)),"",INDEX('Compliance Database'!$G$2:$G$679,MATCH(90,Engine!$C$2:$C$679,0)))</f>
        <v/>
      </c>
      <c r="H103">
        <f>IF(ISNA(MATCH(90,Engine!$C$2:$C$679,0)),"",INDEX('Compliance Database'!$H$2:$H$679,MATCH(90,Engine!$C$2:$C$679,0)))</f>
        <v/>
      </c>
      <c r="I103" s="8">
        <f>IF(ISNA(MATCH(90,Engine!$C$2:$C$679,0)),"",INDEX('Compliance Database'!$I$2:$I$679,MATCH(90,Engine!$C$2:$C$679,0)))</f>
        <v/>
      </c>
      <c r="J103" s="8">
        <f>IF(ISNA(MATCH(90,Engine!$C$2:$C$679,0)),"",INDEX('Compliance Database'!$J$2:$J$679,MATCH(90,Engine!$C$2:$C$679,0)))</f>
        <v/>
      </c>
      <c r="K103">
        <f>IF(ISNA(MATCH(90,Engine!$C$2:$C$679,0)),"",INDEX('Compliance Database'!$K$2:$K$679,MATCH(90,Engine!$C$2:$C$679,0)))</f>
        <v/>
      </c>
      <c r="L103" s="8">
        <f>IF(ISNA(MATCH(90,Engine!$C$2:$C$679,0)),"",INDEX('Compliance Database'!$L$2:$L$679,MATCH(90,Engine!$C$2:$C$679,0)))</f>
        <v/>
      </c>
      <c r="M103" s="8">
        <f>IF(ISNA(MATCH(90,Engine!$C$2:$C$679,0)),"",INDEX('Compliance Database'!$M$2:$M$679,MATCH(90,Engine!$C$2:$C$679,0)))</f>
        <v/>
      </c>
      <c r="N103" s="8">
        <f>IF(ISNA(MATCH(90,Engine!$C$2:$C$679,0)),"",INDEX('Compliance Database'!$N$2:$N$679,MATCH(90,Engine!$C$2:$C$679,0)))</f>
        <v/>
      </c>
      <c r="O103" s="8">
        <f>IF(ISNA(MATCH(90,Engine!$C$2:$C$679,0)),"",INDEX('Compliance Database'!$O$2:$O$679,MATCH(90,Engine!$C$2:$C$679,0)))</f>
        <v/>
      </c>
      <c r="P103">
        <f>IF(ISNA(MATCH(90,Engine!$C$2:$C$679,0)),"",HYPERLINK(INDEX('Compliance Database'!$P$2:$P$679,MATCH(90,Engine!$C$2:$C$679,0)),"Open PDF"))</f>
        <v/>
      </c>
    </row>
    <row r="104">
      <c r="A104">
        <f>IF(ISNA(MATCH(91,Engine!$C$2:$C$679,0)),"",INDEX('Compliance Database'!$A$2:$A$679,MATCH(91,Engine!$C$2:$C$679,0)))</f>
        <v/>
      </c>
      <c r="B104">
        <f>IF(ISNA(MATCH(91,Engine!$C$2:$C$679,0)),"",INDEX('Compliance Database'!$B$2:$B$679,MATCH(91,Engine!$C$2:$C$679,0)))</f>
        <v/>
      </c>
      <c r="C104">
        <f>IF(ISNA(MATCH(91,Engine!$C$2:$C$679,0)),"",INDEX('Compliance Database'!$C$2:$C$679,MATCH(91,Engine!$C$2:$C$679,0)))</f>
        <v/>
      </c>
      <c r="D104" s="8">
        <f>IF(ISNA(MATCH(91,Engine!$C$2:$C$679,0)),"",INDEX('Compliance Database'!$D$2:$D$679,MATCH(91,Engine!$C$2:$C$679,0)))</f>
        <v/>
      </c>
      <c r="E104">
        <f>IF(ISNA(MATCH(91,Engine!$C$2:$C$679,0)),"",INDEX('Compliance Database'!$E$2:$E$679,MATCH(91,Engine!$C$2:$C$679,0)))</f>
        <v/>
      </c>
      <c r="F104">
        <f>IF(ISNA(MATCH(91,Engine!$C$2:$C$679,0)),"",INDEX('Compliance Database'!$F$2:$F$679,MATCH(91,Engine!$C$2:$C$679,0)))</f>
        <v/>
      </c>
      <c r="G104">
        <f>IF(ISNA(MATCH(91,Engine!$C$2:$C$679,0)),"",INDEX('Compliance Database'!$G$2:$G$679,MATCH(91,Engine!$C$2:$C$679,0)))</f>
        <v/>
      </c>
      <c r="H104">
        <f>IF(ISNA(MATCH(91,Engine!$C$2:$C$679,0)),"",INDEX('Compliance Database'!$H$2:$H$679,MATCH(91,Engine!$C$2:$C$679,0)))</f>
        <v/>
      </c>
      <c r="I104" s="8">
        <f>IF(ISNA(MATCH(91,Engine!$C$2:$C$679,0)),"",INDEX('Compliance Database'!$I$2:$I$679,MATCH(91,Engine!$C$2:$C$679,0)))</f>
        <v/>
      </c>
      <c r="J104" s="8">
        <f>IF(ISNA(MATCH(91,Engine!$C$2:$C$679,0)),"",INDEX('Compliance Database'!$J$2:$J$679,MATCH(91,Engine!$C$2:$C$679,0)))</f>
        <v/>
      </c>
      <c r="K104">
        <f>IF(ISNA(MATCH(91,Engine!$C$2:$C$679,0)),"",INDEX('Compliance Database'!$K$2:$K$679,MATCH(91,Engine!$C$2:$C$679,0)))</f>
        <v/>
      </c>
      <c r="L104" s="8">
        <f>IF(ISNA(MATCH(91,Engine!$C$2:$C$679,0)),"",INDEX('Compliance Database'!$L$2:$L$679,MATCH(91,Engine!$C$2:$C$679,0)))</f>
        <v/>
      </c>
      <c r="M104" s="8">
        <f>IF(ISNA(MATCH(91,Engine!$C$2:$C$679,0)),"",INDEX('Compliance Database'!$M$2:$M$679,MATCH(91,Engine!$C$2:$C$679,0)))</f>
        <v/>
      </c>
      <c r="N104" s="8">
        <f>IF(ISNA(MATCH(91,Engine!$C$2:$C$679,0)),"",INDEX('Compliance Database'!$N$2:$N$679,MATCH(91,Engine!$C$2:$C$679,0)))</f>
        <v/>
      </c>
      <c r="O104" s="8">
        <f>IF(ISNA(MATCH(91,Engine!$C$2:$C$679,0)),"",INDEX('Compliance Database'!$O$2:$O$679,MATCH(91,Engine!$C$2:$C$679,0)))</f>
        <v/>
      </c>
      <c r="P104">
        <f>IF(ISNA(MATCH(91,Engine!$C$2:$C$679,0)),"",HYPERLINK(INDEX('Compliance Database'!$P$2:$P$679,MATCH(91,Engine!$C$2:$C$679,0)),"Open PDF"))</f>
        <v/>
      </c>
    </row>
    <row r="105">
      <c r="A105">
        <f>IF(ISNA(MATCH(92,Engine!$C$2:$C$679,0)),"",INDEX('Compliance Database'!$A$2:$A$679,MATCH(92,Engine!$C$2:$C$679,0)))</f>
        <v/>
      </c>
      <c r="B105">
        <f>IF(ISNA(MATCH(92,Engine!$C$2:$C$679,0)),"",INDEX('Compliance Database'!$B$2:$B$679,MATCH(92,Engine!$C$2:$C$679,0)))</f>
        <v/>
      </c>
      <c r="C105">
        <f>IF(ISNA(MATCH(92,Engine!$C$2:$C$679,0)),"",INDEX('Compliance Database'!$C$2:$C$679,MATCH(92,Engine!$C$2:$C$679,0)))</f>
        <v/>
      </c>
      <c r="D105" s="8">
        <f>IF(ISNA(MATCH(92,Engine!$C$2:$C$679,0)),"",INDEX('Compliance Database'!$D$2:$D$679,MATCH(92,Engine!$C$2:$C$679,0)))</f>
        <v/>
      </c>
      <c r="E105">
        <f>IF(ISNA(MATCH(92,Engine!$C$2:$C$679,0)),"",INDEX('Compliance Database'!$E$2:$E$679,MATCH(92,Engine!$C$2:$C$679,0)))</f>
        <v/>
      </c>
      <c r="F105">
        <f>IF(ISNA(MATCH(92,Engine!$C$2:$C$679,0)),"",INDEX('Compliance Database'!$F$2:$F$679,MATCH(92,Engine!$C$2:$C$679,0)))</f>
        <v/>
      </c>
      <c r="G105">
        <f>IF(ISNA(MATCH(92,Engine!$C$2:$C$679,0)),"",INDEX('Compliance Database'!$G$2:$G$679,MATCH(92,Engine!$C$2:$C$679,0)))</f>
        <v/>
      </c>
      <c r="H105">
        <f>IF(ISNA(MATCH(92,Engine!$C$2:$C$679,0)),"",INDEX('Compliance Database'!$H$2:$H$679,MATCH(92,Engine!$C$2:$C$679,0)))</f>
        <v/>
      </c>
      <c r="I105" s="8">
        <f>IF(ISNA(MATCH(92,Engine!$C$2:$C$679,0)),"",INDEX('Compliance Database'!$I$2:$I$679,MATCH(92,Engine!$C$2:$C$679,0)))</f>
        <v/>
      </c>
      <c r="J105" s="8">
        <f>IF(ISNA(MATCH(92,Engine!$C$2:$C$679,0)),"",INDEX('Compliance Database'!$J$2:$J$679,MATCH(92,Engine!$C$2:$C$679,0)))</f>
        <v/>
      </c>
      <c r="K105">
        <f>IF(ISNA(MATCH(92,Engine!$C$2:$C$679,0)),"",INDEX('Compliance Database'!$K$2:$K$679,MATCH(92,Engine!$C$2:$C$679,0)))</f>
        <v/>
      </c>
      <c r="L105" s="8">
        <f>IF(ISNA(MATCH(92,Engine!$C$2:$C$679,0)),"",INDEX('Compliance Database'!$L$2:$L$679,MATCH(92,Engine!$C$2:$C$679,0)))</f>
        <v/>
      </c>
      <c r="M105" s="8">
        <f>IF(ISNA(MATCH(92,Engine!$C$2:$C$679,0)),"",INDEX('Compliance Database'!$M$2:$M$679,MATCH(92,Engine!$C$2:$C$679,0)))</f>
        <v/>
      </c>
      <c r="N105" s="8">
        <f>IF(ISNA(MATCH(92,Engine!$C$2:$C$679,0)),"",INDEX('Compliance Database'!$N$2:$N$679,MATCH(92,Engine!$C$2:$C$679,0)))</f>
        <v/>
      </c>
      <c r="O105" s="8">
        <f>IF(ISNA(MATCH(92,Engine!$C$2:$C$679,0)),"",INDEX('Compliance Database'!$O$2:$O$679,MATCH(92,Engine!$C$2:$C$679,0)))</f>
        <v/>
      </c>
      <c r="P105">
        <f>IF(ISNA(MATCH(92,Engine!$C$2:$C$679,0)),"",HYPERLINK(INDEX('Compliance Database'!$P$2:$P$679,MATCH(92,Engine!$C$2:$C$679,0)),"Open PDF"))</f>
        <v/>
      </c>
    </row>
    <row r="106">
      <c r="A106">
        <f>IF(ISNA(MATCH(93,Engine!$C$2:$C$679,0)),"",INDEX('Compliance Database'!$A$2:$A$679,MATCH(93,Engine!$C$2:$C$679,0)))</f>
        <v/>
      </c>
      <c r="B106">
        <f>IF(ISNA(MATCH(93,Engine!$C$2:$C$679,0)),"",INDEX('Compliance Database'!$B$2:$B$679,MATCH(93,Engine!$C$2:$C$679,0)))</f>
        <v/>
      </c>
      <c r="C106">
        <f>IF(ISNA(MATCH(93,Engine!$C$2:$C$679,0)),"",INDEX('Compliance Database'!$C$2:$C$679,MATCH(93,Engine!$C$2:$C$679,0)))</f>
        <v/>
      </c>
      <c r="D106" s="8">
        <f>IF(ISNA(MATCH(93,Engine!$C$2:$C$679,0)),"",INDEX('Compliance Database'!$D$2:$D$679,MATCH(93,Engine!$C$2:$C$679,0)))</f>
        <v/>
      </c>
      <c r="E106">
        <f>IF(ISNA(MATCH(93,Engine!$C$2:$C$679,0)),"",INDEX('Compliance Database'!$E$2:$E$679,MATCH(93,Engine!$C$2:$C$679,0)))</f>
        <v/>
      </c>
      <c r="F106">
        <f>IF(ISNA(MATCH(93,Engine!$C$2:$C$679,0)),"",INDEX('Compliance Database'!$F$2:$F$679,MATCH(93,Engine!$C$2:$C$679,0)))</f>
        <v/>
      </c>
      <c r="G106">
        <f>IF(ISNA(MATCH(93,Engine!$C$2:$C$679,0)),"",INDEX('Compliance Database'!$G$2:$G$679,MATCH(93,Engine!$C$2:$C$679,0)))</f>
        <v/>
      </c>
      <c r="H106">
        <f>IF(ISNA(MATCH(93,Engine!$C$2:$C$679,0)),"",INDEX('Compliance Database'!$H$2:$H$679,MATCH(93,Engine!$C$2:$C$679,0)))</f>
        <v/>
      </c>
      <c r="I106" s="8">
        <f>IF(ISNA(MATCH(93,Engine!$C$2:$C$679,0)),"",INDEX('Compliance Database'!$I$2:$I$679,MATCH(93,Engine!$C$2:$C$679,0)))</f>
        <v/>
      </c>
      <c r="J106" s="8">
        <f>IF(ISNA(MATCH(93,Engine!$C$2:$C$679,0)),"",INDEX('Compliance Database'!$J$2:$J$679,MATCH(93,Engine!$C$2:$C$679,0)))</f>
        <v/>
      </c>
      <c r="K106">
        <f>IF(ISNA(MATCH(93,Engine!$C$2:$C$679,0)),"",INDEX('Compliance Database'!$K$2:$K$679,MATCH(93,Engine!$C$2:$C$679,0)))</f>
        <v/>
      </c>
      <c r="L106" s="8">
        <f>IF(ISNA(MATCH(93,Engine!$C$2:$C$679,0)),"",INDEX('Compliance Database'!$L$2:$L$679,MATCH(93,Engine!$C$2:$C$679,0)))</f>
        <v/>
      </c>
      <c r="M106" s="8">
        <f>IF(ISNA(MATCH(93,Engine!$C$2:$C$679,0)),"",INDEX('Compliance Database'!$M$2:$M$679,MATCH(93,Engine!$C$2:$C$679,0)))</f>
        <v/>
      </c>
      <c r="N106" s="8">
        <f>IF(ISNA(MATCH(93,Engine!$C$2:$C$679,0)),"",INDEX('Compliance Database'!$N$2:$N$679,MATCH(93,Engine!$C$2:$C$679,0)))</f>
        <v/>
      </c>
      <c r="O106" s="8">
        <f>IF(ISNA(MATCH(93,Engine!$C$2:$C$679,0)),"",INDEX('Compliance Database'!$O$2:$O$679,MATCH(93,Engine!$C$2:$C$679,0)))</f>
        <v/>
      </c>
      <c r="P106">
        <f>IF(ISNA(MATCH(93,Engine!$C$2:$C$679,0)),"",HYPERLINK(INDEX('Compliance Database'!$P$2:$P$679,MATCH(93,Engine!$C$2:$C$679,0)),"Open PDF"))</f>
        <v/>
      </c>
    </row>
    <row r="107">
      <c r="A107">
        <f>IF(ISNA(MATCH(94,Engine!$C$2:$C$679,0)),"",INDEX('Compliance Database'!$A$2:$A$679,MATCH(94,Engine!$C$2:$C$679,0)))</f>
        <v/>
      </c>
      <c r="B107">
        <f>IF(ISNA(MATCH(94,Engine!$C$2:$C$679,0)),"",INDEX('Compliance Database'!$B$2:$B$679,MATCH(94,Engine!$C$2:$C$679,0)))</f>
        <v/>
      </c>
      <c r="C107">
        <f>IF(ISNA(MATCH(94,Engine!$C$2:$C$679,0)),"",INDEX('Compliance Database'!$C$2:$C$679,MATCH(94,Engine!$C$2:$C$679,0)))</f>
        <v/>
      </c>
      <c r="D107" s="8">
        <f>IF(ISNA(MATCH(94,Engine!$C$2:$C$679,0)),"",INDEX('Compliance Database'!$D$2:$D$679,MATCH(94,Engine!$C$2:$C$679,0)))</f>
        <v/>
      </c>
      <c r="E107">
        <f>IF(ISNA(MATCH(94,Engine!$C$2:$C$679,0)),"",INDEX('Compliance Database'!$E$2:$E$679,MATCH(94,Engine!$C$2:$C$679,0)))</f>
        <v/>
      </c>
      <c r="F107">
        <f>IF(ISNA(MATCH(94,Engine!$C$2:$C$679,0)),"",INDEX('Compliance Database'!$F$2:$F$679,MATCH(94,Engine!$C$2:$C$679,0)))</f>
        <v/>
      </c>
      <c r="G107">
        <f>IF(ISNA(MATCH(94,Engine!$C$2:$C$679,0)),"",INDEX('Compliance Database'!$G$2:$G$679,MATCH(94,Engine!$C$2:$C$679,0)))</f>
        <v/>
      </c>
      <c r="H107">
        <f>IF(ISNA(MATCH(94,Engine!$C$2:$C$679,0)),"",INDEX('Compliance Database'!$H$2:$H$679,MATCH(94,Engine!$C$2:$C$679,0)))</f>
        <v/>
      </c>
      <c r="I107" s="8">
        <f>IF(ISNA(MATCH(94,Engine!$C$2:$C$679,0)),"",INDEX('Compliance Database'!$I$2:$I$679,MATCH(94,Engine!$C$2:$C$679,0)))</f>
        <v/>
      </c>
      <c r="J107" s="8">
        <f>IF(ISNA(MATCH(94,Engine!$C$2:$C$679,0)),"",INDEX('Compliance Database'!$J$2:$J$679,MATCH(94,Engine!$C$2:$C$679,0)))</f>
        <v/>
      </c>
      <c r="K107">
        <f>IF(ISNA(MATCH(94,Engine!$C$2:$C$679,0)),"",INDEX('Compliance Database'!$K$2:$K$679,MATCH(94,Engine!$C$2:$C$679,0)))</f>
        <v/>
      </c>
      <c r="L107" s="8">
        <f>IF(ISNA(MATCH(94,Engine!$C$2:$C$679,0)),"",INDEX('Compliance Database'!$L$2:$L$679,MATCH(94,Engine!$C$2:$C$679,0)))</f>
        <v/>
      </c>
      <c r="M107" s="8">
        <f>IF(ISNA(MATCH(94,Engine!$C$2:$C$679,0)),"",INDEX('Compliance Database'!$M$2:$M$679,MATCH(94,Engine!$C$2:$C$679,0)))</f>
        <v/>
      </c>
      <c r="N107" s="8">
        <f>IF(ISNA(MATCH(94,Engine!$C$2:$C$679,0)),"",INDEX('Compliance Database'!$N$2:$N$679,MATCH(94,Engine!$C$2:$C$679,0)))</f>
        <v/>
      </c>
      <c r="O107" s="8">
        <f>IF(ISNA(MATCH(94,Engine!$C$2:$C$679,0)),"",INDEX('Compliance Database'!$O$2:$O$679,MATCH(94,Engine!$C$2:$C$679,0)))</f>
        <v/>
      </c>
      <c r="P107">
        <f>IF(ISNA(MATCH(94,Engine!$C$2:$C$679,0)),"",HYPERLINK(INDEX('Compliance Database'!$P$2:$P$679,MATCH(94,Engine!$C$2:$C$679,0)),"Open PDF"))</f>
        <v/>
      </c>
    </row>
    <row r="108">
      <c r="A108">
        <f>IF(ISNA(MATCH(95,Engine!$C$2:$C$679,0)),"",INDEX('Compliance Database'!$A$2:$A$679,MATCH(95,Engine!$C$2:$C$679,0)))</f>
        <v/>
      </c>
      <c r="B108">
        <f>IF(ISNA(MATCH(95,Engine!$C$2:$C$679,0)),"",INDEX('Compliance Database'!$B$2:$B$679,MATCH(95,Engine!$C$2:$C$679,0)))</f>
        <v/>
      </c>
      <c r="C108">
        <f>IF(ISNA(MATCH(95,Engine!$C$2:$C$679,0)),"",INDEX('Compliance Database'!$C$2:$C$679,MATCH(95,Engine!$C$2:$C$679,0)))</f>
        <v/>
      </c>
      <c r="D108" s="8">
        <f>IF(ISNA(MATCH(95,Engine!$C$2:$C$679,0)),"",INDEX('Compliance Database'!$D$2:$D$679,MATCH(95,Engine!$C$2:$C$679,0)))</f>
        <v/>
      </c>
      <c r="E108">
        <f>IF(ISNA(MATCH(95,Engine!$C$2:$C$679,0)),"",INDEX('Compliance Database'!$E$2:$E$679,MATCH(95,Engine!$C$2:$C$679,0)))</f>
        <v/>
      </c>
      <c r="F108">
        <f>IF(ISNA(MATCH(95,Engine!$C$2:$C$679,0)),"",INDEX('Compliance Database'!$F$2:$F$679,MATCH(95,Engine!$C$2:$C$679,0)))</f>
        <v/>
      </c>
      <c r="G108">
        <f>IF(ISNA(MATCH(95,Engine!$C$2:$C$679,0)),"",INDEX('Compliance Database'!$G$2:$G$679,MATCH(95,Engine!$C$2:$C$679,0)))</f>
        <v/>
      </c>
      <c r="H108">
        <f>IF(ISNA(MATCH(95,Engine!$C$2:$C$679,0)),"",INDEX('Compliance Database'!$H$2:$H$679,MATCH(95,Engine!$C$2:$C$679,0)))</f>
        <v/>
      </c>
      <c r="I108" s="8">
        <f>IF(ISNA(MATCH(95,Engine!$C$2:$C$679,0)),"",INDEX('Compliance Database'!$I$2:$I$679,MATCH(95,Engine!$C$2:$C$679,0)))</f>
        <v/>
      </c>
      <c r="J108" s="8">
        <f>IF(ISNA(MATCH(95,Engine!$C$2:$C$679,0)),"",INDEX('Compliance Database'!$J$2:$J$679,MATCH(95,Engine!$C$2:$C$679,0)))</f>
        <v/>
      </c>
      <c r="K108">
        <f>IF(ISNA(MATCH(95,Engine!$C$2:$C$679,0)),"",INDEX('Compliance Database'!$K$2:$K$679,MATCH(95,Engine!$C$2:$C$679,0)))</f>
        <v/>
      </c>
      <c r="L108" s="8">
        <f>IF(ISNA(MATCH(95,Engine!$C$2:$C$679,0)),"",INDEX('Compliance Database'!$L$2:$L$679,MATCH(95,Engine!$C$2:$C$679,0)))</f>
        <v/>
      </c>
      <c r="M108" s="8">
        <f>IF(ISNA(MATCH(95,Engine!$C$2:$C$679,0)),"",INDEX('Compliance Database'!$M$2:$M$679,MATCH(95,Engine!$C$2:$C$679,0)))</f>
        <v/>
      </c>
      <c r="N108" s="8">
        <f>IF(ISNA(MATCH(95,Engine!$C$2:$C$679,0)),"",INDEX('Compliance Database'!$N$2:$N$679,MATCH(95,Engine!$C$2:$C$679,0)))</f>
        <v/>
      </c>
      <c r="O108" s="8">
        <f>IF(ISNA(MATCH(95,Engine!$C$2:$C$679,0)),"",INDEX('Compliance Database'!$O$2:$O$679,MATCH(95,Engine!$C$2:$C$679,0)))</f>
        <v/>
      </c>
      <c r="P108">
        <f>IF(ISNA(MATCH(95,Engine!$C$2:$C$679,0)),"",HYPERLINK(INDEX('Compliance Database'!$P$2:$P$679,MATCH(95,Engine!$C$2:$C$679,0)),"Open PDF"))</f>
        <v/>
      </c>
    </row>
    <row r="109">
      <c r="A109">
        <f>IF(ISNA(MATCH(96,Engine!$C$2:$C$679,0)),"",INDEX('Compliance Database'!$A$2:$A$679,MATCH(96,Engine!$C$2:$C$679,0)))</f>
        <v/>
      </c>
      <c r="B109">
        <f>IF(ISNA(MATCH(96,Engine!$C$2:$C$679,0)),"",INDEX('Compliance Database'!$B$2:$B$679,MATCH(96,Engine!$C$2:$C$679,0)))</f>
        <v/>
      </c>
      <c r="C109">
        <f>IF(ISNA(MATCH(96,Engine!$C$2:$C$679,0)),"",INDEX('Compliance Database'!$C$2:$C$679,MATCH(96,Engine!$C$2:$C$679,0)))</f>
        <v/>
      </c>
      <c r="D109" s="8">
        <f>IF(ISNA(MATCH(96,Engine!$C$2:$C$679,0)),"",INDEX('Compliance Database'!$D$2:$D$679,MATCH(96,Engine!$C$2:$C$679,0)))</f>
        <v/>
      </c>
      <c r="E109">
        <f>IF(ISNA(MATCH(96,Engine!$C$2:$C$679,0)),"",INDEX('Compliance Database'!$E$2:$E$679,MATCH(96,Engine!$C$2:$C$679,0)))</f>
        <v/>
      </c>
      <c r="F109">
        <f>IF(ISNA(MATCH(96,Engine!$C$2:$C$679,0)),"",INDEX('Compliance Database'!$F$2:$F$679,MATCH(96,Engine!$C$2:$C$679,0)))</f>
        <v/>
      </c>
      <c r="G109">
        <f>IF(ISNA(MATCH(96,Engine!$C$2:$C$679,0)),"",INDEX('Compliance Database'!$G$2:$G$679,MATCH(96,Engine!$C$2:$C$679,0)))</f>
        <v/>
      </c>
      <c r="H109">
        <f>IF(ISNA(MATCH(96,Engine!$C$2:$C$679,0)),"",INDEX('Compliance Database'!$H$2:$H$679,MATCH(96,Engine!$C$2:$C$679,0)))</f>
        <v/>
      </c>
      <c r="I109" s="8">
        <f>IF(ISNA(MATCH(96,Engine!$C$2:$C$679,0)),"",INDEX('Compliance Database'!$I$2:$I$679,MATCH(96,Engine!$C$2:$C$679,0)))</f>
        <v/>
      </c>
      <c r="J109" s="8">
        <f>IF(ISNA(MATCH(96,Engine!$C$2:$C$679,0)),"",INDEX('Compliance Database'!$J$2:$J$679,MATCH(96,Engine!$C$2:$C$679,0)))</f>
        <v/>
      </c>
      <c r="K109">
        <f>IF(ISNA(MATCH(96,Engine!$C$2:$C$679,0)),"",INDEX('Compliance Database'!$K$2:$K$679,MATCH(96,Engine!$C$2:$C$679,0)))</f>
        <v/>
      </c>
      <c r="L109" s="8">
        <f>IF(ISNA(MATCH(96,Engine!$C$2:$C$679,0)),"",INDEX('Compliance Database'!$L$2:$L$679,MATCH(96,Engine!$C$2:$C$679,0)))</f>
        <v/>
      </c>
      <c r="M109" s="8">
        <f>IF(ISNA(MATCH(96,Engine!$C$2:$C$679,0)),"",INDEX('Compliance Database'!$M$2:$M$679,MATCH(96,Engine!$C$2:$C$679,0)))</f>
        <v/>
      </c>
      <c r="N109" s="8">
        <f>IF(ISNA(MATCH(96,Engine!$C$2:$C$679,0)),"",INDEX('Compliance Database'!$N$2:$N$679,MATCH(96,Engine!$C$2:$C$679,0)))</f>
        <v/>
      </c>
      <c r="O109" s="8">
        <f>IF(ISNA(MATCH(96,Engine!$C$2:$C$679,0)),"",INDEX('Compliance Database'!$O$2:$O$679,MATCH(96,Engine!$C$2:$C$679,0)))</f>
        <v/>
      </c>
      <c r="P109">
        <f>IF(ISNA(MATCH(96,Engine!$C$2:$C$679,0)),"",HYPERLINK(INDEX('Compliance Database'!$P$2:$P$679,MATCH(96,Engine!$C$2:$C$679,0)),"Open PDF"))</f>
        <v/>
      </c>
    </row>
    <row r="110">
      <c r="A110">
        <f>IF(ISNA(MATCH(97,Engine!$C$2:$C$679,0)),"",INDEX('Compliance Database'!$A$2:$A$679,MATCH(97,Engine!$C$2:$C$679,0)))</f>
        <v/>
      </c>
      <c r="B110">
        <f>IF(ISNA(MATCH(97,Engine!$C$2:$C$679,0)),"",INDEX('Compliance Database'!$B$2:$B$679,MATCH(97,Engine!$C$2:$C$679,0)))</f>
        <v/>
      </c>
      <c r="C110">
        <f>IF(ISNA(MATCH(97,Engine!$C$2:$C$679,0)),"",INDEX('Compliance Database'!$C$2:$C$679,MATCH(97,Engine!$C$2:$C$679,0)))</f>
        <v/>
      </c>
      <c r="D110" s="8">
        <f>IF(ISNA(MATCH(97,Engine!$C$2:$C$679,0)),"",INDEX('Compliance Database'!$D$2:$D$679,MATCH(97,Engine!$C$2:$C$679,0)))</f>
        <v/>
      </c>
      <c r="E110">
        <f>IF(ISNA(MATCH(97,Engine!$C$2:$C$679,0)),"",INDEX('Compliance Database'!$E$2:$E$679,MATCH(97,Engine!$C$2:$C$679,0)))</f>
        <v/>
      </c>
      <c r="F110">
        <f>IF(ISNA(MATCH(97,Engine!$C$2:$C$679,0)),"",INDEX('Compliance Database'!$F$2:$F$679,MATCH(97,Engine!$C$2:$C$679,0)))</f>
        <v/>
      </c>
      <c r="G110">
        <f>IF(ISNA(MATCH(97,Engine!$C$2:$C$679,0)),"",INDEX('Compliance Database'!$G$2:$G$679,MATCH(97,Engine!$C$2:$C$679,0)))</f>
        <v/>
      </c>
      <c r="H110">
        <f>IF(ISNA(MATCH(97,Engine!$C$2:$C$679,0)),"",INDEX('Compliance Database'!$H$2:$H$679,MATCH(97,Engine!$C$2:$C$679,0)))</f>
        <v/>
      </c>
      <c r="I110" s="8">
        <f>IF(ISNA(MATCH(97,Engine!$C$2:$C$679,0)),"",INDEX('Compliance Database'!$I$2:$I$679,MATCH(97,Engine!$C$2:$C$679,0)))</f>
        <v/>
      </c>
      <c r="J110" s="8">
        <f>IF(ISNA(MATCH(97,Engine!$C$2:$C$679,0)),"",INDEX('Compliance Database'!$J$2:$J$679,MATCH(97,Engine!$C$2:$C$679,0)))</f>
        <v/>
      </c>
      <c r="K110">
        <f>IF(ISNA(MATCH(97,Engine!$C$2:$C$679,0)),"",INDEX('Compliance Database'!$K$2:$K$679,MATCH(97,Engine!$C$2:$C$679,0)))</f>
        <v/>
      </c>
      <c r="L110" s="8">
        <f>IF(ISNA(MATCH(97,Engine!$C$2:$C$679,0)),"",INDEX('Compliance Database'!$L$2:$L$679,MATCH(97,Engine!$C$2:$C$679,0)))</f>
        <v/>
      </c>
      <c r="M110" s="8">
        <f>IF(ISNA(MATCH(97,Engine!$C$2:$C$679,0)),"",INDEX('Compliance Database'!$M$2:$M$679,MATCH(97,Engine!$C$2:$C$679,0)))</f>
        <v/>
      </c>
      <c r="N110" s="8">
        <f>IF(ISNA(MATCH(97,Engine!$C$2:$C$679,0)),"",INDEX('Compliance Database'!$N$2:$N$679,MATCH(97,Engine!$C$2:$C$679,0)))</f>
        <v/>
      </c>
      <c r="O110" s="8">
        <f>IF(ISNA(MATCH(97,Engine!$C$2:$C$679,0)),"",INDEX('Compliance Database'!$O$2:$O$679,MATCH(97,Engine!$C$2:$C$679,0)))</f>
        <v/>
      </c>
      <c r="P110">
        <f>IF(ISNA(MATCH(97,Engine!$C$2:$C$679,0)),"",HYPERLINK(INDEX('Compliance Database'!$P$2:$P$679,MATCH(97,Engine!$C$2:$C$679,0)),"Open PDF"))</f>
        <v/>
      </c>
    </row>
    <row r="111">
      <c r="A111">
        <f>IF(ISNA(MATCH(98,Engine!$C$2:$C$679,0)),"",INDEX('Compliance Database'!$A$2:$A$679,MATCH(98,Engine!$C$2:$C$679,0)))</f>
        <v/>
      </c>
      <c r="B111">
        <f>IF(ISNA(MATCH(98,Engine!$C$2:$C$679,0)),"",INDEX('Compliance Database'!$B$2:$B$679,MATCH(98,Engine!$C$2:$C$679,0)))</f>
        <v/>
      </c>
      <c r="C111">
        <f>IF(ISNA(MATCH(98,Engine!$C$2:$C$679,0)),"",INDEX('Compliance Database'!$C$2:$C$679,MATCH(98,Engine!$C$2:$C$679,0)))</f>
        <v/>
      </c>
      <c r="D111" s="8">
        <f>IF(ISNA(MATCH(98,Engine!$C$2:$C$679,0)),"",INDEX('Compliance Database'!$D$2:$D$679,MATCH(98,Engine!$C$2:$C$679,0)))</f>
        <v/>
      </c>
      <c r="E111">
        <f>IF(ISNA(MATCH(98,Engine!$C$2:$C$679,0)),"",INDEX('Compliance Database'!$E$2:$E$679,MATCH(98,Engine!$C$2:$C$679,0)))</f>
        <v/>
      </c>
      <c r="F111">
        <f>IF(ISNA(MATCH(98,Engine!$C$2:$C$679,0)),"",INDEX('Compliance Database'!$F$2:$F$679,MATCH(98,Engine!$C$2:$C$679,0)))</f>
        <v/>
      </c>
      <c r="G111">
        <f>IF(ISNA(MATCH(98,Engine!$C$2:$C$679,0)),"",INDEX('Compliance Database'!$G$2:$G$679,MATCH(98,Engine!$C$2:$C$679,0)))</f>
        <v/>
      </c>
      <c r="H111">
        <f>IF(ISNA(MATCH(98,Engine!$C$2:$C$679,0)),"",INDEX('Compliance Database'!$H$2:$H$679,MATCH(98,Engine!$C$2:$C$679,0)))</f>
        <v/>
      </c>
      <c r="I111" s="8">
        <f>IF(ISNA(MATCH(98,Engine!$C$2:$C$679,0)),"",INDEX('Compliance Database'!$I$2:$I$679,MATCH(98,Engine!$C$2:$C$679,0)))</f>
        <v/>
      </c>
      <c r="J111" s="8">
        <f>IF(ISNA(MATCH(98,Engine!$C$2:$C$679,0)),"",INDEX('Compliance Database'!$J$2:$J$679,MATCH(98,Engine!$C$2:$C$679,0)))</f>
        <v/>
      </c>
      <c r="K111">
        <f>IF(ISNA(MATCH(98,Engine!$C$2:$C$679,0)),"",INDEX('Compliance Database'!$K$2:$K$679,MATCH(98,Engine!$C$2:$C$679,0)))</f>
        <v/>
      </c>
      <c r="L111" s="8">
        <f>IF(ISNA(MATCH(98,Engine!$C$2:$C$679,0)),"",INDEX('Compliance Database'!$L$2:$L$679,MATCH(98,Engine!$C$2:$C$679,0)))</f>
        <v/>
      </c>
      <c r="M111" s="8">
        <f>IF(ISNA(MATCH(98,Engine!$C$2:$C$679,0)),"",INDEX('Compliance Database'!$M$2:$M$679,MATCH(98,Engine!$C$2:$C$679,0)))</f>
        <v/>
      </c>
      <c r="N111" s="8">
        <f>IF(ISNA(MATCH(98,Engine!$C$2:$C$679,0)),"",INDEX('Compliance Database'!$N$2:$N$679,MATCH(98,Engine!$C$2:$C$679,0)))</f>
        <v/>
      </c>
      <c r="O111" s="8">
        <f>IF(ISNA(MATCH(98,Engine!$C$2:$C$679,0)),"",INDEX('Compliance Database'!$O$2:$O$679,MATCH(98,Engine!$C$2:$C$679,0)))</f>
        <v/>
      </c>
      <c r="P111">
        <f>IF(ISNA(MATCH(98,Engine!$C$2:$C$679,0)),"",HYPERLINK(INDEX('Compliance Database'!$P$2:$P$679,MATCH(98,Engine!$C$2:$C$679,0)),"Open PDF"))</f>
        <v/>
      </c>
    </row>
    <row r="112">
      <c r="A112">
        <f>IF(ISNA(MATCH(99,Engine!$C$2:$C$679,0)),"",INDEX('Compliance Database'!$A$2:$A$679,MATCH(99,Engine!$C$2:$C$679,0)))</f>
        <v/>
      </c>
      <c r="B112">
        <f>IF(ISNA(MATCH(99,Engine!$C$2:$C$679,0)),"",INDEX('Compliance Database'!$B$2:$B$679,MATCH(99,Engine!$C$2:$C$679,0)))</f>
        <v/>
      </c>
      <c r="C112">
        <f>IF(ISNA(MATCH(99,Engine!$C$2:$C$679,0)),"",INDEX('Compliance Database'!$C$2:$C$679,MATCH(99,Engine!$C$2:$C$679,0)))</f>
        <v/>
      </c>
      <c r="D112" s="8">
        <f>IF(ISNA(MATCH(99,Engine!$C$2:$C$679,0)),"",INDEX('Compliance Database'!$D$2:$D$679,MATCH(99,Engine!$C$2:$C$679,0)))</f>
        <v/>
      </c>
      <c r="E112">
        <f>IF(ISNA(MATCH(99,Engine!$C$2:$C$679,0)),"",INDEX('Compliance Database'!$E$2:$E$679,MATCH(99,Engine!$C$2:$C$679,0)))</f>
        <v/>
      </c>
      <c r="F112">
        <f>IF(ISNA(MATCH(99,Engine!$C$2:$C$679,0)),"",INDEX('Compliance Database'!$F$2:$F$679,MATCH(99,Engine!$C$2:$C$679,0)))</f>
        <v/>
      </c>
      <c r="G112">
        <f>IF(ISNA(MATCH(99,Engine!$C$2:$C$679,0)),"",INDEX('Compliance Database'!$G$2:$G$679,MATCH(99,Engine!$C$2:$C$679,0)))</f>
        <v/>
      </c>
      <c r="H112">
        <f>IF(ISNA(MATCH(99,Engine!$C$2:$C$679,0)),"",INDEX('Compliance Database'!$H$2:$H$679,MATCH(99,Engine!$C$2:$C$679,0)))</f>
        <v/>
      </c>
      <c r="I112" s="8">
        <f>IF(ISNA(MATCH(99,Engine!$C$2:$C$679,0)),"",INDEX('Compliance Database'!$I$2:$I$679,MATCH(99,Engine!$C$2:$C$679,0)))</f>
        <v/>
      </c>
      <c r="J112" s="8">
        <f>IF(ISNA(MATCH(99,Engine!$C$2:$C$679,0)),"",INDEX('Compliance Database'!$J$2:$J$679,MATCH(99,Engine!$C$2:$C$679,0)))</f>
        <v/>
      </c>
      <c r="K112">
        <f>IF(ISNA(MATCH(99,Engine!$C$2:$C$679,0)),"",INDEX('Compliance Database'!$K$2:$K$679,MATCH(99,Engine!$C$2:$C$679,0)))</f>
        <v/>
      </c>
      <c r="L112" s="8">
        <f>IF(ISNA(MATCH(99,Engine!$C$2:$C$679,0)),"",INDEX('Compliance Database'!$L$2:$L$679,MATCH(99,Engine!$C$2:$C$679,0)))</f>
        <v/>
      </c>
      <c r="M112" s="8">
        <f>IF(ISNA(MATCH(99,Engine!$C$2:$C$679,0)),"",INDEX('Compliance Database'!$M$2:$M$679,MATCH(99,Engine!$C$2:$C$679,0)))</f>
        <v/>
      </c>
      <c r="N112" s="8">
        <f>IF(ISNA(MATCH(99,Engine!$C$2:$C$679,0)),"",INDEX('Compliance Database'!$N$2:$N$679,MATCH(99,Engine!$C$2:$C$679,0)))</f>
        <v/>
      </c>
      <c r="O112" s="8">
        <f>IF(ISNA(MATCH(99,Engine!$C$2:$C$679,0)),"",INDEX('Compliance Database'!$O$2:$O$679,MATCH(99,Engine!$C$2:$C$679,0)))</f>
        <v/>
      </c>
      <c r="P112">
        <f>IF(ISNA(MATCH(99,Engine!$C$2:$C$679,0)),"",HYPERLINK(INDEX('Compliance Database'!$P$2:$P$679,MATCH(99,Engine!$C$2:$C$679,0)),"Open PDF"))</f>
        <v/>
      </c>
    </row>
    <row r="113">
      <c r="A113">
        <f>IF(ISNA(MATCH(100,Engine!$C$2:$C$679,0)),"",INDEX('Compliance Database'!$A$2:$A$679,MATCH(100,Engine!$C$2:$C$679,0)))</f>
        <v/>
      </c>
      <c r="B113">
        <f>IF(ISNA(MATCH(100,Engine!$C$2:$C$679,0)),"",INDEX('Compliance Database'!$B$2:$B$679,MATCH(100,Engine!$C$2:$C$679,0)))</f>
        <v/>
      </c>
      <c r="C113">
        <f>IF(ISNA(MATCH(100,Engine!$C$2:$C$679,0)),"",INDEX('Compliance Database'!$C$2:$C$679,MATCH(100,Engine!$C$2:$C$679,0)))</f>
        <v/>
      </c>
      <c r="D113" s="8">
        <f>IF(ISNA(MATCH(100,Engine!$C$2:$C$679,0)),"",INDEX('Compliance Database'!$D$2:$D$679,MATCH(100,Engine!$C$2:$C$679,0)))</f>
        <v/>
      </c>
      <c r="E113">
        <f>IF(ISNA(MATCH(100,Engine!$C$2:$C$679,0)),"",INDEX('Compliance Database'!$E$2:$E$679,MATCH(100,Engine!$C$2:$C$679,0)))</f>
        <v/>
      </c>
      <c r="F113">
        <f>IF(ISNA(MATCH(100,Engine!$C$2:$C$679,0)),"",INDEX('Compliance Database'!$F$2:$F$679,MATCH(100,Engine!$C$2:$C$679,0)))</f>
        <v/>
      </c>
      <c r="G113">
        <f>IF(ISNA(MATCH(100,Engine!$C$2:$C$679,0)),"",INDEX('Compliance Database'!$G$2:$G$679,MATCH(100,Engine!$C$2:$C$679,0)))</f>
        <v/>
      </c>
      <c r="H113">
        <f>IF(ISNA(MATCH(100,Engine!$C$2:$C$679,0)),"",INDEX('Compliance Database'!$H$2:$H$679,MATCH(100,Engine!$C$2:$C$679,0)))</f>
        <v/>
      </c>
      <c r="I113" s="8">
        <f>IF(ISNA(MATCH(100,Engine!$C$2:$C$679,0)),"",INDEX('Compliance Database'!$I$2:$I$679,MATCH(100,Engine!$C$2:$C$679,0)))</f>
        <v/>
      </c>
      <c r="J113" s="8">
        <f>IF(ISNA(MATCH(100,Engine!$C$2:$C$679,0)),"",INDEX('Compliance Database'!$J$2:$J$679,MATCH(100,Engine!$C$2:$C$679,0)))</f>
        <v/>
      </c>
      <c r="K113">
        <f>IF(ISNA(MATCH(100,Engine!$C$2:$C$679,0)),"",INDEX('Compliance Database'!$K$2:$K$679,MATCH(100,Engine!$C$2:$C$679,0)))</f>
        <v/>
      </c>
      <c r="L113" s="8">
        <f>IF(ISNA(MATCH(100,Engine!$C$2:$C$679,0)),"",INDEX('Compliance Database'!$L$2:$L$679,MATCH(100,Engine!$C$2:$C$679,0)))</f>
        <v/>
      </c>
      <c r="M113" s="8">
        <f>IF(ISNA(MATCH(100,Engine!$C$2:$C$679,0)),"",INDEX('Compliance Database'!$M$2:$M$679,MATCH(100,Engine!$C$2:$C$679,0)))</f>
        <v/>
      </c>
      <c r="N113" s="8">
        <f>IF(ISNA(MATCH(100,Engine!$C$2:$C$679,0)),"",INDEX('Compliance Database'!$N$2:$N$679,MATCH(100,Engine!$C$2:$C$679,0)))</f>
        <v/>
      </c>
      <c r="O113" s="8">
        <f>IF(ISNA(MATCH(100,Engine!$C$2:$C$679,0)),"",INDEX('Compliance Database'!$O$2:$O$679,MATCH(100,Engine!$C$2:$C$679,0)))</f>
        <v/>
      </c>
      <c r="P113">
        <f>IF(ISNA(MATCH(100,Engine!$C$2:$C$679,0)),"",HYPERLINK(INDEX('Compliance Database'!$P$2:$P$679,MATCH(100,Engine!$C$2:$C$679,0)),"Open PDF"))</f>
        <v/>
      </c>
    </row>
    <row r="114">
      <c r="A114">
        <f>IF(ISNA(MATCH(101,Engine!$C$2:$C$679,0)),"",INDEX('Compliance Database'!$A$2:$A$679,MATCH(101,Engine!$C$2:$C$679,0)))</f>
        <v/>
      </c>
      <c r="B114">
        <f>IF(ISNA(MATCH(101,Engine!$C$2:$C$679,0)),"",INDEX('Compliance Database'!$B$2:$B$679,MATCH(101,Engine!$C$2:$C$679,0)))</f>
        <v/>
      </c>
      <c r="C114">
        <f>IF(ISNA(MATCH(101,Engine!$C$2:$C$679,0)),"",INDEX('Compliance Database'!$C$2:$C$679,MATCH(101,Engine!$C$2:$C$679,0)))</f>
        <v/>
      </c>
      <c r="D114" s="8">
        <f>IF(ISNA(MATCH(101,Engine!$C$2:$C$679,0)),"",INDEX('Compliance Database'!$D$2:$D$679,MATCH(101,Engine!$C$2:$C$679,0)))</f>
        <v/>
      </c>
      <c r="E114">
        <f>IF(ISNA(MATCH(101,Engine!$C$2:$C$679,0)),"",INDEX('Compliance Database'!$E$2:$E$679,MATCH(101,Engine!$C$2:$C$679,0)))</f>
        <v/>
      </c>
      <c r="F114">
        <f>IF(ISNA(MATCH(101,Engine!$C$2:$C$679,0)),"",INDEX('Compliance Database'!$F$2:$F$679,MATCH(101,Engine!$C$2:$C$679,0)))</f>
        <v/>
      </c>
      <c r="G114">
        <f>IF(ISNA(MATCH(101,Engine!$C$2:$C$679,0)),"",INDEX('Compliance Database'!$G$2:$G$679,MATCH(101,Engine!$C$2:$C$679,0)))</f>
        <v/>
      </c>
      <c r="H114">
        <f>IF(ISNA(MATCH(101,Engine!$C$2:$C$679,0)),"",INDEX('Compliance Database'!$H$2:$H$679,MATCH(101,Engine!$C$2:$C$679,0)))</f>
        <v/>
      </c>
      <c r="I114" s="8">
        <f>IF(ISNA(MATCH(101,Engine!$C$2:$C$679,0)),"",INDEX('Compliance Database'!$I$2:$I$679,MATCH(101,Engine!$C$2:$C$679,0)))</f>
        <v/>
      </c>
      <c r="J114" s="8">
        <f>IF(ISNA(MATCH(101,Engine!$C$2:$C$679,0)),"",INDEX('Compliance Database'!$J$2:$J$679,MATCH(101,Engine!$C$2:$C$679,0)))</f>
        <v/>
      </c>
      <c r="K114">
        <f>IF(ISNA(MATCH(101,Engine!$C$2:$C$679,0)),"",INDEX('Compliance Database'!$K$2:$K$679,MATCH(101,Engine!$C$2:$C$679,0)))</f>
        <v/>
      </c>
      <c r="L114" s="8">
        <f>IF(ISNA(MATCH(101,Engine!$C$2:$C$679,0)),"",INDEX('Compliance Database'!$L$2:$L$679,MATCH(101,Engine!$C$2:$C$679,0)))</f>
        <v/>
      </c>
      <c r="M114" s="8">
        <f>IF(ISNA(MATCH(101,Engine!$C$2:$C$679,0)),"",INDEX('Compliance Database'!$M$2:$M$679,MATCH(101,Engine!$C$2:$C$679,0)))</f>
        <v/>
      </c>
      <c r="N114" s="8">
        <f>IF(ISNA(MATCH(101,Engine!$C$2:$C$679,0)),"",INDEX('Compliance Database'!$N$2:$N$679,MATCH(101,Engine!$C$2:$C$679,0)))</f>
        <v/>
      </c>
      <c r="O114" s="8">
        <f>IF(ISNA(MATCH(101,Engine!$C$2:$C$679,0)),"",INDEX('Compliance Database'!$O$2:$O$679,MATCH(101,Engine!$C$2:$C$679,0)))</f>
        <v/>
      </c>
      <c r="P114">
        <f>IF(ISNA(MATCH(101,Engine!$C$2:$C$679,0)),"",HYPERLINK(INDEX('Compliance Database'!$P$2:$P$679,MATCH(101,Engine!$C$2:$C$679,0)),"Open PDF"))</f>
        <v/>
      </c>
    </row>
    <row r="115">
      <c r="A115">
        <f>IF(ISNA(MATCH(102,Engine!$C$2:$C$679,0)),"",INDEX('Compliance Database'!$A$2:$A$679,MATCH(102,Engine!$C$2:$C$679,0)))</f>
        <v/>
      </c>
      <c r="B115">
        <f>IF(ISNA(MATCH(102,Engine!$C$2:$C$679,0)),"",INDEX('Compliance Database'!$B$2:$B$679,MATCH(102,Engine!$C$2:$C$679,0)))</f>
        <v/>
      </c>
      <c r="C115">
        <f>IF(ISNA(MATCH(102,Engine!$C$2:$C$679,0)),"",INDEX('Compliance Database'!$C$2:$C$679,MATCH(102,Engine!$C$2:$C$679,0)))</f>
        <v/>
      </c>
      <c r="D115" s="8">
        <f>IF(ISNA(MATCH(102,Engine!$C$2:$C$679,0)),"",INDEX('Compliance Database'!$D$2:$D$679,MATCH(102,Engine!$C$2:$C$679,0)))</f>
        <v/>
      </c>
      <c r="E115">
        <f>IF(ISNA(MATCH(102,Engine!$C$2:$C$679,0)),"",INDEX('Compliance Database'!$E$2:$E$679,MATCH(102,Engine!$C$2:$C$679,0)))</f>
        <v/>
      </c>
      <c r="F115">
        <f>IF(ISNA(MATCH(102,Engine!$C$2:$C$679,0)),"",INDEX('Compliance Database'!$F$2:$F$679,MATCH(102,Engine!$C$2:$C$679,0)))</f>
        <v/>
      </c>
      <c r="G115">
        <f>IF(ISNA(MATCH(102,Engine!$C$2:$C$679,0)),"",INDEX('Compliance Database'!$G$2:$G$679,MATCH(102,Engine!$C$2:$C$679,0)))</f>
        <v/>
      </c>
      <c r="H115">
        <f>IF(ISNA(MATCH(102,Engine!$C$2:$C$679,0)),"",INDEX('Compliance Database'!$H$2:$H$679,MATCH(102,Engine!$C$2:$C$679,0)))</f>
        <v/>
      </c>
      <c r="I115" s="8">
        <f>IF(ISNA(MATCH(102,Engine!$C$2:$C$679,0)),"",INDEX('Compliance Database'!$I$2:$I$679,MATCH(102,Engine!$C$2:$C$679,0)))</f>
        <v/>
      </c>
      <c r="J115" s="8">
        <f>IF(ISNA(MATCH(102,Engine!$C$2:$C$679,0)),"",INDEX('Compliance Database'!$J$2:$J$679,MATCH(102,Engine!$C$2:$C$679,0)))</f>
        <v/>
      </c>
      <c r="K115">
        <f>IF(ISNA(MATCH(102,Engine!$C$2:$C$679,0)),"",INDEX('Compliance Database'!$K$2:$K$679,MATCH(102,Engine!$C$2:$C$679,0)))</f>
        <v/>
      </c>
      <c r="L115" s="8">
        <f>IF(ISNA(MATCH(102,Engine!$C$2:$C$679,0)),"",INDEX('Compliance Database'!$L$2:$L$679,MATCH(102,Engine!$C$2:$C$679,0)))</f>
        <v/>
      </c>
      <c r="M115" s="8">
        <f>IF(ISNA(MATCH(102,Engine!$C$2:$C$679,0)),"",INDEX('Compliance Database'!$M$2:$M$679,MATCH(102,Engine!$C$2:$C$679,0)))</f>
        <v/>
      </c>
      <c r="N115" s="8">
        <f>IF(ISNA(MATCH(102,Engine!$C$2:$C$679,0)),"",INDEX('Compliance Database'!$N$2:$N$679,MATCH(102,Engine!$C$2:$C$679,0)))</f>
        <v/>
      </c>
      <c r="O115" s="8">
        <f>IF(ISNA(MATCH(102,Engine!$C$2:$C$679,0)),"",INDEX('Compliance Database'!$O$2:$O$679,MATCH(102,Engine!$C$2:$C$679,0)))</f>
        <v/>
      </c>
      <c r="P115">
        <f>IF(ISNA(MATCH(102,Engine!$C$2:$C$679,0)),"",HYPERLINK(INDEX('Compliance Database'!$P$2:$P$679,MATCH(102,Engine!$C$2:$C$679,0)),"Open PDF"))</f>
        <v/>
      </c>
    </row>
    <row r="116">
      <c r="A116">
        <f>IF(ISNA(MATCH(103,Engine!$C$2:$C$679,0)),"",INDEX('Compliance Database'!$A$2:$A$679,MATCH(103,Engine!$C$2:$C$679,0)))</f>
        <v/>
      </c>
      <c r="B116">
        <f>IF(ISNA(MATCH(103,Engine!$C$2:$C$679,0)),"",INDEX('Compliance Database'!$B$2:$B$679,MATCH(103,Engine!$C$2:$C$679,0)))</f>
        <v/>
      </c>
      <c r="C116">
        <f>IF(ISNA(MATCH(103,Engine!$C$2:$C$679,0)),"",INDEX('Compliance Database'!$C$2:$C$679,MATCH(103,Engine!$C$2:$C$679,0)))</f>
        <v/>
      </c>
      <c r="D116" s="8">
        <f>IF(ISNA(MATCH(103,Engine!$C$2:$C$679,0)),"",INDEX('Compliance Database'!$D$2:$D$679,MATCH(103,Engine!$C$2:$C$679,0)))</f>
        <v/>
      </c>
      <c r="E116">
        <f>IF(ISNA(MATCH(103,Engine!$C$2:$C$679,0)),"",INDEX('Compliance Database'!$E$2:$E$679,MATCH(103,Engine!$C$2:$C$679,0)))</f>
        <v/>
      </c>
      <c r="F116">
        <f>IF(ISNA(MATCH(103,Engine!$C$2:$C$679,0)),"",INDEX('Compliance Database'!$F$2:$F$679,MATCH(103,Engine!$C$2:$C$679,0)))</f>
        <v/>
      </c>
      <c r="G116">
        <f>IF(ISNA(MATCH(103,Engine!$C$2:$C$679,0)),"",INDEX('Compliance Database'!$G$2:$G$679,MATCH(103,Engine!$C$2:$C$679,0)))</f>
        <v/>
      </c>
      <c r="H116">
        <f>IF(ISNA(MATCH(103,Engine!$C$2:$C$679,0)),"",INDEX('Compliance Database'!$H$2:$H$679,MATCH(103,Engine!$C$2:$C$679,0)))</f>
        <v/>
      </c>
      <c r="I116" s="8">
        <f>IF(ISNA(MATCH(103,Engine!$C$2:$C$679,0)),"",INDEX('Compliance Database'!$I$2:$I$679,MATCH(103,Engine!$C$2:$C$679,0)))</f>
        <v/>
      </c>
      <c r="J116" s="8">
        <f>IF(ISNA(MATCH(103,Engine!$C$2:$C$679,0)),"",INDEX('Compliance Database'!$J$2:$J$679,MATCH(103,Engine!$C$2:$C$679,0)))</f>
        <v/>
      </c>
      <c r="K116">
        <f>IF(ISNA(MATCH(103,Engine!$C$2:$C$679,0)),"",INDEX('Compliance Database'!$K$2:$K$679,MATCH(103,Engine!$C$2:$C$679,0)))</f>
        <v/>
      </c>
      <c r="L116" s="8">
        <f>IF(ISNA(MATCH(103,Engine!$C$2:$C$679,0)),"",INDEX('Compliance Database'!$L$2:$L$679,MATCH(103,Engine!$C$2:$C$679,0)))</f>
        <v/>
      </c>
      <c r="M116" s="8">
        <f>IF(ISNA(MATCH(103,Engine!$C$2:$C$679,0)),"",INDEX('Compliance Database'!$M$2:$M$679,MATCH(103,Engine!$C$2:$C$679,0)))</f>
        <v/>
      </c>
      <c r="N116" s="8">
        <f>IF(ISNA(MATCH(103,Engine!$C$2:$C$679,0)),"",INDEX('Compliance Database'!$N$2:$N$679,MATCH(103,Engine!$C$2:$C$679,0)))</f>
        <v/>
      </c>
      <c r="O116" s="8">
        <f>IF(ISNA(MATCH(103,Engine!$C$2:$C$679,0)),"",INDEX('Compliance Database'!$O$2:$O$679,MATCH(103,Engine!$C$2:$C$679,0)))</f>
        <v/>
      </c>
      <c r="P116">
        <f>IF(ISNA(MATCH(103,Engine!$C$2:$C$679,0)),"",HYPERLINK(INDEX('Compliance Database'!$P$2:$P$679,MATCH(103,Engine!$C$2:$C$679,0)),"Open PDF"))</f>
        <v/>
      </c>
    </row>
    <row r="117">
      <c r="A117">
        <f>IF(ISNA(MATCH(104,Engine!$C$2:$C$679,0)),"",INDEX('Compliance Database'!$A$2:$A$679,MATCH(104,Engine!$C$2:$C$679,0)))</f>
        <v/>
      </c>
      <c r="B117">
        <f>IF(ISNA(MATCH(104,Engine!$C$2:$C$679,0)),"",INDEX('Compliance Database'!$B$2:$B$679,MATCH(104,Engine!$C$2:$C$679,0)))</f>
        <v/>
      </c>
      <c r="C117">
        <f>IF(ISNA(MATCH(104,Engine!$C$2:$C$679,0)),"",INDEX('Compliance Database'!$C$2:$C$679,MATCH(104,Engine!$C$2:$C$679,0)))</f>
        <v/>
      </c>
      <c r="D117" s="8">
        <f>IF(ISNA(MATCH(104,Engine!$C$2:$C$679,0)),"",INDEX('Compliance Database'!$D$2:$D$679,MATCH(104,Engine!$C$2:$C$679,0)))</f>
        <v/>
      </c>
      <c r="E117">
        <f>IF(ISNA(MATCH(104,Engine!$C$2:$C$679,0)),"",INDEX('Compliance Database'!$E$2:$E$679,MATCH(104,Engine!$C$2:$C$679,0)))</f>
        <v/>
      </c>
      <c r="F117">
        <f>IF(ISNA(MATCH(104,Engine!$C$2:$C$679,0)),"",INDEX('Compliance Database'!$F$2:$F$679,MATCH(104,Engine!$C$2:$C$679,0)))</f>
        <v/>
      </c>
      <c r="G117">
        <f>IF(ISNA(MATCH(104,Engine!$C$2:$C$679,0)),"",INDEX('Compliance Database'!$G$2:$G$679,MATCH(104,Engine!$C$2:$C$679,0)))</f>
        <v/>
      </c>
      <c r="H117">
        <f>IF(ISNA(MATCH(104,Engine!$C$2:$C$679,0)),"",INDEX('Compliance Database'!$H$2:$H$679,MATCH(104,Engine!$C$2:$C$679,0)))</f>
        <v/>
      </c>
      <c r="I117" s="8">
        <f>IF(ISNA(MATCH(104,Engine!$C$2:$C$679,0)),"",INDEX('Compliance Database'!$I$2:$I$679,MATCH(104,Engine!$C$2:$C$679,0)))</f>
        <v/>
      </c>
      <c r="J117" s="8">
        <f>IF(ISNA(MATCH(104,Engine!$C$2:$C$679,0)),"",INDEX('Compliance Database'!$J$2:$J$679,MATCH(104,Engine!$C$2:$C$679,0)))</f>
        <v/>
      </c>
      <c r="K117">
        <f>IF(ISNA(MATCH(104,Engine!$C$2:$C$679,0)),"",INDEX('Compliance Database'!$K$2:$K$679,MATCH(104,Engine!$C$2:$C$679,0)))</f>
        <v/>
      </c>
      <c r="L117" s="8">
        <f>IF(ISNA(MATCH(104,Engine!$C$2:$C$679,0)),"",INDEX('Compliance Database'!$L$2:$L$679,MATCH(104,Engine!$C$2:$C$679,0)))</f>
        <v/>
      </c>
      <c r="M117" s="8">
        <f>IF(ISNA(MATCH(104,Engine!$C$2:$C$679,0)),"",INDEX('Compliance Database'!$M$2:$M$679,MATCH(104,Engine!$C$2:$C$679,0)))</f>
        <v/>
      </c>
      <c r="N117" s="8">
        <f>IF(ISNA(MATCH(104,Engine!$C$2:$C$679,0)),"",INDEX('Compliance Database'!$N$2:$N$679,MATCH(104,Engine!$C$2:$C$679,0)))</f>
        <v/>
      </c>
      <c r="O117" s="8">
        <f>IF(ISNA(MATCH(104,Engine!$C$2:$C$679,0)),"",INDEX('Compliance Database'!$O$2:$O$679,MATCH(104,Engine!$C$2:$C$679,0)))</f>
        <v/>
      </c>
      <c r="P117">
        <f>IF(ISNA(MATCH(104,Engine!$C$2:$C$679,0)),"",HYPERLINK(INDEX('Compliance Database'!$P$2:$P$679,MATCH(104,Engine!$C$2:$C$679,0)),"Open PDF"))</f>
        <v/>
      </c>
    </row>
    <row r="118">
      <c r="A118">
        <f>IF(ISNA(MATCH(105,Engine!$C$2:$C$679,0)),"",INDEX('Compliance Database'!$A$2:$A$679,MATCH(105,Engine!$C$2:$C$679,0)))</f>
        <v/>
      </c>
      <c r="B118">
        <f>IF(ISNA(MATCH(105,Engine!$C$2:$C$679,0)),"",INDEX('Compliance Database'!$B$2:$B$679,MATCH(105,Engine!$C$2:$C$679,0)))</f>
        <v/>
      </c>
      <c r="C118">
        <f>IF(ISNA(MATCH(105,Engine!$C$2:$C$679,0)),"",INDEX('Compliance Database'!$C$2:$C$679,MATCH(105,Engine!$C$2:$C$679,0)))</f>
        <v/>
      </c>
      <c r="D118" s="8">
        <f>IF(ISNA(MATCH(105,Engine!$C$2:$C$679,0)),"",INDEX('Compliance Database'!$D$2:$D$679,MATCH(105,Engine!$C$2:$C$679,0)))</f>
        <v/>
      </c>
      <c r="E118">
        <f>IF(ISNA(MATCH(105,Engine!$C$2:$C$679,0)),"",INDEX('Compliance Database'!$E$2:$E$679,MATCH(105,Engine!$C$2:$C$679,0)))</f>
        <v/>
      </c>
      <c r="F118">
        <f>IF(ISNA(MATCH(105,Engine!$C$2:$C$679,0)),"",INDEX('Compliance Database'!$F$2:$F$679,MATCH(105,Engine!$C$2:$C$679,0)))</f>
        <v/>
      </c>
      <c r="G118">
        <f>IF(ISNA(MATCH(105,Engine!$C$2:$C$679,0)),"",INDEX('Compliance Database'!$G$2:$G$679,MATCH(105,Engine!$C$2:$C$679,0)))</f>
        <v/>
      </c>
      <c r="H118">
        <f>IF(ISNA(MATCH(105,Engine!$C$2:$C$679,0)),"",INDEX('Compliance Database'!$H$2:$H$679,MATCH(105,Engine!$C$2:$C$679,0)))</f>
        <v/>
      </c>
      <c r="I118" s="8">
        <f>IF(ISNA(MATCH(105,Engine!$C$2:$C$679,0)),"",INDEX('Compliance Database'!$I$2:$I$679,MATCH(105,Engine!$C$2:$C$679,0)))</f>
        <v/>
      </c>
      <c r="J118" s="8">
        <f>IF(ISNA(MATCH(105,Engine!$C$2:$C$679,0)),"",INDEX('Compliance Database'!$J$2:$J$679,MATCH(105,Engine!$C$2:$C$679,0)))</f>
        <v/>
      </c>
      <c r="K118">
        <f>IF(ISNA(MATCH(105,Engine!$C$2:$C$679,0)),"",INDEX('Compliance Database'!$K$2:$K$679,MATCH(105,Engine!$C$2:$C$679,0)))</f>
        <v/>
      </c>
      <c r="L118" s="8">
        <f>IF(ISNA(MATCH(105,Engine!$C$2:$C$679,0)),"",INDEX('Compliance Database'!$L$2:$L$679,MATCH(105,Engine!$C$2:$C$679,0)))</f>
        <v/>
      </c>
      <c r="M118" s="8">
        <f>IF(ISNA(MATCH(105,Engine!$C$2:$C$679,0)),"",INDEX('Compliance Database'!$M$2:$M$679,MATCH(105,Engine!$C$2:$C$679,0)))</f>
        <v/>
      </c>
      <c r="N118" s="8">
        <f>IF(ISNA(MATCH(105,Engine!$C$2:$C$679,0)),"",INDEX('Compliance Database'!$N$2:$N$679,MATCH(105,Engine!$C$2:$C$679,0)))</f>
        <v/>
      </c>
      <c r="O118" s="8">
        <f>IF(ISNA(MATCH(105,Engine!$C$2:$C$679,0)),"",INDEX('Compliance Database'!$O$2:$O$679,MATCH(105,Engine!$C$2:$C$679,0)))</f>
        <v/>
      </c>
      <c r="P118">
        <f>IF(ISNA(MATCH(105,Engine!$C$2:$C$679,0)),"",HYPERLINK(INDEX('Compliance Database'!$P$2:$P$679,MATCH(105,Engine!$C$2:$C$679,0)),"Open PDF"))</f>
        <v/>
      </c>
    </row>
    <row r="119">
      <c r="A119">
        <f>IF(ISNA(MATCH(106,Engine!$C$2:$C$679,0)),"",INDEX('Compliance Database'!$A$2:$A$679,MATCH(106,Engine!$C$2:$C$679,0)))</f>
        <v/>
      </c>
      <c r="B119">
        <f>IF(ISNA(MATCH(106,Engine!$C$2:$C$679,0)),"",INDEX('Compliance Database'!$B$2:$B$679,MATCH(106,Engine!$C$2:$C$679,0)))</f>
        <v/>
      </c>
      <c r="C119">
        <f>IF(ISNA(MATCH(106,Engine!$C$2:$C$679,0)),"",INDEX('Compliance Database'!$C$2:$C$679,MATCH(106,Engine!$C$2:$C$679,0)))</f>
        <v/>
      </c>
      <c r="D119" s="8">
        <f>IF(ISNA(MATCH(106,Engine!$C$2:$C$679,0)),"",INDEX('Compliance Database'!$D$2:$D$679,MATCH(106,Engine!$C$2:$C$679,0)))</f>
        <v/>
      </c>
      <c r="E119">
        <f>IF(ISNA(MATCH(106,Engine!$C$2:$C$679,0)),"",INDEX('Compliance Database'!$E$2:$E$679,MATCH(106,Engine!$C$2:$C$679,0)))</f>
        <v/>
      </c>
      <c r="F119">
        <f>IF(ISNA(MATCH(106,Engine!$C$2:$C$679,0)),"",INDEX('Compliance Database'!$F$2:$F$679,MATCH(106,Engine!$C$2:$C$679,0)))</f>
        <v/>
      </c>
      <c r="G119">
        <f>IF(ISNA(MATCH(106,Engine!$C$2:$C$679,0)),"",INDEX('Compliance Database'!$G$2:$G$679,MATCH(106,Engine!$C$2:$C$679,0)))</f>
        <v/>
      </c>
      <c r="H119">
        <f>IF(ISNA(MATCH(106,Engine!$C$2:$C$679,0)),"",INDEX('Compliance Database'!$H$2:$H$679,MATCH(106,Engine!$C$2:$C$679,0)))</f>
        <v/>
      </c>
      <c r="I119" s="8">
        <f>IF(ISNA(MATCH(106,Engine!$C$2:$C$679,0)),"",INDEX('Compliance Database'!$I$2:$I$679,MATCH(106,Engine!$C$2:$C$679,0)))</f>
        <v/>
      </c>
      <c r="J119" s="8">
        <f>IF(ISNA(MATCH(106,Engine!$C$2:$C$679,0)),"",INDEX('Compliance Database'!$J$2:$J$679,MATCH(106,Engine!$C$2:$C$679,0)))</f>
        <v/>
      </c>
      <c r="K119">
        <f>IF(ISNA(MATCH(106,Engine!$C$2:$C$679,0)),"",INDEX('Compliance Database'!$K$2:$K$679,MATCH(106,Engine!$C$2:$C$679,0)))</f>
        <v/>
      </c>
      <c r="L119" s="8">
        <f>IF(ISNA(MATCH(106,Engine!$C$2:$C$679,0)),"",INDEX('Compliance Database'!$L$2:$L$679,MATCH(106,Engine!$C$2:$C$679,0)))</f>
        <v/>
      </c>
      <c r="M119" s="8">
        <f>IF(ISNA(MATCH(106,Engine!$C$2:$C$679,0)),"",INDEX('Compliance Database'!$M$2:$M$679,MATCH(106,Engine!$C$2:$C$679,0)))</f>
        <v/>
      </c>
      <c r="N119" s="8">
        <f>IF(ISNA(MATCH(106,Engine!$C$2:$C$679,0)),"",INDEX('Compliance Database'!$N$2:$N$679,MATCH(106,Engine!$C$2:$C$679,0)))</f>
        <v/>
      </c>
      <c r="O119" s="8">
        <f>IF(ISNA(MATCH(106,Engine!$C$2:$C$679,0)),"",INDEX('Compliance Database'!$O$2:$O$679,MATCH(106,Engine!$C$2:$C$679,0)))</f>
        <v/>
      </c>
      <c r="P119">
        <f>IF(ISNA(MATCH(106,Engine!$C$2:$C$679,0)),"",HYPERLINK(INDEX('Compliance Database'!$P$2:$P$679,MATCH(106,Engine!$C$2:$C$679,0)),"Open PDF"))</f>
        <v/>
      </c>
    </row>
    <row r="120">
      <c r="A120">
        <f>IF(ISNA(MATCH(107,Engine!$C$2:$C$679,0)),"",INDEX('Compliance Database'!$A$2:$A$679,MATCH(107,Engine!$C$2:$C$679,0)))</f>
        <v/>
      </c>
      <c r="B120">
        <f>IF(ISNA(MATCH(107,Engine!$C$2:$C$679,0)),"",INDEX('Compliance Database'!$B$2:$B$679,MATCH(107,Engine!$C$2:$C$679,0)))</f>
        <v/>
      </c>
      <c r="C120">
        <f>IF(ISNA(MATCH(107,Engine!$C$2:$C$679,0)),"",INDEX('Compliance Database'!$C$2:$C$679,MATCH(107,Engine!$C$2:$C$679,0)))</f>
        <v/>
      </c>
      <c r="D120" s="8">
        <f>IF(ISNA(MATCH(107,Engine!$C$2:$C$679,0)),"",INDEX('Compliance Database'!$D$2:$D$679,MATCH(107,Engine!$C$2:$C$679,0)))</f>
        <v/>
      </c>
      <c r="E120">
        <f>IF(ISNA(MATCH(107,Engine!$C$2:$C$679,0)),"",INDEX('Compliance Database'!$E$2:$E$679,MATCH(107,Engine!$C$2:$C$679,0)))</f>
        <v/>
      </c>
      <c r="F120">
        <f>IF(ISNA(MATCH(107,Engine!$C$2:$C$679,0)),"",INDEX('Compliance Database'!$F$2:$F$679,MATCH(107,Engine!$C$2:$C$679,0)))</f>
        <v/>
      </c>
      <c r="G120">
        <f>IF(ISNA(MATCH(107,Engine!$C$2:$C$679,0)),"",INDEX('Compliance Database'!$G$2:$G$679,MATCH(107,Engine!$C$2:$C$679,0)))</f>
        <v/>
      </c>
      <c r="H120">
        <f>IF(ISNA(MATCH(107,Engine!$C$2:$C$679,0)),"",INDEX('Compliance Database'!$H$2:$H$679,MATCH(107,Engine!$C$2:$C$679,0)))</f>
        <v/>
      </c>
      <c r="I120" s="8">
        <f>IF(ISNA(MATCH(107,Engine!$C$2:$C$679,0)),"",INDEX('Compliance Database'!$I$2:$I$679,MATCH(107,Engine!$C$2:$C$679,0)))</f>
        <v/>
      </c>
      <c r="J120" s="8">
        <f>IF(ISNA(MATCH(107,Engine!$C$2:$C$679,0)),"",INDEX('Compliance Database'!$J$2:$J$679,MATCH(107,Engine!$C$2:$C$679,0)))</f>
        <v/>
      </c>
      <c r="K120">
        <f>IF(ISNA(MATCH(107,Engine!$C$2:$C$679,0)),"",INDEX('Compliance Database'!$K$2:$K$679,MATCH(107,Engine!$C$2:$C$679,0)))</f>
        <v/>
      </c>
      <c r="L120" s="8">
        <f>IF(ISNA(MATCH(107,Engine!$C$2:$C$679,0)),"",INDEX('Compliance Database'!$L$2:$L$679,MATCH(107,Engine!$C$2:$C$679,0)))</f>
        <v/>
      </c>
      <c r="M120" s="8">
        <f>IF(ISNA(MATCH(107,Engine!$C$2:$C$679,0)),"",INDEX('Compliance Database'!$M$2:$M$679,MATCH(107,Engine!$C$2:$C$679,0)))</f>
        <v/>
      </c>
      <c r="N120" s="8">
        <f>IF(ISNA(MATCH(107,Engine!$C$2:$C$679,0)),"",INDEX('Compliance Database'!$N$2:$N$679,MATCH(107,Engine!$C$2:$C$679,0)))</f>
        <v/>
      </c>
      <c r="O120" s="8">
        <f>IF(ISNA(MATCH(107,Engine!$C$2:$C$679,0)),"",INDEX('Compliance Database'!$O$2:$O$679,MATCH(107,Engine!$C$2:$C$679,0)))</f>
        <v/>
      </c>
      <c r="P120">
        <f>IF(ISNA(MATCH(107,Engine!$C$2:$C$679,0)),"",HYPERLINK(INDEX('Compliance Database'!$P$2:$P$679,MATCH(107,Engine!$C$2:$C$679,0)),"Open PDF"))</f>
        <v/>
      </c>
    </row>
    <row r="121">
      <c r="A121">
        <f>IF(ISNA(MATCH(108,Engine!$C$2:$C$679,0)),"",INDEX('Compliance Database'!$A$2:$A$679,MATCH(108,Engine!$C$2:$C$679,0)))</f>
        <v/>
      </c>
      <c r="B121">
        <f>IF(ISNA(MATCH(108,Engine!$C$2:$C$679,0)),"",INDEX('Compliance Database'!$B$2:$B$679,MATCH(108,Engine!$C$2:$C$679,0)))</f>
        <v/>
      </c>
      <c r="C121">
        <f>IF(ISNA(MATCH(108,Engine!$C$2:$C$679,0)),"",INDEX('Compliance Database'!$C$2:$C$679,MATCH(108,Engine!$C$2:$C$679,0)))</f>
        <v/>
      </c>
      <c r="D121" s="8">
        <f>IF(ISNA(MATCH(108,Engine!$C$2:$C$679,0)),"",INDEX('Compliance Database'!$D$2:$D$679,MATCH(108,Engine!$C$2:$C$679,0)))</f>
        <v/>
      </c>
      <c r="E121">
        <f>IF(ISNA(MATCH(108,Engine!$C$2:$C$679,0)),"",INDEX('Compliance Database'!$E$2:$E$679,MATCH(108,Engine!$C$2:$C$679,0)))</f>
        <v/>
      </c>
      <c r="F121">
        <f>IF(ISNA(MATCH(108,Engine!$C$2:$C$679,0)),"",INDEX('Compliance Database'!$F$2:$F$679,MATCH(108,Engine!$C$2:$C$679,0)))</f>
        <v/>
      </c>
      <c r="G121">
        <f>IF(ISNA(MATCH(108,Engine!$C$2:$C$679,0)),"",INDEX('Compliance Database'!$G$2:$G$679,MATCH(108,Engine!$C$2:$C$679,0)))</f>
        <v/>
      </c>
      <c r="H121">
        <f>IF(ISNA(MATCH(108,Engine!$C$2:$C$679,0)),"",INDEX('Compliance Database'!$H$2:$H$679,MATCH(108,Engine!$C$2:$C$679,0)))</f>
        <v/>
      </c>
      <c r="I121" s="8">
        <f>IF(ISNA(MATCH(108,Engine!$C$2:$C$679,0)),"",INDEX('Compliance Database'!$I$2:$I$679,MATCH(108,Engine!$C$2:$C$679,0)))</f>
        <v/>
      </c>
      <c r="J121" s="8">
        <f>IF(ISNA(MATCH(108,Engine!$C$2:$C$679,0)),"",INDEX('Compliance Database'!$J$2:$J$679,MATCH(108,Engine!$C$2:$C$679,0)))</f>
        <v/>
      </c>
      <c r="K121">
        <f>IF(ISNA(MATCH(108,Engine!$C$2:$C$679,0)),"",INDEX('Compliance Database'!$K$2:$K$679,MATCH(108,Engine!$C$2:$C$679,0)))</f>
        <v/>
      </c>
      <c r="L121" s="8">
        <f>IF(ISNA(MATCH(108,Engine!$C$2:$C$679,0)),"",INDEX('Compliance Database'!$L$2:$L$679,MATCH(108,Engine!$C$2:$C$679,0)))</f>
        <v/>
      </c>
      <c r="M121" s="8">
        <f>IF(ISNA(MATCH(108,Engine!$C$2:$C$679,0)),"",INDEX('Compliance Database'!$M$2:$M$679,MATCH(108,Engine!$C$2:$C$679,0)))</f>
        <v/>
      </c>
      <c r="N121" s="8">
        <f>IF(ISNA(MATCH(108,Engine!$C$2:$C$679,0)),"",INDEX('Compliance Database'!$N$2:$N$679,MATCH(108,Engine!$C$2:$C$679,0)))</f>
        <v/>
      </c>
      <c r="O121" s="8">
        <f>IF(ISNA(MATCH(108,Engine!$C$2:$C$679,0)),"",INDEX('Compliance Database'!$O$2:$O$679,MATCH(108,Engine!$C$2:$C$679,0)))</f>
        <v/>
      </c>
      <c r="P121">
        <f>IF(ISNA(MATCH(108,Engine!$C$2:$C$679,0)),"",HYPERLINK(INDEX('Compliance Database'!$P$2:$P$679,MATCH(108,Engine!$C$2:$C$679,0)),"Open PDF"))</f>
        <v/>
      </c>
    </row>
    <row r="122">
      <c r="A122">
        <f>IF(ISNA(MATCH(109,Engine!$C$2:$C$679,0)),"",INDEX('Compliance Database'!$A$2:$A$679,MATCH(109,Engine!$C$2:$C$679,0)))</f>
        <v/>
      </c>
      <c r="B122">
        <f>IF(ISNA(MATCH(109,Engine!$C$2:$C$679,0)),"",INDEX('Compliance Database'!$B$2:$B$679,MATCH(109,Engine!$C$2:$C$679,0)))</f>
        <v/>
      </c>
      <c r="C122">
        <f>IF(ISNA(MATCH(109,Engine!$C$2:$C$679,0)),"",INDEX('Compliance Database'!$C$2:$C$679,MATCH(109,Engine!$C$2:$C$679,0)))</f>
        <v/>
      </c>
      <c r="D122" s="8">
        <f>IF(ISNA(MATCH(109,Engine!$C$2:$C$679,0)),"",INDEX('Compliance Database'!$D$2:$D$679,MATCH(109,Engine!$C$2:$C$679,0)))</f>
        <v/>
      </c>
      <c r="E122">
        <f>IF(ISNA(MATCH(109,Engine!$C$2:$C$679,0)),"",INDEX('Compliance Database'!$E$2:$E$679,MATCH(109,Engine!$C$2:$C$679,0)))</f>
        <v/>
      </c>
      <c r="F122">
        <f>IF(ISNA(MATCH(109,Engine!$C$2:$C$679,0)),"",INDEX('Compliance Database'!$F$2:$F$679,MATCH(109,Engine!$C$2:$C$679,0)))</f>
        <v/>
      </c>
      <c r="G122">
        <f>IF(ISNA(MATCH(109,Engine!$C$2:$C$679,0)),"",INDEX('Compliance Database'!$G$2:$G$679,MATCH(109,Engine!$C$2:$C$679,0)))</f>
        <v/>
      </c>
      <c r="H122">
        <f>IF(ISNA(MATCH(109,Engine!$C$2:$C$679,0)),"",INDEX('Compliance Database'!$H$2:$H$679,MATCH(109,Engine!$C$2:$C$679,0)))</f>
        <v/>
      </c>
      <c r="I122" s="8">
        <f>IF(ISNA(MATCH(109,Engine!$C$2:$C$679,0)),"",INDEX('Compliance Database'!$I$2:$I$679,MATCH(109,Engine!$C$2:$C$679,0)))</f>
        <v/>
      </c>
      <c r="J122" s="8">
        <f>IF(ISNA(MATCH(109,Engine!$C$2:$C$679,0)),"",INDEX('Compliance Database'!$J$2:$J$679,MATCH(109,Engine!$C$2:$C$679,0)))</f>
        <v/>
      </c>
      <c r="K122">
        <f>IF(ISNA(MATCH(109,Engine!$C$2:$C$679,0)),"",INDEX('Compliance Database'!$K$2:$K$679,MATCH(109,Engine!$C$2:$C$679,0)))</f>
        <v/>
      </c>
      <c r="L122" s="8">
        <f>IF(ISNA(MATCH(109,Engine!$C$2:$C$679,0)),"",INDEX('Compliance Database'!$L$2:$L$679,MATCH(109,Engine!$C$2:$C$679,0)))</f>
        <v/>
      </c>
      <c r="M122" s="8">
        <f>IF(ISNA(MATCH(109,Engine!$C$2:$C$679,0)),"",INDEX('Compliance Database'!$M$2:$M$679,MATCH(109,Engine!$C$2:$C$679,0)))</f>
        <v/>
      </c>
      <c r="N122" s="8">
        <f>IF(ISNA(MATCH(109,Engine!$C$2:$C$679,0)),"",INDEX('Compliance Database'!$N$2:$N$679,MATCH(109,Engine!$C$2:$C$679,0)))</f>
        <v/>
      </c>
      <c r="O122" s="8">
        <f>IF(ISNA(MATCH(109,Engine!$C$2:$C$679,0)),"",INDEX('Compliance Database'!$O$2:$O$679,MATCH(109,Engine!$C$2:$C$679,0)))</f>
        <v/>
      </c>
      <c r="P122">
        <f>IF(ISNA(MATCH(109,Engine!$C$2:$C$679,0)),"",HYPERLINK(INDEX('Compliance Database'!$P$2:$P$679,MATCH(109,Engine!$C$2:$C$679,0)),"Open PDF"))</f>
        <v/>
      </c>
    </row>
    <row r="123">
      <c r="A123">
        <f>IF(ISNA(MATCH(110,Engine!$C$2:$C$679,0)),"",INDEX('Compliance Database'!$A$2:$A$679,MATCH(110,Engine!$C$2:$C$679,0)))</f>
        <v/>
      </c>
      <c r="B123">
        <f>IF(ISNA(MATCH(110,Engine!$C$2:$C$679,0)),"",INDEX('Compliance Database'!$B$2:$B$679,MATCH(110,Engine!$C$2:$C$679,0)))</f>
        <v/>
      </c>
      <c r="C123">
        <f>IF(ISNA(MATCH(110,Engine!$C$2:$C$679,0)),"",INDEX('Compliance Database'!$C$2:$C$679,MATCH(110,Engine!$C$2:$C$679,0)))</f>
        <v/>
      </c>
      <c r="D123" s="8">
        <f>IF(ISNA(MATCH(110,Engine!$C$2:$C$679,0)),"",INDEX('Compliance Database'!$D$2:$D$679,MATCH(110,Engine!$C$2:$C$679,0)))</f>
        <v/>
      </c>
      <c r="E123">
        <f>IF(ISNA(MATCH(110,Engine!$C$2:$C$679,0)),"",INDEX('Compliance Database'!$E$2:$E$679,MATCH(110,Engine!$C$2:$C$679,0)))</f>
        <v/>
      </c>
      <c r="F123">
        <f>IF(ISNA(MATCH(110,Engine!$C$2:$C$679,0)),"",INDEX('Compliance Database'!$F$2:$F$679,MATCH(110,Engine!$C$2:$C$679,0)))</f>
        <v/>
      </c>
      <c r="G123">
        <f>IF(ISNA(MATCH(110,Engine!$C$2:$C$679,0)),"",INDEX('Compliance Database'!$G$2:$G$679,MATCH(110,Engine!$C$2:$C$679,0)))</f>
        <v/>
      </c>
      <c r="H123">
        <f>IF(ISNA(MATCH(110,Engine!$C$2:$C$679,0)),"",INDEX('Compliance Database'!$H$2:$H$679,MATCH(110,Engine!$C$2:$C$679,0)))</f>
        <v/>
      </c>
      <c r="I123" s="8">
        <f>IF(ISNA(MATCH(110,Engine!$C$2:$C$679,0)),"",INDEX('Compliance Database'!$I$2:$I$679,MATCH(110,Engine!$C$2:$C$679,0)))</f>
        <v/>
      </c>
      <c r="J123" s="8">
        <f>IF(ISNA(MATCH(110,Engine!$C$2:$C$679,0)),"",INDEX('Compliance Database'!$J$2:$J$679,MATCH(110,Engine!$C$2:$C$679,0)))</f>
        <v/>
      </c>
      <c r="K123">
        <f>IF(ISNA(MATCH(110,Engine!$C$2:$C$679,0)),"",INDEX('Compliance Database'!$K$2:$K$679,MATCH(110,Engine!$C$2:$C$679,0)))</f>
        <v/>
      </c>
      <c r="L123" s="8">
        <f>IF(ISNA(MATCH(110,Engine!$C$2:$C$679,0)),"",INDEX('Compliance Database'!$L$2:$L$679,MATCH(110,Engine!$C$2:$C$679,0)))</f>
        <v/>
      </c>
      <c r="M123" s="8">
        <f>IF(ISNA(MATCH(110,Engine!$C$2:$C$679,0)),"",INDEX('Compliance Database'!$M$2:$M$679,MATCH(110,Engine!$C$2:$C$679,0)))</f>
        <v/>
      </c>
      <c r="N123" s="8">
        <f>IF(ISNA(MATCH(110,Engine!$C$2:$C$679,0)),"",INDEX('Compliance Database'!$N$2:$N$679,MATCH(110,Engine!$C$2:$C$679,0)))</f>
        <v/>
      </c>
      <c r="O123" s="8">
        <f>IF(ISNA(MATCH(110,Engine!$C$2:$C$679,0)),"",INDEX('Compliance Database'!$O$2:$O$679,MATCH(110,Engine!$C$2:$C$679,0)))</f>
        <v/>
      </c>
      <c r="P123">
        <f>IF(ISNA(MATCH(110,Engine!$C$2:$C$679,0)),"",HYPERLINK(INDEX('Compliance Database'!$P$2:$P$679,MATCH(110,Engine!$C$2:$C$679,0)),"Open PDF"))</f>
        <v/>
      </c>
    </row>
    <row r="124">
      <c r="A124">
        <f>IF(ISNA(MATCH(111,Engine!$C$2:$C$679,0)),"",INDEX('Compliance Database'!$A$2:$A$679,MATCH(111,Engine!$C$2:$C$679,0)))</f>
        <v/>
      </c>
      <c r="B124">
        <f>IF(ISNA(MATCH(111,Engine!$C$2:$C$679,0)),"",INDEX('Compliance Database'!$B$2:$B$679,MATCH(111,Engine!$C$2:$C$679,0)))</f>
        <v/>
      </c>
      <c r="C124">
        <f>IF(ISNA(MATCH(111,Engine!$C$2:$C$679,0)),"",INDEX('Compliance Database'!$C$2:$C$679,MATCH(111,Engine!$C$2:$C$679,0)))</f>
        <v/>
      </c>
      <c r="D124" s="8">
        <f>IF(ISNA(MATCH(111,Engine!$C$2:$C$679,0)),"",INDEX('Compliance Database'!$D$2:$D$679,MATCH(111,Engine!$C$2:$C$679,0)))</f>
        <v/>
      </c>
      <c r="E124">
        <f>IF(ISNA(MATCH(111,Engine!$C$2:$C$679,0)),"",INDEX('Compliance Database'!$E$2:$E$679,MATCH(111,Engine!$C$2:$C$679,0)))</f>
        <v/>
      </c>
      <c r="F124">
        <f>IF(ISNA(MATCH(111,Engine!$C$2:$C$679,0)),"",INDEX('Compliance Database'!$F$2:$F$679,MATCH(111,Engine!$C$2:$C$679,0)))</f>
        <v/>
      </c>
      <c r="G124">
        <f>IF(ISNA(MATCH(111,Engine!$C$2:$C$679,0)),"",INDEX('Compliance Database'!$G$2:$G$679,MATCH(111,Engine!$C$2:$C$679,0)))</f>
        <v/>
      </c>
      <c r="H124">
        <f>IF(ISNA(MATCH(111,Engine!$C$2:$C$679,0)),"",INDEX('Compliance Database'!$H$2:$H$679,MATCH(111,Engine!$C$2:$C$679,0)))</f>
        <v/>
      </c>
      <c r="I124" s="8">
        <f>IF(ISNA(MATCH(111,Engine!$C$2:$C$679,0)),"",INDEX('Compliance Database'!$I$2:$I$679,MATCH(111,Engine!$C$2:$C$679,0)))</f>
        <v/>
      </c>
      <c r="J124" s="8">
        <f>IF(ISNA(MATCH(111,Engine!$C$2:$C$679,0)),"",INDEX('Compliance Database'!$J$2:$J$679,MATCH(111,Engine!$C$2:$C$679,0)))</f>
        <v/>
      </c>
      <c r="K124">
        <f>IF(ISNA(MATCH(111,Engine!$C$2:$C$679,0)),"",INDEX('Compliance Database'!$K$2:$K$679,MATCH(111,Engine!$C$2:$C$679,0)))</f>
        <v/>
      </c>
      <c r="L124" s="8">
        <f>IF(ISNA(MATCH(111,Engine!$C$2:$C$679,0)),"",INDEX('Compliance Database'!$L$2:$L$679,MATCH(111,Engine!$C$2:$C$679,0)))</f>
        <v/>
      </c>
      <c r="M124" s="8">
        <f>IF(ISNA(MATCH(111,Engine!$C$2:$C$679,0)),"",INDEX('Compliance Database'!$M$2:$M$679,MATCH(111,Engine!$C$2:$C$679,0)))</f>
        <v/>
      </c>
      <c r="N124" s="8">
        <f>IF(ISNA(MATCH(111,Engine!$C$2:$C$679,0)),"",INDEX('Compliance Database'!$N$2:$N$679,MATCH(111,Engine!$C$2:$C$679,0)))</f>
        <v/>
      </c>
      <c r="O124" s="8">
        <f>IF(ISNA(MATCH(111,Engine!$C$2:$C$679,0)),"",INDEX('Compliance Database'!$O$2:$O$679,MATCH(111,Engine!$C$2:$C$679,0)))</f>
        <v/>
      </c>
      <c r="P124">
        <f>IF(ISNA(MATCH(111,Engine!$C$2:$C$679,0)),"",HYPERLINK(INDEX('Compliance Database'!$P$2:$P$679,MATCH(111,Engine!$C$2:$C$679,0)),"Open PDF"))</f>
        <v/>
      </c>
    </row>
    <row r="125">
      <c r="A125">
        <f>IF(ISNA(MATCH(112,Engine!$C$2:$C$679,0)),"",INDEX('Compliance Database'!$A$2:$A$679,MATCH(112,Engine!$C$2:$C$679,0)))</f>
        <v/>
      </c>
      <c r="B125">
        <f>IF(ISNA(MATCH(112,Engine!$C$2:$C$679,0)),"",INDEX('Compliance Database'!$B$2:$B$679,MATCH(112,Engine!$C$2:$C$679,0)))</f>
        <v/>
      </c>
      <c r="C125">
        <f>IF(ISNA(MATCH(112,Engine!$C$2:$C$679,0)),"",INDEX('Compliance Database'!$C$2:$C$679,MATCH(112,Engine!$C$2:$C$679,0)))</f>
        <v/>
      </c>
      <c r="D125" s="8">
        <f>IF(ISNA(MATCH(112,Engine!$C$2:$C$679,0)),"",INDEX('Compliance Database'!$D$2:$D$679,MATCH(112,Engine!$C$2:$C$679,0)))</f>
        <v/>
      </c>
      <c r="E125">
        <f>IF(ISNA(MATCH(112,Engine!$C$2:$C$679,0)),"",INDEX('Compliance Database'!$E$2:$E$679,MATCH(112,Engine!$C$2:$C$679,0)))</f>
        <v/>
      </c>
      <c r="F125">
        <f>IF(ISNA(MATCH(112,Engine!$C$2:$C$679,0)),"",INDEX('Compliance Database'!$F$2:$F$679,MATCH(112,Engine!$C$2:$C$679,0)))</f>
        <v/>
      </c>
      <c r="G125">
        <f>IF(ISNA(MATCH(112,Engine!$C$2:$C$679,0)),"",INDEX('Compliance Database'!$G$2:$G$679,MATCH(112,Engine!$C$2:$C$679,0)))</f>
        <v/>
      </c>
      <c r="H125">
        <f>IF(ISNA(MATCH(112,Engine!$C$2:$C$679,0)),"",INDEX('Compliance Database'!$H$2:$H$679,MATCH(112,Engine!$C$2:$C$679,0)))</f>
        <v/>
      </c>
      <c r="I125" s="8">
        <f>IF(ISNA(MATCH(112,Engine!$C$2:$C$679,0)),"",INDEX('Compliance Database'!$I$2:$I$679,MATCH(112,Engine!$C$2:$C$679,0)))</f>
        <v/>
      </c>
      <c r="J125" s="8">
        <f>IF(ISNA(MATCH(112,Engine!$C$2:$C$679,0)),"",INDEX('Compliance Database'!$J$2:$J$679,MATCH(112,Engine!$C$2:$C$679,0)))</f>
        <v/>
      </c>
      <c r="K125">
        <f>IF(ISNA(MATCH(112,Engine!$C$2:$C$679,0)),"",INDEX('Compliance Database'!$K$2:$K$679,MATCH(112,Engine!$C$2:$C$679,0)))</f>
        <v/>
      </c>
      <c r="L125" s="8">
        <f>IF(ISNA(MATCH(112,Engine!$C$2:$C$679,0)),"",INDEX('Compliance Database'!$L$2:$L$679,MATCH(112,Engine!$C$2:$C$679,0)))</f>
        <v/>
      </c>
      <c r="M125" s="8">
        <f>IF(ISNA(MATCH(112,Engine!$C$2:$C$679,0)),"",INDEX('Compliance Database'!$M$2:$M$679,MATCH(112,Engine!$C$2:$C$679,0)))</f>
        <v/>
      </c>
      <c r="N125" s="8">
        <f>IF(ISNA(MATCH(112,Engine!$C$2:$C$679,0)),"",INDEX('Compliance Database'!$N$2:$N$679,MATCH(112,Engine!$C$2:$C$679,0)))</f>
        <v/>
      </c>
      <c r="O125" s="8">
        <f>IF(ISNA(MATCH(112,Engine!$C$2:$C$679,0)),"",INDEX('Compliance Database'!$O$2:$O$679,MATCH(112,Engine!$C$2:$C$679,0)))</f>
        <v/>
      </c>
      <c r="P125">
        <f>IF(ISNA(MATCH(112,Engine!$C$2:$C$679,0)),"",HYPERLINK(INDEX('Compliance Database'!$P$2:$P$679,MATCH(112,Engine!$C$2:$C$679,0)),"Open PDF"))</f>
        <v/>
      </c>
    </row>
    <row r="126">
      <c r="A126">
        <f>IF(ISNA(MATCH(113,Engine!$C$2:$C$679,0)),"",INDEX('Compliance Database'!$A$2:$A$679,MATCH(113,Engine!$C$2:$C$679,0)))</f>
        <v/>
      </c>
      <c r="B126">
        <f>IF(ISNA(MATCH(113,Engine!$C$2:$C$679,0)),"",INDEX('Compliance Database'!$B$2:$B$679,MATCH(113,Engine!$C$2:$C$679,0)))</f>
        <v/>
      </c>
      <c r="C126">
        <f>IF(ISNA(MATCH(113,Engine!$C$2:$C$679,0)),"",INDEX('Compliance Database'!$C$2:$C$679,MATCH(113,Engine!$C$2:$C$679,0)))</f>
        <v/>
      </c>
      <c r="D126" s="8">
        <f>IF(ISNA(MATCH(113,Engine!$C$2:$C$679,0)),"",INDEX('Compliance Database'!$D$2:$D$679,MATCH(113,Engine!$C$2:$C$679,0)))</f>
        <v/>
      </c>
      <c r="E126">
        <f>IF(ISNA(MATCH(113,Engine!$C$2:$C$679,0)),"",INDEX('Compliance Database'!$E$2:$E$679,MATCH(113,Engine!$C$2:$C$679,0)))</f>
        <v/>
      </c>
      <c r="F126">
        <f>IF(ISNA(MATCH(113,Engine!$C$2:$C$679,0)),"",INDEX('Compliance Database'!$F$2:$F$679,MATCH(113,Engine!$C$2:$C$679,0)))</f>
        <v/>
      </c>
      <c r="G126">
        <f>IF(ISNA(MATCH(113,Engine!$C$2:$C$679,0)),"",INDEX('Compliance Database'!$G$2:$G$679,MATCH(113,Engine!$C$2:$C$679,0)))</f>
        <v/>
      </c>
      <c r="H126">
        <f>IF(ISNA(MATCH(113,Engine!$C$2:$C$679,0)),"",INDEX('Compliance Database'!$H$2:$H$679,MATCH(113,Engine!$C$2:$C$679,0)))</f>
        <v/>
      </c>
      <c r="I126" s="8">
        <f>IF(ISNA(MATCH(113,Engine!$C$2:$C$679,0)),"",INDEX('Compliance Database'!$I$2:$I$679,MATCH(113,Engine!$C$2:$C$679,0)))</f>
        <v/>
      </c>
      <c r="J126" s="8">
        <f>IF(ISNA(MATCH(113,Engine!$C$2:$C$679,0)),"",INDEX('Compliance Database'!$J$2:$J$679,MATCH(113,Engine!$C$2:$C$679,0)))</f>
        <v/>
      </c>
      <c r="K126">
        <f>IF(ISNA(MATCH(113,Engine!$C$2:$C$679,0)),"",INDEX('Compliance Database'!$K$2:$K$679,MATCH(113,Engine!$C$2:$C$679,0)))</f>
        <v/>
      </c>
      <c r="L126" s="8">
        <f>IF(ISNA(MATCH(113,Engine!$C$2:$C$679,0)),"",INDEX('Compliance Database'!$L$2:$L$679,MATCH(113,Engine!$C$2:$C$679,0)))</f>
        <v/>
      </c>
      <c r="M126" s="8">
        <f>IF(ISNA(MATCH(113,Engine!$C$2:$C$679,0)),"",INDEX('Compliance Database'!$M$2:$M$679,MATCH(113,Engine!$C$2:$C$679,0)))</f>
        <v/>
      </c>
      <c r="N126" s="8">
        <f>IF(ISNA(MATCH(113,Engine!$C$2:$C$679,0)),"",INDEX('Compliance Database'!$N$2:$N$679,MATCH(113,Engine!$C$2:$C$679,0)))</f>
        <v/>
      </c>
      <c r="O126" s="8">
        <f>IF(ISNA(MATCH(113,Engine!$C$2:$C$679,0)),"",INDEX('Compliance Database'!$O$2:$O$679,MATCH(113,Engine!$C$2:$C$679,0)))</f>
        <v/>
      </c>
      <c r="P126">
        <f>IF(ISNA(MATCH(113,Engine!$C$2:$C$679,0)),"",HYPERLINK(INDEX('Compliance Database'!$P$2:$P$679,MATCH(113,Engine!$C$2:$C$679,0)),"Open PDF"))</f>
        <v/>
      </c>
    </row>
    <row r="127">
      <c r="A127">
        <f>IF(ISNA(MATCH(114,Engine!$C$2:$C$679,0)),"",INDEX('Compliance Database'!$A$2:$A$679,MATCH(114,Engine!$C$2:$C$679,0)))</f>
        <v/>
      </c>
      <c r="B127">
        <f>IF(ISNA(MATCH(114,Engine!$C$2:$C$679,0)),"",INDEX('Compliance Database'!$B$2:$B$679,MATCH(114,Engine!$C$2:$C$679,0)))</f>
        <v/>
      </c>
      <c r="C127">
        <f>IF(ISNA(MATCH(114,Engine!$C$2:$C$679,0)),"",INDEX('Compliance Database'!$C$2:$C$679,MATCH(114,Engine!$C$2:$C$679,0)))</f>
        <v/>
      </c>
      <c r="D127" s="8">
        <f>IF(ISNA(MATCH(114,Engine!$C$2:$C$679,0)),"",INDEX('Compliance Database'!$D$2:$D$679,MATCH(114,Engine!$C$2:$C$679,0)))</f>
        <v/>
      </c>
      <c r="E127">
        <f>IF(ISNA(MATCH(114,Engine!$C$2:$C$679,0)),"",INDEX('Compliance Database'!$E$2:$E$679,MATCH(114,Engine!$C$2:$C$679,0)))</f>
        <v/>
      </c>
      <c r="F127">
        <f>IF(ISNA(MATCH(114,Engine!$C$2:$C$679,0)),"",INDEX('Compliance Database'!$F$2:$F$679,MATCH(114,Engine!$C$2:$C$679,0)))</f>
        <v/>
      </c>
      <c r="G127">
        <f>IF(ISNA(MATCH(114,Engine!$C$2:$C$679,0)),"",INDEX('Compliance Database'!$G$2:$G$679,MATCH(114,Engine!$C$2:$C$679,0)))</f>
        <v/>
      </c>
      <c r="H127">
        <f>IF(ISNA(MATCH(114,Engine!$C$2:$C$679,0)),"",INDEX('Compliance Database'!$H$2:$H$679,MATCH(114,Engine!$C$2:$C$679,0)))</f>
        <v/>
      </c>
      <c r="I127" s="8">
        <f>IF(ISNA(MATCH(114,Engine!$C$2:$C$679,0)),"",INDEX('Compliance Database'!$I$2:$I$679,MATCH(114,Engine!$C$2:$C$679,0)))</f>
        <v/>
      </c>
      <c r="J127" s="8">
        <f>IF(ISNA(MATCH(114,Engine!$C$2:$C$679,0)),"",INDEX('Compliance Database'!$J$2:$J$679,MATCH(114,Engine!$C$2:$C$679,0)))</f>
        <v/>
      </c>
      <c r="K127">
        <f>IF(ISNA(MATCH(114,Engine!$C$2:$C$679,0)),"",INDEX('Compliance Database'!$K$2:$K$679,MATCH(114,Engine!$C$2:$C$679,0)))</f>
        <v/>
      </c>
      <c r="L127" s="8">
        <f>IF(ISNA(MATCH(114,Engine!$C$2:$C$679,0)),"",INDEX('Compliance Database'!$L$2:$L$679,MATCH(114,Engine!$C$2:$C$679,0)))</f>
        <v/>
      </c>
      <c r="M127" s="8">
        <f>IF(ISNA(MATCH(114,Engine!$C$2:$C$679,0)),"",INDEX('Compliance Database'!$M$2:$M$679,MATCH(114,Engine!$C$2:$C$679,0)))</f>
        <v/>
      </c>
      <c r="N127" s="8">
        <f>IF(ISNA(MATCH(114,Engine!$C$2:$C$679,0)),"",INDEX('Compliance Database'!$N$2:$N$679,MATCH(114,Engine!$C$2:$C$679,0)))</f>
        <v/>
      </c>
      <c r="O127" s="8">
        <f>IF(ISNA(MATCH(114,Engine!$C$2:$C$679,0)),"",INDEX('Compliance Database'!$O$2:$O$679,MATCH(114,Engine!$C$2:$C$679,0)))</f>
        <v/>
      </c>
      <c r="P127">
        <f>IF(ISNA(MATCH(114,Engine!$C$2:$C$679,0)),"",HYPERLINK(INDEX('Compliance Database'!$P$2:$P$679,MATCH(114,Engine!$C$2:$C$679,0)),"Open PDF"))</f>
        <v/>
      </c>
    </row>
    <row r="128">
      <c r="A128">
        <f>IF(ISNA(MATCH(115,Engine!$C$2:$C$679,0)),"",INDEX('Compliance Database'!$A$2:$A$679,MATCH(115,Engine!$C$2:$C$679,0)))</f>
        <v/>
      </c>
      <c r="B128">
        <f>IF(ISNA(MATCH(115,Engine!$C$2:$C$679,0)),"",INDEX('Compliance Database'!$B$2:$B$679,MATCH(115,Engine!$C$2:$C$679,0)))</f>
        <v/>
      </c>
      <c r="C128">
        <f>IF(ISNA(MATCH(115,Engine!$C$2:$C$679,0)),"",INDEX('Compliance Database'!$C$2:$C$679,MATCH(115,Engine!$C$2:$C$679,0)))</f>
        <v/>
      </c>
      <c r="D128" s="8">
        <f>IF(ISNA(MATCH(115,Engine!$C$2:$C$679,0)),"",INDEX('Compliance Database'!$D$2:$D$679,MATCH(115,Engine!$C$2:$C$679,0)))</f>
        <v/>
      </c>
      <c r="E128">
        <f>IF(ISNA(MATCH(115,Engine!$C$2:$C$679,0)),"",INDEX('Compliance Database'!$E$2:$E$679,MATCH(115,Engine!$C$2:$C$679,0)))</f>
        <v/>
      </c>
      <c r="F128">
        <f>IF(ISNA(MATCH(115,Engine!$C$2:$C$679,0)),"",INDEX('Compliance Database'!$F$2:$F$679,MATCH(115,Engine!$C$2:$C$679,0)))</f>
        <v/>
      </c>
      <c r="G128">
        <f>IF(ISNA(MATCH(115,Engine!$C$2:$C$679,0)),"",INDEX('Compliance Database'!$G$2:$G$679,MATCH(115,Engine!$C$2:$C$679,0)))</f>
        <v/>
      </c>
      <c r="H128">
        <f>IF(ISNA(MATCH(115,Engine!$C$2:$C$679,0)),"",INDEX('Compliance Database'!$H$2:$H$679,MATCH(115,Engine!$C$2:$C$679,0)))</f>
        <v/>
      </c>
      <c r="I128" s="8">
        <f>IF(ISNA(MATCH(115,Engine!$C$2:$C$679,0)),"",INDEX('Compliance Database'!$I$2:$I$679,MATCH(115,Engine!$C$2:$C$679,0)))</f>
        <v/>
      </c>
      <c r="J128" s="8">
        <f>IF(ISNA(MATCH(115,Engine!$C$2:$C$679,0)),"",INDEX('Compliance Database'!$J$2:$J$679,MATCH(115,Engine!$C$2:$C$679,0)))</f>
        <v/>
      </c>
      <c r="K128">
        <f>IF(ISNA(MATCH(115,Engine!$C$2:$C$679,0)),"",INDEX('Compliance Database'!$K$2:$K$679,MATCH(115,Engine!$C$2:$C$679,0)))</f>
        <v/>
      </c>
      <c r="L128" s="8">
        <f>IF(ISNA(MATCH(115,Engine!$C$2:$C$679,0)),"",INDEX('Compliance Database'!$L$2:$L$679,MATCH(115,Engine!$C$2:$C$679,0)))</f>
        <v/>
      </c>
      <c r="M128" s="8">
        <f>IF(ISNA(MATCH(115,Engine!$C$2:$C$679,0)),"",INDEX('Compliance Database'!$M$2:$M$679,MATCH(115,Engine!$C$2:$C$679,0)))</f>
        <v/>
      </c>
      <c r="N128" s="8">
        <f>IF(ISNA(MATCH(115,Engine!$C$2:$C$679,0)),"",INDEX('Compliance Database'!$N$2:$N$679,MATCH(115,Engine!$C$2:$C$679,0)))</f>
        <v/>
      </c>
      <c r="O128" s="8">
        <f>IF(ISNA(MATCH(115,Engine!$C$2:$C$679,0)),"",INDEX('Compliance Database'!$O$2:$O$679,MATCH(115,Engine!$C$2:$C$679,0)))</f>
        <v/>
      </c>
      <c r="P128">
        <f>IF(ISNA(MATCH(115,Engine!$C$2:$C$679,0)),"",HYPERLINK(INDEX('Compliance Database'!$P$2:$P$679,MATCH(115,Engine!$C$2:$C$679,0)),"Open PDF"))</f>
        <v/>
      </c>
    </row>
    <row r="129">
      <c r="A129">
        <f>IF(ISNA(MATCH(116,Engine!$C$2:$C$679,0)),"",INDEX('Compliance Database'!$A$2:$A$679,MATCH(116,Engine!$C$2:$C$679,0)))</f>
        <v/>
      </c>
      <c r="B129">
        <f>IF(ISNA(MATCH(116,Engine!$C$2:$C$679,0)),"",INDEX('Compliance Database'!$B$2:$B$679,MATCH(116,Engine!$C$2:$C$679,0)))</f>
        <v/>
      </c>
      <c r="C129">
        <f>IF(ISNA(MATCH(116,Engine!$C$2:$C$679,0)),"",INDEX('Compliance Database'!$C$2:$C$679,MATCH(116,Engine!$C$2:$C$679,0)))</f>
        <v/>
      </c>
      <c r="D129" s="8">
        <f>IF(ISNA(MATCH(116,Engine!$C$2:$C$679,0)),"",INDEX('Compliance Database'!$D$2:$D$679,MATCH(116,Engine!$C$2:$C$679,0)))</f>
        <v/>
      </c>
      <c r="E129">
        <f>IF(ISNA(MATCH(116,Engine!$C$2:$C$679,0)),"",INDEX('Compliance Database'!$E$2:$E$679,MATCH(116,Engine!$C$2:$C$679,0)))</f>
        <v/>
      </c>
      <c r="F129">
        <f>IF(ISNA(MATCH(116,Engine!$C$2:$C$679,0)),"",INDEX('Compliance Database'!$F$2:$F$679,MATCH(116,Engine!$C$2:$C$679,0)))</f>
        <v/>
      </c>
      <c r="G129">
        <f>IF(ISNA(MATCH(116,Engine!$C$2:$C$679,0)),"",INDEX('Compliance Database'!$G$2:$G$679,MATCH(116,Engine!$C$2:$C$679,0)))</f>
        <v/>
      </c>
      <c r="H129">
        <f>IF(ISNA(MATCH(116,Engine!$C$2:$C$679,0)),"",INDEX('Compliance Database'!$H$2:$H$679,MATCH(116,Engine!$C$2:$C$679,0)))</f>
        <v/>
      </c>
      <c r="I129" s="8">
        <f>IF(ISNA(MATCH(116,Engine!$C$2:$C$679,0)),"",INDEX('Compliance Database'!$I$2:$I$679,MATCH(116,Engine!$C$2:$C$679,0)))</f>
        <v/>
      </c>
      <c r="J129" s="8">
        <f>IF(ISNA(MATCH(116,Engine!$C$2:$C$679,0)),"",INDEX('Compliance Database'!$J$2:$J$679,MATCH(116,Engine!$C$2:$C$679,0)))</f>
        <v/>
      </c>
      <c r="K129">
        <f>IF(ISNA(MATCH(116,Engine!$C$2:$C$679,0)),"",INDEX('Compliance Database'!$K$2:$K$679,MATCH(116,Engine!$C$2:$C$679,0)))</f>
        <v/>
      </c>
      <c r="L129" s="8">
        <f>IF(ISNA(MATCH(116,Engine!$C$2:$C$679,0)),"",INDEX('Compliance Database'!$L$2:$L$679,MATCH(116,Engine!$C$2:$C$679,0)))</f>
        <v/>
      </c>
      <c r="M129" s="8">
        <f>IF(ISNA(MATCH(116,Engine!$C$2:$C$679,0)),"",INDEX('Compliance Database'!$M$2:$M$679,MATCH(116,Engine!$C$2:$C$679,0)))</f>
        <v/>
      </c>
      <c r="N129" s="8">
        <f>IF(ISNA(MATCH(116,Engine!$C$2:$C$679,0)),"",INDEX('Compliance Database'!$N$2:$N$679,MATCH(116,Engine!$C$2:$C$679,0)))</f>
        <v/>
      </c>
      <c r="O129" s="8">
        <f>IF(ISNA(MATCH(116,Engine!$C$2:$C$679,0)),"",INDEX('Compliance Database'!$O$2:$O$679,MATCH(116,Engine!$C$2:$C$679,0)))</f>
        <v/>
      </c>
      <c r="P129">
        <f>IF(ISNA(MATCH(116,Engine!$C$2:$C$679,0)),"",HYPERLINK(INDEX('Compliance Database'!$P$2:$P$679,MATCH(116,Engine!$C$2:$C$679,0)),"Open PDF"))</f>
        <v/>
      </c>
    </row>
    <row r="130">
      <c r="A130">
        <f>IF(ISNA(MATCH(117,Engine!$C$2:$C$679,0)),"",INDEX('Compliance Database'!$A$2:$A$679,MATCH(117,Engine!$C$2:$C$679,0)))</f>
        <v/>
      </c>
      <c r="B130">
        <f>IF(ISNA(MATCH(117,Engine!$C$2:$C$679,0)),"",INDEX('Compliance Database'!$B$2:$B$679,MATCH(117,Engine!$C$2:$C$679,0)))</f>
        <v/>
      </c>
      <c r="C130">
        <f>IF(ISNA(MATCH(117,Engine!$C$2:$C$679,0)),"",INDEX('Compliance Database'!$C$2:$C$679,MATCH(117,Engine!$C$2:$C$679,0)))</f>
        <v/>
      </c>
      <c r="D130" s="8">
        <f>IF(ISNA(MATCH(117,Engine!$C$2:$C$679,0)),"",INDEX('Compliance Database'!$D$2:$D$679,MATCH(117,Engine!$C$2:$C$679,0)))</f>
        <v/>
      </c>
      <c r="E130">
        <f>IF(ISNA(MATCH(117,Engine!$C$2:$C$679,0)),"",INDEX('Compliance Database'!$E$2:$E$679,MATCH(117,Engine!$C$2:$C$679,0)))</f>
        <v/>
      </c>
      <c r="F130">
        <f>IF(ISNA(MATCH(117,Engine!$C$2:$C$679,0)),"",INDEX('Compliance Database'!$F$2:$F$679,MATCH(117,Engine!$C$2:$C$679,0)))</f>
        <v/>
      </c>
      <c r="G130">
        <f>IF(ISNA(MATCH(117,Engine!$C$2:$C$679,0)),"",INDEX('Compliance Database'!$G$2:$G$679,MATCH(117,Engine!$C$2:$C$679,0)))</f>
        <v/>
      </c>
      <c r="H130">
        <f>IF(ISNA(MATCH(117,Engine!$C$2:$C$679,0)),"",INDEX('Compliance Database'!$H$2:$H$679,MATCH(117,Engine!$C$2:$C$679,0)))</f>
        <v/>
      </c>
      <c r="I130" s="8">
        <f>IF(ISNA(MATCH(117,Engine!$C$2:$C$679,0)),"",INDEX('Compliance Database'!$I$2:$I$679,MATCH(117,Engine!$C$2:$C$679,0)))</f>
        <v/>
      </c>
      <c r="J130" s="8">
        <f>IF(ISNA(MATCH(117,Engine!$C$2:$C$679,0)),"",INDEX('Compliance Database'!$J$2:$J$679,MATCH(117,Engine!$C$2:$C$679,0)))</f>
        <v/>
      </c>
      <c r="K130">
        <f>IF(ISNA(MATCH(117,Engine!$C$2:$C$679,0)),"",INDEX('Compliance Database'!$K$2:$K$679,MATCH(117,Engine!$C$2:$C$679,0)))</f>
        <v/>
      </c>
      <c r="L130" s="8">
        <f>IF(ISNA(MATCH(117,Engine!$C$2:$C$679,0)),"",INDEX('Compliance Database'!$L$2:$L$679,MATCH(117,Engine!$C$2:$C$679,0)))</f>
        <v/>
      </c>
      <c r="M130" s="8">
        <f>IF(ISNA(MATCH(117,Engine!$C$2:$C$679,0)),"",INDEX('Compliance Database'!$M$2:$M$679,MATCH(117,Engine!$C$2:$C$679,0)))</f>
        <v/>
      </c>
      <c r="N130" s="8">
        <f>IF(ISNA(MATCH(117,Engine!$C$2:$C$679,0)),"",INDEX('Compliance Database'!$N$2:$N$679,MATCH(117,Engine!$C$2:$C$679,0)))</f>
        <v/>
      </c>
      <c r="O130" s="8">
        <f>IF(ISNA(MATCH(117,Engine!$C$2:$C$679,0)),"",INDEX('Compliance Database'!$O$2:$O$679,MATCH(117,Engine!$C$2:$C$679,0)))</f>
        <v/>
      </c>
      <c r="P130">
        <f>IF(ISNA(MATCH(117,Engine!$C$2:$C$679,0)),"",HYPERLINK(INDEX('Compliance Database'!$P$2:$P$679,MATCH(117,Engine!$C$2:$C$679,0)),"Open PDF"))</f>
        <v/>
      </c>
    </row>
    <row r="131">
      <c r="A131">
        <f>IF(ISNA(MATCH(118,Engine!$C$2:$C$679,0)),"",INDEX('Compliance Database'!$A$2:$A$679,MATCH(118,Engine!$C$2:$C$679,0)))</f>
        <v/>
      </c>
      <c r="B131">
        <f>IF(ISNA(MATCH(118,Engine!$C$2:$C$679,0)),"",INDEX('Compliance Database'!$B$2:$B$679,MATCH(118,Engine!$C$2:$C$679,0)))</f>
        <v/>
      </c>
      <c r="C131">
        <f>IF(ISNA(MATCH(118,Engine!$C$2:$C$679,0)),"",INDEX('Compliance Database'!$C$2:$C$679,MATCH(118,Engine!$C$2:$C$679,0)))</f>
        <v/>
      </c>
      <c r="D131" s="8">
        <f>IF(ISNA(MATCH(118,Engine!$C$2:$C$679,0)),"",INDEX('Compliance Database'!$D$2:$D$679,MATCH(118,Engine!$C$2:$C$679,0)))</f>
        <v/>
      </c>
      <c r="E131">
        <f>IF(ISNA(MATCH(118,Engine!$C$2:$C$679,0)),"",INDEX('Compliance Database'!$E$2:$E$679,MATCH(118,Engine!$C$2:$C$679,0)))</f>
        <v/>
      </c>
      <c r="F131">
        <f>IF(ISNA(MATCH(118,Engine!$C$2:$C$679,0)),"",INDEX('Compliance Database'!$F$2:$F$679,MATCH(118,Engine!$C$2:$C$679,0)))</f>
        <v/>
      </c>
      <c r="G131">
        <f>IF(ISNA(MATCH(118,Engine!$C$2:$C$679,0)),"",INDEX('Compliance Database'!$G$2:$G$679,MATCH(118,Engine!$C$2:$C$679,0)))</f>
        <v/>
      </c>
      <c r="H131">
        <f>IF(ISNA(MATCH(118,Engine!$C$2:$C$679,0)),"",INDEX('Compliance Database'!$H$2:$H$679,MATCH(118,Engine!$C$2:$C$679,0)))</f>
        <v/>
      </c>
      <c r="I131" s="8">
        <f>IF(ISNA(MATCH(118,Engine!$C$2:$C$679,0)),"",INDEX('Compliance Database'!$I$2:$I$679,MATCH(118,Engine!$C$2:$C$679,0)))</f>
        <v/>
      </c>
      <c r="J131" s="8">
        <f>IF(ISNA(MATCH(118,Engine!$C$2:$C$679,0)),"",INDEX('Compliance Database'!$J$2:$J$679,MATCH(118,Engine!$C$2:$C$679,0)))</f>
        <v/>
      </c>
      <c r="K131">
        <f>IF(ISNA(MATCH(118,Engine!$C$2:$C$679,0)),"",INDEX('Compliance Database'!$K$2:$K$679,MATCH(118,Engine!$C$2:$C$679,0)))</f>
        <v/>
      </c>
      <c r="L131" s="8">
        <f>IF(ISNA(MATCH(118,Engine!$C$2:$C$679,0)),"",INDEX('Compliance Database'!$L$2:$L$679,MATCH(118,Engine!$C$2:$C$679,0)))</f>
        <v/>
      </c>
      <c r="M131" s="8">
        <f>IF(ISNA(MATCH(118,Engine!$C$2:$C$679,0)),"",INDEX('Compliance Database'!$M$2:$M$679,MATCH(118,Engine!$C$2:$C$679,0)))</f>
        <v/>
      </c>
      <c r="N131" s="8">
        <f>IF(ISNA(MATCH(118,Engine!$C$2:$C$679,0)),"",INDEX('Compliance Database'!$N$2:$N$679,MATCH(118,Engine!$C$2:$C$679,0)))</f>
        <v/>
      </c>
      <c r="O131" s="8">
        <f>IF(ISNA(MATCH(118,Engine!$C$2:$C$679,0)),"",INDEX('Compliance Database'!$O$2:$O$679,MATCH(118,Engine!$C$2:$C$679,0)))</f>
        <v/>
      </c>
      <c r="P131">
        <f>IF(ISNA(MATCH(118,Engine!$C$2:$C$679,0)),"",HYPERLINK(INDEX('Compliance Database'!$P$2:$P$679,MATCH(118,Engine!$C$2:$C$679,0)),"Open PDF"))</f>
        <v/>
      </c>
    </row>
    <row r="132">
      <c r="A132">
        <f>IF(ISNA(MATCH(119,Engine!$C$2:$C$679,0)),"",INDEX('Compliance Database'!$A$2:$A$679,MATCH(119,Engine!$C$2:$C$679,0)))</f>
        <v/>
      </c>
      <c r="B132">
        <f>IF(ISNA(MATCH(119,Engine!$C$2:$C$679,0)),"",INDEX('Compliance Database'!$B$2:$B$679,MATCH(119,Engine!$C$2:$C$679,0)))</f>
        <v/>
      </c>
      <c r="C132">
        <f>IF(ISNA(MATCH(119,Engine!$C$2:$C$679,0)),"",INDEX('Compliance Database'!$C$2:$C$679,MATCH(119,Engine!$C$2:$C$679,0)))</f>
        <v/>
      </c>
      <c r="D132" s="8">
        <f>IF(ISNA(MATCH(119,Engine!$C$2:$C$679,0)),"",INDEX('Compliance Database'!$D$2:$D$679,MATCH(119,Engine!$C$2:$C$679,0)))</f>
        <v/>
      </c>
      <c r="E132">
        <f>IF(ISNA(MATCH(119,Engine!$C$2:$C$679,0)),"",INDEX('Compliance Database'!$E$2:$E$679,MATCH(119,Engine!$C$2:$C$679,0)))</f>
        <v/>
      </c>
      <c r="F132">
        <f>IF(ISNA(MATCH(119,Engine!$C$2:$C$679,0)),"",INDEX('Compliance Database'!$F$2:$F$679,MATCH(119,Engine!$C$2:$C$679,0)))</f>
        <v/>
      </c>
      <c r="G132">
        <f>IF(ISNA(MATCH(119,Engine!$C$2:$C$679,0)),"",INDEX('Compliance Database'!$G$2:$G$679,MATCH(119,Engine!$C$2:$C$679,0)))</f>
        <v/>
      </c>
      <c r="H132">
        <f>IF(ISNA(MATCH(119,Engine!$C$2:$C$679,0)),"",INDEX('Compliance Database'!$H$2:$H$679,MATCH(119,Engine!$C$2:$C$679,0)))</f>
        <v/>
      </c>
      <c r="I132" s="8">
        <f>IF(ISNA(MATCH(119,Engine!$C$2:$C$679,0)),"",INDEX('Compliance Database'!$I$2:$I$679,MATCH(119,Engine!$C$2:$C$679,0)))</f>
        <v/>
      </c>
      <c r="J132" s="8">
        <f>IF(ISNA(MATCH(119,Engine!$C$2:$C$679,0)),"",INDEX('Compliance Database'!$J$2:$J$679,MATCH(119,Engine!$C$2:$C$679,0)))</f>
        <v/>
      </c>
      <c r="K132">
        <f>IF(ISNA(MATCH(119,Engine!$C$2:$C$679,0)),"",INDEX('Compliance Database'!$K$2:$K$679,MATCH(119,Engine!$C$2:$C$679,0)))</f>
        <v/>
      </c>
      <c r="L132" s="8">
        <f>IF(ISNA(MATCH(119,Engine!$C$2:$C$679,0)),"",INDEX('Compliance Database'!$L$2:$L$679,MATCH(119,Engine!$C$2:$C$679,0)))</f>
        <v/>
      </c>
      <c r="M132" s="8">
        <f>IF(ISNA(MATCH(119,Engine!$C$2:$C$679,0)),"",INDEX('Compliance Database'!$M$2:$M$679,MATCH(119,Engine!$C$2:$C$679,0)))</f>
        <v/>
      </c>
      <c r="N132" s="8">
        <f>IF(ISNA(MATCH(119,Engine!$C$2:$C$679,0)),"",INDEX('Compliance Database'!$N$2:$N$679,MATCH(119,Engine!$C$2:$C$679,0)))</f>
        <v/>
      </c>
      <c r="O132" s="8">
        <f>IF(ISNA(MATCH(119,Engine!$C$2:$C$679,0)),"",INDEX('Compliance Database'!$O$2:$O$679,MATCH(119,Engine!$C$2:$C$679,0)))</f>
        <v/>
      </c>
      <c r="P132">
        <f>IF(ISNA(MATCH(119,Engine!$C$2:$C$679,0)),"",HYPERLINK(INDEX('Compliance Database'!$P$2:$P$679,MATCH(119,Engine!$C$2:$C$679,0)),"Open PDF"))</f>
        <v/>
      </c>
    </row>
    <row r="133">
      <c r="A133">
        <f>IF(ISNA(MATCH(120,Engine!$C$2:$C$679,0)),"",INDEX('Compliance Database'!$A$2:$A$679,MATCH(120,Engine!$C$2:$C$679,0)))</f>
        <v/>
      </c>
      <c r="B133">
        <f>IF(ISNA(MATCH(120,Engine!$C$2:$C$679,0)),"",INDEX('Compliance Database'!$B$2:$B$679,MATCH(120,Engine!$C$2:$C$679,0)))</f>
        <v/>
      </c>
      <c r="C133">
        <f>IF(ISNA(MATCH(120,Engine!$C$2:$C$679,0)),"",INDEX('Compliance Database'!$C$2:$C$679,MATCH(120,Engine!$C$2:$C$679,0)))</f>
        <v/>
      </c>
      <c r="D133" s="8">
        <f>IF(ISNA(MATCH(120,Engine!$C$2:$C$679,0)),"",INDEX('Compliance Database'!$D$2:$D$679,MATCH(120,Engine!$C$2:$C$679,0)))</f>
        <v/>
      </c>
      <c r="E133">
        <f>IF(ISNA(MATCH(120,Engine!$C$2:$C$679,0)),"",INDEX('Compliance Database'!$E$2:$E$679,MATCH(120,Engine!$C$2:$C$679,0)))</f>
        <v/>
      </c>
      <c r="F133">
        <f>IF(ISNA(MATCH(120,Engine!$C$2:$C$679,0)),"",INDEX('Compliance Database'!$F$2:$F$679,MATCH(120,Engine!$C$2:$C$679,0)))</f>
        <v/>
      </c>
      <c r="G133">
        <f>IF(ISNA(MATCH(120,Engine!$C$2:$C$679,0)),"",INDEX('Compliance Database'!$G$2:$G$679,MATCH(120,Engine!$C$2:$C$679,0)))</f>
        <v/>
      </c>
      <c r="H133">
        <f>IF(ISNA(MATCH(120,Engine!$C$2:$C$679,0)),"",INDEX('Compliance Database'!$H$2:$H$679,MATCH(120,Engine!$C$2:$C$679,0)))</f>
        <v/>
      </c>
      <c r="I133" s="8">
        <f>IF(ISNA(MATCH(120,Engine!$C$2:$C$679,0)),"",INDEX('Compliance Database'!$I$2:$I$679,MATCH(120,Engine!$C$2:$C$679,0)))</f>
        <v/>
      </c>
      <c r="J133" s="8">
        <f>IF(ISNA(MATCH(120,Engine!$C$2:$C$679,0)),"",INDEX('Compliance Database'!$J$2:$J$679,MATCH(120,Engine!$C$2:$C$679,0)))</f>
        <v/>
      </c>
      <c r="K133">
        <f>IF(ISNA(MATCH(120,Engine!$C$2:$C$679,0)),"",INDEX('Compliance Database'!$K$2:$K$679,MATCH(120,Engine!$C$2:$C$679,0)))</f>
        <v/>
      </c>
      <c r="L133" s="8">
        <f>IF(ISNA(MATCH(120,Engine!$C$2:$C$679,0)),"",INDEX('Compliance Database'!$L$2:$L$679,MATCH(120,Engine!$C$2:$C$679,0)))</f>
        <v/>
      </c>
      <c r="M133" s="8">
        <f>IF(ISNA(MATCH(120,Engine!$C$2:$C$679,0)),"",INDEX('Compliance Database'!$M$2:$M$679,MATCH(120,Engine!$C$2:$C$679,0)))</f>
        <v/>
      </c>
      <c r="N133" s="8">
        <f>IF(ISNA(MATCH(120,Engine!$C$2:$C$679,0)),"",INDEX('Compliance Database'!$N$2:$N$679,MATCH(120,Engine!$C$2:$C$679,0)))</f>
        <v/>
      </c>
      <c r="O133" s="8">
        <f>IF(ISNA(MATCH(120,Engine!$C$2:$C$679,0)),"",INDEX('Compliance Database'!$O$2:$O$679,MATCH(120,Engine!$C$2:$C$679,0)))</f>
        <v/>
      </c>
      <c r="P133">
        <f>IF(ISNA(MATCH(120,Engine!$C$2:$C$679,0)),"",HYPERLINK(INDEX('Compliance Database'!$P$2:$P$679,MATCH(120,Engine!$C$2:$C$679,0)),"Open PDF"))</f>
        <v/>
      </c>
    </row>
    <row r="134">
      <c r="A134">
        <f>IF(ISNA(MATCH(121,Engine!$C$2:$C$679,0)),"",INDEX('Compliance Database'!$A$2:$A$679,MATCH(121,Engine!$C$2:$C$679,0)))</f>
        <v/>
      </c>
      <c r="B134">
        <f>IF(ISNA(MATCH(121,Engine!$C$2:$C$679,0)),"",INDEX('Compliance Database'!$B$2:$B$679,MATCH(121,Engine!$C$2:$C$679,0)))</f>
        <v/>
      </c>
      <c r="C134">
        <f>IF(ISNA(MATCH(121,Engine!$C$2:$C$679,0)),"",INDEX('Compliance Database'!$C$2:$C$679,MATCH(121,Engine!$C$2:$C$679,0)))</f>
        <v/>
      </c>
      <c r="D134" s="8">
        <f>IF(ISNA(MATCH(121,Engine!$C$2:$C$679,0)),"",INDEX('Compliance Database'!$D$2:$D$679,MATCH(121,Engine!$C$2:$C$679,0)))</f>
        <v/>
      </c>
      <c r="E134">
        <f>IF(ISNA(MATCH(121,Engine!$C$2:$C$679,0)),"",INDEX('Compliance Database'!$E$2:$E$679,MATCH(121,Engine!$C$2:$C$679,0)))</f>
        <v/>
      </c>
      <c r="F134">
        <f>IF(ISNA(MATCH(121,Engine!$C$2:$C$679,0)),"",INDEX('Compliance Database'!$F$2:$F$679,MATCH(121,Engine!$C$2:$C$679,0)))</f>
        <v/>
      </c>
      <c r="G134">
        <f>IF(ISNA(MATCH(121,Engine!$C$2:$C$679,0)),"",INDEX('Compliance Database'!$G$2:$G$679,MATCH(121,Engine!$C$2:$C$679,0)))</f>
        <v/>
      </c>
      <c r="H134">
        <f>IF(ISNA(MATCH(121,Engine!$C$2:$C$679,0)),"",INDEX('Compliance Database'!$H$2:$H$679,MATCH(121,Engine!$C$2:$C$679,0)))</f>
        <v/>
      </c>
      <c r="I134" s="8">
        <f>IF(ISNA(MATCH(121,Engine!$C$2:$C$679,0)),"",INDEX('Compliance Database'!$I$2:$I$679,MATCH(121,Engine!$C$2:$C$679,0)))</f>
        <v/>
      </c>
      <c r="J134" s="8">
        <f>IF(ISNA(MATCH(121,Engine!$C$2:$C$679,0)),"",INDEX('Compliance Database'!$J$2:$J$679,MATCH(121,Engine!$C$2:$C$679,0)))</f>
        <v/>
      </c>
      <c r="K134">
        <f>IF(ISNA(MATCH(121,Engine!$C$2:$C$679,0)),"",INDEX('Compliance Database'!$K$2:$K$679,MATCH(121,Engine!$C$2:$C$679,0)))</f>
        <v/>
      </c>
      <c r="L134" s="8">
        <f>IF(ISNA(MATCH(121,Engine!$C$2:$C$679,0)),"",INDEX('Compliance Database'!$L$2:$L$679,MATCH(121,Engine!$C$2:$C$679,0)))</f>
        <v/>
      </c>
      <c r="M134" s="8">
        <f>IF(ISNA(MATCH(121,Engine!$C$2:$C$679,0)),"",INDEX('Compliance Database'!$M$2:$M$679,MATCH(121,Engine!$C$2:$C$679,0)))</f>
        <v/>
      </c>
      <c r="N134" s="8">
        <f>IF(ISNA(MATCH(121,Engine!$C$2:$C$679,0)),"",INDEX('Compliance Database'!$N$2:$N$679,MATCH(121,Engine!$C$2:$C$679,0)))</f>
        <v/>
      </c>
      <c r="O134" s="8">
        <f>IF(ISNA(MATCH(121,Engine!$C$2:$C$679,0)),"",INDEX('Compliance Database'!$O$2:$O$679,MATCH(121,Engine!$C$2:$C$679,0)))</f>
        <v/>
      </c>
      <c r="P134">
        <f>IF(ISNA(MATCH(121,Engine!$C$2:$C$679,0)),"",HYPERLINK(INDEX('Compliance Database'!$P$2:$P$679,MATCH(121,Engine!$C$2:$C$679,0)),"Open PDF"))</f>
        <v/>
      </c>
    </row>
    <row r="135">
      <c r="A135">
        <f>IF(ISNA(MATCH(122,Engine!$C$2:$C$679,0)),"",INDEX('Compliance Database'!$A$2:$A$679,MATCH(122,Engine!$C$2:$C$679,0)))</f>
        <v/>
      </c>
      <c r="B135">
        <f>IF(ISNA(MATCH(122,Engine!$C$2:$C$679,0)),"",INDEX('Compliance Database'!$B$2:$B$679,MATCH(122,Engine!$C$2:$C$679,0)))</f>
        <v/>
      </c>
      <c r="C135">
        <f>IF(ISNA(MATCH(122,Engine!$C$2:$C$679,0)),"",INDEX('Compliance Database'!$C$2:$C$679,MATCH(122,Engine!$C$2:$C$679,0)))</f>
        <v/>
      </c>
      <c r="D135" s="8">
        <f>IF(ISNA(MATCH(122,Engine!$C$2:$C$679,0)),"",INDEX('Compliance Database'!$D$2:$D$679,MATCH(122,Engine!$C$2:$C$679,0)))</f>
        <v/>
      </c>
      <c r="E135">
        <f>IF(ISNA(MATCH(122,Engine!$C$2:$C$679,0)),"",INDEX('Compliance Database'!$E$2:$E$679,MATCH(122,Engine!$C$2:$C$679,0)))</f>
        <v/>
      </c>
      <c r="F135">
        <f>IF(ISNA(MATCH(122,Engine!$C$2:$C$679,0)),"",INDEX('Compliance Database'!$F$2:$F$679,MATCH(122,Engine!$C$2:$C$679,0)))</f>
        <v/>
      </c>
      <c r="G135">
        <f>IF(ISNA(MATCH(122,Engine!$C$2:$C$679,0)),"",INDEX('Compliance Database'!$G$2:$G$679,MATCH(122,Engine!$C$2:$C$679,0)))</f>
        <v/>
      </c>
      <c r="H135">
        <f>IF(ISNA(MATCH(122,Engine!$C$2:$C$679,0)),"",INDEX('Compliance Database'!$H$2:$H$679,MATCH(122,Engine!$C$2:$C$679,0)))</f>
        <v/>
      </c>
      <c r="I135" s="8">
        <f>IF(ISNA(MATCH(122,Engine!$C$2:$C$679,0)),"",INDEX('Compliance Database'!$I$2:$I$679,MATCH(122,Engine!$C$2:$C$679,0)))</f>
        <v/>
      </c>
      <c r="J135" s="8">
        <f>IF(ISNA(MATCH(122,Engine!$C$2:$C$679,0)),"",INDEX('Compliance Database'!$J$2:$J$679,MATCH(122,Engine!$C$2:$C$679,0)))</f>
        <v/>
      </c>
      <c r="K135">
        <f>IF(ISNA(MATCH(122,Engine!$C$2:$C$679,0)),"",INDEX('Compliance Database'!$K$2:$K$679,MATCH(122,Engine!$C$2:$C$679,0)))</f>
        <v/>
      </c>
      <c r="L135" s="8">
        <f>IF(ISNA(MATCH(122,Engine!$C$2:$C$679,0)),"",INDEX('Compliance Database'!$L$2:$L$679,MATCH(122,Engine!$C$2:$C$679,0)))</f>
        <v/>
      </c>
      <c r="M135" s="8">
        <f>IF(ISNA(MATCH(122,Engine!$C$2:$C$679,0)),"",INDEX('Compliance Database'!$M$2:$M$679,MATCH(122,Engine!$C$2:$C$679,0)))</f>
        <v/>
      </c>
      <c r="N135" s="8">
        <f>IF(ISNA(MATCH(122,Engine!$C$2:$C$679,0)),"",INDEX('Compliance Database'!$N$2:$N$679,MATCH(122,Engine!$C$2:$C$679,0)))</f>
        <v/>
      </c>
      <c r="O135" s="8">
        <f>IF(ISNA(MATCH(122,Engine!$C$2:$C$679,0)),"",INDEX('Compliance Database'!$O$2:$O$679,MATCH(122,Engine!$C$2:$C$679,0)))</f>
        <v/>
      </c>
      <c r="P135">
        <f>IF(ISNA(MATCH(122,Engine!$C$2:$C$679,0)),"",HYPERLINK(INDEX('Compliance Database'!$P$2:$P$679,MATCH(122,Engine!$C$2:$C$679,0)),"Open PDF"))</f>
        <v/>
      </c>
    </row>
    <row r="136">
      <c r="A136">
        <f>IF(ISNA(MATCH(123,Engine!$C$2:$C$679,0)),"",INDEX('Compliance Database'!$A$2:$A$679,MATCH(123,Engine!$C$2:$C$679,0)))</f>
        <v/>
      </c>
      <c r="B136">
        <f>IF(ISNA(MATCH(123,Engine!$C$2:$C$679,0)),"",INDEX('Compliance Database'!$B$2:$B$679,MATCH(123,Engine!$C$2:$C$679,0)))</f>
        <v/>
      </c>
      <c r="C136">
        <f>IF(ISNA(MATCH(123,Engine!$C$2:$C$679,0)),"",INDEX('Compliance Database'!$C$2:$C$679,MATCH(123,Engine!$C$2:$C$679,0)))</f>
        <v/>
      </c>
      <c r="D136" s="8">
        <f>IF(ISNA(MATCH(123,Engine!$C$2:$C$679,0)),"",INDEX('Compliance Database'!$D$2:$D$679,MATCH(123,Engine!$C$2:$C$679,0)))</f>
        <v/>
      </c>
      <c r="E136">
        <f>IF(ISNA(MATCH(123,Engine!$C$2:$C$679,0)),"",INDEX('Compliance Database'!$E$2:$E$679,MATCH(123,Engine!$C$2:$C$679,0)))</f>
        <v/>
      </c>
      <c r="F136">
        <f>IF(ISNA(MATCH(123,Engine!$C$2:$C$679,0)),"",INDEX('Compliance Database'!$F$2:$F$679,MATCH(123,Engine!$C$2:$C$679,0)))</f>
        <v/>
      </c>
      <c r="G136">
        <f>IF(ISNA(MATCH(123,Engine!$C$2:$C$679,0)),"",INDEX('Compliance Database'!$G$2:$G$679,MATCH(123,Engine!$C$2:$C$679,0)))</f>
        <v/>
      </c>
      <c r="H136">
        <f>IF(ISNA(MATCH(123,Engine!$C$2:$C$679,0)),"",INDEX('Compliance Database'!$H$2:$H$679,MATCH(123,Engine!$C$2:$C$679,0)))</f>
        <v/>
      </c>
      <c r="I136" s="8">
        <f>IF(ISNA(MATCH(123,Engine!$C$2:$C$679,0)),"",INDEX('Compliance Database'!$I$2:$I$679,MATCH(123,Engine!$C$2:$C$679,0)))</f>
        <v/>
      </c>
      <c r="J136" s="8">
        <f>IF(ISNA(MATCH(123,Engine!$C$2:$C$679,0)),"",INDEX('Compliance Database'!$J$2:$J$679,MATCH(123,Engine!$C$2:$C$679,0)))</f>
        <v/>
      </c>
      <c r="K136">
        <f>IF(ISNA(MATCH(123,Engine!$C$2:$C$679,0)),"",INDEX('Compliance Database'!$K$2:$K$679,MATCH(123,Engine!$C$2:$C$679,0)))</f>
        <v/>
      </c>
      <c r="L136" s="8">
        <f>IF(ISNA(MATCH(123,Engine!$C$2:$C$679,0)),"",INDEX('Compliance Database'!$L$2:$L$679,MATCH(123,Engine!$C$2:$C$679,0)))</f>
        <v/>
      </c>
      <c r="M136" s="8">
        <f>IF(ISNA(MATCH(123,Engine!$C$2:$C$679,0)),"",INDEX('Compliance Database'!$M$2:$M$679,MATCH(123,Engine!$C$2:$C$679,0)))</f>
        <v/>
      </c>
      <c r="N136" s="8">
        <f>IF(ISNA(MATCH(123,Engine!$C$2:$C$679,0)),"",INDEX('Compliance Database'!$N$2:$N$679,MATCH(123,Engine!$C$2:$C$679,0)))</f>
        <v/>
      </c>
      <c r="O136" s="8">
        <f>IF(ISNA(MATCH(123,Engine!$C$2:$C$679,0)),"",INDEX('Compliance Database'!$O$2:$O$679,MATCH(123,Engine!$C$2:$C$679,0)))</f>
        <v/>
      </c>
      <c r="P136">
        <f>IF(ISNA(MATCH(123,Engine!$C$2:$C$679,0)),"",HYPERLINK(INDEX('Compliance Database'!$P$2:$P$679,MATCH(123,Engine!$C$2:$C$679,0)),"Open PDF"))</f>
        <v/>
      </c>
    </row>
    <row r="137">
      <c r="A137">
        <f>IF(ISNA(MATCH(124,Engine!$C$2:$C$679,0)),"",INDEX('Compliance Database'!$A$2:$A$679,MATCH(124,Engine!$C$2:$C$679,0)))</f>
        <v/>
      </c>
      <c r="B137">
        <f>IF(ISNA(MATCH(124,Engine!$C$2:$C$679,0)),"",INDEX('Compliance Database'!$B$2:$B$679,MATCH(124,Engine!$C$2:$C$679,0)))</f>
        <v/>
      </c>
      <c r="C137">
        <f>IF(ISNA(MATCH(124,Engine!$C$2:$C$679,0)),"",INDEX('Compliance Database'!$C$2:$C$679,MATCH(124,Engine!$C$2:$C$679,0)))</f>
        <v/>
      </c>
      <c r="D137" s="8">
        <f>IF(ISNA(MATCH(124,Engine!$C$2:$C$679,0)),"",INDEX('Compliance Database'!$D$2:$D$679,MATCH(124,Engine!$C$2:$C$679,0)))</f>
        <v/>
      </c>
      <c r="E137">
        <f>IF(ISNA(MATCH(124,Engine!$C$2:$C$679,0)),"",INDEX('Compliance Database'!$E$2:$E$679,MATCH(124,Engine!$C$2:$C$679,0)))</f>
        <v/>
      </c>
      <c r="F137">
        <f>IF(ISNA(MATCH(124,Engine!$C$2:$C$679,0)),"",INDEX('Compliance Database'!$F$2:$F$679,MATCH(124,Engine!$C$2:$C$679,0)))</f>
        <v/>
      </c>
      <c r="G137">
        <f>IF(ISNA(MATCH(124,Engine!$C$2:$C$679,0)),"",INDEX('Compliance Database'!$G$2:$G$679,MATCH(124,Engine!$C$2:$C$679,0)))</f>
        <v/>
      </c>
      <c r="H137">
        <f>IF(ISNA(MATCH(124,Engine!$C$2:$C$679,0)),"",INDEX('Compliance Database'!$H$2:$H$679,MATCH(124,Engine!$C$2:$C$679,0)))</f>
        <v/>
      </c>
      <c r="I137" s="8">
        <f>IF(ISNA(MATCH(124,Engine!$C$2:$C$679,0)),"",INDEX('Compliance Database'!$I$2:$I$679,MATCH(124,Engine!$C$2:$C$679,0)))</f>
        <v/>
      </c>
      <c r="J137" s="8">
        <f>IF(ISNA(MATCH(124,Engine!$C$2:$C$679,0)),"",INDEX('Compliance Database'!$J$2:$J$679,MATCH(124,Engine!$C$2:$C$679,0)))</f>
        <v/>
      </c>
      <c r="K137">
        <f>IF(ISNA(MATCH(124,Engine!$C$2:$C$679,0)),"",INDEX('Compliance Database'!$K$2:$K$679,MATCH(124,Engine!$C$2:$C$679,0)))</f>
        <v/>
      </c>
      <c r="L137" s="8">
        <f>IF(ISNA(MATCH(124,Engine!$C$2:$C$679,0)),"",INDEX('Compliance Database'!$L$2:$L$679,MATCH(124,Engine!$C$2:$C$679,0)))</f>
        <v/>
      </c>
      <c r="M137" s="8">
        <f>IF(ISNA(MATCH(124,Engine!$C$2:$C$679,0)),"",INDEX('Compliance Database'!$M$2:$M$679,MATCH(124,Engine!$C$2:$C$679,0)))</f>
        <v/>
      </c>
      <c r="N137" s="8">
        <f>IF(ISNA(MATCH(124,Engine!$C$2:$C$679,0)),"",INDEX('Compliance Database'!$N$2:$N$679,MATCH(124,Engine!$C$2:$C$679,0)))</f>
        <v/>
      </c>
      <c r="O137" s="8">
        <f>IF(ISNA(MATCH(124,Engine!$C$2:$C$679,0)),"",INDEX('Compliance Database'!$O$2:$O$679,MATCH(124,Engine!$C$2:$C$679,0)))</f>
        <v/>
      </c>
      <c r="P137">
        <f>IF(ISNA(MATCH(124,Engine!$C$2:$C$679,0)),"",HYPERLINK(INDEX('Compliance Database'!$P$2:$P$679,MATCH(124,Engine!$C$2:$C$679,0)),"Open PDF"))</f>
        <v/>
      </c>
    </row>
    <row r="138">
      <c r="A138">
        <f>IF(ISNA(MATCH(125,Engine!$C$2:$C$679,0)),"",INDEX('Compliance Database'!$A$2:$A$679,MATCH(125,Engine!$C$2:$C$679,0)))</f>
        <v/>
      </c>
      <c r="B138">
        <f>IF(ISNA(MATCH(125,Engine!$C$2:$C$679,0)),"",INDEX('Compliance Database'!$B$2:$B$679,MATCH(125,Engine!$C$2:$C$679,0)))</f>
        <v/>
      </c>
      <c r="C138">
        <f>IF(ISNA(MATCH(125,Engine!$C$2:$C$679,0)),"",INDEX('Compliance Database'!$C$2:$C$679,MATCH(125,Engine!$C$2:$C$679,0)))</f>
        <v/>
      </c>
      <c r="D138" s="8">
        <f>IF(ISNA(MATCH(125,Engine!$C$2:$C$679,0)),"",INDEX('Compliance Database'!$D$2:$D$679,MATCH(125,Engine!$C$2:$C$679,0)))</f>
        <v/>
      </c>
      <c r="E138">
        <f>IF(ISNA(MATCH(125,Engine!$C$2:$C$679,0)),"",INDEX('Compliance Database'!$E$2:$E$679,MATCH(125,Engine!$C$2:$C$679,0)))</f>
        <v/>
      </c>
      <c r="F138">
        <f>IF(ISNA(MATCH(125,Engine!$C$2:$C$679,0)),"",INDEX('Compliance Database'!$F$2:$F$679,MATCH(125,Engine!$C$2:$C$679,0)))</f>
        <v/>
      </c>
      <c r="G138">
        <f>IF(ISNA(MATCH(125,Engine!$C$2:$C$679,0)),"",INDEX('Compliance Database'!$G$2:$G$679,MATCH(125,Engine!$C$2:$C$679,0)))</f>
        <v/>
      </c>
      <c r="H138">
        <f>IF(ISNA(MATCH(125,Engine!$C$2:$C$679,0)),"",INDEX('Compliance Database'!$H$2:$H$679,MATCH(125,Engine!$C$2:$C$679,0)))</f>
        <v/>
      </c>
      <c r="I138" s="8">
        <f>IF(ISNA(MATCH(125,Engine!$C$2:$C$679,0)),"",INDEX('Compliance Database'!$I$2:$I$679,MATCH(125,Engine!$C$2:$C$679,0)))</f>
        <v/>
      </c>
      <c r="J138" s="8">
        <f>IF(ISNA(MATCH(125,Engine!$C$2:$C$679,0)),"",INDEX('Compliance Database'!$J$2:$J$679,MATCH(125,Engine!$C$2:$C$679,0)))</f>
        <v/>
      </c>
      <c r="K138">
        <f>IF(ISNA(MATCH(125,Engine!$C$2:$C$679,0)),"",INDEX('Compliance Database'!$K$2:$K$679,MATCH(125,Engine!$C$2:$C$679,0)))</f>
        <v/>
      </c>
      <c r="L138" s="8">
        <f>IF(ISNA(MATCH(125,Engine!$C$2:$C$679,0)),"",INDEX('Compliance Database'!$L$2:$L$679,MATCH(125,Engine!$C$2:$C$679,0)))</f>
        <v/>
      </c>
      <c r="M138" s="8">
        <f>IF(ISNA(MATCH(125,Engine!$C$2:$C$679,0)),"",INDEX('Compliance Database'!$M$2:$M$679,MATCH(125,Engine!$C$2:$C$679,0)))</f>
        <v/>
      </c>
      <c r="N138" s="8">
        <f>IF(ISNA(MATCH(125,Engine!$C$2:$C$679,0)),"",INDEX('Compliance Database'!$N$2:$N$679,MATCH(125,Engine!$C$2:$C$679,0)))</f>
        <v/>
      </c>
      <c r="O138" s="8">
        <f>IF(ISNA(MATCH(125,Engine!$C$2:$C$679,0)),"",INDEX('Compliance Database'!$O$2:$O$679,MATCH(125,Engine!$C$2:$C$679,0)))</f>
        <v/>
      </c>
      <c r="P138">
        <f>IF(ISNA(MATCH(125,Engine!$C$2:$C$679,0)),"",HYPERLINK(INDEX('Compliance Database'!$P$2:$P$679,MATCH(125,Engine!$C$2:$C$679,0)),"Open PDF"))</f>
        <v/>
      </c>
    </row>
    <row r="139">
      <c r="A139">
        <f>IF(ISNA(MATCH(126,Engine!$C$2:$C$679,0)),"",INDEX('Compliance Database'!$A$2:$A$679,MATCH(126,Engine!$C$2:$C$679,0)))</f>
        <v/>
      </c>
      <c r="B139">
        <f>IF(ISNA(MATCH(126,Engine!$C$2:$C$679,0)),"",INDEX('Compliance Database'!$B$2:$B$679,MATCH(126,Engine!$C$2:$C$679,0)))</f>
        <v/>
      </c>
      <c r="C139">
        <f>IF(ISNA(MATCH(126,Engine!$C$2:$C$679,0)),"",INDEX('Compliance Database'!$C$2:$C$679,MATCH(126,Engine!$C$2:$C$679,0)))</f>
        <v/>
      </c>
      <c r="D139" s="8">
        <f>IF(ISNA(MATCH(126,Engine!$C$2:$C$679,0)),"",INDEX('Compliance Database'!$D$2:$D$679,MATCH(126,Engine!$C$2:$C$679,0)))</f>
        <v/>
      </c>
      <c r="E139">
        <f>IF(ISNA(MATCH(126,Engine!$C$2:$C$679,0)),"",INDEX('Compliance Database'!$E$2:$E$679,MATCH(126,Engine!$C$2:$C$679,0)))</f>
        <v/>
      </c>
      <c r="F139">
        <f>IF(ISNA(MATCH(126,Engine!$C$2:$C$679,0)),"",INDEX('Compliance Database'!$F$2:$F$679,MATCH(126,Engine!$C$2:$C$679,0)))</f>
        <v/>
      </c>
      <c r="G139">
        <f>IF(ISNA(MATCH(126,Engine!$C$2:$C$679,0)),"",INDEX('Compliance Database'!$G$2:$G$679,MATCH(126,Engine!$C$2:$C$679,0)))</f>
        <v/>
      </c>
      <c r="H139">
        <f>IF(ISNA(MATCH(126,Engine!$C$2:$C$679,0)),"",INDEX('Compliance Database'!$H$2:$H$679,MATCH(126,Engine!$C$2:$C$679,0)))</f>
        <v/>
      </c>
      <c r="I139" s="8">
        <f>IF(ISNA(MATCH(126,Engine!$C$2:$C$679,0)),"",INDEX('Compliance Database'!$I$2:$I$679,MATCH(126,Engine!$C$2:$C$679,0)))</f>
        <v/>
      </c>
      <c r="J139" s="8">
        <f>IF(ISNA(MATCH(126,Engine!$C$2:$C$679,0)),"",INDEX('Compliance Database'!$J$2:$J$679,MATCH(126,Engine!$C$2:$C$679,0)))</f>
        <v/>
      </c>
      <c r="K139">
        <f>IF(ISNA(MATCH(126,Engine!$C$2:$C$679,0)),"",INDEX('Compliance Database'!$K$2:$K$679,MATCH(126,Engine!$C$2:$C$679,0)))</f>
        <v/>
      </c>
      <c r="L139" s="8">
        <f>IF(ISNA(MATCH(126,Engine!$C$2:$C$679,0)),"",INDEX('Compliance Database'!$L$2:$L$679,MATCH(126,Engine!$C$2:$C$679,0)))</f>
        <v/>
      </c>
      <c r="M139" s="8">
        <f>IF(ISNA(MATCH(126,Engine!$C$2:$C$679,0)),"",INDEX('Compliance Database'!$M$2:$M$679,MATCH(126,Engine!$C$2:$C$679,0)))</f>
        <v/>
      </c>
      <c r="N139" s="8">
        <f>IF(ISNA(MATCH(126,Engine!$C$2:$C$679,0)),"",INDEX('Compliance Database'!$N$2:$N$679,MATCH(126,Engine!$C$2:$C$679,0)))</f>
        <v/>
      </c>
      <c r="O139" s="8">
        <f>IF(ISNA(MATCH(126,Engine!$C$2:$C$679,0)),"",INDEX('Compliance Database'!$O$2:$O$679,MATCH(126,Engine!$C$2:$C$679,0)))</f>
        <v/>
      </c>
      <c r="P139">
        <f>IF(ISNA(MATCH(126,Engine!$C$2:$C$679,0)),"",HYPERLINK(INDEX('Compliance Database'!$P$2:$P$679,MATCH(126,Engine!$C$2:$C$679,0)),"Open PDF"))</f>
        <v/>
      </c>
    </row>
    <row r="140">
      <c r="A140">
        <f>IF(ISNA(MATCH(127,Engine!$C$2:$C$679,0)),"",INDEX('Compliance Database'!$A$2:$A$679,MATCH(127,Engine!$C$2:$C$679,0)))</f>
        <v/>
      </c>
      <c r="B140">
        <f>IF(ISNA(MATCH(127,Engine!$C$2:$C$679,0)),"",INDEX('Compliance Database'!$B$2:$B$679,MATCH(127,Engine!$C$2:$C$679,0)))</f>
        <v/>
      </c>
      <c r="C140">
        <f>IF(ISNA(MATCH(127,Engine!$C$2:$C$679,0)),"",INDEX('Compliance Database'!$C$2:$C$679,MATCH(127,Engine!$C$2:$C$679,0)))</f>
        <v/>
      </c>
      <c r="D140" s="8">
        <f>IF(ISNA(MATCH(127,Engine!$C$2:$C$679,0)),"",INDEX('Compliance Database'!$D$2:$D$679,MATCH(127,Engine!$C$2:$C$679,0)))</f>
        <v/>
      </c>
      <c r="E140">
        <f>IF(ISNA(MATCH(127,Engine!$C$2:$C$679,0)),"",INDEX('Compliance Database'!$E$2:$E$679,MATCH(127,Engine!$C$2:$C$679,0)))</f>
        <v/>
      </c>
      <c r="F140">
        <f>IF(ISNA(MATCH(127,Engine!$C$2:$C$679,0)),"",INDEX('Compliance Database'!$F$2:$F$679,MATCH(127,Engine!$C$2:$C$679,0)))</f>
        <v/>
      </c>
      <c r="G140">
        <f>IF(ISNA(MATCH(127,Engine!$C$2:$C$679,0)),"",INDEX('Compliance Database'!$G$2:$G$679,MATCH(127,Engine!$C$2:$C$679,0)))</f>
        <v/>
      </c>
      <c r="H140">
        <f>IF(ISNA(MATCH(127,Engine!$C$2:$C$679,0)),"",INDEX('Compliance Database'!$H$2:$H$679,MATCH(127,Engine!$C$2:$C$679,0)))</f>
        <v/>
      </c>
      <c r="I140" s="8">
        <f>IF(ISNA(MATCH(127,Engine!$C$2:$C$679,0)),"",INDEX('Compliance Database'!$I$2:$I$679,MATCH(127,Engine!$C$2:$C$679,0)))</f>
        <v/>
      </c>
      <c r="J140" s="8">
        <f>IF(ISNA(MATCH(127,Engine!$C$2:$C$679,0)),"",INDEX('Compliance Database'!$J$2:$J$679,MATCH(127,Engine!$C$2:$C$679,0)))</f>
        <v/>
      </c>
      <c r="K140">
        <f>IF(ISNA(MATCH(127,Engine!$C$2:$C$679,0)),"",INDEX('Compliance Database'!$K$2:$K$679,MATCH(127,Engine!$C$2:$C$679,0)))</f>
        <v/>
      </c>
      <c r="L140" s="8">
        <f>IF(ISNA(MATCH(127,Engine!$C$2:$C$679,0)),"",INDEX('Compliance Database'!$L$2:$L$679,MATCH(127,Engine!$C$2:$C$679,0)))</f>
        <v/>
      </c>
      <c r="M140" s="8">
        <f>IF(ISNA(MATCH(127,Engine!$C$2:$C$679,0)),"",INDEX('Compliance Database'!$M$2:$M$679,MATCH(127,Engine!$C$2:$C$679,0)))</f>
        <v/>
      </c>
      <c r="N140" s="8">
        <f>IF(ISNA(MATCH(127,Engine!$C$2:$C$679,0)),"",INDEX('Compliance Database'!$N$2:$N$679,MATCH(127,Engine!$C$2:$C$679,0)))</f>
        <v/>
      </c>
      <c r="O140" s="8">
        <f>IF(ISNA(MATCH(127,Engine!$C$2:$C$679,0)),"",INDEX('Compliance Database'!$O$2:$O$679,MATCH(127,Engine!$C$2:$C$679,0)))</f>
        <v/>
      </c>
      <c r="P140">
        <f>IF(ISNA(MATCH(127,Engine!$C$2:$C$679,0)),"",HYPERLINK(INDEX('Compliance Database'!$P$2:$P$679,MATCH(127,Engine!$C$2:$C$679,0)),"Open PDF"))</f>
        <v/>
      </c>
    </row>
    <row r="141">
      <c r="A141">
        <f>IF(ISNA(MATCH(128,Engine!$C$2:$C$679,0)),"",INDEX('Compliance Database'!$A$2:$A$679,MATCH(128,Engine!$C$2:$C$679,0)))</f>
        <v/>
      </c>
      <c r="B141">
        <f>IF(ISNA(MATCH(128,Engine!$C$2:$C$679,0)),"",INDEX('Compliance Database'!$B$2:$B$679,MATCH(128,Engine!$C$2:$C$679,0)))</f>
        <v/>
      </c>
      <c r="C141">
        <f>IF(ISNA(MATCH(128,Engine!$C$2:$C$679,0)),"",INDEX('Compliance Database'!$C$2:$C$679,MATCH(128,Engine!$C$2:$C$679,0)))</f>
        <v/>
      </c>
      <c r="D141" s="8">
        <f>IF(ISNA(MATCH(128,Engine!$C$2:$C$679,0)),"",INDEX('Compliance Database'!$D$2:$D$679,MATCH(128,Engine!$C$2:$C$679,0)))</f>
        <v/>
      </c>
      <c r="E141">
        <f>IF(ISNA(MATCH(128,Engine!$C$2:$C$679,0)),"",INDEX('Compliance Database'!$E$2:$E$679,MATCH(128,Engine!$C$2:$C$679,0)))</f>
        <v/>
      </c>
      <c r="F141">
        <f>IF(ISNA(MATCH(128,Engine!$C$2:$C$679,0)),"",INDEX('Compliance Database'!$F$2:$F$679,MATCH(128,Engine!$C$2:$C$679,0)))</f>
        <v/>
      </c>
      <c r="G141">
        <f>IF(ISNA(MATCH(128,Engine!$C$2:$C$679,0)),"",INDEX('Compliance Database'!$G$2:$G$679,MATCH(128,Engine!$C$2:$C$679,0)))</f>
        <v/>
      </c>
      <c r="H141">
        <f>IF(ISNA(MATCH(128,Engine!$C$2:$C$679,0)),"",INDEX('Compliance Database'!$H$2:$H$679,MATCH(128,Engine!$C$2:$C$679,0)))</f>
        <v/>
      </c>
      <c r="I141" s="8">
        <f>IF(ISNA(MATCH(128,Engine!$C$2:$C$679,0)),"",INDEX('Compliance Database'!$I$2:$I$679,MATCH(128,Engine!$C$2:$C$679,0)))</f>
        <v/>
      </c>
      <c r="J141" s="8">
        <f>IF(ISNA(MATCH(128,Engine!$C$2:$C$679,0)),"",INDEX('Compliance Database'!$J$2:$J$679,MATCH(128,Engine!$C$2:$C$679,0)))</f>
        <v/>
      </c>
      <c r="K141">
        <f>IF(ISNA(MATCH(128,Engine!$C$2:$C$679,0)),"",INDEX('Compliance Database'!$K$2:$K$679,MATCH(128,Engine!$C$2:$C$679,0)))</f>
        <v/>
      </c>
      <c r="L141" s="8">
        <f>IF(ISNA(MATCH(128,Engine!$C$2:$C$679,0)),"",INDEX('Compliance Database'!$L$2:$L$679,MATCH(128,Engine!$C$2:$C$679,0)))</f>
        <v/>
      </c>
      <c r="M141" s="8">
        <f>IF(ISNA(MATCH(128,Engine!$C$2:$C$679,0)),"",INDEX('Compliance Database'!$M$2:$M$679,MATCH(128,Engine!$C$2:$C$679,0)))</f>
        <v/>
      </c>
      <c r="N141" s="8">
        <f>IF(ISNA(MATCH(128,Engine!$C$2:$C$679,0)),"",INDEX('Compliance Database'!$N$2:$N$679,MATCH(128,Engine!$C$2:$C$679,0)))</f>
        <v/>
      </c>
      <c r="O141" s="8">
        <f>IF(ISNA(MATCH(128,Engine!$C$2:$C$679,0)),"",INDEX('Compliance Database'!$O$2:$O$679,MATCH(128,Engine!$C$2:$C$679,0)))</f>
        <v/>
      </c>
      <c r="P141">
        <f>IF(ISNA(MATCH(128,Engine!$C$2:$C$679,0)),"",HYPERLINK(INDEX('Compliance Database'!$P$2:$P$679,MATCH(128,Engine!$C$2:$C$679,0)),"Open PDF"))</f>
        <v/>
      </c>
    </row>
    <row r="142">
      <c r="A142">
        <f>IF(ISNA(MATCH(129,Engine!$C$2:$C$679,0)),"",INDEX('Compliance Database'!$A$2:$A$679,MATCH(129,Engine!$C$2:$C$679,0)))</f>
        <v/>
      </c>
      <c r="B142">
        <f>IF(ISNA(MATCH(129,Engine!$C$2:$C$679,0)),"",INDEX('Compliance Database'!$B$2:$B$679,MATCH(129,Engine!$C$2:$C$679,0)))</f>
        <v/>
      </c>
      <c r="C142">
        <f>IF(ISNA(MATCH(129,Engine!$C$2:$C$679,0)),"",INDEX('Compliance Database'!$C$2:$C$679,MATCH(129,Engine!$C$2:$C$679,0)))</f>
        <v/>
      </c>
      <c r="D142" s="8">
        <f>IF(ISNA(MATCH(129,Engine!$C$2:$C$679,0)),"",INDEX('Compliance Database'!$D$2:$D$679,MATCH(129,Engine!$C$2:$C$679,0)))</f>
        <v/>
      </c>
      <c r="E142">
        <f>IF(ISNA(MATCH(129,Engine!$C$2:$C$679,0)),"",INDEX('Compliance Database'!$E$2:$E$679,MATCH(129,Engine!$C$2:$C$679,0)))</f>
        <v/>
      </c>
      <c r="F142">
        <f>IF(ISNA(MATCH(129,Engine!$C$2:$C$679,0)),"",INDEX('Compliance Database'!$F$2:$F$679,MATCH(129,Engine!$C$2:$C$679,0)))</f>
        <v/>
      </c>
      <c r="G142">
        <f>IF(ISNA(MATCH(129,Engine!$C$2:$C$679,0)),"",INDEX('Compliance Database'!$G$2:$G$679,MATCH(129,Engine!$C$2:$C$679,0)))</f>
        <v/>
      </c>
      <c r="H142">
        <f>IF(ISNA(MATCH(129,Engine!$C$2:$C$679,0)),"",INDEX('Compliance Database'!$H$2:$H$679,MATCH(129,Engine!$C$2:$C$679,0)))</f>
        <v/>
      </c>
      <c r="I142" s="8">
        <f>IF(ISNA(MATCH(129,Engine!$C$2:$C$679,0)),"",INDEX('Compliance Database'!$I$2:$I$679,MATCH(129,Engine!$C$2:$C$679,0)))</f>
        <v/>
      </c>
      <c r="J142" s="8">
        <f>IF(ISNA(MATCH(129,Engine!$C$2:$C$679,0)),"",INDEX('Compliance Database'!$J$2:$J$679,MATCH(129,Engine!$C$2:$C$679,0)))</f>
        <v/>
      </c>
      <c r="K142">
        <f>IF(ISNA(MATCH(129,Engine!$C$2:$C$679,0)),"",INDEX('Compliance Database'!$K$2:$K$679,MATCH(129,Engine!$C$2:$C$679,0)))</f>
        <v/>
      </c>
      <c r="L142" s="8">
        <f>IF(ISNA(MATCH(129,Engine!$C$2:$C$679,0)),"",INDEX('Compliance Database'!$L$2:$L$679,MATCH(129,Engine!$C$2:$C$679,0)))</f>
        <v/>
      </c>
      <c r="M142" s="8">
        <f>IF(ISNA(MATCH(129,Engine!$C$2:$C$679,0)),"",INDEX('Compliance Database'!$M$2:$M$679,MATCH(129,Engine!$C$2:$C$679,0)))</f>
        <v/>
      </c>
      <c r="N142" s="8">
        <f>IF(ISNA(MATCH(129,Engine!$C$2:$C$679,0)),"",INDEX('Compliance Database'!$N$2:$N$679,MATCH(129,Engine!$C$2:$C$679,0)))</f>
        <v/>
      </c>
      <c r="O142" s="8">
        <f>IF(ISNA(MATCH(129,Engine!$C$2:$C$679,0)),"",INDEX('Compliance Database'!$O$2:$O$679,MATCH(129,Engine!$C$2:$C$679,0)))</f>
        <v/>
      </c>
      <c r="P142">
        <f>IF(ISNA(MATCH(129,Engine!$C$2:$C$679,0)),"",HYPERLINK(INDEX('Compliance Database'!$P$2:$P$679,MATCH(129,Engine!$C$2:$C$679,0)),"Open PDF"))</f>
        <v/>
      </c>
    </row>
    <row r="143">
      <c r="A143">
        <f>IF(ISNA(MATCH(130,Engine!$C$2:$C$679,0)),"",INDEX('Compliance Database'!$A$2:$A$679,MATCH(130,Engine!$C$2:$C$679,0)))</f>
        <v/>
      </c>
      <c r="B143">
        <f>IF(ISNA(MATCH(130,Engine!$C$2:$C$679,0)),"",INDEX('Compliance Database'!$B$2:$B$679,MATCH(130,Engine!$C$2:$C$679,0)))</f>
        <v/>
      </c>
      <c r="C143">
        <f>IF(ISNA(MATCH(130,Engine!$C$2:$C$679,0)),"",INDEX('Compliance Database'!$C$2:$C$679,MATCH(130,Engine!$C$2:$C$679,0)))</f>
        <v/>
      </c>
      <c r="D143" s="8">
        <f>IF(ISNA(MATCH(130,Engine!$C$2:$C$679,0)),"",INDEX('Compliance Database'!$D$2:$D$679,MATCH(130,Engine!$C$2:$C$679,0)))</f>
        <v/>
      </c>
      <c r="E143">
        <f>IF(ISNA(MATCH(130,Engine!$C$2:$C$679,0)),"",INDEX('Compliance Database'!$E$2:$E$679,MATCH(130,Engine!$C$2:$C$679,0)))</f>
        <v/>
      </c>
      <c r="F143">
        <f>IF(ISNA(MATCH(130,Engine!$C$2:$C$679,0)),"",INDEX('Compliance Database'!$F$2:$F$679,MATCH(130,Engine!$C$2:$C$679,0)))</f>
        <v/>
      </c>
      <c r="G143">
        <f>IF(ISNA(MATCH(130,Engine!$C$2:$C$679,0)),"",INDEX('Compliance Database'!$G$2:$G$679,MATCH(130,Engine!$C$2:$C$679,0)))</f>
        <v/>
      </c>
      <c r="H143">
        <f>IF(ISNA(MATCH(130,Engine!$C$2:$C$679,0)),"",INDEX('Compliance Database'!$H$2:$H$679,MATCH(130,Engine!$C$2:$C$679,0)))</f>
        <v/>
      </c>
      <c r="I143" s="8">
        <f>IF(ISNA(MATCH(130,Engine!$C$2:$C$679,0)),"",INDEX('Compliance Database'!$I$2:$I$679,MATCH(130,Engine!$C$2:$C$679,0)))</f>
        <v/>
      </c>
      <c r="J143" s="8">
        <f>IF(ISNA(MATCH(130,Engine!$C$2:$C$679,0)),"",INDEX('Compliance Database'!$J$2:$J$679,MATCH(130,Engine!$C$2:$C$679,0)))</f>
        <v/>
      </c>
      <c r="K143">
        <f>IF(ISNA(MATCH(130,Engine!$C$2:$C$679,0)),"",INDEX('Compliance Database'!$K$2:$K$679,MATCH(130,Engine!$C$2:$C$679,0)))</f>
        <v/>
      </c>
      <c r="L143" s="8">
        <f>IF(ISNA(MATCH(130,Engine!$C$2:$C$679,0)),"",INDEX('Compliance Database'!$L$2:$L$679,MATCH(130,Engine!$C$2:$C$679,0)))</f>
        <v/>
      </c>
      <c r="M143" s="8">
        <f>IF(ISNA(MATCH(130,Engine!$C$2:$C$679,0)),"",INDEX('Compliance Database'!$M$2:$M$679,MATCH(130,Engine!$C$2:$C$679,0)))</f>
        <v/>
      </c>
      <c r="N143" s="8">
        <f>IF(ISNA(MATCH(130,Engine!$C$2:$C$679,0)),"",INDEX('Compliance Database'!$N$2:$N$679,MATCH(130,Engine!$C$2:$C$679,0)))</f>
        <v/>
      </c>
      <c r="O143" s="8">
        <f>IF(ISNA(MATCH(130,Engine!$C$2:$C$679,0)),"",INDEX('Compliance Database'!$O$2:$O$679,MATCH(130,Engine!$C$2:$C$679,0)))</f>
        <v/>
      </c>
      <c r="P143">
        <f>IF(ISNA(MATCH(130,Engine!$C$2:$C$679,0)),"",HYPERLINK(INDEX('Compliance Database'!$P$2:$P$679,MATCH(130,Engine!$C$2:$C$679,0)),"Open PDF"))</f>
        <v/>
      </c>
    </row>
    <row r="144">
      <c r="A144">
        <f>IF(ISNA(MATCH(131,Engine!$C$2:$C$679,0)),"",INDEX('Compliance Database'!$A$2:$A$679,MATCH(131,Engine!$C$2:$C$679,0)))</f>
        <v/>
      </c>
      <c r="B144">
        <f>IF(ISNA(MATCH(131,Engine!$C$2:$C$679,0)),"",INDEX('Compliance Database'!$B$2:$B$679,MATCH(131,Engine!$C$2:$C$679,0)))</f>
        <v/>
      </c>
      <c r="C144">
        <f>IF(ISNA(MATCH(131,Engine!$C$2:$C$679,0)),"",INDEX('Compliance Database'!$C$2:$C$679,MATCH(131,Engine!$C$2:$C$679,0)))</f>
        <v/>
      </c>
      <c r="D144" s="8">
        <f>IF(ISNA(MATCH(131,Engine!$C$2:$C$679,0)),"",INDEX('Compliance Database'!$D$2:$D$679,MATCH(131,Engine!$C$2:$C$679,0)))</f>
        <v/>
      </c>
      <c r="E144">
        <f>IF(ISNA(MATCH(131,Engine!$C$2:$C$679,0)),"",INDEX('Compliance Database'!$E$2:$E$679,MATCH(131,Engine!$C$2:$C$679,0)))</f>
        <v/>
      </c>
      <c r="F144">
        <f>IF(ISNA(MATCH(131,Engine!$C$2:$C$679,0)),"",INDEX('Compliance Database'!$F$2:$F$679,MATCH(131,Engine!$C$2:$C$679,0)))</f>
        <v/>
      </c>
      <c r="G144">
        <f>IF(ISNA(MATCH(131,Engine!$C$2:$C$679,0)),"",INDEX('Compliance Database'!$G$2:$G$679,MATCH(131,Engine!$C$2:$C$679,0)))</f>
        <v/>
      </c>
      <c r="H144">
        <f>IF(ISNA(MATCH(131,Engine!$C$2:$C$679,0)),"",INDEX('Compliance Database'!$H$2:$H$679,MATCH(131,Engine!$C$2:$C$679,0)))</f>
        <v/>
      </c>
      <c r="I144" s="8">
        <f>IF(ISNA(MATCH(131,Engine!$C$2:$C$679,0)),"",INDEX('Compliance Database'!$I$2:$I$679,MATCH(131,Engine!$C$2:$C$679,0)))</f>
        <v/>
      </c>
      <c r="J144" s="8">
        <f>IF(ISNA(MATCH(131,Engine!$C$2:$C$679,0)),"",INDEX('Compliance Database'!$J$2:$J$679,MATCH(131,Engine!$C$2:$C$679,0)))</f>
        <v/>
      </c>
      <c r="K144">
        <f>IF(ISNA(MATCH(131,Engine!$C$2:$C$679,0)),"",INDEX('Compliance Database'!$K$2:$K$679,MATCH(131,Engine!$C$2:$C$679,0)))</f>
        <v/>
      </c>
      <c r="L144" s="8">
        <f>IF(ISNA(MATCH(131,Engine!$C$2:$C$679,0)),"",INDEX('Compliance Database'!$L$2:$L$679,MATCH(131,Engine!$C$2:$C$679,0)))</f>
        <v/>
      </c>
      <c r="M144" s="8">
        <f>IF(ISNA(MATCH(131,Engine!$C$2:$C$679,0)),"",INDEX('Compliance Database'!$M$2:$M$679,MATCH(131,Engine!$C$2:$C$679,0)))</f>
        <v/>
      </c>
      <c r="N144" s="8">
        <f>IF(ISNA(MATCH(131,Engine!$C$2:$C$679,0)),"",INDEX('Compliance Database'!$N$2:$N$679,MATCH(131,Engine!$C$2:$C$679,0)))</f>
        <v/>
      </c>
      <c r="O144" s="8">
        <f>IF(ISNA(MATCH(131,Engine!$C$2:$C$679,0)),"",INDEX('Compliance Database'!$O$2:$O$679,MATCH(131,Engine!$C$2:$C$679,0)))</f>
        <v/>
      </c>
      <c r="P144">
        <f>IF(ISNA(MATCH(131,Engine!$C$2:$C$679,0)),"",HYPERLINK(INDEX('Compliance Database'!$P$2:$P$679,MATCH(131,Engine!$C$2:$C$679,0)),"Open PDF"))</f>
        <v/>
      </c>
    </row>
    <row r="145">
      <c r="A145">
        <f>IF(ISNA(MATCH(132,Engine!$C$2:$C$679,0)),"",INDEX('Compliance Database'!$A$2:$A$679,MATCH(132,Engine!$C$2:$C$679,0)))</f>
        <v/>
      </c>
      <c r="B145">
        <f>IF(ISNA(MATCH(132,Engine!$C$2:$C$679,0)),"",INDEX('Compliance Database'!$B$2:$B$679,MATCH(132,Engine!$C$2:$C$679,0)))</f>
        <v/>
      </c>
      <c r="C145">
        <f>IF(ISNA(MATCH(132,Engine!$C$2:$C$679,0)),"",INDEX('Compliance Database'!$C$2:$C$679,MATCH(132,Engine!$C$2:$C$679,0)))</f>
        <v/>
      </c>
      <c r="D145" s="8">
        <f>IF(ISNA(MATCH(132,Engine!$C$2:$C$679,0)),"",INDEX('Compliance Database'!$D$2:$D$679,MATCH(132,Engine!$C$2:$C$679,0)))</f>
        <v/>
      </c>
      <c r="E145">
        <f>IF(ISNA(MATCH(132,Engine!$C$2:$C$679,0)),"",INDEX('Compliance Database'!$E$2:$E$679,MATCH(132,Engine!$C$2:$C$679,0)))</f>
        <v/>
      </c>
      <c r="F145">
        <f>IF(ISNA(MATCH(132,Engine!$C$2:$C$679,0)),"",INDEX('Compliance Database'!$F$2:$F$679,MATCH(132,Engine!$C$2:$C$679,0)))</f>
        <v/>
      </c>
      <c r="G145">
        <f>IF(ISNA(MATCH(132,Engine!$C$2:$C$679,0)),"",INDEX('Compliance Database'!$G$2:$G$679,MATCH(132,Engine!$C$2:$C$679,0)))</f>
        <v/>
      </c>
      <c r="H145">
        <f>IF(ISNA(MATCH(132,Engine!$C$2:$C$679,0)),"",INDEX('Compliance Database'!$H$2:$H$679,MATCH(132,Engine!$C$2:$C$679,0)))</f>
        <v/>
      </c>
      <c r="I145" s="8">
        <f>IF(ISNA(MATCH(132,Engine!$C$2:$C$679,0)),"",INDEX('Compliance Database'!$I$2:$I$679,MATCH(132,Engine!$C$2:$C$679,0)))</f>
        <v/>
      </c>
      <c r="J145" s="8">
        <f>IF(ISNA(MATCH(132,Engine!$C$2:$C$679,0)),"",INDEX('Compliance Database'!$J$2:$J$679,MATCH(132,Engine!$C$2:$C$679,0)))</f>
        <v/>
      </c>
      <c r="K145">
        <f>IF(ISNA(MATCH(132,Engine!$C$2:$C$679,0)),"",INDEX('Compliance Database'!$K$2:$K$679,MATCH(132,Engine!$C$2:$C$679,0)))</f>
        <v/>
      </c>
      <c r="L145" s="8">
        <f>IF(ISNA(MATCH(132,Engine!$C$2:$C$679,0)),"",INDEX('Compliance Database'!$L$2:$L$679,MATCH(132,Engine!$C$2:$C$679,0)))</f>
        <v/>
      </c>
      <c r="M145" s="8">
        <f>IF(ISNA(MATCH(132,Engine!$C$2:$C$679,0)),"",INDEX('Compliance Database'!$M$2:$M$679,MATCH(132,Engine!$C$2:$C$679,0)))</f>
        <v/>
      </c>
      <c r="N145" s="8">
        <f>IF(ISNA(MATCH(132,Engine!$C$2:$C$679,0)),"",INDEX('Compliance Database'!$N$2:$N$679,MATCH(132,Engine!$C$2:$C$679,0)))</f>
        <v/>
      </c>
      <c r="O145" s="8">
        <f>IF(ISNA(MATCH(132,Engine!$C$2:$C$679,0)),"",INDEX('Compliance Database'!$O$2:$O$679,MATCH(132,Engine!$C$2:$C$679,0)))</f>
        <v/>
      </c>
      <c r="P145">
        <f>IF(ISNA(MATCH(132,Engine!$C$2:$C$679,0)),"",HYPERLINK(INDEX('Compliance Database'!$P$2:$P$679,MATCH(132,Engine!$C$2:$C$679,0)),"Open PDF"))</f>
        <v/>
      </c>
    </row>
    <row r="146">
      <c r="A146">
        <f>IF(ISNA(MATCH(133,Engine!$C$2:$C$679,0)),"",INDEX('Compliance Database'!$A$2:$A$679,MATCH(133,Engine!$C$2:$C$679,0)))</f>
        <v/>
      </c>
      <c r="B146">
        <f>IF(ISNA(MATCH(133,Engine!$C$2:$C$679,0)),"",INDEX('Compliance Database'!$B$2:$B$679,MATCH(133,Engine!$C$2:$C$679,0)))</f>
        <v/>
      </c>
      <c r="C146">
        <f>IF(ISNA(MATCH(133,Engine!$C$2:$C$679,0)),"",INDEX('Compliance Database'!$C$2:$C$679,MATCH(133,Engine!$C$2:$C$679,0)))</f>
        <v/>
      </c>
      <c r="D146" s="8">
        <f>IF(ISNA(MATCH(133,Engine!$C$2:$C$679,0)),"",INDEX('Compliance Database'!$D$2:$D$679,MATCH(133,Engine!$C$2:$C$679,0)))</f>
        <v/>
      </c>
      <c r="E146">
        <f>IF(ISNA(MATCH(133,Engine!$C$2:$C$679,0)),"",INDEX('Compliance Database'!$E$2:$E$679,MATCH(133,Engine!$C$2:$C$679,0)))</f>
        <v/>
      </c>
      <c r="F146">
        <f>IF(ISNA(MATCH(133,Engine!$C$2:$C$679,0)),"",INDEX('Compliance Database'!$F$2:$F$679,MATCH(133,Engine!$C$2:$C$679,0)))</f>
        <v/>
      </c>
      <c r="G146">
        <f>IF(ISNA(MATCH(133,Engine!$C$2:$C$679,0)),"",INDEX('Compliance Database'!$G$2:$G$679,MATCH(133,Engine!$C$2:$C$679,0)))</f>
        <v/>
      </c>
      <c r="H146">
        <f>IF(ISNA(MATCH(133,Engine!$C$2:$C$679,0)),"",INDEX('Compliance Database'!$H$2:$H$679,MATCH(133,Engine!$C$2:$C$679,0)))</f>
        <v/>
      </c>
      <c r="I146" s="8">
        <f>IF(ISNA(MATCH(133,Engine!$C$2:$C$679,0)),"",INDEX('Compliance Database'!$I$2:$I$679,MATCH(133,Engine!$C$2:$C$679,0)))</f>
        <v/>
      </c>
      <c r="J146" s="8">
        <f>IF(ISNA(MATCH(133,Engine!$C$2:$C$679,0)),"",INDEX('Compliance Database'!$J$2:$J$679,MATCH(133,Engine!$C$2:$C$679,0)))</f>
        <v/>
      </c>
      <c r="K146">
        <f>IF(ISNA(MATCH(133,Engine!$C$2:$C$679,0)),"",INDEX('Compliance Database'!$K$2:$K$679,MATCH(133,Engine!$C$2:$C$679,0)))</f>
        <v/>
      </c>
      <c r="L146" s="8">
        <f>IF(ISNA(MATCH(133,Engine!$C$2:$C$679,0)),"",INDEX('Compliance Database'!$L$2:$L$679,MATCH(133,Engine!$C$2:$C$679,0)))</f>
        <v/>
      </c>
      <c r="M146" s="8">
        <f>IF(ISNA(MATCH(133,Engine!$C$2:$C$679,0)),"",INDEX('Compliance Database'!$M$2:$M$679,MATCH(133,Engine!$C$2:$C$679,0)))</f>
        <v/>
      </c>
      <c r="N146" s="8">
        <f>IF(ISNA(MATCH(133,Engine!$C$2:$C$679,0)),"",INDEX('Compliance Database'!$N$2:$N$679,MATCH(133,Engine!$C$2:$C$679,0)))</f>
        <v/>
      </c>
      <c r="O146" s="8">
        <f>IF(ISNA(MATCH(133,Engine!$C$2:$C$679,0)),"",INDEX('Compliance Database'!$O$2:$O$679,MATCH(133,Engine!$C$2:$C$679,0)))</f>
        <v/>
      </c>
      <c r="P146">
        <f>IF(ISNA(MATCH(133,Engine!$C$2:$C$679,0)),"",HYPERLINK(INDEX('Compliance Database'!$P$2:$P$679,MATCH(133,Engine!$C$2:$C$679,0)),"Open PDF"))</f>
        <v/>
      </c>
    </row>
    <row r="147">
      <c r="A147">
        <f>IF(ISNA(MATCH(134,Engine!$C$2:$C$679,0)),"",INDEX('Compliance Database'!$A$2:$A$679,MATCH(134,Engine!$C$2:$C$679,0)))</f>
        <v/>
      </c>
      <c r="B147">
        <f>IF(ISNA(MATCH(134,Engine!$C$2:$C$679,0)),"",INDEX('Compliance Database'!$B$2:$B$679,MATCH(134,Engine!$C$2:$C$679,0)))</f>
        <v/>
      </c>
      <c r="C147">
        <f>IF(ISNA(MATCH(134,Engine!$C$2:$C$679,0)),"",INDEX('Compliance Database'!$C$2:$C$679,MATCH(134,Engine!$C$2:$C$679,0)))</f>
        <v/>
      </c>
      <c r="D147" s="8">
        <f>IF(ISNA(MATCH(134,Engine!$C$2:$C$679,0)),"",INDEX('Compliance Database'!$D$2:$D$679,MATCH(134,Engine!$C$2:$C$679,0)))</f>
        <v/>
      </c>
      <c r="E147">
        <f>IF(ISNA(MATCH(134,Engine!$C$2:$C$679,0)),"",INDEX('Compliance Database'!$E$2:$E$679,MATCH(134,Engine!$C$2:$C$679,0)))</f>
        <v/>
      </c>
      <c r="F147">
        <f>IF(ISNA(MATCH(134,Engine!$C$2:$C$679,0)),"",INDEX('Compliance Database'!$F$2:$F$679,MATCH(134,Engine!$C$2:$C$679,0)))</f>
        <v/>
      </c>
      <c r="G147">
        <f>IF(ISNA(MATCH(134,Engine!$C$2:$C$679,0)),"",INDEX('Compliance Database'!$G$2:$G$679,MATCH(134,Engine!$C$2:$C$679,0)))</f>
        <v/>
      </c>
      <c r="H147">
        <f>IF(ISNA(MATCH(134,Engine!$C$2:$C$679,0)),"",INDEX('Compliance Database'!$H$2:$H$679,MATCH(134,Engine!$C$2:$C$679,0)))</f>
        <v/>
      </c>
      <c r="I147" s="8">
        <f>IF(ISNA(MATCH(134,Engine!$C$2:$C$679,0)),"",INDEX('Compliance Database'!$I$2:$I$679,MATCH(134,Engine!$C$2:$C$679,0)))</f>
        <v/>
      </c>
      <c r="J147" s="8">
        <f>IF(ISNA(MATCH(134,Engine!$C$2:$C$679,0)),"",INDEX('Compliance Database'!$J$2:$J$679,MATCH(134,Engine!$C$2:$C$679,0)))</f>
        <v/>
      </c>
      <c r="K147">
        <f>IF(ISNA(MATCH(134,Engine!$C$2:$C$679,0)),"",INDEX('Compliance Database'!$K$2:$K$679,MATCH(134,Engine!$C$2:$C$679,0)))</f>
        <v/>
      </c>
      <c r="L147" s="8">
        <f>IF(ISNA(MATCH(134,Engine!$C$2:$C$679,0)),"",INDEX('Compliance Database'!$L$2:$L$679,MATCH(134,Engine!$C$2:$C$679,0)))</f>
        <v/>
      </c>
      <c r="M147" s="8">
        <f>IF(ISNA(MATCH(134,Engine!$C$2:$C$679,0)),"",INDEX('Compliance Database'!$M$2:$M$679,MATCH(134,Engine!$C$2:$C$679,0)))</f>
        <v/>
      </c>
      <c r="N147" s="8">
        <f>IF(ISNA(MATCH(134,Engine!$C$2:$C$679,0)),"",INDEX('Compliance Database'!$N$2:$N$679,MATCH(134,Engine!$C$2:$C$679,0)))</f>
        <v/>
      </c>
      <c r="O147" s="8">
        <f>IF(ISNA(MATCH(134,Engine!$C$2:$C$679,0)),"",INDEX('Compliance Database'!$O$2:$O$679,MATCH(134,Engine!$C$2:$C$679,0)))</f>
        <v/>
      </c>
      <c r="P147">
        <f>IF(ISNA(MATCH(134,Engine!$C$2:$C$679,0)),"",HYPERLINK(INDEX('Compliance Database'!$P$2:$P$679,MATCH(134,Engine!$C$2:$C$679,0)),"Open PDF"))</f>
        <v/>
      </c>
    </row>
    <row r="148">
      <c r="A148">
        <f>IF(ISNA(MATCH(135,Engine!$C$2:$C$679,0)),"",INDEX('Compliance Database'!$A$2:$A$679,MATCH(135,Engine!$C$2:$C$679,0)))</f>
        <v/>
      </c>
      <c r="B148">
        <f>IF(ISNA(MATCH(135,Engine!$C$2:$C$679,0)),"",INDEX('Compliance Database'!$B$2:$B$679,MATCH(135,Engine!$C$2:$C$679,0)))</f>
        <v/>
      </c>
      <c r="C148">
        <f>IF(ISNA(MATCH(135,Engine!$C$2:$C$679,0)),"",INDEX('Compliance Database'!$C$2:$C$679,MATCH(135,Engine!$C$2:$C$679,0)))</f>
        <v/>
      </c>
      <c r="D148" s="8">
        <f>IF(ISNA(MATCH(135,Engine!$C$2:$C$679,0)),"",INDEX('Compliance Database'!$D$2:$D$679,MATCH(135,Engine!$C$2:$C$679,0)))</f>
        <v/>
      </c>
      <c r="E148">
        <f>IF(ISNA(MATCH(135,Engine!$C$2:$C$679,0)),"",INDEX('Compliance Database'!$E$2:$E$679,MATCH(135,Engine!$C$2:$C$679,0)))</f>
        <v/>
      </c>
      <c r="F148">
        <f>IF(ISNA(MATCH(135,Engine!$C$2:$C$679,0)),"",INDEX('Compliance Database'!$F$2:$F$679,MATCH(135,Engine!$C$2:$C$679,0)))</f>
        <v/>
      </c>
      <c r="G148">
        <f>IF(ISNA(MATCH(135,Engine!$C$2:$C$679,0)),"",INDEX('Compliance Database'!$G$2:$G$679,MATCH(135,Engine!$C$2:$C$679,0)))</f>
        <v/>
      </c>
      <c r="H148">
        <f>IF(ISNA(MATCH(135,Engine!$C$2:$C$679,0)),"",INDEX('Compliance Database'!$H$2:$H$679,MATCH(135,Engine!$C$2:$C$679,0)))</f>
        <v/>
      </c>
      <c r="I148" s="8">
        <f>IF(ISNA(MATCH(135,Engine!$C$2:$C$679,0)),"",INDEX('Compliance Database'!$I$2:$I$679,MATCH(135,Engine!$C$2:$C$679,0)))</f>
        <v/>
      </c>
      <c r="J148" s="8">
        <f>IF(ISNA(MATCH(135,Engine!$C$2:$C$679,0)),"",INDEX('Compliance Database'!$J$2:$J$679,MATCH(135,Engine!$C$2:$C$679,0)))</f>
        <v/>
      </c>
      <c r="K148">
        <f>IF(ISNA(MATCH(135,Engine!$C$2:$C$679,0)),"",INDEX('Compliance Database'!$K$2:$K$679,MATCH(135,Engine!$C$2:$C$679,0)))</f>
        <v/>
      </c>
      <c r="L148" s="8">
        <f>IF(ISNA(MATCH(135,Engine!$C$2:$C$679,0)),"",INDEX('Compliance Database'!$L$2:$L$679,MATCH(135,Engine!$C$2:$C$679,0)))</f>
        <v/>
      </c>
      <c r="M148" s="8">
        <f>IF(ISNA(MATCH(135,Engine!$C$2:$C$679,0)),"",INDEX('Compliance Database'!$M$2:$M$679,MATCH(135,Engine!$C$2:$C$679,0)))</f>
        <v/>
      </c>
      <c r="N148" s="8">
        <f>IF(ISNA(MATCH(135,Engine!$C$2:$C$679,0)),"",INDEX('Compliance Database'!$N$2:$N$679,MATCH(135,Engine!$C$2:$C$679,0)))</f>
        <v/>
      </c>
      <c r="O148" s="8">
        <f>IF(ISNA(MATCH(135,Engine!$C$2:$C$679,0)),"",INDEX('Compliance Database'!$O$2:$O$679,MATCH(135,Engine!$C$2:$C$679,0)))</f>
        <v/>
      </c>
      <c r="P148">
        <f>IF(ISNA(MATCH(135,Engine!$C$2:$C$679,0)),"",HYPERLINK(INDEX('Compliance Database'!$P$2:$P$679,MATCH(135,Engine!$C$2:$C$679,0)),"Open PDF"))</f>
        <v/>
      </c>
    </row>
    <row r="149">
      <c r="A149">
        <f>IF(ISNA(MATCH(136,Engine!$C$2:$C$679,0)),"",INDEX('Compliance Database'!$A$2:$A$679,MATCH(136,Engine!$C$2:$C$679,0)))</f>
        <v/>
      </c>
      <c r="B149">
        <f>IF(ISNA(MATCH(136,Engine!$C$2:$C$679,0)),"",INDEX('Compliance Database'!$B$2:$B$679,MATCH(136,Engine!$C$2:$C$679,0)))</f>
        <v/>
      </c>
      <c r="C149">
        <f>IF(ISNA(MATCH(136,Engine!$C$2:$C$679,0)),"",INDEX('Compliance Database'!$C$2:$C$679,MATCH(136,Engine!$C$2:$C$679,0)))</f>
        <v/>
      </c>
      <c r="D149" s="8">
        <f>IF(ISNA(MATCH(136,Engine!$C$2:$C$679,0)),"",INDEX('Compliance Database'!$D$2:$D$679,MATCH(136,Engine!$C$2:$C$679,0)))</f>
        <v/>
      </c>
      <c r="E149">
        <f>IF(ISNA(MATCH(136,Engine!$C$2:$C$679,0)),"",INDEX('Compliance Database'!$E$2:$E$679,MATCH(136,Engine!$C$2:$C$679,0)))</f>
        <v/>
      </c>
      <c r="F149">
        <f>IF(ISNA(MATCH(136,Engine!$C$2:$C$679,0)),"",INDEX('Compliance Database'!$F$2:$F$679,MATCH(136,Engine!$C$2:$C$679,0)))</f>
        <v/>
      </c>
      <c r="G149">
        <f>IF(ISNA(MATCH(136,Engine!$C$2:$C$679,0)),"",INDEX('Compliance Database'!$G$2:$G$679,MATCH(136,Engine!$C$2:$C$679,0)))</f>
        <v/>
      </c>
      <c r="H149">
        <f>IF(ISNA(MATCH(136,Engine!$C$2:$C$679,0)),"",INDEX('Compliance Database'!$H$2:$H$679,MATCH(136,Engine!$C$2:$C$679,0)))</f>
        <v/>
      </c>
      <c r="I149" s="8">
        <f>IF(ISNA(MATCH(136,Engine!$C$2:$C$679,0)),"",INDEX('Compliance Database'!$I$2:$I$679,MATCH(136,Engine!$C$2:$C$679,0)))</f>
        <v/>
      </c>
      <c r="J149" s="8">
        <f>IF(ISNA(MATCH(136,Engine!$C$2:$C$679,0)),"",INDEX('Compliance Database'!$J$2:$J$679,MATCH(136,Engine!$C$2:$C$679,0)))</f>
        <v/>
      </c>
      <c r="K149">
        <f>IF(ISNA(MATCH(136,Engine!$C$2:$C$679,0)),"",INDEX('Compliance Database'!$K$2:$K$679,MATCH(136,Engine!$C$2:$C$679,0)))</f>
        <v/>
      </c>
      <c r="L149" s="8">
        <f>IF(ISNA(MATCH(136,Engine!$C$2:$C$679,0)),"",INDEX('Compliance Database'!$L$2:$L$679,MATCH(136,Engine!$C$2:$C$679,0)))</f>
        <v/>
      </c>
      <c r="M149" s="8">
        <f>IF(ISNA(MATCH(136,Engine!$C$2:$C$679,0)),"",INDEX('Compliance Database'!$M$2:$M$679,MATCH(136,Engine!$C$2:$C$679,0)))</f>
        <v/>
      </c>
      <c r="N149" s="8">
        <f>IF(ISNA(MATCH(136,Engine!$C$2:$C$679,0)),"",INDEX('Compliance Database'!$N$2:$N$679,MATCH(136,Engine!$C$2:$C$679,0)))</f>
        <v/>
      </c>
      <c r="O149" s="8">
        <f>IF(ISNA(MATCH(136,Engine!$C$2:$C$679,0)),"",INDEX('Compliance Database'!$O$2:$O$679,MATCH(136,Engine!$C$2:$C$679,0)))</f>
        <v/>
      </c>
      <c r="P149">
        <f>IF(ISNA(MATCH(136,Engine!$C$2:$C$679,0)),"",HYPERLINK(INDEX('Compliance Database'!$P$2:$P$679,MATCH(136,Engine!$C$2:$C$679,0)),"Open PDF"))</f>
        <v/>
      </c>
    </row>
    <row r="150">
      <c r="A150">
        <f>IF(ISNA(MATCH(137,Engine!$C$2:$C$679,0)),"",INDEX('Compliance Database'!$A$2:$A$679,MATCH(137,Engine!$C$2:$C$679,0)))</f>
        <v/>
      </c>
      <c r="B150">
        <f>IF(ISNA(MATCH(137,Engine!$C$2:$C$679,0)),"",INDEX('Compliance Database'!$B$2:$B$679,MATCH(137,Engine!$C$2:$C$679,0)))</f>
        <v/>
      </c>
      <c r="C150">
        <f>IF(ISNA(MATCH(137,Engine!$C$2:$C$679,0)),"",INDEX('Compliance Database'!$C$2:$C$679,MATCH(137,Engine!$C$2:$C$679,0)))</f>
        <v/>
      </c>
      <c r="D150" s="8">
        <f>IF(ISNA(MATCH(137,Engine!$C$2:$C$679,0)),"",INDEX('Compliance Database'!$D$2:$D$679,MATCH(137,Engine!$C$2:$C$679,0)))</f>
        <v/>
      </c>
      <c r="E150">
        <f>IF(ISNA(MATCH(137,Engine!$C$2:$C$679,0)),"",INDEX('Compliance Database'!$E$2:$E$679,MATCH(137,Engine!$C$2:$C$679,0)))</f>
        <v/>
      </c>
      <c r="F150">
        <f>IF(ISNA(MATCH(137,Engine!$C$2:$C$679,0)),"",INDEX('Compliance Database'!$F$2:$F$679,MATCH(137,Engine!$C$2:$C$679,0)))</f>
        <v/>
      </c>
      <c r="G150">
        <f>IF(ISNA(MATCH(137,Engine!$C$2:$C$679,0)),"",INDEX('Compliance Database'!$G$2:$G$679,MATCH(137,Engine!$C$2:$C$679,0)))</f>
        <v/>
      </c>
      <c r="H150">
        <f>IF(ISNA(MATCH(137,Engine!$C$2:$C$679,0)),"",INDEX('Compliance Database'!$H$2:$H$679,MATCH(137,Engine!$C$2:$C$679,0)))</f>
        <v/>
      </c>
      <c r="I150" s="8">
        <f>IF(ISNA(MATCH(137,Engine!$C$2:$C$679,0)),"",INDEX('Compliance Database'!$I$2:$I$679,MATCH(137,Engine!$C$2:$C$679,0)))</f>
        <v/>
      </c>
      <c r="J150" s="8">
        <f>IF(ISNA(MATCH(137,Engine!$C$2:$C$679,0)),"",INDEX('Compliance Database'!$J$2:$J$679,MATCH(137,Engine!$C$2:$C$679,0)))</f>
        <v/>
      </c>
      <c r="K150">
        <f>IF(ISNA(MATCH(137,Engine!$C$2:$C$679,0)),"",INDEX('Compliance Database'!$K$2:$K$679,MATCH(137,Engine!$C$2:$C$679,0)))</f>
        <v/>
      </c>
      <c r="L150" s="8">
        <f>IF(ISNA(MATCH(137,Engine!$C$2:$C$679,0)),"",INDEX('Compliance Database'!$L$2:$L$679,MATCH(137,Engine!$C$2:$C$679,0)))</f>
        <v/>
      </c>
      <c r="M150" s="8">
        <f>IF(ISNA(MATCH(137,Engine!$C$2:$C$679,0)),"",INDEX('Compliance Database'!$M$2:$M$679,MATCH(137,Engine!$C$2:$C$679,0)))</f>
        <v/>
      </c>
      <c r="N150" s="8">
        <f>IF(ISNA(MATCH(137,Engine!$C$2:$C$679,0)),"",INDEX('Compliance Database'!$N$2:$N$679,MATCH(137,Engine!$C$2:$C$679,0)))</f>
        <v/>
      </c>
      <c r="O150" s="8">
        <f>IF(ISNA(MATCH(137,Engine!$C$2:$C$679,0)),"",INDEX('Compliance Database'!$O$2:$O$679,MATCH(137,Engine!$C$2:$C$679,0)))</f>
        <v/>
      </c>
      <c r="P150">
        <f>IF(ISNA(MATCH(137,Engine!$C$2:$C$679,0)),"",HYPERLINK(INDEX('Compliance Database'!$P$2:$P$679,MATCH(137,Engine!$C$2:$C$679,0)),"Open PDF"))</f>
        <v/>
      </c>
    </row>
    <row r="151">
      <c r="A151">
        <f>IF(ISNA(MATCH(138,Engine!$C$2:$C$679,0)),"",INDEX('Compliance Database'!$A$2:$A$679,MATCH(138,Engine!$C$2:$C$679,0)))</f>
        <v/>
      </c>
      <c r="B151">
        <f>IF(ISNA(MATCH(138,Engine!$C$2:$C$679,0)),"",INDEX('Compliance Database'!$B$2:$B$679,MATCH(138,Engine!$C$2:$C$679,0)))</f>
        <v/>
      </c>
      <c r="C151">
        <f>IF(ISNA(MATCH(138,Engine!$C$2:$C$679,0)),"",INDEX('Compliance Database'!$C$2:$C$679,MATCH(138,Engine!$C$2:$C$679,0)))</f>
        <v/>
      </c>
      <c r="D151" s="8">
        <f>IF(ISNA(MATCH(138,Engine!$C$2:$C$679,0)),"",INDEX('Compliance Database'!$D$2:$D$679,MATCH(138,Engine!$C$2:$C$679,0)))</f>
        <v/>
      </c>
      <c r="E151">
        <f>IF(ISNA(MATCH(138,Engine!$C$2:$C$679,0)),"",INDEX('Compliance Database'!$E$2:$E$679,MATCH(138,Engine!$C$2:$C$679,0)))</f>
        <v/>
      </c>
      <c r="F151">
        <f>IF(ISNA(MATCH(138,Engine!$C$2:$C$679,0)),"",INDEX('Compliance Database'!$F$2:$F$679,MATCH(138,Engine!$C$2:$C$679,0)))</f>
        <v/>
      </c>
      <c r="G151">
        <f>IF(ISNA(MATCH(138,Engine!$C$2:$C$679,0)),"",INDEX('Compliance Database'!$G$2:$G$679,MATCH(138,Engine!$C$2:$C$679,0)))</f>
        <v/>
      </c>
      <c r="H151">
        <f>IF(ISNA(MATCH(138,Engine!$C$2:$C$679,0)),"",INDEX('Compliance Database'!$H$2:$H$679,MATCH(138,Engine!$C$2:$C$679,0)))</f>
        <v/>
      </c>
      <c r="I151" s="8">
        <f>IF(ISNA(MATCH(138,Engine!$C$2:$C$679,0)),"",INDEX('Compliance Database'!$I$2:$I$679,MATCH(138,Engine!$C$2:$C$679,0)))</f>
        <v/>
      </c>
      <c r="J151" s="8">
        <f>IF(ISNA(MATCH(138,Engine!$C$2:$C$679,0)),"",INDEX('Compliance Database'!$J$2:$J$679,MATCH(138,Engine!$C$2:$C$679,0)))</f>
        <v/>
      </c>
      <c r="K151">
        <f>IF(ISNA(MATCH(138,Engine!$C$2:$C$679,0)),"",INDEX('Compliance Database'!$K$2:$K$679,MATCH(138,Engine!$C$2:$C$679,0)))</f>
        <v/>
      </c>
      <c r="L151" s="8">
        <f>IF(ISNA(MATCH(138,Engine!$C$2:$C$679,0)),"",INDEX('Compliance Database'!$L$2:$L$679,MATCH(138,Engine!$C$2:$C$679,0)))</f>
        <v/>
      </c>
      <c r="M151" s="8">
        <f>IF(ISNA(MATCH(138,Engine!$C$2:$C$679,0)),"",INDEX('Compliance Database'!$M$2:$M$679,MATCH(138,Engine!$C$2:$C$679,0)))</f>
        <v/>
      </c>
      <c r="N151" s="8">
        <f>IF(ISNA(MATCH(138,Engine!$C$2:$C$679,0)),"",INDEX('Compliance Database'!$N$2:$N$679,MATCH(138,Engine!$C$2:$C$679,0)))</f>
        <v/>
      </c>
      <c r="O151" s="8">
        <f>IF(ISNA(MATCH(138,Engine!$C$2:$C$679,0)),"",INDEX('Compliance Database'!$O$2:$O$679,MATCH(138,Engine!$C$2:$C$679,0)))</f>
        <v/>
      </c>
      <c r="P151">
        <f>IF(ISNA(MATCH(138,Engine!$C$2:$C$679,0)),"",HYPERLINK(INDEX('Compliance Database'!$P$2:$P$679,MATCH(138,Engine!$C$2:$C$679,0)),"Open PDF"))</f>
        <v/>
      </c>
    </row>
    <row r="152">
      <c r="A152">
        <f>IF(ISNA(MATCH(139,Engine!$C$2:$C$679,0)),"",INDEX('Compliance Database'!$A$2:$A$679,MATCH(139,Engine!$C$2:$C$679,0)))</f>
        <v/>
      </c>
      <c r="B152">
        <f>IF(ISNA(MATCH(139,Engine!$C$2:$C$679,0)),"",INDEX('Compliance Database'!$B$2:$B$679,MATCH(139,Engine!$C$2:$C$679,0)))</f>
        <v/>
      </c>
      <c r="C152">
        <f>IF(ISNA(MATCH(139,Engine!$C$2:$C$679,0)),"",INDEX('Compliance Database'!$C$2:$C$679,MATCH(139,Engine!$C$2:$C$679,0)))</f>
        <v/>
      </c>
      <c r="D152" s="8">
        <f>IF(ISNA(MATCH(139,Engine!$C$2:$C$679,0)),"",INDEX('Compliance Database'!$D$2:$D$679,MATCH(139,Engine!$C$2:$C$679,0)))</f>
        <v/>
      </c>
      <c r="E152">
        <f>IF(ISNA(MATCH(139,Engine!$C$2:$C$679,0)),"",INDEX('Compliance Database'!$E$2:$E$679,MATCH(139,Engine!$C$2:$C$679,0)))</f>
        <v/>
      </c>
      <c r="F152">
        <f>IF(ISNA(MATCH(139,Engine!$C$2:$C$679,0)),"",INDEX('Compliance Database'!$F$2:$F$679,MATCH(139,Engine!$C$2:$C$679,0)))</f>
        <v/>
      </c>
      <c r="G152">
        <f>IF(ISNA(MATCH(139,Engine!$C$2:$C$679,0)),"",INDEX('Compliance Database'!$G$2:$G$679,MATCH(139,Engine!$C$2:$C$679,0)))</f>
        <v/>
      </c>
      <c r="H152">
        <f>IF(ISNA(MATCH(139,Engine!$C$2:$C$679,0)),"",INDEX('Compliance Database'!$H$2:$H$679,MATCH(139,Engine!$C$2:$C$679,0)))</f>
        <v/>
      </c>
      <c r="I152" s="8">
        <f>IF(ISNA(MATCH(139,Engine!$C$2:$C$679,0)),"",INDEX('Compliance Database'!$I$2:$I$679,MATCH(139,Engine!$C$2:$C$679,0)))</f>
        <v/>
      </c>
      <c r="J152" s="8">
        <f>IF(ISNA(MATCH(139,Engine!$C$2:$C$679,0)),"",INDEX('Compliance Database'!$J$2:$J$679,MATCH(139,Engine!$C$2:$C$679,0)))</f>
        <v/>
      </c>
      <c r="K152">
        <f>IF(ISNA(MATCH(139,Engine!$C$2:$C$679,0)),"",INDEX('Compliance Database'!$K$2:$K$679,MATCH(139,Engine!$C$2:$C$679,0)))</f>
        <v/>
      </c>
      <c r="L152" s="8">
        <f>IF(ISNA(MATCH(139,Engine!$C$2:$C$679,0)),"",INDEX('Compliance Database'!$L$2:$L$679,MATCH(139,Engine!$C$2:$C$679,0)))</f>
        <v/>
      </c>
      <c r="M152" s="8">
        <f>IF(ISNA(MATCH(139,Engine!$C$2:$C$679,0)),"",INDEX('Compliance Database'!$M$2:$M$679,MATCH(139,Engine!$C$2:$C$679,0)))</f>
        <v/>
      </c>
      <c r="N152" s="8">
        <f>IF(ISNA(MATCH(139,Engine!$C$2:$C$679,0)),"",INDEX('Compliance Database'!$N$2:$N$679,MATCH(139,Engine!$C$2:$C$679,0)))</f>
        <v/>
      </c>
      <c r="O152" s="8">
        <f>IF(ISNA(MATCH(139,Engine!$C$2:$C$679,0)),"",INDEX('Compliance Database'!$O$2:$O$679,MATCH(139,Engine!$C$2:$C$679,0)))</f>
        <v/>
      </c>
      <c r="P152">
        <f>IF(ISNA(MATCH(139,Engine!$C$2:$C$679,0)),"",HYPERLINK(INDEX('Compliance Database'!$P$2:$P$679,MATCH(139,Engine!$C$2:$C$679,0)),"Open PDF"))</f>
        <v/>
      </c>
    </row>
    <row r="153">
      <c r="A153">
        <f>IF(ISNA(MATCH(140,Engine!$C$2:$C$679,0)),"",INDEX('Compliance Database'!$A$2:$A$679,MATCH(140,Engine!$C$2:$C$679,0)))</f>
        <v/>
      </c>
      <c r="B153">
        <f>IF(ISNA(MATCH(140,Engine!$C$2:$C$679,0)),"",INDEX('Compliance Database'!$B$2:$B$679,MATCH(140,Engine!$C$2:$C$679,0)))</f>
        <v/>
      </c>
      <c r="C153">
        <f>IF(ISNA(MATCH(140,Engine!$C$2:$C$679,0)),"",INDEX('Compliance Database'!$C$2:$C$679,MATCH(140,Engine!$C$2:$C$679,0)))</f>
        <v/>
      </c>
      <c r="D153" s="8">
        <f>IF(ISNA(MATCH(140,Engine!$C$2:$C$679,0)),"",INDEX('Compliance Database'!$D$2:$D$679,MATCH(140,Engine!$C$2:$C$679,0)))</f>
        <v/>
      </c>
      <c r="E153">
        <f>IF(ISNA(MATCH(140,Engine!$C$2:$C$679,0)),"",INDEX('Compliance Database'!$E$2:$E$679,MATCH(140,Engine!$C$2:$C$679,0)))</f>
        <v/>
      </c>
      <c r="F153">
        <f>IF(ISNA(MATCH(140,Engine!$C$2:$C$679,0)),"",INDEX('Compliance Database'!$F$2:$F$679,MATCH(140,Engine!$C$2:$C$679,0)))</f>
        <v/>
      </c>
      <c r="G153">
        <f>IF(ISNA(MATCH(140,Engine!$C$2:$C$679,0)),"",INDEX('Compliance Database'!$G$2:$G$679,MATCH(140,Engine!$C$2:$C$679,0)))</f>
        <v/>
      </c>
      <c r="H153">
        <f>IF(ISNA(MATCH(140,Engine!$C$2:$C$679,0)),"",INDEX('Compliance Database'!$H$2:$H$679,MATCH(140,Engine!$C$2:$C$679,0)))</f>
        <v/>
      </c>
      <c r="I153" s="8">
        <f>IF(ISNA(MATCH(140,Engine!$C$2:$C$679,0)),"",INDEX('Compliance Database'!$I$2:$I$679,MATCH(140,Engine!$C$2:$C$679,0)))</f>
        <v/>
      </c>
      <c r="J153" s="8">
        <f>IF(ISNA(MATCH(140,Engine!$C$2:$C$679,0)),"",INDEX('Compliance Database'!$J$2:$J$679,MATCH(140,Engine!$C$2:$C$679,0)))</f>
        <v/>
      </c>
      <c r="K153">
        <f>IF(ISNA(MATCH(140,Engine!$C$2:$C$679,0)),"",INDEX('Compliance Database'!$K$2:$K$679,MATCH(140,Engine!$C$2:$C$679,0)))</f>
        <v/>
      </c>
      <c r="L153" s="8">
        <f>IF(ISNA(MATCH(140,Engine!$C$2:$C$679,0)),"",INDEX('Compliance Database'!$L$2:$L$679,MATCH(140,Engine!$C$2:$C$679,0)))</f>
        <v/>
      </c>
      <c r="M153" s="8">
        <f>IF(ISNA(MATCH(140,Engine!$C$2:$C$679,0)),"",INDEX('Compliance Database'!$M$2:$M$679,MATCH(140,Engine!$C$2:$C$679,0)))</f>
        <v/>
      </c>
      <c r="N153" s="8">
        <f>IF(ISNA(MATCH(140,Engine!$C$2:$C$679,0)),"",INDEX('Compliance Database'!$N$2:$N$679,MATCH(140,Engine!$C$2:$C$679,0)))</f>
        <v/>
      </c>
      <c r="O153" s="8">
        <f>IF(ISNA(MATCH(140,Engine!$C$2:$C$679,0)),"",INDEX('Compliance Database'!$O$2:$O$679,MATCH(140,Engine!$C$2:$C$679,0)))</f>
        <v/>
      </c>
      <c r="P153">
        <f>IF(ISNA(MATCH(140,Engine!$C$2:$C$679,0)),"",HYPERLINK(INDEX('Compliance Database'!$P$2:$P$679,MATCH(140,Engine!$C$2:$C$679,0)),"Open PDF"))</f>
        <v/>
      </c>
    </row>
    <row r="154">
      <c r="A154">
        <f>IF(ISNA(MATCH(141,Engine!$C$2:$C$679,0)),"",INDEX('Compliance Database'!$A$2:$A$679,MATCH(141,Engine!$C$2:$C$679,0)))</f>
        <v/>
      </c>
      <c r="B154">
        <f>IF(ISNA(MATCH(141,Engine!$C$2:$C$679,0)),"",INDEX('Compliance Database'!$B$2:$B$679,MATCH(141,Engine!$C$2:$C$679,0)))</f>
        <v/>
      </c>
      <c r="C154">
        <f>IF(ISNA(MATCH(141,Engine!$C$2:$C$679,0)),"",INDEX('Compliance Database'!$C$2:$C$679,MATCH(141,Engine!$C$2:$C$679,0)))</f>
        <v/>
      </c>
      <c r="D154" s="8">
        <f>IF(ISNA(MATCH(141,Engine!$C$2:$C$679,0)),"",INDEX('Compliance Database'!$D$2:$D$679,MATCH(141,Engine!$C$2:$C$679,0)))</f>
        <v/>
      </c>
      <c r="E154">
        <f>IF(ISNA(MATCH(141,Engine!$C$2:$C$679,0)),"",INDEX('Compliance Database'!$E$2:$E$679,MATCH(141,Engine!$C$2:$C$679,0)))</f>
        <v/>
      </c>
      <c r="F154">
        <f>IF(ISNA(MATCH(141,Engine!$C$2:$C$679,0)),"",INDEX('Compliance Database'!$F$2:$F$679,MATCH(141,Engine!$C$2:$C$679,0)))</f>
        <v/>
      </c>
      <c r="G154">
        <f>IF(ISNA(MATCH(141,Engine!$C$2:$C$679,0)),"",INDEX('Compliance Database'!$G$2:$G$679,MATCH(141,Engine!$C$2:$C$679,0)))</f>
        <v/>
      </c>
      <c r="H154">
        <f>IF(ISNA(MATCH(141,Engine!$C$2:$C$679,0)),"",INDEX('Compliance Database'!$H$2:$H$679,MATCH(141,Engine!$C$2:$C$679,0)))</f>
        <v/>
      </c>
      <c r="I154" s="8">
        <f>IF(ISNA(MATCH(141,Engine!$C$2:$C$679,0)),"",INDEX('Compliance Database'!$I$2:$I$679,MATCH(141,Engine!$C$2:$C$679,0)))</f>
        <v/>
      </c>
      <c r="J154" s="8">
        <f>IF(ISNA(MATCH(141,Engine!$C$2:$C$679,0)),"",INDEX('Compliance Database'!$J$2:$J$679,MATCH(141,Engine!$C$2:$C$679,0)))</f>
        <v/>
      </c>
      <c r="K154">
        <f>IF(ISNA(MATCH(141,Engine!$C$2:$C$679,0)),"",INDEX('Compliance Database'!$K$2:$K$679,MATCH(141,Engine!$C$2:$C$679,0)))</f>
        <v/>
      </c>
      <c r="L154" s="8">
        <f>IF(ISNA(MATCH(141,Engine!$C$2:$C$679,0)),"",INDEX('Compliance Database'!$L$2:$L$679,MATCH(141,Engine!$C$2:$C$679,0)))</f>
        <v/>
      </c>
      <c r="M154" s="8">
        <f>IF(ISNA(MATCH(141,Engine!$C$2:$C$679,0)),"",INDEX('Compliance Database'!$M$2:$M$679,MATCH(141,Engine!$C$2:$C$679,0)))</f>
        <v/>
      </c>
      <c r="N154" s="8">
        <f>IF(ISNA(MATCH(141,Engine!$C$2:$C$679,0)),"",INDEX('Compliance Database'!$N$2:$N$679,MATCH(141,Engine!$C$2:$C$679,0)))</f>
        <v/>
      </c>
      <c r="O154" s="8">
        <f>IF(ISNA(MATCH(141,Engine!$C$2:$C$679,0)),"",INDEX('Compliance Database'!$O$2:$O$679,MATCH(141,Engine!$C$2:$C$679,0)))</f>
        <v/>
      </c>
      <c r="P154">
        <f>IF(ISNA(MATCH(141,Engine!$C$2:$C$679,0)),"",HYPERLINK(INDEX('Compliance Database'!$P$2:$P$679,MATCH(141,Engine!$C$2:$C$679,0)),"Open PDF"))</f>
        <v/>
      </c>
    </row>
    <row r="155">
      <c r="A155">
        <f>IF(ISNA(MATCH(142,Engine!$C$2:$C$679,0)),"",INDEX('Compliance Database'!$A$2:$A$679,MATCH(142,Engine!$C$2:$C$679,0)))</f>
        <v/>
      </c>
      <c r="B155">
        <f>IF(ISNA(MATCH(142,Engine!$C$2:$C$679,0)),"",INDEX('Compliance Database'!$B$2:$B$679,MATCH(142,Engine!$C$2:$C$679,0)))</f>
        <v/>
      </c>
      <c r="C155">
        <f>IF(ISNA(MATCH(142,Engine!$C$2:$C$679,0)),"",INDEX('Compliance Database'!$C$2:$C$679,MATCH(142,Engine!$C$2:$C$679,0)))</f>
        <v/>
      </c>
      <c r="D155" s="8">
        <f>IF(ISNA(MATCH(142,Engine!$C$2:$C$679,0)),"",INDEX('Compliance Database'!$D$2:$D$679,MATCH(142,Engine!$C$2:$C$679,0)))</f>
        <v/>
      </c>
      <c r="E155">
        <f>IF(ISNA(MATCH(142,Engine!$C$2:$C$679,0)),"",INDEX('Compliance Database'!$E$2:$E$679,MATCH(142,Engine!$C$2:$C$679,0)))</f>
        <v/>
      </c>
      <c r="F155">
        <f>IF(ISNA(MATCH(142,Engine!$C$2:$C$679,0)),"",INDEX('Compliance Database'!$F$2:$F$679,MATCH(142,Engine!$C$2:$C$679,0)))</f>
        <v/>
      </c>
      <c r="G155">
        <f>IF(ISNA(MATCH(142,Engine!$C$2:$C$679,0)),"",INDEX('Compliance Database'!$G$2:$G$679,MATCH(142,Engine!$C$2:$C$679,0)))</f>
        <v/>
      </c>
      <c r="H155">
        <f>IF(ISNA(MATCH(142,Engine!$C$2:$C$679,0)),"",INDEX('Compliance Database'!$H$2:$H$679,MATCH(142,Engine!$C$2:$C$679,0)))</f>
        <v/>
      </c>
      <c r="I155" s="8">
        <f>IF(ISNA(MATCH(142,Engine!$C$2:$C$679,0)),"",INDEX('Compliance Database'!$I$2:$I$679,MATCH(142,Engine!$C$2:$C$679,0)))</f>
        <v/>
      </c>
      <c r="J155" s="8">
        <f>IF(ISNA(MATCH(142,Engine!$C$2:$C$679,0)),"",INDEX('Compliance Database'!$J$2:$J$679,MATCH(142,Engine!$C$2:$C$679,0)))</f>
        <v/>
      </c>
      <c r="K155">
        <f>IF(ISNA(MATCH(142,Engine!$C$2:$C$679,0)),"",INDEX('Compliance Database'!$K$2:$K$679,MATCH(142,Engine!$C$2:$C$679,0)))</f>
        <v/>
      </c>
      <c r="L155" s="8">
        <f>IF(ISNA(MATCH(142,Engine!$C$2:$C$679,0)),"",INDEX('Compliance Database'!$L$2:$L$679,MATCH(142,Engine!$C$2:$C$679,0)))</f>
        <v/>
      </c>
      <c r="M155" s="8">
        <f>IF(ISNA(MATCH(142,Engine!$C$2:$C$679,0)),"",INDEX('Compliance Database'!$M$2:$M$679,MATCH(142,Engine!$C$2:$C$679,0)))</f>
        <v/>
      </c>
      <c r="N155" s="8">
        <f>IF(ISNA(MATCH(142,Engine!$C$2:$C$679,0)),"",INDEX('Compliance Database'!$N$2:$N$679,MATCH(142,Engine!$C$2:$C$679,0)))</f>
        <v/>
      </c>
      <c r="O155" s="8">
        <f>IF(ISNA(MATCH(142,Engine!$C$2:$C$679,0)),"",INDEX('Compliance Database'!$O$2:$O$679,MATCH(142,Engine!$C$2:$C$679,0)))</f>
        <v/>
      </c>
      <c r="P155">
        <f>IF(ISNA(MATCH(142,Engine!$C$2:$C$679,0)),"",HYPERLINK(INDEX('Compliance Database'!$P$2:$P$679,MATCH(142,Engine!$C$2:$C$679,0)),"Open PDF"))</f>
        <v/>
      </c>
    </row>
    <row r="156">
      <c r="A156">
        <f>IF(ISNA(MATCH(143,Engine!$C$2:$C$679,0)),"",INDEX('Compliance Database'!$A$2:$A$679,MATCH(143,Engine!$C$2:$C$679,0)))</f>
        <v/>
      </c>
      <c r="B156">
        <f>IF(ISNA(MATCH(143,Engine!$C$2:$C$679,0)),"",INDEX('Compliance Database'!$B$2:$B$679,MATCH(143,Engine!$C$2:$C$679,0)))</f>
        <v/>
      </c>
      <c r="C156">
        <f>IF(ISNA(MATCH(143,Engine!$C$2:$C$679,0)),"",INDEX('Compliance Database'!$C$2:$C$679,MATCH(143,Engine!$C$2:$C$679,0)))</f>
        <v/>
      </c>
      <c r="D156" s="8">
        <f>IF(ISNA(MATCH(143,Engine!$C$2:$C$679,0)),"",INDEX('Compliance Database'!$D$2:$D$679,MATCH(143,Engine!$C$2:$C$679,0)))</f>
        <v/>
      </c>
      <c r="E156">
        <f>IF(ISNA(MATCH(143,Engine!$C$2:$C$679,0)),"",INDEX('Compliance Database'!$E$2:$E$679,MATCH(143,Engine!$C$2:$C$679,0)))</f>
        <v/>
      </c>
      <c r="F156">
        <f>IF(ISNA(MATCH(143,Engine!$C$2:$C$679,0)),"",INDEX('Compliance Database'!$F$2:$F$679,MATCH(143,Engine!$C$2:$C$679,0)))</f>
        <v/>
      </c>
      <c r="G156">
        <f>IF(ISNA(MATCH(143,Engine!$C$2:$C$679,0)),"",INDEX('Compliance Database'!$G$2:$G$679,MATCH(143,Engine!$C$2:$C$679,0)))</f>
        <v/>
      </c>
      <c r="H156">
        <f>IF(ISNA(MATCH(143,Engine!$C$2:$C$679,0)),"",INDEX('Compliance Database'!$H$2:$H$679,MATCH(143,Engine!$C$2:$C$679,0)))</f>
        <v/>
      </c>
      <c r="I156" s="8">
        <f>IF(ISNA(MATCH(143,Engine!$C$2:$C$679,0)),"",INDEX('Compliance Database'!$I$2:$I$679,MATCH(143,Engine!$C$2:$C$679,0)))</f>
        <v/>
      </c>
      <c r="J156" s="8">
        <f>IF(ISNA(MATCH(143,Engine!$C$2:$C$679,0)),"",INDEX('Compliance Database'!$J$2:$J$679,MATCH(143,Engine!$C$2:$C$679,0)))</f>
        <v/>
      </c>
      <c r="K156">
        <f>IF(ISNA(MATCH(143,Engine!$C$2:$C$679,0)),"",INDEX('Compliance Database'!$K$2:$K$679,MATCH(143,Engine!$C$2:$C$679,0)))</f>
        <v/>
      </c>
      <c r="L156" s="8">
        <f>IF(ISNA(MATCH(143,Engine!$C$2:$C$679,0)),"",INDEX('Compliance Database'!$L$2:$L$679,MATCH(143,Engine!$C$2:$C$679,0)))</f>
        <v/>
      </c>
      <c r="M156" s="8">
        <f>IF(ISNA(MATCH(143,Engine!$C$2:$C$679,0)),"",INDEX('Compliance Database'!$M$2:$M$679,MATCH(143,Engine!$C$2:$C$679,0)))</f>
        <v/>
      </c>
      <c r="N156" s="8">
        <f>IF(ISNA(MATCH(143,Engine!$C$2:$C$679,0)),"",INDEX('Compliance Database'!$N$2:$N$679,MATCH(143,Engine!$C$2:$C$679,0)))</f>
        <v/>
      </c>
      <c r="O156" s="8">
        <f>IF(ISNA(MATCH(143,Engine!$C$2:$C$679,0)),"",INDEX('Compliance Database'!$O$2:$O$679,MATCH(143,Engine!$C$2:$C$679,0)))</f>
        <v/>
      </c>
      <c r="P156">
        <f>IF(ISNA(MATCH(143,Engine!$C$2:$C$679,0)),"",HYPERLINK(INDEX('Compliance Database'!$P$2:$P$679,MATCH(143,Engine!$C$2:$C$679,0)),"Open PDF"))</f>
        <v/>
      </c>
    </row>
    <row r="157">
      <c r="A157">
        <f>IF(ISNA(MATCH(144,Engine!$C$2:$C$679,0)),"",INDEX('Compliance Database'!$A$2:$A$679,MATCH(144,Engine!$C$2:$C$679,0)))</f>
        <v/>
      </c>
      <c r="B157">
        <f>IF(ISNA(MATCH(144,Engine!$C$2:$C$679,0)),"",INDEX('Compliance Database'!$B$2:$B$679,MATCH(144,Engine!$C$2:$C$679,0)))</f>
        <v/>
      </c>
      <c r="C157">
        <f>IF(ISNA(MATCH(144,Engine!$C$2:$C$679,0)),"",INDEX('Compliance Database'!$C$2:$C$679,MATCH(144,Engine!$C$2:$C$679,0)))</f>
        <v/>
      </c>
      <c r="D157" s="8">
        <f>IF(ISNA(MATCH(144,Engine!$C$2:$C$679,0)),"",INDEX('Compliance Database'!$D$2:$D$679,MATCH(144,Engine!$C$2:$C$679,0)))</f>
        <v/>
      </c>
      <c r="E157">
        <f>IF(ISNA(MATCH(144,Engine!$C$2:$C$679,0)),"",INDEX('Compliance Database'!$E$2:$E$679,MATCH(144,Engine!$C$2:$C$679,0)))</f>
        <v/>
      </c>
      <c r="F157">
        <f>IF(ISNA(MATCH(144,Engine!$C$2:$C$679,0)),"",INDEX('Compliance Database'!$F$2:$F$679,MATCH(144,Engine!$C$2:$C$679,0)))</f>
        <v/>
      </c>
      <c r="G157">
        <f>IF(ISNA(MATCH(144,Engine!$C$2:$C$679,0)),"",INDEX('Compliance Database'!$G$2:$G$679,MATCH(144,Engine!$C$2:$C$679,0)))</f>
        <v/>
      </c>
      <c r="H157">
        <f>IF(ISNA(MATCH(144,Engine!$C$2:$C$679,0)),"",INDEX('Compliance Database'!$H$2:$H$679,MATCH(144,Engine!$C$2:$C$679,0)))</f>
        <v/>
      </c>
      <c r="I157" s="8">
        <f>IF(ISNA(MATCH(144,Engine!$C$2:$C$679,0)),"",INDEX('Compliance Database'!$I$2:$I$679,MATCH(144,Engine!$C$2:$C$679,0)))</f>
        <v/>
      </c>
      <c r="J157" s="8">
        <f>IF(ISNA(MATCH(144,Engine!$C$2:$C$679,0)),"",INDEX('Compliance Database'!$J$2:$J$679,MATCH(144,Engine!$C$2:$C$679,0)))</f>
        <v/>
      </c>
      <c r="K157">
        <f>IF(ISNA(MATCH(144,Engine!$C$2:$C$679,0)),"",INDEX('Compliance Database'!$K$2:$K$679,MATCH(144,Engine!$C$2:$C$679,0)))</f>
        <v/>
      </c>
      <c r="L157" s="8">
        <f>IF(ISNA(MATCH(144,Engine!$C$2:$C$679,0)),"",INDEX('Compliance Database'!$L$2:$L$679,MATCH(144,Engine!$C$2:$C$679,0)))</f>
        <v/>
      </c>
      <c r="M157" s="8">
        <f>IF(ISNA(MATCH(144,Engine!$C$2:$C$679,0)),"",INDEX('Compliance Database'!$M$2:$M$679,MATCH(144,Engine!$C$2:$C$679,0)))</f>
        <v/>
      </c>
      <c r="N157" s="8">
        <f>IF(ISNA(MATCH(144,Engine!$C$2:$C$679,0)),"",INDEX('Compliance Database'!$N$2:$N$679,MATCH(144,Engine!$C$2:$C$679,0)))</f>
        <v/>
      </c>
      <c r="O157" s="8">
        <f>IF(ISNA(MATCH(144,Engine!$C$2:$C$679,0)),"",INDEX('Compliance Database'!$O$2:$O$679,MATCH(144,Engine!$C$2:$C$679,0)))</f>
        <v/>
      </c>
      <c r="P157">
        <f>IF(ISNA(MATCH(144,Engine!$C$2:$C$679,0)),"",HYPERLINK(INDEX('Compliance Database'!$P$2:$P$679,MATCH(144,Engine!$C$2:$C$679,0)),"Open PDF"))</f>
        <v/>
      </c>
    </row>
    <row r="158">
      <c r="A158">
        <f>IF(ISNA(MATCH(145,Engine!$C$2:$C$679,0)),"",INDEX('Compliance Database'!$A$2:$A$679,MATCH(145,Engine!$C$2:$C$679,0)))</f>
        <v/>
      </c>
      <c r="B158">
        <f>IF(ISNA(MATCH(145,Engine!$C$2:$C$679,0)),"",INDEX('Compliance Database'!$B$2:$B$679,MATCH(145,Engine!$C$2:$C$679,0)))</f>
        <v/>
      </c>
      <c r="C158">
        <f>IF(ISNA(MATCH(145,Engine!$C$2:$C$679,0)),"",INDEX('Compliance Database'!$C$2:$C$679,MATCH(145,Engine!$C$2:$C$679,0)))</f>
        <v/>
      </c>
      <c r="D158" s="8">
        <f>IF(ISNA(MATCH(145,Engine!$C$2:$C$679,0)),"",INDEX('Compliance Database'!$D$2:$D$679,MATCH(145,Engine!$C$2:$C$679,0)))</f>
        <v/>
      </c>
      <c r="E158">
        <f>IF(ISNA(MATCH(145,Engine!$C$2:$C$679,0)),"",INDEX('Compliance Database'!$E$2:$E$679,MATCH(145,Engine!$C$2:$C$679,0)))</f>
        <v/>
      </c>
      <c r="F158">
        <f>IF(ISNA(MATCH(145,Engine!$C$2:$C$679,0)),"",INDEX('Compliance Database'!$F$2:$F$679,MATCH(145,Engine!$C$2:$C$679,0)))</f>
        <v/>
      </c>
      <c r="G158">
        <f>IF(ISNA(MATCH(145,Engine!$C$2:$C$679,0)),"",INDEX('Compliance Database'!$G$2:$G$679,MATCH(145,Engine!$C$2:$C$679,0)))</f>
        <v/>
      </c>
      <c r="H158">
        <f>IF(ISNA(MATCH(145,Engine!$C$2:$C$679,0)),"",INDEX('Compliance Database'!$H$2:$H$679,MATCH(145,Engine!$C$2:$C$679,0)))</f>
        <v/>
      </c>
      <c r="I158" s="8">
        <f>IF(ISNA(MATCH(145,Engine!$C$2:$C$679,0)),"",INDEX('Compliance Database'!$I$2:$I$679,MATCH(145,Engine!$C$2:$C$679,0)))</f>
        <v/>
      </c>
      <c r="J158" s="8">
        <f>IF(ISNA(MATCH(145,Engine!$C$2:$C$679,0)),"",INDEX('Compliance Database'!$J$2:$J$679,MATCH(145,Engine!$C$2:$C$679,0)))</f>
        <v/>
      </c>
      <c r="K158">
        <f>IF(ISNA(MATCH(145,Engine!$C$2:$C$679,0)),"",INDEX('Compliance Database'!$K$2:$K$679,MATCH(145,Engine!$C$2:$C$679,0)))</f>
        <v/>
      </c>
      <c r="L158" s="8">
        <f>IF(ISNA(MATCH(145,Engine!$C$2:$C$679,0)),"",INDEX('Compliance Database'!$L$2:$L$679,MATCH(145,Engine!$C$2:$C$679,0)))</f>
        <v/>
      </c>
      <c r="M158" s="8">
        <f>IF(ISNA(MATCH(145,Engine!$C$2:$C$679,0)),"",INDEX('Compliance Database'!$M$2:$M$679,MATCH(145,Engine!$C$2:$C$679,0)))</f>
        <v/>
      </c>
      <c r="N158" s="8">
        <f>IF(ISNA(MATCH(145,Engine!$C$2:$C$679,0)),"",INDEX('Compliance Database'!$N$2:$N$679,MATCH(145,Engine!$C$2:$C$679,0)))</f>
        <v/>
      </c>
      <c r="O158" s="8">
        <f>IF(ISNA(MATCH(145,Engine!$C$2:$C$679,0)),"",INDEX('Compliance Database'!$O$2:$O$679,MATCH(145,Engine!$C$2:$C$679,0)))</f>
        <v/>
      </c>
      <c r="P158">
        <f>IF(ISNA(MATCH(145,Engine!$C$2:$C$679,0)),"",HYPERLINK(INDEX('Compliance Database'!$P$2:$P$679,MATCH(145,Engine!$C$2:$C$679,0)),"Open PDF"))</f>
        <v/>
      </c>
    </row>
    <row r="159">
      <c r="A159">
        <f>IF(ISNA(MATCH(146,Engine!$C$2:$C$679,0)),"",INDEX('Compliance Database'!$A$2:$A$679,MATCH(146,Engine!$C$2:$C$679,0)))</f>
        <v/>
      </c>
      <c r="B159">
        <f>IF(ISNA(MATCH(146,Engine!$C$2:$C$679,0)),"",INDEX('Compliance Database'!$B$2:$B$679,MATCH(146,Engine!$C$2:$C$679,0)))</f>
        <v/>
      </c>
      <c r="C159">
        <f>IF(ISNA(MATCH(146,Engine!$C$2:$C$679,0)),"",INDEX('Compliance Database'!$C$2:$C$679,MATCH(146,Engine!$C$2:$C$679,0)))</f>
        <v/>
      </c>
      <c r="D159" s="8">
        <f>IF(ISNA(MATCH(146,Engine!$C$2:$C$679,0)),"",INDEX('Compliance Database'!$D$2:$D$679,MATCH(146,Engine!$C$2:$C$679,0)))</f>
        <v/>
      </c>
      <c r="E159">
        <f>IF(ISNA(MATCH(146,Engine!$C$2:$C$679,0)),"",INDEX('Compliance Database'!$E$2:$E$679,MATCH(146,Engine!$C$2:$C$679,0)))</f>
        <v/>
      </c>
      <c r="F159">
        <f>IF(ISNA(MATCH(146,Engine!$C$2:$C$679,0)),"",INDEX('Compliance Database'!$F$2:$F$679,MATCH(146,Engine!$C$2:$C$679,0)))</f>
        <v/>
      </c>
      <c r="G159">
        <f>IF(ISNA(MATCH(146,Engine!$C$2:$C$679,0)),"",INDEX('Compliance Database'!$G$2:$G$679,MATCH(146,Engine!$C$2:$C$679,0)))</f>
        <v/>
      </c>
      <c r="H159">
        <f>IF(ISNA(MATCH(146,Engine!$C$2:$C$679,0)),"",INDEX('Compliance Database'!$H$2:$H$679,MATCH(146,Engine!$C$2:$C$679,0)))</f>
        <v/>
      </c>
      <c r="I159" s="8">
        <f>IF(ISNA(MATCH(146,Engine!$C$2:$C$679,0)),"",INDEX('Compliance Database'!$I$2:$I$679,MATCH(146,Engine!$C$2:$C$679,0)))</f>
        <v/>
      </c>
      <c r="J159" s="8">
        <f>IF(ISNA(MATCH(146,Engine!$C$2:$C$679,0)),"",INDEX('Compliance Database'!$J$2:$J$679,MATCH(146,Engine!$C$2:$C$679,0)))</f>
        <v/>
      </c>
      <c r="K159">
        <f>IF(ISNA(MATCH(146,Engine!$C$2:$C$679,0)),"",INDEX('Compliance Database'!$K$2:$K$679,MATCH(146,Engine!$C$2:$C$679,0)))</f>
        <v/>
      </c>
      <c r="L159" s="8">
        <f>IF(ISNA(MATCH(146,Engine!$C$2:$C$679,0)),"",INDEX('Compliance Database'!$L$2:$L$679,MATCH(146,Engine!$C$2:$C$679,0)))</f>
        <v/>
      </c>
      <c r="M159" s="8">
        <f>IF(ISNA(MATCH(146,Engine!$C$2:$C$679,0)),"",INDEX('Compliance Database'!$M$2:$M$679,MATCH(146,Engine!$C$2:$C$679,0)))</f>
        <v/>
      </c>
      <c r="N159" s="8">
        <f>IF(ISNA(MATCH(146,Engine!$C$2:$C$679,0)),"",INDEX('Compliance Database'!$N$2:$N$679,MATCH(146,Engine!$C$2:$C$679,0)))</f>
        <v/>
      </c>
      <c r="O159" s="8">
        <f>IF(ISNA(MATCH(146,Engine!$C$2:$C$679,0)),"",INDEX('Compliance Database'!$O$2:$O$679,MATCH(146,Engine!$C$2:$C$679,0)))</f>
        <v/>
      </c>
      <c r="P159">
        <f>IF(ISNA(MATCH(146,Engine!$C$2:$C$679,0)),"",HYPERLINK(INDEX('Compliance Database'!$P$2:$P$679,MATCH(146,Engine!$C$2:$C$679,0)),"Open PDF"))</f>
        <v/>
      </c>
    </row>
    <row r="160">
      <c r="A160">
        <f>IF(ISNA(MATCH(147,Engine!$C$2:$C$679,0)),"",INDEX('Compliance Database'!$A$2:$A$679,MATCH(147,Engine!$C$2:$C$679,0)))</f>
        <v/>
      </c>
      <c r="B160">
        <f>IF(ISNA(MATCH(147,Engine!$C$2:$C$679,0)),"",INDEX('Compliance Database'!$B$2:$B$679,MATCH(147,Engine!$C$2:$C$679,0)))</f>
        <v/>
      </c>
      <c r="C160">
        <f>IF(ISNA(MATCH(147,Engine!$C$2:$C$679,0)),"",INDEX('Compliance Database'!$C$2:$C$679,MATCH(147,Engine!$C$2:$C$679,0)))</f>
        <v/>
      </c>
      <c r="D160" s="8">
        <f>IF(ISNA(MATCH(147,Engine!$C$2:$C$679,0)),"",INDEX('Compliance Database'!$D$2:$D$679,MATCH(147,Engine!$C$2:$C$679,0)))</f>
        <v/>
      </c>
      <c r="E160">
        <f>IF(ISNA(MATCH(147,Engine!$C$2:$C$679,0)),"",INDEX('Compliance Database'!$E$2:$E$679,MATCH(147,Engine!$C$2:$C$679,0)))</f>
        <v/>
      </c>
      <c r="F160">
        <f>IF(ISNA(MATCH(147,Engine!$C$2:$C$679,0)),"",INDEX('Compliance Database'!$F$2:$F$679,MATCH(147,Engine!$C$2:$C$679,0)))</f>
        <v/>
      </c>
      <c r="G160">
        <f>IF(ISNA(MATCH(147,Engine!$C$2:$C$679,0)),"",INDEX('Compliance Database'!$G$2:$G$679,MATCH(147,Engine!$C$2:$C$679,0)))</f>
        <v/>
      </c>
      <c r="H160">
        <f>IF(ISNA(MATCH(147,Engine!$C$2:$C$679,0)),"",INDEX('Compliance Database'!$H$2:$H$679,MATCH(147,Engine!$C$2:$C$679,0)))</f>
        <v/>
      </c>
      <c r="I160" s="8">
        <f>IF(ISNA(MATCH(147,Engine!$C$2:$C$679,0)),"",INDEX('Compliance Database'!$I$2:$I$679,MATCH(147,Engine!$C$2:$C$679,0)))</f>
        <v/>
      </c>
      <c r="J160" s="8">
        <f>IF(ISNA(MATCH(147,Engine!$C$2:$C$679,0)),"",INDEX('Compliance Database'!$J$2:$J$679,MATCH(147,Engine!$C$2:$C$679,0)))</f>
        <v/>
      </c>
      <c r="K160">
        <f>IF(ISNA(MATCH(147,Engine!$C$2:$C$679,0)),"",INDEX('Compliance Database'!$K$2:$K$679,MATCH(147,Engine!$C$2:$C$679,0)))</f>
        <v/>
      </c>
      <c r="L160" s="8">
        <f>IF(ISNA(MATCH(147,Engine!$C$2:$C$679,0)),"",INDEX('Compliance Database'!$L$2:$L$679,MATCH(147,Engine!$C$2:$C$679,0)))</f>
        <v/>
      </c>
      <c r="M160" s="8">
        <f>IF(ISNA(MATCH(147,Engine!$C$2:$C$679,0)),"",INDEX('Compliance Database'!$M$2:$M$679,MATCH(147,Engine!$C$2:$C$679,0)))</f>
        <v/>
      </c>
      <c r="N160" s="8">
        <f>IF(ISNA(MATCH(147,Engine!$C$2:$C$679,0)),"",INDEX('Compliance Database'!$N$2:$N$679,MATCH(147,Engine!$C$2:$C$679,0)))</f>
        <v/>
      </c>
      <c r="O160" s="8">
        <f>IF(ISNA(MATCH(147,Engine!$C$2:$C$679,0)),"",INDEX('Compliance Database'!$O$2:$O$679,MATCH(147,Engine!$C$2:$C$679,0)))</f>
        <v/>
      </c>
      <c r="P160">
        <f>IF(ISNA(MATCH(147,Engine!$C$2:$C$679,0)),"",HYPERLINK(INDEX('Compliance Database'!$P$2:$P$679,MATCH(147,Engine!$C$2:$C$679,0)),"Open PDF"))</f>
        <v/>
      </c>
    </row>
    <row r="161">
      <c r="A161">
        <f>IF(ISNA(MATCH(148,Engine!$C$2:$C$679,0)),"",INDEX('Compliance Database'!$A$2:$A$679,MATCH(148,Engine!$C$2:$C$679,0)))</f>
        <v/>
      </c>
      <c r="B161">
        <f>IF(ISNA(MATCH(148,Engine!$C$2:$C$679,0)),"",INDEX('Compliance Database'!$B$2:$B$679,MATCH(148,Engine!$C$2:$C$679,0)))</f>
        <v/>
      </c>
      <c r="C161">
        <f>IF(ISNA(MATCH(148,Engine!$C$2:$C$679,0)),"",INDEX('Compliance Database'!$C$2:$C$679,MATCH(148,Engine!$C$2:$C$679,0)))</f>
        <v/>
      </c>
      <c r="D161" s="8">
        <f>IF(ISNA(MATCH(148,Engine!$C$2:$C$679,0)),"",INDEX('Compliance Database'!$D$2:$D$679,MATCH(148,Engine!$C$2:$C$679,0)))</f>
        <v/>
      </c>
      <c r="E161">
        <f>IF(ISNA(MATCH(148,Engine!$C$2:$C$679,0)),"",INDEX('Compliance Database'!$E$2:$E$679,MATCH(148,Engine!$C$2:$C$679,0)))</f>
        <v/>
      </c>
      <c r="F161">
        <f>IF(ISNA(MATCH(148,Engine!$C$2:$C$679,0)),"",INDEX('Compliance Database'!$F$2:$F$679,MATCH(148,Engine!$C$2:$C$679,0)))</f>
        <v/>
      </c>
      <c r="G161">
        <f>IF(ISNA(MATCH(148,Engine!$C$2:$C$679,0)),"",INDEX('Compliance Database'!$G$2:$G$679,MATCH(148,Engine!$C$2:$C$679,0)))</f>
        <v/>
      </c>
      <c r="H161">
        <f>IF(ISNA(MATCH(148,Engine!$C$2:$C$679,0)),"",INDEX('Compliance Database'!$H$2:$H$679,MATCH(148,Engine!$C$2:$C$679,0)))</f>
        <v/>
      </c>
      <c r="I161" s="8">
        <f>IF(ISNA(MATCH(148,Engine!$C$2:$C$679,0)),"",INDEX('Compliance Database'!$I$2:$I$679,MATCH(148,Engine!$C$2:$C$679,0)))</f>
        <v/>
      </c>
      <c r="J161" s="8">
        <f>IF(ISNA(MATCH(148,Engine!$C$2:$C$679,0)),"",INDEX('Compliance Database'!$J$2:$J$679,MATCH(148,Engine!$C$2:$C$679,0)))</f>
        <v/>
      </c>
      <c r="K161">
        <f>IF(ISNA(MATCH(148,Engine!$C$2:$C$679,0)),"",INDEX('Compliance Database'!$K$2:$K$679,MATCH(148,Engine!$C$2:$C$679,0)))</f>
        <v/>
      </c>
      <c r="L161" s="8">
        <f>IF(ISNA(MATCH(148,Engine!$C$2:$C$679,0)),"",INDEX('Compliance Database'!$L$2:$L$679,MATCH(148,Engine!$C$2:$C$679,0)))</f>
        <v/>
      </c>
      <c r="M161" s="8">
        <f>IF(ISNA(MATCH(148,Engine!$C$2:$C$679,0)),"",INDEX('Compliance Database'!$M$2:$M$679,MATCH(148,Engine!$C$2:$C$679,0)))</f>
        <v/>
      </c>
      <c r="N161" s="8">
        <f>IF(ISNA(MATCH(148,Engine!$C$2:$C$679,0)),"",INDEX('Compliance Database'!$N$2:$N$679,MATCH(148,Engine!$C$2:$C$679,0)))</f>
        <v/>
      </c>
      <c r="O161" s="8">
        <f>IF(ISNA(MATCH(148,Engine!$C$2:$C$679,0)),"",INDEX('Compliance Database'!$O$2:$O$679,MATCH(148,Engine!$C$2:$C$679,0)))</f>
        <v/>
      </c>
      <c r="P161">
        <f>IF(ISNA(MATCH(148,Engine!$C$2:$C$679,0)),"",HYPERLINK(INDEX('Compliance Database'!$P$2:$P$679,MATCH(148,Engine!$C$2:$C$679,0)),"Open PDF"))</f>
        <v/>
      </c>
    </row>
    <row r="162">
      <c r="A162">
        <f>IF(ISNA(MATCH(149,Engine!$C$2:$C$679,0)),"",INDEX('Compliance Database'!$A$2:$A$679,MATCH(149,Engine!$C$2:$C$679,0)))</f>
        <v/>
      </c>
      <c r="B162">
        <f>IF(ISNA(MATCH(149,Engine!$C$2:$C$679,0)),"",INDEX('Compliance Database'!$B$2:$B$679,MATCH(149,Engine!$C$2:$C$679,0)))</f>
        <v/>
      </c>
      <c r="C162">
        <f>IF(ISNA(MATCH(149,Engine!$C$2:$C$679,0)),"",INDEX('Compliance Database'!$C$2:$C$679,MATCH(149,Engine!$C$2:$C$679,0)))</f>
        <v/>
      </c>
      <c r="D162" s="8">
        <f>IF(ISNA(MATCH(149,Engine!$C$2:$C$679,0)),"",INDEX('Compliance Database'!$D$2:$D$679,MATCH(149,Engine!$C$2:$C$679,0)))</f>
        <v/>
      </c>
      <c r="E162">
        <f>IF(ISNA(MATCH(149,Engine!$C$2:$C$679,0)),"",INDEX('Compliance Database'!$E$2:$E$679,MATCH(149,Engine!$C$2:$C$679,0)))</f>
        <v/>
      </c>
      <c r="F162">
        <f>IF(ISNA(MATCH(149,Engine!$C$2:$C$679,0)),"",INDEX('Compliance Database'!$F$2:$F$679,MATCH(149,Engine!$C$2:$C$679,0)))</f>
        <v/>
      </c>
      <c r="G162">
        <f>IF(ISNA(MATCH(149,Engine!$C$2:$C$679,0)),"",INDEX('Compliance Database'!$G$2:$G$679,MATCH(149,Engine!$C$2:$C$679,0)))</f>
        <v/>
      </c>
      <c r="H162">
        <f>IF(ISNA(MATCH(149,Engine!$C$2:$C$679,0)),"",INDEX('Compliance Database'!$H$2:$H$679,MATCH(149,Engine!$C$2:$C$679,0)))</f>
        <v/>
      </c>
      <c r="I162" s="8">
        <f>IF(ISNA(MATCH(149,Engine!$C$2:$C$679,0)),"",INDEX('Compliance Database'!$I$2:$I$679,MATCH(149,Engine!$C$2:$C$679,0)))</f>
        <v/>
      </c>
      <c r="J162" s="8">
        <f>IF(ISNA(MATCH(149,Engine!$C$2:$C$679,0)),"",INDEX('Compliance Database'!$J$2:$J$679,MATCH(149,Engine!$C$2:$C$679,0)))</f>
        <v/>
      </c>
      <c r="K162">
        <f>IF(ISNA(MATCH(149,Engine!$C$2:$C$679,0)),"",INDEX('Compliance Database'!$K$2:$K$679,MATCH(149,Engine!$C$2:$C$679,0)))</f>
        <v/>
      </c>
      <c r="L162" s="8">
        <f>IF(ISNA(MATCH(149,Engine!$C$2:$C$679,0)),"",INDEX('Compliance Database'!$L$2:$L$679,MATCH(149,Engine!$C$2:$C$679,0)))</f>
        <v/>
      </c>
      <c r="M162" s="8">
        <f>IF(ISNA(MATCH(149,Engine!$C$2:$C$679,0)),"",INDEX('Compliance Database'!$M$2:$M$679,MATCH(149,Engine!$C$2:$C$679,0)))</f>
        <v/>
      </c>
      <c r="N162" s="8">
        <f>IF(ISNA(MATCH(149,Engine!$C$2:$C$679,0)),"",INDEX('Compliance Database'!$N$2:$N$679,MATCH(149,Engine!$C$2:$C$679,0)))</f>
        <v/>
      </c>
      <c r="O162" s="8">
        <f>IF(ISNA(MATCH(149,Engine!$C$2:$C$679,0)),"",INDEX('Compliance Database'!$O$2:$O$679,MATCH(149,Engine!$C$2:$C$679,0)))</f>
        <v/>
      </c>
      <c r="P162">
        <f>IF(ISNA(MATCH(149,Engine!$C$2:$C$679,0)),"",HYPERLINK(INDEX('Compliance Database'!$P$2:$P$679,MATCH(149,Engine!$C$2:$C$679,0)),"Open PDF"))</f>
        <v/>
      </c>
    </row>
    <row r="163">
      <c r="A163">
        <f>IF(ISNA(MATCH(150,Engine!$C$2:$C$679,0)),"",INDEX('Compliance Database'!$A$2:$A$679,MATCH(150,Engine!$C$2:$C$679,0)))</f>
        <v/>
      </c>
      <c r="B163">
        <f>IF(ISNA(MATCH(150,Engine!$C$2:$C$679,0)),"",INDEX('Compliance Database'!$B$2:$B$679,MATCH(150,Engine!$C$2:$C$679,0)))</f>
        <v/>
      </c>
      <c r="C163">
        <f>IF(ISNA(MATCH(150,Engine!$C$2:$C$679,0)),"",INDEX('Compliance Database'!$C$2:$C$679,MATCH(150,Engine!$C$2:$C$679,0)))</f>
        <v/>
      </c>
      <c r="D163" s="8">
        <f>IF(ISNA(MATCH(150,Engine!$C$2:$C$679,0)),"",INDEX('Compliance Database'!$D$2:$D$679,MATCH(150,Engine!$C$2:$C$679,0)))</f>
        <v/>
      </c>
      <c r="E163">
        <f>IF(ISNA(MATCH(150,Engine!$C$2:$C$679,0)),"",INDEX('Compliance Database'!$E$2:$E$679,MATCH(150,Engine!$C$2:$C$679,0)))</f>
        <v/>
      </c>
      <c r="F163">
        <f>IF(ISNA(MATCH(150,Engine!$C$2:$C$679,0)),"",INDEX('Compliance Database'!$F$2:$F$679,MATCH(150,Engine!$C$2:$C$679,0)))</f>
        <v/>
      </c>
      <c r="G163">
        <f>IF(ISNA(MATCH(150,Engine!$C$2:$C$679,0)),"",INDEX('Compliance Database'!$G$2:$G$679,MATCH(150,Engine!$C$2:$C$679,0)))</f>
        <v/>
      </c>
      <c r="H163">
        <f>IF(ISNA(MATCH(150,Engine!$C$2:$C$679,0)),"",INDEX('Compliance Database'!$H$2:$H$679,MATCH(150,Engine!$C$2:$C$679,0)))</f>
        <v/>
      </c>
      <c r="I163" s="8">
        <f>IF(ISNA(MATCH(150,Engine!$C$2:$C$679,0)),"",INDEX('Compliance Database'!$I$2:$I$679,MATCH(150,Engine!$C$2:$C$679,0)))</f>
        <v/>
      </c>
      <c r="J163" s="8">
        <f>IF(ISNA(MATCH(150,Engine!$C$2:$C$679,0)),"",INDEX('Compliance Database'!$J$2:$J$679,MATCH(150,Engine!$C$2:$C$679,0)))</f>
        <v/>
      </c>
      <c r="K163">
        <f>IF(ISNA(MATCH(150,Engine!$C$2:$C$679,0)),"",INDEX('Compliance Database'!$K$2:$K$679,MATCH(150,Engine!$C$2:$C$679,0)))</f>
        <v/>
      </c>
      <c r="L163" s="8">
        <f>IF(ISNA(MATCH(150,Engine!$C$2:$C$679,0)),"",INDEX('Compliance Database'!$L$2:$L$679,MATCH(150,Engine!$C$2:$C$679,0)))</f>
        <v/>
      </c>
      <c r="M163" s="8">
        <f>IF(ISNA(MATCH(150,Engine!$C$2:$C$679,0)),"",INDEX('Compliance Database'!$M$2:$M$679,MATCH(150,Engine!$C$2:$C$679,0)))</f>
        <v/>
      </c>
      <c r="N163" s="8">
        <f>IF(ISNA(MATCH(150,Engine!$C$2:$C$679,0)),"",INDEX('Compliance Database'!$N$2:$N$679,MATCH(150,Engine!$C$2:$C$679,0)))</f>
        <v/>
      </c>
      <c r="O163" s="8">
        <f>IF(ISNA(MATCH(150,Engine!$C$2:$C$679,0)),"",INDEX('Compliance Database'!$O$2:$O$679,MATCH(150,Engine!$C$2:$C$679,0)))</f>
        <v/>
      </c>
      <c r="P163">
        <f>IF(ISNA(MATCH(150,Engine!$C$2:$C$679,0)),"",HYPERLINK(INDEX('Compliance Database'!$P$2:$P$679,MATCH(150,Engine!$C$2:$C$679,0)),"Open PDF"))</f>
        <v/>
      </c>
    </row>
    <row r="164">
      <c r="A164">
        <f>IF(ISNA(MATCH(151,Engine!$C$2:$C$679,0)),"",INDEX('Compliance Database'!$A$2:$A$679,MATCH(151,Engine!$C$2:$C$679,0)))</f>
        <v/>
      </c>
      <c r="B164">
        <f>IF(ISNA(MATCH(151,Engine!$C$2:$C$679,0)),"",INDEX('Compliance Database'!$B$2:$B$679,MATCH(151,Engine!$C$2:$C$679,0)))</f>
        <v/>
      </c>
      <c r="C164">
        <f>IF(ISNA(MATCH(151,Engine!$C$2:$C$679,0)),"",INDEX('Compliance Database'!$C$2:$C$679,MATCH(151,Engine!$C$2:$C$679,0)))</f>
        <v/>
      </c>
      <c r="D164" s="8">
        <f>IF(ISNA(MATCH(151,Engine!$C$2:$C$679,0)),"",INDEX('Compliance Database'!$D$2:$D$679,MATCH(151,Engine!$C$2:$C$679,0)))</f>
        <v/>
      </c>
      <c r="E164">
        <f>IF(ISNA(MATCH(151,Engine!$C$2:$C$679,0)),"",INDEX('Compliance Database'!$E$2:$E$679,MATCH(151,Engine!$C$2:$C$679,0)))</f>
        <v/>
      </c>
      <c r="F164">
        <f>IF(ISNA(MATCH(151,Engine!$C$2:$C$679,0)),"",INDEX('Compliance Database'!$F$2:$F$679,MATCH(151,Engine!$C$2:$C$679,0)))</f>
        <v/>
      </c>
      <c r="G164">
        <f>IF(ISNA(MATCH(151,Engine!$C$2:$C$679,0)),"",INDEX('Compliance Database'!$G$2:$G$679,MATCH(151,Engine!$C$2:$C$679,0)))</f>
        <v/>
      </c>
      <c r="H164">
        <f>IF(ISNA(MATCH(151,Engine!$C$2:$C$679,0)),"",INDEX('Compliance Database'!$H$2:$H$679,MATCH(151,Engine!$C$2:$C$679,0)))</f>
        <v/>
      </c>
      <c r="I164" s="8">
        <f>IF(ISNA(MATCH(151,Engine!$C$2:$C$679,0)),"",INDEX('Compliance Database'!$I$2:$I$679,MATCH(151,Engine!$C$2:$C$679,0)))</f>
        <v/>
      </c>
      <c r="J164" s="8">
        <f>IF(ISNA(MATCH(151,Engine!$C$2:$C$679,0)),"",INDEX('Compliance Database'!$J$2:$J$679,MATCH(151,Engine!$C$2:$C$679,0)))</f>
        <v/>
      </c>
      <c r="K164">
        <f>IF(ISNA(MATCH(151,Engine!$C$2:$C$679,0)),"",INDEX('Compliance Database'!$K$2:$K$679,MATCH(151,Engine!$C$2:$C$679,0)))</f>
        <v/>
      </c>
      <c r="L164" s="8">
        <f>IF(ISNA(MATCH(151,Engine!$C$2:$C$679,0)),"",INDEX('Compliance Database'!$L$2:$L$679,MATCH(151,Engine!$C$2:$C$679,0)))</f>
        <v/>
      </c>
      <c r="M164" s="8">
        <f>IF(ISNA(MATCH(151,Engine!$C$2:$C$679,0)),"",INDEX('Compliance Database'!$M$2:$M$679,MATCH(151,Engine!$C$2:$C$679,0)))</f>
        <v/>
      </c>
      <c r="N164" s="8">
        <f>IF(ISNA(MATCH(151,Engine!$C$2:$C$679,0)),"",INDEX('Compliance Database'!$N$2:$N$679,MATCH(151,Engine!$C$2:$C$679,0)))</f>
        <v/>
      </c>
      <c r="O164" s="8">
        <f>IF(ISNA(MATCH(151,Engine!$C$2:$C$679,0)),"",INDEX('Compliance Database'!$O$2:$O$679,MATCH(151,Engine!$C$2:$C$679,0)))</f>
        <v/>
      </c>
      <c r="P164">
        <f>IF(ISNA(MATCH(151,Engine!$C$2:$C$679,0)),"",HYPERLINK(INDEX('Compliance Database'!$P$2:$P$679,MATCH(151,Engine!$C$2:$C$679,0)),"Open PDF"))</f>
        <v/>
      </c>
    </row>
    <row r="165">
      <c r="A165">
        <f>IF(ISNA(MATCH(152,Engine!$C$2:$C$679,0)),"",INDEX('Compliance Database'!$A$2:$A$679,MATCH(152,Engine!$C$2:$C$679,0)))</f>
        <v/>
      </c>
      <c r="B165">
        <f>IF(ISNA(MATCH(152,Engine!$C$2:$C$679,0)),"",INDEX('Compliance Database'!$B$2:$B$679,MATCH(152,Engine!$C$2:$C$679,0)))</f>
        <v/>
      </c>
      <c r="C165">
        <f>IF(ISNA(MATCH(152,Engine!$C$2:$C$679,0)),"",INDEX('Compliance Database'!$C$2:$C$679,MATCH(152,Engine!$C$2:$C$679,0)))</f>
        <v/>
      </c>
      <c r="D165" s="8">
        <f>IF(ISNA(MATCH(152,Engine!$C$2:$C$679,0)),"",INDEX('Compliance Database'!$D$2:$D$679,MATCH(152,Engine!$C$2:$C$679,0)))</f>
        <v/>
      </c>
      <c r="E165">
        <f>IF(ISNA(MATCH(152,Engine!$C$2:$C$679,0)),"",INDEX('Compliance Database'!$E$2:$E$679,MATCH(152,Engine!$C$2:$C$679,0)))</f>
        <v/>
      </c>
      <c r="F165">
        <f>IF(ISNA(MATCH(152,Engine!$C$2:$C$679,0)),"",INDEX('Compliance Database'!$F$2:$F$679,MATCH(152,Engine!$C$2:$C$679,0)))</f>
        <v/>
      </c>
      <c r="G165">
        <f>IF(ISNA(MATCH(152,Engine!$C$2:$C$679,0)),"",INDEX('Compliance Database'!$G$2:$G$679,MATCH(152,Engine!$C$2:$C$679,0)))</f>
        <v/>
      </c>
      <c r="H165">
        <f>IF(ISNA(MATCH(152,Engine!$C$2:$C$679,0)),"",INDEX('Compliance Database'!$H$2:$H$679,MATCH(152,Engine!$C$2:$C$679,0)))</f>
        <v/>
      </c>
      <c r="I165" s="8">
        <f>IF(ISNA(MATCH(152,Engine!$C$2:$C$679,0)),"",INDEX('Compliance Database'!$I$2:$I$679,MATCH(152,Engine!$C$2:$C$679,0)))</f>
        <v/>
      </c>
      <c r="J165" s="8">
        <f>IF(ISNA(MATCH(152,Engine!$C$2:$C$679,0)),"",INDEX('Compliance Database'!$J$2:$J$679,MATCH(152,Engine!$C$2:$C$679,0)))</f>
        <v/>
      </c>
      <c r="K165">
        <f>IF(ISNA(MATCH(152,Engine!$C$2:$C$679,0)),"",INDEX('Compliance Database'!$K$2:$K$679,MATCH(152,Engine!$C$2:$C$679,0)))</f>
        <v/>
      </c>
      <c r="L165" s="8">
        <f>IF(ISNA(MATCH(152,Engine!$C$2:$C$679,0)),"",INDEX('Compliance Database'!$L$2:$L$679,MATCH(152,Engine!$C$2:$C$679,0)))</f>
        <v/>
      </c>
      <c r="M165" s="8">
        <f>IF(ISNA(MATCH(152,Engine!$C$2:$C$679,0)),"",INDEX('Compliance Database'!$M$2:$M$679,MATCH(152,Engine!$C$2:$C$679,0)))</f>
        <v/>
      </c>
      <c r="N165" s="8">
        <f>IF(ISNA(MATCH(152,Engine!$C$2:$C$679,0)),"",INDEX('Compliance Database'!$N$2:$N$679,MATCH(152,Engine!$C$2:$C$679,0)))</f>
        <v/>
      </c>
      <c r="O165" s="8">
        <f>IF(ISNA(MATCH(152,Engine!$C$2:$C$679,0)),"",INDEX('Compliance Database'!$O$2:$O$679,MATCH(152,Engine!$C$2:$C$679,0)))</f>
        <v/>
      </c>
      <c r="P165">
        <f>IF(ISNA(MATCH(152,Engine!$C$2:$C$679,0)),"",HYPERLINK(INDEX('Compliance Database'!$P$2:$P$679,MATCH(152,Engine!$C$2:$C$679,0)),"Open PDF"))</f>
        <v/>
      </c>
    </row>
    <row r="166">
      <c r="A166">
        <f>IF(ISNA(MATCH(153,Engine!$C$2:$C$679,0)),"",INDEX('Compliance Database'!$A$2:$A$679,MATCH(153,Engine!$C$2:$C$679,0)))</f>
        <v/>
      </c>
      <c r="B166">
        <f>IF(ISNA(MATCH(153,Engine!$C$2:$C$679,0)),"",INDEX('Compliance Database'!$B$2:$B$679,MATCH(153,Engine!$C$2:$C$679,0)))</f>
        <v/>
      </c>
      <c r="C166">
        <f>IF(ISNA(MATCH(153,Engine!$C$2:$C$679,0)),"",INDEX('Compliance Database'!$C$2:$C$679,MATCH(153,Engine!$C$2:$C$679,0)))</f>
        <v/>
      </c>
      <c r="D166" s="8">
        <f>IF(ISNA(MATCH(153,Engine!$C$2:$C$679,0)),"",INDEX('Compliance Database'!$D$2:$D$679,MATCH(153,Engine!$C$2:$C$679,0)))</f>
        <v/>
      </c>
      <c r="E166">
        <f>IF(ISNA(MATCH(153,Engine!$C$2:$C$679,0)),"",INDEX('Compliance Database'!$E$2:$E$679,MATCH(153,Engine!$C$2:$C$679,0)))</f>
        <v/>
      </c>
      <c r="F166">
        <f>IF(ISNA(MATCH(153,Engine!$C$2:$C$679,0)),"",INDEX('Compliance Database'!$F$2:$F$679,MATCH(153,Engine!$C$2:$C$679,0)))</f>
        <v/>
      </c>
      <c r="G166">
        <f>IF(ISNA(MATCH(153,Engine!$C$2:$C$679,0)),"",INDEX('Compliance Database'!$G$2:$G$679,MATCH(153,Engine!$C$2:$C$679,0)))</f>
        <v/>
      </c>
      <c r="H166">
        <f>IF(ISNA(MATCH(153,Engine!$C$2:$C$679,0)),"",INDEX('Compliance Database'!$H$2:$H$679,MATCH(153,Engine!$C$2:$C$679,0)))</f>
        <v/>
      </c>
      <c r="I166" s="8">
        <f>IF(ISNA(MATCH(153,Engine!$C$2:$C$679,0)),"",INDEX('Compliance Database'!$I$2:$I$679,MATCH(153,Engine!$C$2:$C$679,0)))</f>
        <v/>
      </c>
      <c r="J166" s="8">
        <f>IF(ISNA(MATCH(153,Engine!$C$2:$C$679,0)),"",INDEX('Compliance Database'!$J$2:$J$679,MATCH(153,Engine!$C$2:$C$679,0)))</f>
        <v/>
      </c>
      <c r="K166">
        <f>IF(ISNA(MATCH(153,Engine!$C$2:$C$679,0)),"",INDEX('Compliance Database'!$K$2:$K$679,MATCH(153,Engine!$C$2:$C$679,0)))</f>
        <v/>
      </c>
      <c r="L166" s="8">
        <f>IF(ISNA(MATCH(153,Engine!$C$2:$C$679,0)),"",INDEX('Compliance Database'!$L$2:$L$679,MATCH(153,Engine!$C$2:$C$679,0)))</f>
        <v/>
      </c>
      <c r="M166" s="8">
        <f>IF(ISNA(MATCH(153,Engine!$C$2:$C$679,0)),"",INDEX('Compliance Database'!$M$2:$M$679,MATCH(153,Engine!$C$2:$C$679,0)))</f>
        <v/>
      </c>
      <c r="N166" s="8">
        <f>IF(ISNA(MATCH(153,Engine!$C$2:$C$679,0)),"",INDEX('Compliance Database'!$N$2:$N$679,MATCH(153,Engine!$C$2:$C$679,0)))</f>
        <v/>
      </c>
      <c r="O166" s="8">
        <f>IF(ISNA(MATCH(153,Engine!$C$2:$C$679,0)),"",INDEX('Compliance Database'!$O$2:$O$679,MATCH(153,Engine!$C$2:$C$679,0)))</f>
        <v/>
      </c>
      <c r="P166">
        <f>IF(ISNA(MATCH(153,Engine!$C$2:$C$679,0)),"",HYPERLINK(INDEX('Compliance Database'!$P$2:$P$679,MATCH(153,Engine!$C$2:$C$679,0)),"Open PDF"))</f>
        <v/>
      </c>
    </row>
    <row r="167">
      <c r="A167">
        <f>IF(ISNA(MATCH(154,Engine!$C$2:$C$679,0)),"",INDEX('Compliance Database'!$A$2:$A$679,MATCH(154,Engine!$C$2:$C$679,0)))</f>
        <v/>
      </c>
      <c r="B167">
        <f>IF(ISNA(MATCH(154,Engine!$C$2:$C$679,0)),"",INDEX('Compliance Database'!$B$2:$B$679,MATCH(154,Engine!$C$2:$C$679,0)))</f>
        <v/>
      </c>
      <c r="C167">
        <f>IF(ISNA(MATCH(154,Engine!$C$2:$C$679,0)),"",INDEX('Compliance Database'!$C$2:$C$679,MATCH(154,Engine!$C$2:$C$679,0)))</f>
        <v/>
      </c>
      <c r="D167" s="8">
        <f>IF(ISNA(MATCH(154,Engine!$C$2:$C$679,0)),"",INDEX('Compliance Database'!$D$2:$D$679,MATCH(154,Engine!$C$2:$C$679,0)))</f>
        <v/>
      </c>
      <c r="E167">
        <f>IF(ISNA(MATCH(154,Engine!$C$2:$C$679,0)),"",INDEX('Compliance Database'!$E$2:$E$679,MATCH(154,Engine!$C$2:$C$679,0)))</f>
        <v/>
      </c>
      <c r="F167">
        <f>IF(ISNA(MATCH(154,Engine!$C$2:$C$679,0)),"",INDEX('Compliance Database'!$F$2:$F$679,MATCH(154,Engine!$C$2:$C$679,0)))</f>
        <v/>
      </c>
      <c r="G167">
        <f>IF(ISNA(MATCH(154,Engine!$C$2:$C$679,0)),"",INDEX('Compliance Database'!$G$2:$G$679,MATCH(154,Engine!$C$2:$C$679,0)))</f>
        <v/>
      </c>
      <c r="H167">
        <f>IF(ISNA(MATCH(154,Engine!$C$2:$C$679,0)),"",INDEX('Compliance Database'!$H$2:$H$679,MATCH(154,Engine!$C$2:$C$679,0)))</f>
        <v/>
      </c>
      <c r="I167" s="8">
        <f>IF(ISNA(MATCH(154,Engine!$C$2:$C$679,0)),"",INDEX('Compliance Database'!$I$2:$I$679,MATCH(154,Engine!$C$2:$C$679,0)))</f>
        <v/>
      </c>
      <c r="J167" s="8">
        <f>IF(ISNA(MATCH(154,Engine!$C$2:$C$679,0)),"",INDEX('Compliance Database'!$J$2:$J$679,MATCH(154,Engine!$C$2:$C$679,0)))</f>
        <v/>
      </c>
      <c r="K167">
        <f>IF(ISNA(MATCH(154,Engine!$C$2:$C$679,0)),"",INDEX('Compliance Database'!$K$2:$K$679,MATCH(154,Engine!$C$2:$C$679,0)))</f>
        <v/>
      </c>
      <c r="L167" s="8">
        <f>IF(ISNA(MATCH(154,Engine!$C$2:$C$679,0)),"",INDEX('Compliance Database'!$L$2:$L$679,MATCH(154,Engine!$C$2:$C$679,0)))</f>
        <v/>
      </c>
      <c r="M167" s="8">
        <f>IF(ISNA(MATCH(154,Engine!$C$2:$C$679,0)),"",INDEX('Compliance Database'!$M$2:$M$679,MATCH(154,Engine!$C$2:$C$679,0)))</f>
        <v/>
      </c>
      <c r="N167" s="8">
        <f>IF(ISNA(MATCH(154,Engine!$C$2:$C$679,0)),"",INDEX('Compliance Database'!$N$2:$N$679,MATCH(154,Engine!$C$2:$C$679,0)))</f>
        <v/>
      </c>
      <c r="O167" s="8">
        <f>IF(ISNA(MATCH(154,Engine!$C$2:$C$679,0)),"",INDEX('Compliance Database'!$O$2:$O$679,MATCH(154,Engine!$C$2:$C$679,0)))</f>
        <v/>
      </c>
      <c r="P167">
        <f>IF(ISNA(MATCH(154,Engine!$C$2:$C$679,0)),"",HYPERLINK(INDEX('Compliance Database'!$P$2:$P$679,MATCH(154,Engine!$C$2:$C$679,0)),"Open PDF"))</f>
        <v/>
      </c>
    </row>
    <row r="168">
      <c r="A168">
        <f>IF(ISNA(MATCH(155,Engine!$C$2:$C$679,0)),"",INDEX('Compliance Database'!$A$2:$A$679,MATCH(155,Engine!$C$2:$C$679,0)))</f>
        <v/>
      </c>
      <c r="B168">
        <f>IF(ISNA(MATCH(155,Engine!$C$2:$C$679,0)),"",INDEX('Compliance Database'!$B$2:$B$679,MATCH(155,Engine!$C$2:$C$679,0)))</f>
        <v/>
      </c>
      <c r="C168">
        <f>IF(ISNA(MATCH(155,Engine!$C$2:$C$679,0)),"",INDEX('Compliance Database'!$C$2:$C$679,MATCH(155,Engine!$C$2:$C$679,0)))</f>
        <v/>
      </c>
      <c r="D168" s="8">
        <f>IF(ISNA(MATCH(155,Engine!$C$2:$C$679,0)),"",INDEX('Compliance Database'!$D$2:$D$679,MATCH(155,Engine!$C$2:$C$679,0)))</f>
        <v/>
      </c>
      <c r="E168">
        <f>IF(ISNA(MATCH(155,Engine!$C$2:$C$679,0)),"",INDEX('Compliance Database'!$E$2:$E$679,MATCH(155,Engine!$C$2:$C$679,0)))</f>
        <v/>
      </c>
      <c r="F168">
        <f>IF(ISNA(MATCH(155,Engine!$C$2:$C$679,0)),"",INDEX('Compliance Database'!$F$2:$F$679,MATCH(155,Engine!$C$2:$C$679,0)))</f>
        <v/>
      </c>
      <c r="G168">
        <f>IF(ISNA(MATCH(155,Engine!$C$2:$C$679,0)),"",INDEX('Compliance Database'!$G$2:$G$679,MATCH(155,Engine!$C$2:$C$679,0)))</f>
        <v/>
      </c>
      <c r="H168">
        <f>IF(ISNA(MATCH(155,Engine!$C$2:$C$679,0)),"",INDEX('Compliance Database'!$H$2:$H$679,MATCH(155,Engine!$C$2:$C$679,0)))</f>
        <v/>
      </c>
      <c r="I168" s="8">
        <f>IF(ISNA(MATCH(155,Engine!$C$2:$C$679,0)),"",INDEX('Compliance Database'!$I$2:$I$679,MATCH(155,Engine!$C$2:$C$679,0)))</f>
        <v/>
      </c>
      <c r="J168" s="8">
        <f>IF(ISNA(MATCH(155,Engine!$C$2:$C$679,0)),"",INDEX('Compliance Database'!$J$2:$J$679,MATCH(155,Engine!$C$2:$C$679,0)))</f>
        <v/>
      </c>
      <c r="K168">
        <f>IF(ISNA(MATCH(155,Engine!$C$2:$C$679,0)),"",INDEX('Compliance Database'!$K$2:$K$679,MATCH(155,Engine!$C$2:$C$679,0)))</f>
        <v/>
      </c>
      <c r="L168" s="8">
        <f>IF(ISNA(MATCH(155,Engine!$C$2:$C$679,0)),"",INDEX('Compliance Database'!$L$2:$L$679,MATCH(155,Engine!$C$2:$C$679,0)))</f>
        <v/>
      </c>
      <c r="M168" s="8">
        <f>IF(ISNA(MATCH(155,Engine!$C$2:$C$679,0)),"",INDEX('Compliance Database'!$M$2:$M$679,MATCH(155,Engine!$C$2:$C$679,0)))</f>
        <v/>
      </c>
      <c r="N168" s="8">
        <f>IF(ISNA(MATCH(155,Engine!$C$2:$C$679,0)),"",INDEX('Compliance Database'!$N$2:$N$679,MATCH(155,Engine!$C$2:$C$679,0)))</f>
        <v/>
      </c>
      <c r="O168" s="8">
        <f>IF(ISNA(MATCH(155,Engine!$C$2:$C$679,0)),"",INDEX('Compliance Database'!$O$2:$O$679,MATCH(155,Engine!$C$2:$C$679,0)))</f>
        <v/>
      </c>
      <c r="P168">
        <f>IF(ISNA(MATCH(155,Engine!$C$2:$C$679,0)),"",HYPERLINK(INDEX('Compliance Database'!$P$2:$P$679,MATCH(155,Engine!$C$2:$C$679,0)),"Open PDF"))</f>
        <v/>
      </c>
    </row>
    <row r="169">
      <c r="A169">
        <f>IF(ISNA(MATCH(156,Engine!$C$2:$C$679,0)),"",INDEX('Compliance Database'!$A$2:$A$679,MATCH(156,Engine!$C$2:$C$679,0)))</f>
        <v/>
      </c>
      <c r="B169">
        <f>IF(ISNA(MATCH(156,Engine!$C$2:$C$679,0)),"",INDEX('Compliance Database'!$B$2:$B$679,MATCH(156,Engine!$C$2:$C$679,0)))</f>
        <v/>
      </c>
      <c r="C169">
        <f>IF(ISNA(MATCH(156,Engine!$C$2:$C$679,0)),"",INDEX('Compliance Database'!$C$2:$C$679,MATCH(156,Engine!$C$2:$C$679,0)))</f>
        <v/>
      </c>
      <c r="D169" s="8">
        <f>IF(ISNA(MATCH(156,Engine!$C$2:$C$679,0)),"",INDEX('Compliance Database'!$D$2:$D$679,MATCH(156,Engine!$C$2:$C$679,0)))</f>
        <v/>
      </c>
      <c r="E169">
        <f>IF(ISNA(MATCH(156,Engine!$C$2:$C$679,0)),"",INDEX('Compliance Database'!$E$2:$E$679,MATCH(156,Engine!$C$2:$C$679,0)))</f>
        <v/>
      </c>
      <c r="F169">
        <f>IF(ISNA(MATCH(156,Engine!$C$2:$C$679,0)),"",INDEX('Compliance Database'!$F$2:$F$679,MATCH(156,Engine!$C$2:$C$679,0)))</f>
        <v/>
      </c>
      <c r="G169">
        <f>IF(ISNA(MATCH(156,Engine!$C$2:$C$679,0)),"",INDEX('Compliance Database'!$G$2:$G$679,MATCH(156,Engine!$C$2:$C$679,0)))</f>
        <v/>
      </c>
      <c r="H169">
        <f>IF(ISNA(MATCH(156,Engine!$C$2:$C$679,0)),"",INDEX('Compliance Database'!$H$2:$H$679,MATCH(156,Engine!$C$2:$C$679,0)))</f>
        <v/>
      </c>
      <c r="I169" s="8">
        <f>IF(ISNA(MATCH(156,Engine!$C$2:$C$679,0)),"",INDEX('Compliance Database'!$I$2:$I$679,MATCH(156,Engine!$C$2:$C$679,0)))</f>
        <v/>
      </c>
      <c r="J169" s="8">
        <f>IF(ISNA(MATCH(156,Engine!$C$2:$C$679,0)),"",INDEX('Compliance Database'!$J$2:$J$679,MATCH(156,Engine!$C$2:$C$679,0)))</f>
        <v/>
      </c>
      <c r="K169">
        <f>IF(ISNA(MATCH(156,Engine!$C$2:$C$679,0)),"",INDEX('Compliance Database'!$K$2:$K$679,MATCH(156,Engine!$C$2:$C$679,0)))</f>
        <v/>
      </c>
      <c r="L169" s="8">
        <f>IF(ISNA(MATCH(156,Engine!$C$2:$C$679,0)),"",INDEX('Compliance Database'!$L$2:$L$679,MATCH(156,Engine!$C$2:$C$679,0)))</f>
        <v/>
      </c>
      <c r="M169" s="8">
        <f>IF(ISNA(MATCH(156,Engine!$C$2:$C$679,0)),"",INDEX('Compliance Database'!$M$2:$M$679,MATCH(156,Engine!$C$2:$C$679,0)))</f>
        <v/>
      </c>
      <c r="N169" s="8">
        <f>IF(ISNA(MATCH(156,Engine!$C$2:$C$679,0)),"",INDEX('Compliance Database'!$N$2:$N$679,MATCH(156,Engine!$C$2:$C$679,0)))</f>
        <v/>
      </c>
      <c r="O169" s="8">
        <f>IF(ISNA(MATCH(156,Engine!$C$2:$C$679,0)),"",INDEX('Compliance Database'!$O$2:$O$679,MATCH(156,Engine!$C$2:$C$679,0)))</f>
        <v/>
      </c>
      <c r="P169">
        <f>IF(ISNA(MATCH(156,Engine!$C$2:$C$679,0)),"",HYPERLINK(INDEX('Compliance Database'!$P$2:$P$679,MATCH(156,Engine!$C$2:$C$679,0)),"Open PDF"))</f>
        <v/>
      </c>
    </row>
    <row r="170">
      <c r="A170">
        <f>IF(ISNA(MATCH(157,Engine!$C$2:$C$679,0)),"",INDEX('Compliance Database'!$A$2:$A$679,MATCH(157,Engine!$C$2:$C$679,0)))</f>
        <v/>
      </c>
      <c r="B170">
        <f>IF(ISNA(MATCH(157,Engine!$C$2:$C$679,0)),"",INDEX('Compliance Database'!$B$2:$B$679,MATCH(157,Engine!$C$2:$C$679,0)))</f>
        <v/>
      </c>
      <c r="C170">
        <f>IF(ISNA(MATCH(157,Engine!$C$2:$C$679,0)),"",INDEX('Compliance Database'!$C$2:$C$679,MATCH(157,Engine!$C$2:$C$679,0)))</f>
        <v/>
      </c>
      <c r="D170" s="8">
        <f>IF(ISNA(MATCH(157,Engine!$C$2:$C$679,0)),"",INDEX('Compliance Database'!$D$2:$D$679,MATCH(157,Engine!$C$2:$C$679,0)))</f>
        <v/>
      </c>
      <c r="E170">
        <f>IF(ISNA(MATCH(157,Engine!$C$2:$C$679,0)),"",INDEX('Compliance Database'!$E$2:$E$679,MATCH(157,Engine!$C$2:$C$679,0)))</f>
        <v/>
      </c>
      <c r="F170">
        <f>IF(ISNA(MATCH(157,Engine!$C$2:$C$679,0)),"",INDEX('Compliance Database'!$F$2:$F$679,MATCH(157,Engine!$C$2:$C$679,0)))</f>
        <v/>
      </c>
      <c r="G170">
        <f>IF(ISNA(MATCH(157,Engine!$C$2:$C$679,0)),"",INDEX('Compliance Database'!$G$2:$G$679,MATCH(157,Engine!$C$2:$C$679,0)))</f>
        <v/>
      </c>
      <c r="H170">
        <f>IF(ISNA(MATCH(157,Engine!$C$2:$C$679,0)),"",INDEX('Compliance Database'!$H$2:$H$679,MATCH(157,Engine!$C$2:$C$679,0)))</f>
        <v/>
      </c>
      <c r="I170" s="8">
        <f>IF(ISNA(MATCH(157,Engine!$C$2:$C$679,0)),"",INDEX('Compliance Database'!$I$2:$I$679,MATCH(157,Engine!$C$2:$C$679,0)))</f>
        <v/>
      </c>
      <c r="J170" s="8">
        <f>IF(ISNA(MATCH(157,Engine!$C$2:$C$679,0)),"",INDEX('Compliance Database'!$J$2:$J$679,MATCH(157,Engine!$C$2:$C$679,0)))</f>
        <v/>
      </c>
      <c r="K170">
        <f>IF(ISNA(MATCH(157,Engine!$C$2:$C$679,0)),"",INDEX('Compliance Database'!$K$2:$K$679,MATCH(157,Engine!$C$2:$C$679,0)))</f>
        <v/>
      </c>
      <c r="L170" s="8">
        <f>IF(ISNA(MATCH(157,Engine!$C$2:$C$679,0)),"",INDEX('Compliance Database'!$L$2:$L$679,MATCH(157,Engine!$C$2:$C$679,0)))</f>
        <v/>
      </c>
      <c r="M170" s="8">
        <f>IF(ISNA(MATCH(157,Engine!$C$2:$C$679,0)),"",INDEX('Compliance Database'!$M$2:$M$679,MATCH(157,Engine!$C$2:$C$679,0)))</f>
        <v/>
      </c>
      <c r="N170" s="8">
        <f>IF(ISNA(MATCH(157,Engine!$C$2:$C$679,0)),"",INDEX('Compliance Database'!$N$2:$N$679,MATCH(157,Engine!$C$2:$C$679,0)))</f>
        <v/>
      </c>
      <c r="O170" s="8">
        <f>IF(ISNA(MATCH(157,Engine!$C$2:$C$679,0)),"",INDEX('Compliance Database'!$O$2:$O$679,MATCH(157,Engine!$C$2:$C$679,0)))</f>
        <v/>
      </c>
      <c r="P170">
        <f>IF(ISNA(MATCH(157,Engine!$C$2:$C$679,0)),"",HYPERLINK(INDEX('Compliance Database'!$P$2:$P$679,MATCH(157,Engine!$C$2:$C$679,0)),"Open PDF"))</f>
        <v/>
      </c>
    </row>
    <row r="171">
      <c r="A171">
        <f>IF(ISNA(MATCH(158,Engine!$C$2:$C$679,0)),"",INDEX('Compliance Database'!$A$2:$A$679,MATCH(158,Engine!$C$2:$C$679,0)))</f>
        <v/>
      </c>
      <c r="B171">
        <f>IF(ISNA(MATCH(158,Engine!$C$2:$C$679,0)),"",INDEX('Compliance Database'!$B$2:$B$679,MATCH(158,Engine!$C$2:$C$679,0)))</f>
        <v/>
      </c>
      <c r="C171">
        <f>IF(ISNA(MATCH(158,Engine!$C$2:$C$679,0)),"",INDEX('Compliance Database'!$C$2:$C$679,MATCH(158,Engine!$C$2:$C$679,0)))</f>
        <v/>
      </c>
      <c r="D171" s="8">
        <f>IF(ISNA(MATCH(158,Engine!$C$2:$C$679,0)),"",INDEX('Compliance Database'!$D$2:$D$679,MATCH(158,Engine!$C$2:$C$679,0)))</f>
        <v/>
      </c>
      <c r="E171">
        <f>IF(ISNA(MATCH(158,Engine!$C$2:$C$679,0)),"",INDEX('Compliance Database'!$E$2:$E$679,MATCH(158,Engine!$C$2:$C$679,0)))</f>
        <v/>
      </c>
      <c r="F171">
        <f>IF(ISNA(MATCH(158,Engine!$C$2:$C$679,0)),"",INDEX('Compliance Database'!$F$2:$F$679,MATCH(158,Engine!$C$2:$C$679,0)))</f>
        <v/>
      </c>
      <c r="G171">
        <f>IF(ISNA(MATCH(158,Engine!$C$2:$C$679,0)),"",INDEX('Compliance Database'!$G$2:$G$679,MATCH(158,Engine!$C$2:$C$679,0)))</f>
        <v/>
      </c>
      <c r="H171">
        <f>IF(ISNA(MATCH(158,Engine!$C$2:$C$679,0)),"",INDEX('Compliance Database'!$H$2:$H$679,MATCH(158,Engine!$C$2:$C$679,0)))</f>
        <v/>
      </c>
      <c r="I171" s="8">
        <f>IF(ISNA(MATCH(158,Engine!$C$2:$C$679,0)),"",INDEX('Compliance Database'!$I$2:$I$679,MATCH(158,Engine!$C$2:$C$679,0)))</f>
        <v/>
      </c>
      <c r="J171" s="8">
        <f>IF(ISNA(MATCH(158,Engine!$C$2:$C$679,0)),"",INDEX('Compliance Database'!$J$2:$J$679,MATCH(158,Engine!$C$2:$C$679,0)))</f>
        <v/>
      </c>
      <c r="K171">
        <f>IF(ISNA(MATCH(158,Engine!$C$2:$C$679,0)),"",INDEX('Compliance Database'!$K$2:$K$679,MATCH(158,Engine!$C$2:$C$679,0)))</f>
        <v/>
      </c>
      <c r="L171" s="8">
        <f>IF(ISNA(MATCH(158,Engine!$C$2:$C$679,0)),"",INDEX('Compliance Database'!$L$2:$L$679,MATCH(158,Engine!$C$2:$C$679,0)))</f>
        <v/>
      </c>
      <c r="M171" s="8">
        <f>IF(ISNA(MATCH(158,Engine!$C$2:$C$679,0)),"",INDEX('Compliance Database'!$M$2:$M$679,MATCH(158,Engine!$C$2:$C$679,0)))</f>
        <v/>
      </c>
      <c r="N171" s="8">
        <f>IF(ISNA(MATCH(158,Engine!$C$2:$C$679,0)),"",INDEX('Compliance Database'!$N$2:$N$679,MATCH(158,Engine!$C$2:$C$679,0)))</f>
        <v/>
      </c>
      <c r="O171" s="8">
        <f>IF(ISNA(MATCH(158,Engine!$C$2:$C$679,0)),"",INDEX('Compliance Database'!$O$2:$O$679,MATCH(158,Engine!$C$2:$C$679,0)))</f>
        <v/>
      </c>
      <c r="P171">
        <f>IF(ISNA(MATCH(158,Engine!$C$2:$C$679,0)),"",HYPERLINK(INDEX('Compliance Database'!$P$2:$P$679,MATCH(158,Engine!$C$2:$C$679,0)),"Open PDF"))</f>
        <v/>
      </c>
    </row>
    <row r="172">
      <c r="A172">
        <f>IF(ISNA(MATCH(159,Engine!$C$2:$C$679,0)),"",INDEX('Compliance Database'!$A$2:$A$679,MATCH(159,Engine!$C$2:$C$679,0)))</f>
        <v/>
      </c>
      <c r="B172">
        <f>IF(ISNA(MATCH(159,Engine!$C$2:$C$679,0)),"",INDEX('Compliance Database'!$B$2:$B$679,MATCH(159,Engine!$C$2:$C$679,0)))</f>
        <v/>
      </c>
      <c r="C172">
        <f>IF(ISNA(MATCH(159,Engine!$C$2:$C$679,0)),"",INDEX('Compliance Database'!$C$2:$C$679,MATCH(159,Engine!$C$2:$C$679,0)))</f>
        <v/>
      </c>
      <c r="D172" s="8">
        <f>IF(ISNA(MATCH(159,Engine!$C$2:$C$679,0)),"",INDEX('Compliance Database'!$D$2:$D$679,MATCH(159,Engine!$C$2:$C$679,0)))</f>
        <v/>
      </c>
      <c r="E172">
        <f>IF(ISNA(MATCH(159,Engine!$C$2:$C$679,0)),"",INDEX('Compliance Database'!$E$2:$E$679,MATCH(159,Engine!$C$2:$C$679,0)))</f>
        <v/>
      </c>
      <c r="F172">
        <f>IF(ISNA(MATCH(159,Engine!$C$2:$C$679,0)),"",INDEX('Compliance Database'!$F$2:$F$679,MATCH(159,Engine!$C$2:$C$679,0)))</f>
        <v/>
      </c>
      <c r="G172">
        <f>IF(ISNA(MATCH(159,Engine!$C$2:$C$679,0)),"",INDEX('Compliance Database'!$G$2:$G$679,MATCH(159,Engine!$C$2:$C$679,0)))</f>
        <v/>
      </c>
      <c r="H172">
        <f>IF(ISNA(MATCH(159,Engine!$C$2:$C$679,0)),"",INDEX('Compliance Database'!$H$2:$H$679,MATCH(159,Engine!$C$2:$C$679,0)))</f>
        <v/>
      </c>
      <c r="I172" s="8">
        <f>IF(ISNA(MATCH(159,Engine!$C$2:$C$679,0)),"",INDEX('Compliance Database'!$I$2:$I$679,MATCH(159,Engine!$C$2:$C$679,0)))</f>
        <v/>
      </c>
      <c r="J172" s="8">
        <f>IF(ISNA(MATCH(159,Engine!$C$2:$C$679,0)),"",INDEX('Compliance Database'!$J$2:$J$679,MATCH(159,Engine!$C$2:$C$679,0)))</f>
        <v/>
      </c>
      <c r="K172">
        <f>IF(ISNA(MATCH(159,Engine!$C$2:$C$679,0)),"",INDEX('Compliance Database'!$K$2:$K$679,MATCH(159,Engine!$C$2:$C$679,0)))</f>
        <v/>
      </c>
      <c r="L172" s="8">
        <f>IF(ISNA(MATCH(159,Engine!$C$2:$C$679,0)),"",INDEX('Compliance Database'!$L$2:$L$679,MATCH(159,Engine!$C$2:$C$679,0)))</f>
        <v/>
      </c>
      <c r="M172" s="8">
        <f>IF(ISNA(MATCH(159,Engine!$C$2:$C$679,0)),"",INDEX('Compliance Database'!$M$2:$M$679,MATCH(159,Engine!$C$2:$C$679,0)))</f>
        <v/>
      </c>
      <c r="N172" s="8">
        <f>IF(ISNA(MATCH(159,Engine!$C$2:$C$679,0)),"",INDEX('Compliance Database'!$N$2:$N$679,MATCH(159,Engine!$C$2:$C$679,0)))</f>
        <v/>
      </c>
      <c r="O172" s="8">
        <f>IF(ISNA(MATCH(159,Engine!$C$2:$C$679,0)),"",INDEX('Compliance Database'!$O$2:$O$679,MATCH(159,Engine!$C$2:$C$679,0)))</f>
        <v/>
      </c>
      <c r="P172">
        <f>IF(ISNA(MATCH(159,Engine!$C$2:$C$679,0)),"",HYPERLINK(INDEX('Compliance Database'!$P$2:$P$679,MATCH(159,Engine!$C$2:$C$679,0)),"Open PDF"))</f>
        <v/>
      </c>
    </row>
    <row r="173">
      <c r="A173">
        <f>IF(ISNA(MATCH(160,Engine!$C$2:$C$679,0)),"",INDEX('Compliance Database'!$A$2:$A$679,MATCH(160,Engine!$C$2:$C$679,0)))</f>
        <v/>
      </c>
      <c r="B173">
        <f>IF(ISNA(MATCH(160,Engine!$C$2:$C$679,0)),"",INDEX('Compliance Database'!$B$2:$B$679,MATCH(160,Engine!$C$2:$C$679,0)))</f>
        <v/>
      </c>
      <c r="C173">
        <f>IF(ISNA(MATCH(160,Engine!$C$2:$C$679,0)),"",INDEX('Compliance Database'!$C$2:$C$679,MATCH(160,Engine!$C$2:$C$679,0)))</f>
        <v/>
      </c>
      <c r="D173" s="8">
        <f>IF(ISNA(MATCH(160,Engine!$C$2:$C$679,0)),"",INDEX('Compliance Database'!$D$2:$D$679,MATCH(160,Engine!$C$2:$C$679,0)))</f>
        <v/>
      </c>
      <c r="E173">
        <f>IF(ISNA(MATCH(160,Engine!$C$2:$C$679,0)),"",INDEX('Compliance Database'!$E$2:$E$679,MATCH(160,Engine!$C$2:$C$679,0)))</f>
        <v/>
      </c>
      <c r="F173">
        <f>IF(ISNA(MATCH(160,Engine!$C$2:$C$679,0)),"",INDEX('Compliance Database'!$F$2:$F$679,MATCH(160,Engine!$C$2:$C$679,0)))</f>
        <v/>
      </c>
      <c r="G173">
        <f>IF(ISNA(MATCH(160,Engine!$C$2:$C$679,0)),"",INDEX('Compliance Database'!$G$2:$G$679,MATCH(160,Engine!$C$2:$C$679,0)))</f>
        <v/>
      </c>
      <c r="H173">
        <f>IF(ISNA(MATCH(160,Engine!$C$2:$C$679,0)),"",INDEX('Compliance Database'!$H$2:$H$679,MATCH(160,Engine!$C$2:$C$679,0)))</f>
        <v/>
      </c>
      <c r="I173" s="8">
        <f>IF(ISNA(MATCH(160,Engine!$C$2:$C$679,0)),"",INDEX('Compliance Database'!$I$2:$I$679,MATCH(160,Engine!$C$2:$C$679,0)))</f>
        <v/>
      </c>
      <c r="J173" s="8">
        <f>IF(ISNA(MATCH(160,Engine!$C$2:$C$679,0)),"",INDEX('Compliance Database'!$J$2:$J$679,MATCH(160,Engine!$C$2:$C$679,0)))</f>
        <v/>
      </c>
      <c r="K173">
        <f>IF(ISNA(MATCH(160,Engine!$C$2:$C$679,0)),"",INDEX('Compliance Database'!$K$2:$K$679,MATCH(160,Engine!$C$2:$C$679,0)))</f>
        <v/>
      </c>
      <c r="L173" s="8">
        <f>IF(ISNA(MATCH(160,Engine!$C$2:$C$679,0)),"",INDEX('Compliance Database'!$L$2:$L$679,MATCH(160,Engine!$C$2:$C$679,0)))</f>
        <v/>
      </c>
      <c r="M173" s="8">
        <f>IF(ISNA(MATCH(160,Engine!$C$2:$C$679,0)),"",INDEX('Compliance Database'!$M$2:$M$679,MATCH(160,Engine!$C$2:$C$679,0)))</f>
        <v/>
      </c>
      <c r="N173" s="8">
        <f>IF(ISNA(MATCH(160,Engine!$C$2:$C$679,0)),"",INDEX('Compliance Database'!$N$2:$N$679,MATCH(160,Engine!$C$2:$C$679,0)))</f>
        <v/>
      </c>
      <c r="O173" s="8">
        <f>IF(ISNA(MATCH(160,Engine!$C$2:$C$679,0)),"",INDEX('Compliance Database'!$O$2:$O$679,MATCH(160,Engine!$C$2:$C$679,0)))</f>
        <v/>
      </c>
      <c r="P173">
        <f>IF(ISNA(MATCH(160,Engine!$C$2:$C$679,0)),"",HYPERLINK(INDEX('Compliance Database'!$P$2:$P$679,MATCH(160,Engine!$C$2:$C$679,0)),"Open PDF"))</f>
        <v/>
      </c>
    </row>
    <row r="174">
      <c r="A174">
        <f>IF(ISNA(MATCH(161,Engine!$C$2:$C$679,0)),"",INDEX('Compliance Database'!$A$2:$A$679,MATCH(161,Engine!$C$2:$C$679,0)))</f>
        <v/>
      </c>
      <c r="B174">
        <f>IF(ISNA(MATCH(161,Engine!$C$2:$C$679,0)),"",INDEX('Compliance Database'!$B$2:$B$679,MATCH(161,Engine!$C$2:$C$679,0)))</f>
        <v/>
      </c>
      <c r="C174">
        <f>IF(ISNA(MATCH(161,Engine!$C$2:$C$679,0)),"",INDEX('Compliance Database'!$C$2:$C$679,MATCH(161,Engine!$C$2:$C$679,0)))</f>
        <v/>
      </c>
      <c r="D174" s="8">
        <f>IF(ISNA(MATCH(161,Engine!$C$2:$C$679,0)),"",INDEX('Compliance Database'!$D$2:$D$679,MATCH(161,Engine!$C$2:$C$679,0)))</f>
        <v/>
      </c>
      <c r="E174">
        <f>IF(ISNA(MATCH(161,Engine!$C$2:$C$679,0)),"",INDEX('Compliance Database'!$E$2:$E$679,MATCH(161,Engine!$C$2:$C$679,0)))</f>
        <v/>
      </c>
      <c r="F174">
        <f>IF(ISNA(MATCH(161,Engine!$C$2:$C$679,0)),"",INDEX('Compliance Database'!$F$2:$F$679,MATCH(161,Engine!$C$2:$C$679,0)))</f>
        <v/>
      </c>
      <c r="G174">
        <f>IF(ISNA(MATCH(161,Engine!$C$2:$C$679,0)),"",INDEX('Compliance Database'!$G$2:$G$679,MATCH(161,Engine!$C$2:$C$679,0)))</f>
        <v/>
      </c>
      <c r="H174">
        <f>IF(ISNA(MATCH(161,Engine!$C$2:$C$679,0)),"",INDEX('Compliance Database'!$H$2:$H$679,MATCH(161,Engine!$C$2:$C$679,0)))</f>
        <v/>
      </c>
      <c r="I174" s="8">
        <f>IF(ISNA(MATCH(161,Engine!$C$2:$C$679,0)),"",INDEX('Compliance Database'!$I$2:$I$679,MATCH(161,Engine!$C$2:$C$679,0)))</f>
        <v/>
      </c>
      <c r="J174" s="8">
        <f>IF(ISNA(MATCH(161,Engine!$C$2:$C$679,0)),"",INDEX('Compliance Database'!$J$2:$J$679,MATCH(161,Engine!$C$2:$C$679,0)))</f>
        <v/>
      </c>
      <c r="K174">
        <f>IF(ISNA(MATCH(161,Engine!$C$2:$C$679,0)),"",INDEX('Compliance Database'!$K$2:$K$679,MATCH(161,Engine!$C$2:$C$679,0)))</f>
        <v/>
      </c>
      <c r="L174" s="8">
        <f>IF(ISNA(MATCH(161,Engine!$C$2:$C$679,0)),"",INDEX('Compliance Database'!$L$2:$L$679,MATCH(161,Engine!$C$2:$C$679,0)))</f>
        <v/>
      </c>
      <c r="M174" s="8">
        <f>IF(ISNA(MATCH(161,Engine!$C$2:$C$679,0)),"",INDEX('Compliance Database'!$M$2:$M$679,MATCH(161,Engine!$C$2:$C$679,0)))</f>
        <v/>
      </c>
      <c r="N174" s="8">
        <f>IF(ISNA(MATCH(161,Engine!$C$2:$C$679,0)),"",INDEX('Compliance Database'!$N$2:$N$679,MATCH(161,Engine!$C$2:$C$679,0)))</f>
        <v/>
      </c>
      <c r="O174" s="8">
        <f>IF(ISNA(MATCH(161,Engine!$C$2:$C$679,0)),"",INDEX('Compliance Database'!$O$2:$O$679,MATCH(161,Engine!$C$2:$C$679,0)))</f>
        <v/>
      </c>
      <c r="P174">
        <f>IF(ISNA(MATCH(161,Engine!$C$2:$C$679,0)),"",HYPERLINK(INDEX('Compliance Database'!$P$2:$P$679,MATCH(161,Engine!$C$2:$C$679,0)),"Open PDF"))</f>
        <v/>
      </c>
    </row>
    <row r="175">
      <c r="A175">
        <f>IF(ISNA(MATCH(162,Engine!$C$2:$C$679,0)),"",INDEX('Compliance Database'!$A$2:$A$679,MATCH(162,Engine!$C$2:$C$679,0)))</f>
        <v/>
      </c>
      <c r="B175">
        <f>IF(ISNA(MATCH(162,Engine!$C$2:$C$679,0)),"",INDEX('Compliance Database'!$B$2:$B$679,MATCH(162,Engine!$C$2:$C$679,0)))</f>
        <v/>
      </c>
      <c r="C175">
        <f>IF(ISNA(MATCH(162,Engine!$C$2:$C$679,0)),"",INDEX('Compliance Database'!$C$2:$C$679,MATCH(162,Engine!$C$2:$C$679,0)))</f>
        <v/>
      </c>
      <c r="D175" s="8">
        <f>IF(ISNA(MATCH(162,Engine!$C$2:$C$679,0)),"",INDEX('Compliance Database'!$D$2:$D$679,MATCH(162,Engine!$C$2:$C$679,0)))</f>
        <v/>
      </c>
      <c r="E175">
        <f>IF(ISNA(MATCH(162,Engine!$C$2:$C$679,0)),"",INDEX('Compliance Database'!$E$2:$E$679,MATCH(162,Engine!$C$2:$C$679,0)))</f>
        <v/>
      </c>
      <c r="F175">
        <f>IF(ISNA(MATCH(162,Engine!$C$2:$C$679,0)),"",INDEX('Compliance Database'!$F$2:$F$679,MATCH(162,Engine!$C$2:$C$679,0)))</f>
        <v/>
      </c>
      <c r="G175">
        <f>IF(ISNA(MATCH(162,Engine!$C$2:$C$679,0)),"",INDEX('Compliance Database'!$G$2:$G$679,MATCH(162,Engine!$C$2:$C$679,0)))</f>
        <v/>
      </c>
      <c r="H175">
        <f>IF(ISNA(MATCH(162,Engine!$C$2:$C$679,0)),"",INDEX('Compliance Database'!$H$2:$H$679,MATCH(162,Engine!$C$2:$C$679,0)))</f>
        <v/>
      </c>
      <c r="I175" s="8">
        <f>IF(ISNA(MATCH(162,Engine!$C$2:$C$679,0)),"",INDEX('Compliance Database'!$I$2:$I$679,MATCH(162,Engine!$C$2:$C$679,0)))</f>
        <v/>
      </c>
      <c r="J175" s="8">
        <f>IF(ISNA(MATCH(162,Engine!$C$2:$C$679,0)),"",INDEX('Compliance Database'!$J$2:$J$679,MATCH(162,Engine!$C$2:$C$679,0)))</f>
        <v/>
      </c>
      <c r="K175">
        <f>IF(ISNA(MATCH(162,Engine!$C$2:$C$679,0)),"",INDEX('Compliance Database'!$K$2:$K$679,MATCH(162,Engine!$C$2:$C$679,0)))</f>
        <v/>
      </c>
      <c r="L175" s="8">
        <f>IF(ISNA(MATCH(162,Engine!$C$2:$C$679,0)),"",INDEX('Compliance Database'!$L$2:$L$679,MATCH(162,Engine!$C$2:$C$679,0)))</f>
        <v/>
      </c>
      <c r="M175" s="8">
        <f>IF(ISNA(MATCH(162,Engine!$C$2:$C$679,0)),"",INDEX('Compliance Database'!$M$2:$M$679,MATCH(162,Engine!$C$2:$C$679,0)))</f>
        <v/>
      </c>
      <c r="N175" s="8">
        <f>IF(ISNA(MATCH(162,Engine!$C$2:$C$679,0)),"",INDEX('Compliance Database'!$N$2:$N$679,MATCH(162,Engine!$C$2:$C$679,0)))</f>
        <v/>
      </c>
      <c r="O175" s="8">
        <f>IF(ISNA(MATCH(162,Engine!$C$2:$C$679,0)),"",INDEX('Compliance Database'!$O$2:$O$679,MATCH(162,Engine!$C$2:$C$679,0)))</f>
        <v/>
      </c>
      <c r="P175">
        <f>IF(ISNA(MATCH(162,Engine!$C$2:$C$679,0)),"",HYPERLINK(INDEX('Compliance Database'!$P$2:$P$679,MATCH(162,Engine!$C$2:$C$679,0)),"Open PDF"))</f>
        <v/>
      </c>
    </row>
    <row r="176">
      <c r="A176">
        <f>IF(ISNA(MATCH(163,Engine!$C$2:$C$679,0)),"",INDEX('Compliance Database'!$A$2:$A$679,MATCH(163,Engine!$C$2:$C$679,0)))</f>
        <v/>
      </c>
      <c r="B176">
        <f>IF(ISNA(MATCH(163,Engine!$C$2:$C$679,0)),"",INDEX('Compliance Database'!$B$2:$B$679,MATCH(163,Engine!$C$2:$C$679,0)))</f>
        <v/>
      </c>
      <c r="C176">
        <f>IF(ISNA(MATCH(163,Engine!$C$2:$C$679,0)),"",INDEX('Compliance Database'!$C$2:$C$679,MATCH(163,Engine!$C$2:$C$679,0)))</f>
        <v/>
      </c>
      <c r="D176" s="8">
        <f>IF(ISNA(MATCH(163,Engine!$C$2:$C$679,0)),"",INDEX('Compliance Database'!$D$2:$D$679,MATCH(163,Engine!$C$2:$C$679,0)))</f>
        <v/>
      </c>
      <c r="E176">
        <f>IF(ISNA(MATCH(163,Engine!$C$2:$C$679,0)),"",INDEX('Compliance Database'!$E$2:$E$679,MATCH(163,Engine!$C$2:$C$679,0)))</f>
        <v/>
      </c>
      <c r="F176">
        <f>IF(ISNA(MATCH(163,Engine!$C$2:$C$679,0)),"",INDEX('Compliance Database'!$F$2:$F$679,MATCH(163,Engine!$C$2:$C$679,0)))</f>
        <v/>
      </c>
      <c r="G176">
        <f>IF(ISNA(MATCH(163,Engine!$C$2:$C$679,0)),"",INDEX('Compliance Database'!$G$2:$G$679,MATCH(163,Engine!$C$2:$C$679,0)))</f>
        <v/>
      </c>
      <c r="H176">
        <f>IF(ISNA(MATCH(163,Engine!$C$2:$C$679,0)),"",INDEX('Compliance Database'!$H$2:$H$679,MATCH(163,Engine!$C$2:$C$679,0)))</f>
        <v/>
      </c>
      <c r="I176" s="8">
        <f>IF(ISNA(MATCH(163,Engine!$C$2:$C$679,0)),"",INDEX('Compliance Database'!$I$2:$I$679,MATCH(163,Engine!$C$2:$C$679,0)))</f>
        <v/>
      </c>
      <c r="J176" s="8">
        <f>IF(ISNA(MATCH(163,Engine!$C$2:$C$679,0)),"",INDEX('Compliance Database'!$J$2:$J$679,MATCH(163,Engine!$C$2:$C$679,0)))</f>
        <v/>
      </c>
      <c r="K176">
        <f>IF(ISNA(MATCH(163,Engine!$C$2:$C$679,0)),"",INDEX('Compliance Database'!$K$2:$K$679,MATCH(163,Engine!$C$2:$C$679,0)))</f>
        <v/>
      </c>
      <c r="L176" s="8">
        <f>IF(ISNA(MATCH(163,Engine!$C$2:$C$679,0)),"",INDEX('Compliance Database'!$L$2:$L$679,MATCH(163,Engine!$C$2:$C$679,0)))</f>
        <v/>
      </c>
      <c r="M176" s="8">
        <f>IF(ISNA(MATCH(163,Engine!$C$2:$C$679,0)),"",INDEX('Compliance Database'!$M$2:$M$679,MATCH(163,Engine!$C$2:$C$679,0)))</f>
        <v/>
      </c>
      <c r="N176" s="8">
        <f>IF(ISNA(MATCH(163,Engine!$C$2:$C$679,0)),"",INDEX('Compliance Database'!$N$2:$N$679,MATCH(163,Engine!$C$2:$C$679,0)))</f>
        <v/>
      </c>
      <c r="O176" s="8">
        <f>IF(ISNA(MATCH(163,Engine!$C$2:$C$679,0)),"",INDEX('Compliance Database'!$O$2:$O$679,MATCH(163,Engine!$C$2:$C$679,0)))</f>
        <v/>
      </c>
      <c r="P176">
        <f>IF(ISNA(MATCH(163,Engine!$C$2:$C$679,0)),"",HYPERLINK(INDEX('Compliance Database'!$P$2:$P$679,MATCH(163,Engine!$C$2:$C$679,0)),"Open PDF"))</f>
        <v/>
      </c>
    </row>
    <row r="177">
      <c r="A177">
        <f>IF(ISNA(MATCH(164,Engine!$C$2:$C$679,0)),"",INDEX('Compliance Database'!$A$2:$A$679,MATCH(164,Engine!$C$2:$C$679,0)))</f>
        <v/>
      </c>
      <c r="B177">
        <f>IF(ISNA(MATCH(164,Engine!$C$2:$C$679,0)),"",INDEX('Compliance Database'!$B$2:$B$679,MATCH(164,Engine!$C$2:$C$679,0)))</f>
        <v/>
      </c>
      <c r="C177">
        <f>IF(ISNA(MATCH(164,Engine!$C$2:$C$679,0)),"",INDEX('Compliance Database'!$C$2:$C$679,MATCH(164,Engine!$C$2:$C$679,0)))</f>
        <v/>
      </c>
      <c r="D177" s="8">
        <f>IF(ISNA(MATCH(164,Engine!$C$2:$C$679,0)),"",INDEX('Compliance Database'!$D$2:$D$679,MATCH(164,Engine!$C$2:$C$679,0)))</f>
        <v/>
      </c>
      <c r="E177">
        <f>IF(ISNA(MATCH(164,Engine!$C$2:$C$679,0)),"",INDEX('Compliance Database'!$E$2:$E$679,MATCH(164,Engine!$C$2:$C$679,0)))</f>
        <v/>
      </c>
      <c r="F177">
        <f>IF(ISNA(MATCH(164,Engine!$C$2:$C$679,0)),"",INDEX('Compliance Database'!$F$2:$F$679,MATCH(164,Engine!$C$2:$C$679,0)))</f>
        <v/>
      </c>
      <c r="G177">
        <f>IF(ISNA(MATCH(164,Engine!$C$2:$C$679,0)),"",INDEX('Compliance Database'!$G$2:$G$679,MATCH(164,Engine!$C$2:$C$679,0)))</f>
        <v/>
      </c>
      <c r="H177">
        <f>IF(ISNA(MATCH(164,Engine!$C$2:$C$679,0)),"",INDEX('Compliance Database'!$H$2:$H$679,MATCH(164,Engine!$C$2:$C$679,0)))</f>
        <v/>
      </c>
      <c r="I177" s="8">
        <f>IF(ISNA(MATCH(164,Engine!$C$2:$C$679,0)),"",INDEX('Compliance Database'!$I$2:$I$679,MATCH(164,Engine!$C$2:$C$679,0)))</f>
        <v/>
      </c>
      <c r="J177" s="8">
        <f>IF(ISNA(MATCH(164,Engine!$C$2:$C$679,0)),"",INDEX('Compliance Database'!$J$2:$J$679,MATCH(164,Engine!$C$2:$C$679,0)))</f>
        <v/>
      </c>
      <c r="K177">
        <f>IF(ISNA(MATCH(164,Engine!$C$2:$C$679,0)),"",INDEX('Compliance Database'!$K$2:$K$679,MATCH(164,Engine!$C$2:$C$679,0)))</f>
        <v/>
      </c>
      <c r="L177" s="8">
        <f>IF(ISNA(MATCH(164,Engine!$C$2:$C$679,0)),"",INDEX('Compliance Database'!$L$2:$L$679,MATCH(164,Engine!$C$2:$C$679,0)))</f>
        <v/>
      </c>
      <c r="M177" s="8">
        <f>IF(ISNA(MATCH(164,Engine!$C$2:$C$679,0)),"",INDEX('Compliance Database'!$M$2:$M$679,MATCH(164,Engine!$C$2:$C$679,0)))</f>
        <v/>
      </c>
      <c r="N177" s="8">
        <f>IF(ISNA(MATCH(164,Engine!$C$2:$C$679,0)),"",INDEX('Compliance Database'!$N$2:$N$679,MATCH(164,Engine!$C$2:$C$679,0)))</f>
        <v/>
      </c>
      <c r="O177" s="8">
        <f>IF(ISNA(MATCH(164,Engine!$C$2:$C$679,0)),"",INDEX('Compliance Database'!$O$2:$O$679,MATCH(164,Engine!$C$2:$C$679,0)))</f>
        <v/>
      </c>
      <c r="P177">
        <f>IF(ISNA(MATCH(164,Engine!$C$2:$C$679,0)),"",HYPERLINK(INDEX('Compliance Database'!$P$2:$P$679,MATCH(164,Engine!$C$2:$C$679,0)),"Open PDF"))</f>
        <v/>
      </c>
    </row>
    <row r="178">
      <c r="A178">
        <f>IF(ISNA(MATCH(165,Engine!$C$2:$C$679,0)),"",INDEX('Compliance Database'!$A$2:$A$679,MATCH(165,Engine!$C$2:$C$679,0)))</f>
        <v/>
      </c>
      <c r="B178">
        <f>IF(ISNA(MATCH(165,Engine!$C$2:$C$679,0)),"",INDEX('Compliance Database'!$B$2:$B$679,MATCH(165,Engine!$C$2:$C$679,0)))</f>
        <v/>
      </c>
      <c r="C178">
        <f>IF(ISNA(MATCH(165,Engine!$C$2:$C$679,0)),"",INDEX('Compliance Database'!$C$2:$C$679,MATCH(165,Engine!$C$2:$C$679,0)))</f>
        <v/>
      </c>
      <c r="D178" s="8">
        <f>IF(ISNA(MATCH(165,Engine!$C$2:$C$679,0)),"",INDEX('Compliance Database'!$D$2:$D$679,MATCH(165,Engine!$C$2:$C$679,0)))</f>
        <v/>
      </c>
      <c r="E178">
        <f>IF(ISNA(MATCH(165,Engine!$C$2:$C$679,0)),"",INDEX('Compliance Database'!$E$2:$E$679,MATCH(165,Engine!$C$2:$C$679,0)))</f>
        <v/>
      </c>
      <c r="F178">
        <f>IF(ISNA(MATCH(165,Engine!$C$2:$C$679,0)),"",INDEX('Compliance Database'!$F$2:$F$679,MATCH(165,Engine!$C$2:$C$679,0)))</f>
        <v/>
      </c>
      <c r="G178">
        <f>IF(ISNA(MATCH(165,Engine!$C$2:$C$679,0)),"",INDEX('Compliance Database'!$G$2:$G$679,MATCH(165,Engine!$C$2:$C$679,0)))</f>
        <v/>
      </c>
      <c r="H178">
        <f>IF(ISNA(MATCH(165,Engine!$C$2:$C$679,0)),"",INDEX('Compliance Database'!$H$2:$H$679,MATCH(165,Engine!$C$2:$C$679,0)))</f>
        <v/>
      </c>
      <c r="I178" s="8">
        <f>IF(ISNA(MATCH(165,Engine!$C$2:$C$679,0)),"",INDEX('Compliance Database'!$I$2:$I$679,MATCH(165,Engine!$C$2:$C$679,0)))</f>
        <v/>
      </c>
      <c r="J178" s="8">
        <f>IF(ISNA(MATCH(165,Engine!$C$2:$C$679,0)),"",INDEX('Compliance Database'!$J$2:$J$679,MATCH(165,Engine!$C$2:$C$679,0)))</f>
        <v/>
      </c>
      <c r="K178">
        <f>IF(ISNA(MATCH(165,Engine!$C$2:$C$679,0)),"",INDEX('Compliance Database'!$K$2:$K$679,MATCH(165,Engine!$C$2:$C$679,0)))</f>
        <v/>
      </c>
      <c r="L178" s="8">
        <f>IF(ISNA(MATCH(165,Engine!$C$2:$C$679,0)),"",INDEX('Compliance Database'!$L$2:$L$679,MATCH(165,Engine!$C$2:$C$679,0)))</f>
        <v/>
      </c>
      <c r="M178" s="8">
        <f>IF(ISNA(MATCH(165,Engine!$C$2:$C$679,0)),"",INDEX('Compliance Database'!$M$2:$M$679,MATCH(165,Engine!$C$2:$C$679,0)))</f>
        <v/>
      </c>
      <c r="N178" s="8">
        <f>IF(ISNA(MATCH(165,Engine!$C$2:$C$679,0)),"",INDEX('Compliance Database'!$N$2:$N$679,MATCH(165,Engine!$C$2:$C$679,0)))</f>
        <v/>
      </c>
      <c r="O178" s="8">
        <f>IF(ISNA(MATCH(165,Engine!$C$2:$C$679,0)),"",INDEX('Compliance Database'!$O$2:$O$679,MATCH(165,Engine!$C$2:$C$679,0)))</f>
        <v/>
      </c>
      <c r="P178">
        <f>IF(ISNA(MATCH(165,Engine!$C$2:$C$679,0)),"",HYPERLINK(INDEX('Compliance Database'!$P$2:$P$679,MATCH(165,Engine!$C$2:$C$679,0)),"Open PDF"))</f>
        <v/>
      </c>
    </row>
    <row r="179">
      <c r="A179">
        <f>IF(ISNA(MATCH(166,Engine!$C$2:$C$679,0)),"",INDEX('Compliance Database'!$A$2:$A$679,MATCH(166,Engine!$C$2:$C$679,0)))</f>
        <v/>
      </c>
      <c r="B179">
        <f>IF(ISNA(MATCH(166,Engine!$C$2:$C$679,0)),"",INDEX('Compliance Database'!$B$2:$B$679,MATCH(166,Engine!$C$2:$C$679,0)))</f>
        <v/>
      </c>
      <c r="C179">
        <f>IF(ISNA(MATCH(166,Engine!$C$2:$C$679,0)),"",INDEX('Compliance Database'!$C$2:$C$679,MATCH(166,Engine!$C$2:$C$679,0)))</f>
        <v/>
      </c>
      <c r="D179" s="8">
        <f>IF(ISNA(MATCH(166,Engine!$C$2:$C$679,0)),"",INDEX('Compliance Database'!$D$2:$D$679,MATCH(166,Engine!$C$2:$C$679,0)))</f>
        <v/>
      </c>
      <c r="E179">
        <f>IF(ISNA(MATCH(166,Engine!$C$2:$C$679,0)),"",INDEX('Compliance Database'!$E$2:$E$679,MATCH(166,Engine!$C$2:$C$679,0)))</f>
        <v/>
      </c>
      <c r="F179">
        <f>IF(ISNA(MATCH(166,Engine!$C$2:$C$679,0)),"",INDEX('Compliance Database'!$F$2:$F$679,MATCH(166,Engine!$C$2:$C$679,0)))</f>
        <v/>
      </c>
      <c r="G179">
        <f>IF(ISNA(MATCH(166,Engine!$C$2:$C$679,0)),"",INDEX('Compliance Database'!$G$2:$G$679,MATCH(166,Engine!$C$2:$C$679,0)))</f>
        <v/>
      </c>
      <c r="H179">
        <f>IF(ISNA(MATCH(166,Engine!$C$2:$C$679,0)),"",INDEX('Compliance Database'!$H$2:$H$679,MATCH(166,Engine!$C$2:$C$679,0)))</f>
        <v/>
      </c>
      <c r="I179" s="8">
        <f>IF(ISNA(MATCH(166,Engine!$C$2:$C$679,0)),"",INDEX('Compliance Database'!$I$2:$I$679,MATCH(166,Engine!$C$2:$C$679,0)))</f>
        <v/>
      </c>
      <c r="J179" s="8">
        <f>IF(ISNA(MATCH(166,Engine!$C$2:$C$679,0)),"",INDEX('Compliance Database'!$J$2:$J$679,MATCH(166,Engine!$C$2:$C$679,0)))</f>
        <v/>
      </c>
      <c r="K179">
        <f>IF(ISNA(MATCH(166,Engine!$C$2:$C$679,0)),"",INDEX('Compliance Database'!$K$2:$K$679,MATCH(166,Engine!$C$2:$C$679,0)))</f>
        <v/>
      </c>
      <c r="L179" s="8">
        <f>IF(ISNA(MATCH(166,Engine!$C$2:$C$679,0)),"",INDEX('Compliance Database'!$L$2:$L$679,MATCH(166,Engine!$C$2:$C$679,0)))</f>
        <v/>
      </c>
      <c r="M179" s="8">
        <f>IF(ISNA(MATCH(166,Engine!$C$2:$C$679,0)),"",INDEX('Compliance Database'!$M$2:$M$679,MATCH(166,Engine!$C$2:$C$679,0)))</f>
        <v/>
      </c>
      <c r="N179" s="8">
        <f>IF(ISNA(MATCH(166,Engine!$C$2:$C$679,0)),"",INDEX('Compliance Database'!$N$2:$N$679,MATCH(166,Engine!$C$2:$C$679,0)))</f>
        <v/>
      </c>
      <c r="O179" s="8">
        <f>IF(ISNA(MATCH(166,Engine!$C$2:$C$679,0)),"",INDEX('Compliance Database'!$O$2:$O$679,MATCH(166,Engine!$C$2:$C$679,0)))</f>
        <v/>
      </c>
      <c r="P179">
        <f>IF(ISNA(MATCH(166,Engine!$C$2:$C$679,0)),"",HYPERLINK(INDEX('Compliance Database'!$P$2:$P$679,MATCH(166,Engine!$C$2:$C$679,0)),"Open PDF"))</f>
        <v/>
      </c>
    </row>
    <row r="180">
      <c r="A180">
        <f>IF(ISNA(MATCH(167,Engine!$C$2:$C$679,0)),"",INDEX('Compliance Database'!$A$2:$A$679,MATCH(167,Engine!$C$2:$C$679,0)))</f>
        <v/>
      </c>
      <c r="B180">
        <f>IF(ISNA(MATCH(167,Engine!$C$2:$C$679,0)),"",INDEX('Compliance Database'!$B$2:$B$679,MATCH(167,Engine!$C$2:$C$679,0)))</f>
        <v/>
      </c>
      <c r="C180">
        <f>IF(ISNA(MATCH(167,Engine!$C$2:$C$679,0)),"",INDEX('Compliance Database'!$C$2:$C$679,MATCH(167,Engine!$C$2:$C$679,0)))</f>
        <v/>
      </c>
      <c r="D180" s="8">
        <f>IF(ISNA(MATCH(167,Engine!$C$2:$C$679,0)),"",INDEX('Compliance Database'!$D$2:$D$679,MATCH(167,Engine!$C$2:$C$679,0)))</f>
        <v/>
      </c>
      <c r="E180">
        <f>IF(ISNA(MATCH(167,Engine!$C$2:$C$679,0)),"",INDEX('Compliance Database'!$E$2:$E$679,MATCH(167,Engine!$C$2:$C$679,0)))</f>
        <v/>
      </c>
      <c r="F180">
        <f>IF(ISNA(MATCH(167,Engine!$C$2:$C$679,0)),"",INDEX('Compliance Database'!$F$2:$F$679,MATCH(167,Engine!$C$2:$C$679,0)))</f>
        <v/>
      </c>
      <c r="G180">
        <f>IF(ISNA(MATCH(167,Engine!$C$2:$C$679,0)),"",INDEX('Compliance Database'!$G$2:$G$679,MATCH(167,Engine!$C$2:$C$679,0)))</f>
        <v/>
      </c>
      <c r="H180">
        <f>IF(ISNA(MATCH(167,Engine!$C$2:$C$679,0)),"",INDEX('Compliance Database'!$H$2:$H$679,MATCH(167,Engine!$C$2:$C$679,0)))</f>
        <v/>
      </c>
      <c r="I180" s="8">
        <f>IF(ISNA(MATCH(167,Engine!$C$2:$C$679,0)),"",INDEX('Compliance Database'!$I$2:$I$679,MATCH(167,Engine!$C$2:$C$679,0)))</f>
        <v/>
      </c>
      <c r="J180" s="8">
        <f>IF(ISNA(MATCH(167,Engine!$C$2:$C$679,0)),"",INDEX('Compliance Database'!$J$2:$J$679,MATCH(167,Engine!$C$2:$C$679,0)))</f>
        <v/>
      </c>
      <c r="K180">
        <f>IF(ISNA(MATCH(167,Engine!$C$2:$C$679,0)),"",INDEX('Compliance Database'!$K$2:$K$679,MATCH(167,Engine!$C$2:$C$679,0)))</f>
        <v/>
      </c>
      <c r="L180" s="8">
        <f>IF(ISNA(MATCH(167,Engine!$C$2:$C$679,0)),"",INDEX('Compliance Database'!$L$2:$L$679,MATCH(167,Engine!$C$2:$C$679,0)))</f>
        <v/>
      </c>
      <c r="M180" s="8">
        <f>IF(ISNA(MATCH(167,Engine!$C$2:$C$679,0)),"",INDEX('Compliance Database'!$M$2:$M$679,MATCH(167,Engine!$C$2:$C$679,0)))</f>
        <v/>
      </c>
      <c r="N180" s="8">
        <f>IF(ISNA(MATCH(167,Engine!$C$2:$C$679,0)),"",INDEX('Compliance Database'!$N$2:$N$679,MATCH(167,Engine!$C$2:$C$679,0)))</f>
        <v/>
      </c>
      <c r="O180" s="8">
        <f>IF(ISNA(MATCH(167,Engine!$C$2:$C$679,0)),"",INDEX('Compliance Database'!$O$2:$O$679,MATCH(167,Engine!$C$2:$C$679,0)))</f>
        <v/>
      </c>
      <c r="P180">
        <f>IF(ISNA(MATCH(167,Engine!$C$2:$C$679,0)),"",HYPERLINK(INDEX('Compliance Database'!$P$2:$P$679,MATCH(167,Engine!$C$2:$C$679,0)),"Open PDF"))</f>
        <v/>
      </c>
    </row>
    <row r="181">
      <c r="A181">
        <f>IF(ISNA(MATCH(168,Engine!$C$2:$C$679,0)),"",INDEX('Compliance Database'!$A$2:$A$679,MATCH(168,Engine!$C$2:$C$679,0)))</f>
        <v/>
      </c>
      <c r="B181">
        <f>IF(ISNA(MATCH(168,Engine!$C$2:$C$679,0)),"",INDEX('Compliance Database'!$B$2:$B$679,MATCH(168,Engine!$C$2:$C$679,0)))</f>
        <v/>
      </c>
      <c r="C181">
        <f>IF(ISNA(MATCH(168,Engine!$C$2:$C$679,0)),"",INDEX('Compliance Database'!$C$2:$C$679,MATCH(168,Engine!$C$2:$C$679,0)))</f>
        <v/>
      </c>
      <c r="D181" s="8">
        <f>IF(ISNA(MATCH(168,Engine!$C$2:$C$679,0)),"",INDEX('Compliance Database'!$D$2:$D$679,MATCH(168,Engine!$C$2:$C$679,0)))</f>
        <v/>
      </c>
      <c r="E181">
        <f>IF(ISNA(MATCH(168,Engine!$C$2:$C$679,0)),"",INDEX('Compliance Database'!$E$2:$E$679,MATCH(168,Engine!$C$2:$C$679,0)))</f>
        <v/>
      </c>
      <c r="F181">
        <f>IF(ISNA(MATCH(168,Engine!$C$2:$C$679,0)),"",INDEX('Compliance Database'!$F$2:$F$679,MATCH(168,Engine!$C$2:$C$679,0)))</f>
        <v/>
      </c>
      <c r="G181">
        <f>IF(ISNA(MATCH(168,Engine!$C$2:$C$679,0)),"",INDEX('Compliance Database'!$G$2:$G$679,MATCH(168,Engine!$C$2:$C$679,0)))</f>
        <v/>
      </c>
      <c r="H181">
        <f>IF(ISNA(MATCH(168,Engine!$C$2:$C$679,0)),"",INDEX('Compliance Database'!$H$2:$H$679,MATCH(168,Engine!$C$2:$C$679,0)))</f>
        <v/>
      </c>
      <c r="I181" s="8">
        <f>IF(ISNA(MATCH(168,Engine!$C$2:$C$679,0)),"",INDEX('Compliance Database'!$I$2:$I$679,MATCH(168,Engine!$C$2:$C$679,0)))</f>
        <v/>
      </c>
      <c r="J181" s="8">
        <f>IF(ISNA(MATCH(168,Engine!$C$2:$C$679,0)),"",INDEX('Compliance Database'!$J$2:$J$679,MATCH(168,Engine!$C$2:$C$679,0)))</f>
        <v/>
      </c>
      <c r="K181">
        <f>IF(ISNA(MATCH(168,Engine!$C$2:$C$679,0)),"",INDEX('Compliance Database'!$K$2:$K$679,MATCH(168,Engine!$C$2:$C$679,0)))</f>
        <v/>
      </c>
      <c r="L181" s="8">
        <f>IF(ISNA(MATCH(168,Engine!$C$2:$C$679,0)),"",INDEX('Compliance Database'!$L$2:$L$679,MATCH(168,Engine!$C$2:$C$679,0)))</f>
        <v/>
      </c>
      <c r="M181" s="8">
        <f>IF(ISNA(MATCH(168,Engine!$C$2:$C$679,0)),"",INDEX('Compliance Database'!$M$2:$M$679,MATCH(168,Engine!$C$2:$C$679,0)))</f>
        <v/>
      </c>
      <c r="N181" s="8">
        <f>IF(ISNA(MATCH(168,Engine!$C$2:$C$679,0)),"",INDEX('Compliance Database'!$N$2:$N$679,MATCH(168,Engine!$C$2:$C$679,0)))</f>
        <v/>
      </c>
      <c r="O181" s="8">
        <f>IF(ISNA(MATCH(168,Engine!$C$2:$C$679,0)),"",INDEX('Compliance Database'!$O$2:$O$679,MATCH(168,Engine!$C$2:$C$679,0)))</f>
        <v/>
      </c>
      <c r="P181">
        <f>IF(ISNA(MATCH(168,Engine!$C$2:$C$679,0)),"",HYPERLINK(INDEX('Compliance Database'!$P$2:$P$679,MATCH(168,Engine!$C$2:$C$679,0)),"Open PDF"))</f>
        <v/>
      </c>
    </row>
    <row r="182">
      <c r="A182">
        <f>IF(ISNA(MATCH(169,Engine!$C$2:$C$679,0)),"",INDEX('Compliance Database'!$A$2:$A$679,MATCH(169,Engine!$C$2:$C$679,0)))</f>
        <v/>
      </c>
      <c r="B182">
        <f>IF(ISNA(MATCH(169,Engine!$C$2:$C$679,0)),"",INDEX('Compliance Database'!$B$2:$B$679,MATCH(169,Engine!$C$2:$C$679,0)))</f>
        <v/>
      </c>
      <c r="C182">
        <f>IF(ISNA(MATCH(169,Engine!$C$2:$C$679,0)),"",INDEX('Compliance Database'!$C$2:$C$679,MATCH(169,Engine!$C$2:$C$679,0)))</f>
        <v/>
      </c>
      <c r="D182" s="8">
        <f>IF(ISNA(MATCH(169,Engine!$C$2:$C$679,0)),"",INDEX('Compliance Database'!$D$2:$D$679,MATCH(169,Engine!$C$2:$C$679,0)))</f>
        <v/>
      </c>
      <c r="E182">
        <f>IF(ISNA(MATCH(169,Engine!$C$2:$C$679,0)),"",INDEX('Compliance Database'!$E$2:$E$679,MATCH(169,Engine!$C$2:$C$679,0)))</f>
        <v/>
      </c>
      <c r="F182">
        <f>IF(ISNA(MATCH(169,Engine!$C$2:$C$679,0)),"",INDEX('Compliance Database'!$F$2:$F$679,MATCH(169,Engine!$C$2:$C$679,0)))</f>
        <v/>
      </c>
      <c r="G182">
        <f>IF(ISNA(MATCH(169,Engine!$C$2:$C$679,0)),"",INDEX('Compliance Database'!$G$2:$G$679,MATCH(169,Engine!$C$2:$C$679,0)))</f>
        <v/>
      </c>
      <c r="H182">
        <f>IF(ISNA(MATCH(169,Engine!$C$2:$C$679,0)),"",INDEX('Compliance Database'!$H$2:$H$679,MATCH(169,Engine!$C$2:$C$679,0)))</f>
        <v/>
      </c>
      <c r="I182" s="8">
        <f>IF(ISNA(MATCH(169,Engine!$C$2:$C$679,0)),"",INDEX('Compliance Database'!$I$2:$I$679,MATCH(169,Engine!$C$2:$C$679,0)))</f>
        <v/>
      </c>
      <c r="J182" s="8">
        <f>IF(ISNA(MATCH(169,Engine!$C$2:$C$679,0)),"",INDEX('Compliance Database'!$J$2:$J$679,MATCH(169,Engine!$C$2:$C$679,0)))</f>
        <v/>
      </c>
      <c r="K182">
        <f>IF(ISNA(MATCH(169,Engine!$C$2:$C$679,0)),"",INDEX('Compliance Database'!$K$2:$K$679,MATCH(169,Engine!$C$2:$C$679,0)))</f>
        <v/>
      </c>
      <c r="L182" s="8">
        <f>IF(ISNA(MATCH(169,Engine!$C$2:$C$679,0)),"",INDEX('Compliance Database'!$L$2:$L$679,MATCH(169,Engine!$C$2:$C$679,0)))</f>
        <v/>
      </c>
      <c r="M182" s="8">
        <f>IF(ISNA(MATCH(169,Engine!$C$2:$C$679,0)),"",INDEX('Compliance Database'!$M$2:$M$679,MATCH(169,Engine!$C$2:$C$679,0)))</f>
        <v/>
      </c>
      <c r="N182" s="8">
        <f>IF(ISNA(MATCH(169,Engine!$C$2:$C$679,0)),"",INDEX('Compliance Database'!$N$2:$N$679,MATCH(169,Engine!$C$2:$C$679,0)))</f>
        <v/>
      </c>
      <c r="O182" s="8">
        <f>IF(ISNA(MATCH(169,Engine!$C$2:$C$679,0)),"",INDEX('Compliance Database'!$O$2:$O$679,MATCH(169,Engine!$C$2:$C$679,0)))</f>
        <v/>
      </c>
      <c r="P182">
        <f>IF(ISNA(MATCH(169,Engine!$C$2:$C$679,0)),"",HYPERLINK(INDEX('Compliance Database'!$P$2:$P$679,MATCH(169,Engine!$C$2:$C$679,0)),"Open PDF"))</f>
        <v/>
      </c>
    </row>
    <row r="183">
      <c r="A183">
        <f>IF(ISNA(MATCH(170,Engine!$C$2:$C$679,0)),"",INDEX('Compliance Database'!$A$2:$A$679,MATCH(170,Engine!$C$2:$C$679,0)))</f>
        <v/>
      </c>
      <c r="B183">
        <f>IF(ISNA(MATCH(170,Engine!$C$2:$C$679,0)),"",INDEX('Compliance Database'!$B$2:$B$679,MATCH(170,Engine!$C$2:$C$679,0)))</f>
        <v/>
      </c>
      <c r="C183">
        <f>IF(ISNA(MATCH(170,Engine!$C$2:$C$679,0)),"",INDEX('Compliance Database'!$C$2:$C$679,MATCH(170,Engine!$C$2:$C$679,0)))</f>
        <v/>
      </c>
      <c r="D183" s="8">
        <f>IF(ISNA(MATCH(170,Engine!$C$2:$C$679,0)),"",INDEX('Compliance Database'!$D$2:$D$679,MATCH(170,Engine!$C$2:$C$679,0)))</f>
        <v/>
      </c>
      <c r="E183">
        <f>IF(ISNA(MATCH(170,Engine!$C$2:$C$679,0)),"",INDEX('Compliance Database'!$E$2:$E$679,MATCH(170,Engine!$C$2:$C$679,0)))</f>
        <v/>
      </c>
      <c r="F183">
        <f>IF(ISNA(MATCH(170,Engine!$C$2:$C$679,0)),"",INDEX('Compliance Database'!$F$2:$F$679,MATCH(170,Engine!$C$2:$C$679,0)))</f>
        <v/>
      </c>
      <c r="G183">
        <f>IF(ISNA(MATCH(170,Engine!$C$2:$C$679,0)),"",INDEX('Compliance Database'!$G$2:$G$679,MATCH(170,Engine!$C$2:$C$679,0)))</f>
        <v/>
      </c>
      <c r="H183">
        <f>IF(ISNA(MATCH(170,Engine!$C$2:$C$679,0)),"",INDEX('Compliance Database'!$H$2:$H$679,MATCH(170,Engine!$C$2:$C$679,0)))</f>
        <v/>
      </c>
      <c r="I183" s="8">
        <f>IF(ISNA(MATCH(170,Engine!$C$2:$C$679,0)),"",INDEX('Compliance Database'!$I$2:$I$679,MATCH(170,Engine!$C$2:$C$679,0)))</f>
        <v/>
      </c>
      <c r="J183" s="8">
        <f>IF(ISNA(MATCH(170,Engine!$C$2:$C$679,0)),"",INDEX('Compliance Database'!$J$2:$J$679,MATCH(170,Engine!$C$2:$C$679,0)))</f>
        <v/>
      </c>
      <c r="K183">
        <f>IF(ISNA(MATCH(170,Engine!$C$2:$C$679,0)),"",INDEX('Compliance Database'!$K$2:$K$679,MATCH(170,Engine!$C$2:$C$679,0)))</f>
        <v/>
      </c>
      <c r="L183" s="8">
        <f>IF(ISNA(MATCH(170,Engine!$C$2:$C$679,0)),"",INDEX('Compliance Database'!$L$2:$L$679,MATCH(170,Engine!$C$2:$C$679,0)))</f>
        <v/>
      </c>
      <c r="M183" s="8">
        <f>IF(ISNA(MATCH(170,Engine!$C$2:$C$679,0)),"",INDEX('Compliance Database'!$M$2:$M$679,MATCH(170,Engine!$C$2:$C$679,0)))</f>
        <v/>
      </c>
      <c r="N183" s="8">
        <f>IF(ISNA(MATCH(170,Engine!$C$2:$C$679,0)),"",INDEX('Compliance Database'!$N$2:$N$679,MATCH(170,Engine!$C$2:$C$679,0)))</f>
        <v/>
      </c>
      <c r="O183" s="8">
        <f>IF(ISNA(MATCH(170,Engine!$C$2:$C$679,0)),"",INDEX('Compliance Database'!$O$2:$O$679,MATCH(170,Engine!$C$2:$C$679,0)))</f>
        <v/>
      </c>
      <c r="P183">
        <f>IF(ISNA(MATCH(170,Engine!$C$2:$C$679,0)),"",HYPERLINK(INDEX('Compliance Database'!$P$2:$P$679,MATCH(170,Engine!$C$2:$C$679,0)),"Open PDF"))</f>
        <v/>
      </c>
    </row>
    <row r="184">
      <c r="A184">
        <f>IF(ISNA(MATCH(171,Engine!$C$2:$C$679,0)),"",INDEX('Compliance Database'!$A$2:$A$679,MATCH(171,Engine!$C$2:$C$679,0)))</f>
        <v/>
      </c>
      <c r="B184">
        <f>IF(ISNA(MATCH(171,Engine!$C$2:$C$679,0)),"",INDEX('Compliance Database'!$B$2:$B$679,MATCH(171,Engine!$C$2:$C$679,0)))</f>
        <v/>
      </c>
      <c r="C184">
        <f>IF(ISNA(MATCH(171,Engine!$C$2:$C$679,0)),"",INDEX('Compliance Database'!$C$2:$C$679,MATCH(171,Engine!$C$2:$C$679,0)))</f>
        <v/>
      </c>
      <c r="D184" s="8">
        <f>IF(ISNA(MATCH(171,Engine!$C$2:$C$679,0)),"",INDEX('Compliance Database'!$D$2:$D$679,MATCH(171,Engine!$C$2:$C$679,0)))</f>
        <v/>
      </c>
      <c r="E184">
        <f>IF(ISNA(MATCH(171,Engine!$C$2:$C$679,0)),"",INDEX('Compliance Database'!$E$2:$E$679,MATCH(171,Engine!$C$2:$C$679,0)))</f>
        <v/>
      </c>
      <c r="F184">
        <f>IF(ISNA(MATCH(171,Engine!$C$2:$C$679,0)),"",INDEX('Compliance Database'!$F$2:$F$679,MATCH(171,Engine!$C$2:$C$679,0)))</f>
        <v/>
      </c>
      <c r="G184">
        <f>IF(ISNA(MATCH(171,Engine!$C$2:$C$679,0)),"",INDEX('Compliance Database'!$G$2:$G$679,MATCH(171,Engine!$C$2:$C$679,0)))</f>
        <v/>
      </c>
      <c r="H184">
        <f>IF(ISNA(MATCH(171,Engine!$C$2:$C$679,0)),"",INDEX('Compliance Database'!$H$2:$H$679,MATCH(171,Engine!$C$2:$C$679,0)))</f>
        <v/>
      </c>
      <c r="I184" s="8">
        <f>IF(ISNA(MATCH(171,Engine!$C$2:$C$679,0)),"",INDEX('Compliance Database'!$I$2:$I$679,MATCH(171,Engine!$C$2:$C$679,0)))</f>
        <v/>
      </c>
      <c r="J184" s="8">
        <f>IF(ISNA(MATCH(171,Engine!$C$2:$C$679,0)),"",INDEX('Compliance Database'!$J$2:$J$679,MATCH(171,Engine!$C$2:$C$679,0)))</f>
        <v/>
      </c>
      <c r="K184">
        <f>IF(ISNA(MATCH(171,Engine!$C$2:$C$679,0)),"",INDEX('Compliance Database'!$K$2:$K$679,MATCH(171,Engine!$C$2:$C$679,0)))</f>
        <v/>
      </c>
      <c r="L184" s="8">
        <f>IF(ISNA(MATCH(171,Engine!$C$2:$C$679,0)),"",INDEX('Compliance Database'!$L$2:$L$679,MATCH(171,Engine!$C$2:$C$679,0)))</f>
        <v/>
      </c>
      <c r="M184" s="8">
        <f>IF(ISNA(MATCH(171,Engine!$C$2:$C$679,0)),"",INDEX('Compliance Database'!$M$2:$M$679,MATCH(171,Engine!$C$2:$C$679,0)))</f>
        <v/>
      </c>
      <c r="N184" s="8">
        <f>IF(ISNA(MATCH(171,Engine!$C$2:$C$679,0)),"",INDEX('Compliance Database'!$N$2:$N$679,MATCH(171,Engine!$C$2:$C$679,0)))</f>
        <v/>
      </c>
      <c r="O184" s="8">
        <f>IF(ISNA(MATCH(171,Engine!$C$2:$C$679,0)),"",INDEX('Compliance Database'!$O$2:$O$679,MATCH(171,Engine!$C$2:$C$679,0)))</f>
        <v/>
      </c>
      <c r="P184">
        <f>IF(ISNA(MATCH(171,Engine!$C$2:$C$679,0)),"",HYPERLINK(INDEX('Compliance Database'!$P$2:$P$679,MATCH(171,Engine!$C$2:$C$679,0)),"Open PDF"))</f>
        <v/>
      </c>
    </row>
    <row r="185">
      <c r="A185">
        <f>IF(ISNA(MATCH(172,Engine!$C$2:$C$679,0)),"",INDEX('Compliance Database'!$A$2:$A$679,MATCH(172,Engine!$C$2:$C$679,0)))</f>
        <v/>
      </c>
      <c r="B185">
        <f>IF(ISNA(MATCH(172,Engine!$C$2:$C$679,0)),"",INDEX('Compliance Database'!$B$2:$B$679,MATCH(172,Engine!$C$2:$C$679,0)))</f>
        <v/>
      </c>
      <c r="C185">
        <f>IF(ISNA(MATCH(172,Engine!$C$2:$C$679,0)),"",INDEX('Compliance Database'!$C$2:$C$679,MATCH(172,Engine!$C$2:$C$679,0)))</f>
        <v/>
      </c>
      <c r="D185" s="8">
        <f>IF(ISNA(MATCH(172,Engine!$C$2:$C$679,0)),"",INDEX('Compliance Database'!$D$2:$D$679,MATCH(172,Engine!$C$2:$C$679,0)))</f>
        <v/>
      </c>
      <c r="E185">
        <f>IF(ISNA(MATCH(172,Engine!$C$2:$C$679,0)),"",INDEX('Compliance Database'!$E$2:$E$679,MATCH(172,Engine!$C$2:$C$679,0)))</f>
        <v/>
      </c>
      <c r="F185">
        <f>IF(ISNA(MATCH(172,Engine!$C$2:$C$679,0)),"",INDEX('Compliance Database'!$F$2:$F$679,MATCH(172,Engine!$C$2:$C$679,0)))</f>
        <v/>
      </c>
      <c r="G185">
        <f>IF(ISNA(MATCH(172,Engine!$C$2:$C$679,0)),"",INDEX('Compliance Database'!$G$2:$G$679,MATCH(172,Engine!$C$2:$C$679,0)))</f>
        <v/>
      </c>
      <c r="H185">
        <f>IF(ISNA(MATCH(172,Engine!$C$2:$C$679,0)),"",INDEX('Compliance Database'!$H$2:$H$679,MATCH(172,Engine!$C$2:$C$679,0)))</f>
        <v/>
      </c>
      <c r="I185" s="8">
        <f>IF(ISNA(MATCH(172,Engine!$C$2:$C$679,0)),"",INDEX('Compliance Database'!$I$2:$I$679,MATCH(172,Engine!$C$2:$C$679,0)))</f>
        <v/>
      </c>
      <c r="J185" s="8">
        <f>IF(ISNA(MATCH(172,Engine!$C$2:$C$679,0)),"",INDEX('Compliance Database'!$J$2:$J$679,MATCH(172,Engine!$C$2:$C$679,0)))</f>
        <v/>
      </c>
      <c r="K185">
        <f>IF(ISNA(MATCH(172,Engine!$C$2:$C$679,0)),"",INDEX('Compliance Database'!$K$2:$K$679,MATCH(172,Engine!$C$2:$C$679,0)))</f>
        <v/>
      </c>
      <c r="L185" s="8">
        <f>IF(ISNA(MATCH(172,Engine!$C$2:$C$679,0)),"",INDEX('Compliance Database'!$L$2:$L$679,MATCH(172,Engine!$C$2:$C$679,0)))</f>
        <v/>
      </c>
      <c r="M185" s="8">
        <f>IF(ISNA(MATCH(172,Engine!$C$2:$C$679,0)),"",INDEX('Compliance Database'!$M$2:$M$679,MATCH(172,Engine!$C$2:$C$679,0)))</f>
        <v/>
      </c>
      <c r="N185" s="8">
        <f>IF(ISNA(MATCH(172,Engine!$C$2:$C$679,0)),"",INDEX('Compliance Database'!$N$2:$N$679,MATCH(172,Engine!$C$2:$C$679,0)))</f>
        <v/>
      </c>
      <c r="O185" s="8">
        <f>IF(ISNA(MATCH(172,Engine!$C$2:$C$679,0)),"",INDEX('Compliance Database'!$O$2:$O$679,MATCH(172,Engine!$C$2:$C$679,0)))</f>
        <v/>
      </c>
      <c r="P185">
        <f>IF(ISNA(MATCH(172,Engine!$C$2:$C$679,0)),"",HYPERLINK(INDEX('Compliance Database'!$P$2:$P$679,MATCH(172,Engine!$C$2:$C$679,0)),"Open PDF"))</f>
        <v/>
      </c>
    </row>
    <row r="186">
      <c r="A186">
        <f>IF(ISNA(MATCH(173,Engine!$C$2:$C$679,0)),"",INDEX('Compliance Database'!$A$2:$A$679,MATCH(173,Engine!$C$2:$C$679,0)))</f>
        <v/>
      </c>
      <c r="B186">
        <f>IF(ISNA(MATCH(173,Engine!$C$2:$C$679,0)),"",INDEX('Compliance Database'!$B$2:$B$679,MATCH(173,Engine!$C$2:$C$679,0)))</f>
        <v/>
      </c>
      <c r="C186">
        <f>IF(ISNA(MATCH(173,Engine!$C$2:$C$679,0)),"",INDEX('Compliance Database'!$C$2:$C$679,MATCH(173,Engine!$C$2:$C$679,0)))</f>
        <v/>
      </c>
      <c r="D186" s="8">
        <f>IF(ISNA(MATCH(173,Engine!$C$2:$C$679,0)),"",INDEX('Compliance Database'!$D$2:$D$679,MATCH(173,Engine!$C$2:$C$679,0)))</f>
        <v/>
      </c>
      <c r="E186">
        <f>IF(ISNA(MATCH(173,Engine!$C$2:$C$679,0)),"",INDEX('Compliance Database'!$E$2:$E$679,MATCH(173,Engine!$C$2:$C$679,0)))</f>
        <v/>
      </c>
      <c r="F186">
        <f>IF(ISNA(MATCH(173,Engine!$C$2:$C$679,0)),"",INDEX('Compliance Database'!$F$2:$F$679,MATCH(173,Engine!$C$2:$C$679,0)))</f>
        <v/>
      </c>
      <c r="G186">
        <f>IF(ISNA(MATCH(173,Engine!$C$2:$C$679,0)),"",INDEX('Compliance Database'!$G$2:$G$679,MATCH(173,Engine!$C$2:$C$679,0)))</f>
        <v/>
      </c>
      <c r="H186">
        <f>IF(ISNA(MATCH(173,Engine!$C$2:$C$679,0)),"",INDEX('Compliance Database'!$H$2:$H$679,MATCH(173,Engine!$C$2:$C$679,0)))</f>
        <v/>
      </c>
      <c r="I186" s="8">
        <f>IF(ISNA(MATCH(173,Engine!$C$2:$C$679,0)),"",INDEX('Compliance Database'!$I$2:$I$679,MATCH(173,Engine!$C$2:$C$679,0)))</f>
        <v/>
      </c>
      <c r="J186" s="8">
        <f>IF(ISNA(MATCH(173,Engine!$C$2:$C$679,0)),"",INDEX('Compliance Database'!$J$2:$J$679,MATCH(173,Engine!$C$2:$C$679,0)))</f>
        <v/>
      </c>
      <c r="K186">
        <f>IF(ISNA(MATCH(173,Engine!$C$2:$C$679,0)),"",INDEX('Compliance Database'!$K$2:$K$679,MATCH(173,Engine!$C$2:$C$679,0)))</f>
        <v/>
      </c>
      <c r="L186" s="8">
        <f>IF(ISNA(MATCH(173,Engine!$C$2:$C$679,0)),"",INDEX('Compliance Database'!$L$2:$L$679,MATCH(173,Engine!$C$2:$C$679,0)))</f>
        <v/>
      </c>
      <c r="M186" s="8">
        <f>IF(ISNA(MATCH(173,Engine!$C$2:$C$679,0)),"",INDEX('Compliance Database'!$M$2:$M$679,MATCH(173,Engine!$C$2:$C$679,0)))</f>
        <v/>
      </c>
      <c r="N186" s="8">
        <f>IF(ISNA(MATCH(173,Engine!$C$2:$C$679,0)),"",INDEX('Compliance Database'!$N$2:$N$679,MATCH(173,Engine!$C$2:$C$679,0)))</f>
        <v/>
      </c>
      <c r="O186" s="8">
        <f>IF(ISNA(MATCH(173,Engine!$C$2:$C$679,0)),"",INDEX('Compliance Database'!$O$2:$O$679,MATCH(173,Engine!$C$2:$C$679,0)))</f>
        <v/>
      </c>
      <c r="P186">
        <f>IF(ISNA(MATCH(173,Engine!$C$2:$C$679,0)),"",HYPERLINK(INDEX('Compliance Database'!$P$2:$P$679,MATCH(173,Engine!$C$2:$C$679,0)),"Open PDF"))</f>
        <v/>
      </c>
    </row>
    <row r="187">
      <c r="A187">
        <f>IF(ISNA(MATCH(174,Engine!$C$2:$C$679,0)),"",INDEX('Compliance Database'!$A$2:$A$679,MATCH(174,Engine!$C$2:$C$679,0)))</f>
        <v/>
      </c>
      <c r="B187">
        <f>IF(ISNA(MATCH(174,Engine!$C$2:$C$679,0)),"",INDEX('Compliance Database'!$B$2:$B$679,MATCH(174,Engine!$C$2:$C$679,0)))</f>
        <v/>
      </c>
      <c r="C187">
        <f>IF(ISNA(MATCH(174,Engine!$C$2:$C$679,0)),"",INDEX('Compliance Database'!$C$2:$C$679,MATCH(174,Engine!$C$2:$C$679,0)))</f>
        <v/>
      </c>
      <c r="D187" s="8">
        <f>IF(ISNA(MATCH(174,Engine!$C$2:$C$679,0)),"",INDEX('Compliance Database'!$D$2:$D$679,MATCH(174,Engine!$C$2:$C$679,0)))</f>
        <v/>
      </c>
      <c r="E187">
        <f>IF(ISNA(MATCH(174,Engine!$C$2:$C$679,0)),"",INDEX('Compliance Database'!$E$2:$E$679,MATCH(174,Engine!$C$2:$C$679,0)))</f>
        <v/>
      </c>
      <c r="F187">
        <f>IF(ISNA(MATCH(174,Engine!$C$2:$C$679,0)),"",INDEX('Compliance Database'!$F$2:$F$679,MATCH(174,Engine!$C$2:$C$679,0)))</f>
        <v/>
      </c>
      <c r="G187">
        <f>IF(ISNA(MATCH(174,Engine!$C$2:$C$679,0)),"",INDEX('Compliance Database'!$G$2:$G$679,MATCH(174,Engine!$C$2:$C$679,0)))</f>
        <v/>
      </c>
      <c r="H187">
        <f>IF(ISNA(MATCH(174,Engine!$C$2:$C$679,0)),"",INDEX('Compliance Database'!$H$2:$H$679,MATCH(174,Engine!$C$2:$C$679,0)))</f>
        <v/>
      </c>
      <c r="I187" s="8">
        <f>IF(ISNA(MATCH(174,Engine!$C$2:$C$679,0)),"",INDEX('Compliance Database'!$I$2:$I$679,MATCH(174,Engine!$C$2:$C$679,0)))</f>
        <v/>
      </c>
      <c r="J187" s="8">
        <f>IF(ISNA(MATCH(174,Engine!$C$2:$C$679,0)),"",INDEX('Compliance Database'!$J$2:$J$679,MATCH(174,Engine!$C$2:$C$679,0)))</f>
        <v/>
      </c>
      <c r="K187">
        <f>IF(ISNA(MATCH(174,Engine!$C$2:$C$679,0)),"",INDEX('Compliance Database'!$K$2:$K$679,MATCH(174,Engine!$C$2:$C$679,0)))</f>
        <v/>
      </c>
      <c r="L187" s="8">
        <f>IF(ISNA(MATCH(174,Engine!$C$2:$C$679,0)),"",INDEX('Compliance Database'!$L$2:$L$679,MATCH(174,Engine!$C$2:$C$679,0)))</f>
        <v/>
      </c>
      <c r="M187" s="8">
        <f>IF(ISNA(MATCH(174,Engine!$C$2:$C$679,0)),"",INDEX('Compliance Database'!$M$2:$M$679,MATCH(174,Engine!$C$2:$C$679,0)))</f>
        <v/>
      </c>
      <c r="N187" s="8">
        <f>IF(ISNA(MATCH(174,Engine!$C$2:$C$679,0)),"",INDEX('Compliance Database'!$N$2:$N$679,MATCH(174,Engine!$C$2:$C$679,0)))</f>
        <v/>
      </c>
      <c r="O187" s="8">
        <f>IF(ISNA(MATCH(174,Engine!$C$2:$C$679,0)),"",INDEX('Compliance Database'!$O$2:$O$679,MATCH(174,Engine!$C$2:$C$679,0)))</f>
        <v/>
      </c>
      <c r="P187">
        <f>IF(ISNA(MATCH(174,Engine!$C$2:$C$679,0)),"",HYPERLINK(INDEX('Compliance Database'!$P$2:$P$679,MATCH(174,Engine!$C$2:$C$679,0)),"Open PDF"))</f>
        <v/>
      </c>
    </row>
    <row r="188">
      <c r="A188">
        <f>IF(ISNA(MATCH(175,Engine!$C$2:$C$679,0)),"",INDEX('Compliance Database'!$A$2:$A$679,MATCH(175,Engine!$C$2:$C$679,0)))</f>
        <v/>
      </c>
      <c r="B188">
        <f>IF(ISNA(MATCH(175,Engine!$C$2:$C$679,0)),"",INDEX('Compliance Database'!$B$2:$B$679,MATCH(175,Engine!$C$2:$C$679,0)))</f>
        <v/>
      </c>
      <c r="C188">
        <f>IF(ISNA(MATCH(175,Engine!$C$2:$C$679,0)),"",INDEX('Compliance Database'!$C$2:$C$679,MATCH(175,Engine!$C$2:$C$679,0)))</f>
        <v/>
      </c>
      <c r="D188" s="8">
        <f>IF(ISNA(MATCH(175,Engine!$C$2:$C$679,0)),"",INDEX('Compliance Database'!$D$2:$D$679,MATCH(175,Engine!$C$2:$C$679,0)))</f>
        <v/>
      </c>
      <c r="E188">
        <f>IF(ISNA(MATCH(175,Engine!$C$2:$C$679,0)),"",INDEX('Compliance Database'!$E$2:$E$679,MATCH(175,Engine!$C$2:$C$679,0)))</f>
        <v/>
      </c>
      <c r="F188">
        <f>IF(ISNA(MATCH(175,Engine!$C$2:$C$679,0)),"",INDEX('Compliance Database'!$F$2:$F$679,MATCH(175,Engine!$C$2:$C$679,0)))</f>
        <v/>
      </c>
      <c r="G188">
        <f>IF(ISNA(MATCH(175,Engine!$C$2:$C$679,0)),"",INDEX('Compliance Database'!$G$2:$G$679,MATCH(175,Engine!$C$2:$C$679,0)))</f>
        <v/>
      </c>
      <c r="H188">
        <f>IF(ISNA(MATCH(175,Engine!$C$2:$C$679,0)),"",INDEX('Compliance Database'!$H$2:$H$679,MATCH(175,Engine!$C$2:$C$679,0)))</f>
        <v/>
      </c>
      <c r="I188" s="8">
        <f>IF(ISNA(MATCH(175,Engine!$C$2:$C$679,0)),"",INDEX('Compliance Database'!$I$2:$I$679,MATCH(175,Engine!$C$2:$C$679,0)))</f>
        <v/>
      </c>
      <c r="J188" s="8">
        <f>IF(ISNA(MATCH(175,Engine!$C$2:$C$679,0)),"",INDEX('Compliance Database'!$J$2:$J$679,MATCH(175,Engine!$C$2:$C$679,0)))</f>
        <v/>
      </c>
      <c r="K188">
        <f>IF(ISNA(MATCH(175,Engine!$C$2:$C$679,0)),"",INDEX('Compliance Database'!$K$2:$K$679,MATCH(175,Engine!$C$2:$C$679,0)))</f>
        <v/>
      </c>
      <c r="L188" s="8">
        <f>IF(ISNA(MATCH(175,Engine!$C$2:$C$679,0)),"",INDEX('Compliance Database'!$L$2:$L$679,MATCH(175,Engine!$C$2:$C$679,0)))</f>
        <v/>
      </c>
      <c r="M188" s="8">
        <f>IF(ISNA(MATCH(175,Engine!$C$2:$C$679,0)),"",INDEX('Compliance Database'!$M$2:$M$679,MATCH(175,Engine!$C$2:$C$679,0)))</f>
        <v/>
      </c>
      <c r="N188" s="8">
        <f>IF(ISNA(MATCH(175,Engine!$C$2:$C$679,0)),"",INDEX('Compliance Database'!$N$2:$N$679,MATCH(175,Engine!$C$2:$C$679,0)))</f>
        <v/>
      </c>
      <c r="O188" s="8">
        <f>IF(ISNA(MATCH(175,Engine!$C$2:$C$679,0)),"",INDEX('Compliance Database'!$O$2:$O$679,MATCH(175,Engine!$C$2:$C$679,0)))</f>
        <v/>
      </c>
      <c r="P188">
        <f>IF(ISNA(MATCH(175,Engine!$C$2:$C$679,0)),"",HYPERLINK(INDEX('Compliance Database'!$P$2:$P$679,MATCH(175,Engine!$C$2:$C$679,0)),"Open PDF"))</f>
        <v/>
      </c>
    </row>
    <row r="189">
      <c r="A189">
        <f>IF(ISNA(MATCH(176,Engine!$C$2:$C$679,0)),"",INDEX('Compliance Database'!$A$2:$A$679,MATCH(176,Engine!$C$2:$C$679,0)))</f>
        <v/>
      </c>
      <c r="B189">
        <f>IF(ISNA(MATCH(176,Engine!$C$2:$C$679,0)),"",INDEX('Compliance Database'!$B$2:$B$679,MATCH(176,Engine!$C$2:$C$679,0)))</f>
        <v/>
      </c>
      <c r="C189">
        <f>IF(ISNA(MATCH(176,Engine!$C$2:$C$679,0)),"",INDEX('Compliance Database'!$C$2:$C$679,MATCH(176,Engine!$C$2:$C$679,0)))</f>
        <v/>
      </c>
      <c r="D189" s="8">
        <f>IF(ISNA(MATCH(176,Engine!$C$2:$C$679,0)),"",INDEX('Compliance Database'!$D$2:$D$679,MATCH(176,Engine!$C$2:$C$679,0)))</f>
        <v/>
      </c>
      <c r="E189">
        <f>IF(ISNA(MATCH(176,Engine!$C$2:$C$679,0)),"",INDEX('Compliance Database'!$E$2:$E$679,MATCH(176,Engine!$C$2:$C$679,0)))</f>
        <v/>
      </c>
      <c r="F189">
        <f>IF(ISNA(MATCH(176,Engine!$C$2:$C$679,0)),"",INDEX('Compliance Database'!$F$2:$F$679,MATCH(176,Engine!$C$2:$C$679,0)))</f>
        <v/>
      </c>
      <c r="G189">
        <f>IF(ISNA(MATCH(176,Engine!$C$2:$C$679,0)),"",INDEX('Compliance Database'!$G$2:$G$679,MATCH(176,Engine!$C$2:$C$679,0)))</f>
        <v/>
      </c>
      <c r="H189">
        <f>IF(ISNA(MATCH(176,Engine!$C$2:$C$679,0)),"",INDEX('Compliance Database'!$H$2:$H$679,MATCH(176,Engine!$C$2:$C$679,0)))</f>
        <v/>
      </c>
      <c r="I189" s="8">
        <f>IF(ISNA(MATCH(176,Engine!$C$2:$C$679,0)),"",INDEX('Compliance Database'!$I$2:$I$679,MATCH(176,Engine!$C$2:$C$679,0)))</f>
        <v/>
      </c>
      <c r="J189" s="8">
        <f>IF(ISNA(MATCH(176,Engine!$C$2:$C$679,0)),"",INDEX('Compliance Database'!$J$2:$J$679,MATCH(176,Engine!$C$2:$C$679,0)))</f>
        <v/>
      </c>
      <c r="K189">
        <f>IF(ISNA(MATCH(176,Engine!$C$2:$C$679,0)),"",INDEX('Compliance Database'!$K$2:$K$679,MATCH(176,Engine!$C$2:$C$679,0)))</f>
        <v/>
      </c>
      <c r="L189" s="8">
        <f>IF(ISNA(MATCH(176,Engine!$C$2:$C$679,0)),"",INDEX('Compliance Database'!$L$2:$L$679,MATCH(176,Engine!$C$2:$C$679,0)))</f>
        <v/>
      </c>
      <c r="M189" s="8">
        <f>IF(ISNA(MATCH(176,Engine!$C$2:$C$679,0)),"",INDEX('Compliance Database'!$M$2:$M$679,MATCH(176,Engine!$C$2:$C$679,0)))</f>
        <v/>
      </c>
      <c r="N189" s="8">
        <f>IF(ISNA(MATCH(176,Engine!$C$2:$C$679,0)),"",INDEX('Compliance Database'!$N$2:$N$679,MATCH(176,Engine!$C$2:$C$679,0)))</f>
        <v/>
      </c>
      <c r="O189" s="8">
        <f>IF(ISNA(MATCH(176,Engine!$C$2:$C$679,0)),"",INDEX('Compliance Database'!$O$2:$O$679,MATCH(176,Engine!$C$2:$C$679,0)))</f>
        <v/>
      </c>
      <c r="P189">
        <f>IF(ISNA(MATCH(176,Engine!$C$2:$C$679,0)),"",HYPERLINK(INDEX('Compliance Database'!$P$2:$P$679,MATCH(176,Engine!$C$2:$C$679,0)),"Open PDF"))</f>
        <v/>
      </c>
    </row>
    <row r="190">
      <c r="A190">
        <f>IF(ISNA(MATCH(177,Engine!$C$2:$C$679,0)),"",INDEX('Compliance Database'!$A$2:$A$679,MATCH(177,Engine!$C$2:$C$679,0)))</f>
        <v/>
      </c>
      <c r="B190">
        <f>IF(ISNA(MATCH(177,Engine!$C$2:$C$679,0)),"",INDEX('Compliance Database'!$B$2:$B$679,MATCH(177,Engine!$C$2:$C$679,0)))</f>
        <v/>
      </c>
      <c r="C190">
        <f>IF(ISNA(MATCH(177,Engine!$C$2:$C$679,0)),"",INDEX('Compliance Database'!$C$2:$C$679,MATCH(177,Engine!$C$2:$C$679,0)))</f>
        <v/>
      </c>
      <c r="D190" s="8">
        <f>IF(ISNA(MATCH(177,Engine!$C$2:$C$679,0)),"",INDEX('Compliance Database'!$D$2:$D$679,MATCH(177,Engine!$C$2:$C$679,0)))</f>
        <v/>
      </c>
      <c r="E190">
        <f>IF(ISNA(MATCH(177,Engine!$C$2:$C$679,0)),"",INDEX('Compliance Database'!$E$2:$E$679,MATCH(177,Engine!$C$2:$C$679,0)))</f>
        <v/>
      </c>
      <c r="F190">
        <f>IF(ISNA(MATCH(177,Engine!$C$2:$C$679,0)),"",INDEX('Compliance Database'!$F$2:$F$679,MATCH(177,Engine!$C$2:$C$679,0)))</f>
        <v/>
      </c>
      <c r="G190">
        <f>IF(ISNA(MATCH(177,Engine!$C$2:$C$679,0)),"",INDEX('Compliance Database'!$G$2:$G$679,MATCH(177,Engine!$C$2:$C$679,0)))</f>
        <v/>
      </c>
      <c r="H190">
        <f>IF(ISNA(MATCH(177,Engine!$C$2:$C$679,0)),"",INDEX('Compliance Database'!$H$2:$H$679,MATCH(177,Engine!$C$2:$C$679,0)))</f>
        <v/>
      </c>
      <c r="I190" s="8">
        <f>IF(ISNA(MATCH(177,Engine!$C$2:$C$679,0)),"",INDEX('Compliance Database'!$I$2:$I$679,MATCH(177,Engine!$C$2:$C$679,0)))</f>
        <v/>
      </c>
      <c r="J190" s="8">
        <f>IF(ISNA(MATCH(177,Engine!$C$2:$C$679,0)),"",INDEX('Compliance Database'!$J$2:$J$679,MATCH(177,Engine!$C$2:$C$679,0)))</f>
        <v/>
      </c>
      <c r="K190">
        <f>IF(ISNA(MATCH(177,Engine!$C$2:$C$679,0)),"",INDEX('Compliance Database'!$K$2:$K$679,MATCH(177,Engine!$C$2:$C$679,0)))</f>
        <v/>
      </c>
      <c r="L190" s="8">
        <f>IF(ISNA(MATCH(177,Engine!$C$2:$C$679,0)),"",INDEX('Compliance Database'!$L$2:$L$679,MATCH(177,Engine!$C$2:$C$679,0)))</f>
        <v/>
      </c>
      <c r="M190" s="8">
        <f>IF(ISNA(MATCH(177,Engine!$C$2:$C$679,0)),"",INDEX('Compliance Database'!$M$2:$M$679,MATCH(177,Engine!$C$2:$C$679,0)))</f>
        <v/>
      </c>
      <c r="N190" s="8">
        <f>IF(ISNA(MATCH(177,Engine!$C$2:$C$679,0)),"",INDEX('Compliance Database'!$N$2:$N$679,MATCH(177,Engine!$C$2:$C$679,0)))</f>
        <v/>
      </c>
      <c r="O190" s="8">
        <f>IF(ISNA(MATCH(177,Engine!$C$2:$C$679,0)),"",INDEX('Compliance Database'!$O$2:$O$679,MATCH(177,Engine!$C$2:$C$679,0)))</f>
        <v/>
      </c>
      <c r="P190">
        <f>IF(ISNA(MATCH(177,Engine!$C$2:$C$679,0)),"",HYPERLINK(INDEX('Compliance Database'!$P$2:$P$679,MATCH(177,Engine!$C$2:$C$679,0)),"Open PDF"))</f>
        <v/>
      </c>
    </row>
    <row r="191">
      <c r="A191">
        <f>IF(ISNA(MATCH(178,Engine!$C$2:$C$679,0)),"",INDEX('Compliance Database'!$A$2:$A$679,MATCH(178,Engine!$C$2:$C$679,0)))</f>
        <v/>
      </c>
      <c r="B191">
        <f>IF(ISNA(MATCH(178,Engine!$C$2:$C$679,0)),"",INDEX('Compliance Database'!$B$2:$B$679,MATCH(178,Engine!$C$2:$C$679,0)))</f>
        <v/>
      </c>
      <c r="C191">
        <f>IF(ISNA(MATCH(178,Engine!$C$2:$C$679,0)),"",INDEX('Compliance Database'!$C$2:$C$679,MATCH(178,Engine!$C$2:$C$679,0)))</f>
        <v/>
      </c>
      <c r="D191" s="8">
        <f>IF(ISNA(MATCH(178,Engine!$C$2:$C$679,0)),"",INDEX('Compliance Database'!$D$2:$D$679,MATCH(178,Engine!$C$2:$C$679,0)))</f>
        <v/>
      </c>
      <c r="E191">
        <f>IF(ISNA(MATCH(178,Engine!$C$2:$C$679,0)),"",INDEX('Compliance Database'!$E$2:$E$679,MATCH(178,Engine!$C$2:$C$679,0)))</f>
        <v/>
      </c>
      <c r="F191">
        <f>IF(ISNA(MATCH(178,Engine!$C$2:$C$679,0)),"",INDEX('Compliance Database'!$F$2:$F$679,MATCH(178,Engine!$C$2:$C$679,0)))</f>
        <v/>
      </c>
      <c r="G191">
        <f>IF(ISNA(MATCH(178,Engine!$C$2:$C$679,0)),"",INDEX('Compliance Database'!$G$2:$G$679,MATCH(178,Engine!$C$2:$C$679,0)))</f>
        <v/>
      </c>
      <c r="H191">
        <f>IF(ISNA(MATCH(178,Engine!$C$2:$C$679,0)),"",INDEX('Compliance Database'!$H$2:$H$679,MATCH(178,Engine!$C$2:$C$679,0)))</f>
        <v/>
      </c>
      <c r="I191" s="8">
        <f>IF(ISNA(MATCH(178,Engine!$C$2:$C$679,0)),"",INDEX('Compliance Database'!$I$2:$I$679,MATCH(178,Engine!$C$2:$C$679,0)))</f>
        <v/>
      </c>
      <c r="J191" s="8">
        <f>IF(ISNA(MATCH(178,Engine!$C$2:$C$679,0)),"",INDEX('Compliance Database'!$J$2:$J$679,MATCH(178,Engine!$C$2:$C$679,0)))</f>
        <v/>
      </c>
      <c r="K191">
        <f>IF(ISNA(MATCH(178,Engine!$C$2:$C$679,0)),"",INDEX('Compliance Database'!$K$2:$K$679,MATCH(178,Engine!$C$2:$C$679,0)))</f>
        <v/>
      </c>
      <c r="L191" s="8">
        <f>IF(ISNA(MATCH(178,Engine!$C$2:$C$679,0)),"",INDEX('Compliance Database'!$L$2:$L$679,MATCH(178,Engine!$C$2:$C$679,0)))</f>
        <v/>
      </c>
      <c r="M191" s="8">
        <f>IF(ISNA(MATCH(178,Engine!$C$2:$C$679,0)),"",INDEX('Compliance Database'!$M$2:$M$679,MATCH(178,Engine!$C$2:$C$679,0)))</f>
        <v/>
      </c>
      <c r="N191" s="8">
        <f>IF(ISNA(MATCH(178,Engine!$C$2:$C$679,0)),"",INDEX('Compliance Database'!$N$2:$N$679,MATCH(178,Engine!$C$2:$C$679,0)))</f>
        <v/>
      </c>
      <c r="O191" s="8">
        <f>IF(ISNA(MATCH(178,Engine!$C$2:$C$679,0)),"",INDEX('Compliance Database'!$O$2:$O$679,MATCH(178,Engine!$C$2:$C$679,0)))</f>
        <v/>
      </c>
      <c r="P191">
        <f>IF(ISNA(MATCH(178,Engine!$C$2:$C$679,0)),"",HYPERLINK(INDEX('Compliance Database'!$P$2:$P$679,MATCH(178,Engine!$C$2:$C$679,0)),"Open PDF"))</f>
        <v/>
      </c>
    </row>
    <row r="192">
      <c r="A192">
        <f>IF(ISNA(MATCH(179,Engine!$C$2:$C$679,0)),"",INDEX('Compliance Database'!$A$2:$A$679,MATCH(179,Engine!$C$2:$C$679,0)))</f>
        <v/>
      </c>
      <c r="B192">
        <f>IF(ISNA(MATCH(179,Engine!$C$2:$C$679,0)),"",INDEX('Compliance Database'!$B$2:$B$679,MATCH(179,Engine!$C$2:$C$679,0)))</f>
        <v/>
      </c>
      <c r="C192">
        <f>IF(ISNA(MATCH(179,Engine!$C$2:$C$679,0)),"",INDEX('Compliance Database'!$C$2:$C$679,MATCH(179,Engine!$C$2:$C$679,0)))</f>
        <v/>
      </c>
      <c r="D192" s="8">
        <f>IF(ISNA(MATCH(179,Engine!$C$2:$C$679,0)),"",INDEX('Compliance Database'!$D$2:$D$679,MATCH(179,Engine!$C$2:$C$679,0)))</f>
        <v/>
      </c>
      <c r="E192">
        <f>IF(ISNA(MATCH(179,Engine!$C$2:$C$679,0)),"",INDEX('Compliance Database'!$E$2:$E$679,MATCH(179,Engine!$C$2:$C$679,0)))</f>
        <v/>
      </c>
      <c r="F192">
        <f>IF(ISNA(MATCH(179,Engine!$C$2:$C$679,0)),"",INDEX('Compliance Database'!$F$2:$F$679,MATCH(179,Engine!$C$2:$C$679,0)))</f>
        <v/>
      </c>
      <c r="G192">
        <f>IF(ISNA(MATCH(179,Engine!$C$2:$C$679,0)),"",INDEX('Compliance Database'!$G$2:$G$679,MATCH(179,Engine!$C$2:$C$679,0)))</f>
        <v/>
      </c>
      <c r="H192">
        <f>IF(ISNA(MATCH(179,Engine!$C$2:$C$679,0)),"",INDEX('Compliance Database'!$H$2:$H$679,MATCH(179,Engine!$C$2:$C$679,0)))</f>
        <v/>
      </c>
      <c r="I192" s="8">
        <f>IF(ISNA(MATCH(179,Engine!$C$2:$C$679,0)),"",INDEX('Compliance Database'!$I$2:$I$679,MATCH(179,Engine!$C$2:$C$679,0)))</f>
        <v/>
      </c>
      <c r="J192" s="8">
        <f>IF(ISNA(MATCH(179,Engine!$C$2:$C$679,0)),"",INDEX('Compliance Database'!$J$2:$J$679,MATCH(179,Engine!$C$2:$C$679,0)))</f>
        <v/>
      </c>
      <c r="K192">
        <f>IF(ISNA(MATCH(179,Engine!$C$2:$C$679,0)),"",INDEX('Compliance Database'!$K$2:$K$679,MATCH(179,Engine!$C$2:$C$679,0)))</f>
        <v/>
      </c>
      <c r="L192" s="8">
        <f>IF(ISNA(MATCH(179,Engine!$C$2:$C$679,0)),"",INDEX('Compliance Database'!$L$2:$L$679,MATCH(179,Engine!$C$2:$C$679,0)))</f>
        <v/>
      </c>
      <c r="M192" s="8">
        <f>IF(ISNA(MATCH(179,Engine!$C$2:$C$679,0)),"",INDEX('Compliance Database'!$M$2:$M$679,MATCH(179,Engine!$C$2:$C$679,0)))</f>
        <v/>
      </c>
      <c r="N192" s="8">
        <f>IF(ISNA(MATCH(179,Engine!$C$2:$C$679,0)),"",INDEX('Compliance Database'!$N$2:$N$679,MATCH(179,Engine!$C$2:$C$679,0)))</f>
        <v/>
      </c>
      <c r="O192" s="8">
        <f>IF(ISNA(MATCH(179,Engine!$C$2:$C$679,0)),"",INDEX('Compliance Database'!$O$2:$O$679,MATCH(179,Engine!$C$2:$C$679,0)))</f>
        <v/>
      </c>
      <c r="P192">
        <f>IF(ISNA(MATCH(179,Engine!$C$2:$C$679,0)),"",HYPERLINK(INDEX('Compliance Database'!$P$2:$P$679,MATCH(179,Engine!$C$2:$C$679,0)),"Open PDF"))</f>
        <v/>
      </c>
    </row>
    <row r="193">
      <c r="A193">
        <f>IF(ISNA(MATCH(180,Engine!$C$2:$C$679,0)),"",INDEX('Compliance Database'!$A$2:$A$679,MATCH(180,Engine!$C$2:$C$679,0)))</f>
        <v/>
      </c>
      <c r="B193">
        <f>IF(ISNA(MATCH(180,Engine!$C$2:$C$679,0)),"",INDEX('Compliance Database'!$B$2:$B$679,MATCH(180,Engine!$C$2:$C$679,0)))</f>
        <v/>
      </c>
      <c r="C193">
        <f>IF(ISNA(MATCH(180,Engine!$C$2:$C$679,0)),"",INDEX('Compliance Database'!$C$2:$C$679,MATCH(180,Engine!$C$2:$C$679,0)))</f>
        <v/>
      </c>
      <c r="D193" s="8">
        <f>IF(ISNA(MATCH(180,Engine!$C$2:$C$679,0)),"",INDEX('Compliance Database'!$D$2:$D$679,MATCH(180,Engine!$C$2:$C$679,0)))</f>
        <v/>
      </c>
      <c r="E193">
        <f>IF(ISNA(MATCH(180,Engine!$C$2:$C$679,0)),"",INDEX('Compliance Database'!$E$2:$E$679,MATCH(180,Engine!$C$2:$C$679,0)))</f>
        <v/>
      </c>
      <c r="F193">
        <f>IF(ISNA(MATCH(180,Engine!$C$2:$C$679,0)),"",INDEX('Compliance Database'!$F$2:$F$679,MATCH(180,Engine!$C$2:$C$679,0)))</f>
        <v/>
      </c>
      <c r="G193">
        <f>IF(ISNA(MATCH(180,Engine!$C$2:$C$679,0)),"",INDEX('Compliance Database'!$G$2:$G$679,MATCH(180,Engine!$C$2:$C$679,0)))</f>
        <v/>
      </c>
      <c r="H193">
        <f>IF(ISNA(MATCH(180,Engine!$C$2:$C$679,0)),"",INDEX('Compliance Database'!$H$2:$H$679,MATCH(180,Engine!$C$2:$C$679,0)))</f>
        <v/>
      </c>
      <c r="I193" s="8">
        <f>IF(ISNA(MATCH(180,Engine!$C$2:$C$679,0)),"",INDEX('Compliance Database'!$I$2:$I$679,MATCH(180,Engine!$C$2:$C$679,0)))</f>
        <v/>
      </c>
      <c r="J193" s="8">
        <f>IF(ISNA(MATCH(180,Engine!$C$2:$C$679,0)),"",INDEX('Compliance Database'!$J$2:$J$679,MATCH(180,Engine!$C$2:$C$679,0)))</f>
        <v/>
      </c>
      <c r="K193">
        <f>IF(ISNA(MATCH(180,Engine!$C$2:$C$679,0)),"",INDEX('Compliance Database'!$K$2:$K$679,MATCH(180,Engine!$C$2:$C$679,0)))</f>
        <v/>
      </c>
      <c r="L193" s="8">
        <f>IF(ISNA(MATCH(180,Engine!$C$2:$C$679,0)),"",INDEX('Compliance Database'!$L$2:$L$679,MATCH(180,Engine!$C$2:$C$679,0)))</f>
        <v/>
      </c>
      <c r="M193" s="8">
        <f>IF(ISNA(MATCH(180,Engine!$C$2:$C$679,0)),"",INDEX('Compliance Database'!$M$2:$M$679,MATCH(180,Engine!$C$2:$C$679,0)))</f>
        <v/>
      </c>
      <c r="N193" s="8">
        <f>IF(ISNA(MATCH(180,Engine!$C$2:$C$679,0)),"",INDEX('Compliance Database'!$N$2:$N$679,MATCH(180,Engine!$C$2:$C$679,0)))</f>
        <v/>
      </c>
      <c r="O193" s="8">
        <f>IF(ISNA(MATCH(180,Engine!$C$2:$C$679,0)),"",INDEX('Compliance Database'!$O$2:$O$679,MATCH(180,Engine!$C$2:$C$679,0)))</f>
        <v/>
      </c>
      <c r="P193">
        <f>IF(ISNA(MATCH(180,Engine!$C$2:$C$679,0)),"",HYPERLINK(INDEX('Compliance Database'!$P$2:$P$679,MATCH(180,Engine!$C$2:$C$679,0)),"Open PDF"))</f>
        <v/>
      </c>
    </row>
    <row r="194">
      <c r="A194">
        <f>IF(ISNA(MATCH(181,Engine!$C$2:$C$679,0)),"",INDEX('Compliance Database'!$A$2:$A$679,MATCH(181,Engine!$C$2:$C$679,0)))</f>
        <v/>
      </c>
      <c r="B194">
        <f>IF(ISNA(MATCH(181,Engine!$C$2:$C$679,0)),"",INDEX('Compliance Database'!$B$2:$B$679,MATCH(181,Engine!$C$2:$C$679,0)))</f>
        <v/>
      </c>
      <c r="C194">
        <f>IF(ISNA(MATCH(181,Engine!$C$2:$C$679,0)),"",INDEX('Compliance Database'!$C$2:$C$679,MATCH(181,Engine!$C$2:$C$679,0)))</f>
        <v/>
      </c>
      <c r="D194" s="8">
        <f>IF(ISNA(MATCH(181,Engine!$C$2:$C$679,0)),"",INDEX('Compliance Database'!$D$2:$D$679,MATCH(181,Engine!$C$2:$C$679,0)))</f>
        <v/>
      </c>
      <c r="E194">
        <f>IF(ISNA(MATCH(181,Engine!$C$2:$C$679,0)),"",INDEX('Compliance Database'!$E$2:$E$679,MATCH(181,Engine!$C$2:$C$679,0)))</f>
        <v/>
      </c>
      <c r="F194">
        <f>IF(ISNA(MATCH(181,Engine!$C$2:$C$679,0)),"",INDEX('Compliance Database'!$F$2:$F$679,MATCH(181,Engine!$C$2:$C$679,0)))</f>
        <v/>
      </c>
      <c r="G194">
        <f>IF(ISNA(MATCH(181,Engine!$C$2:$C$679,0)),"",INDEX('Compliance Database'!$G$2:$G$679,MATCH(181,Engine!$C$2:$C$679,0)))</f>
        <v/>
      </c>
      <c r="H194">
        <f>IF(ISNA(MATCH(181,Engine!$C$2:$C$679,0)),"",INDEX('Compliance Database'!$H$2:$H$679,MATCH(181,Engine!$C$2:$C$679,0)))</f>
        <v/>
      </c>
      <c r="I194" s="8">
        <f>IF(ISNA(MATCH(181,Engine!$C$2:$C$679,0)),"",INDEX('Compliance Database'!$I$2:$I$679,MATCH(181,Engine!$C$2:$C$679,0)))</f>
        <v/>
      </c>
      <c r="J194" s="8">
        <f>IF(ISNA(MATCH(181,Engine!$C$2:$C$679,0)),"",INDEX('Compliance Database'!$J$2:$J$679,MATCH(181,Engine!$C$2:$C$679,0)))</f>
        <v/>
      </c>
      <c r="K194">
        <f>IF(ISNA(MATCH(181,Engine!$C$2:$C$679,0)),"",INDEX('Compliance Database'!$K$2:$K$679,MATCH(181,Engine!$C$2:$C$679,0)))</f>
        <v/>
      </c>
      <c r="L194" s="8">
        <f>IF(ISNA(MATCH(181,Engine!$C$2:$C$679,0)),"",INDEX('Compliance Database'!$L$2:$L$679,MATCH(181,Engine!$C$2:$C$679,0)))</f>
        <v/>
      </c>
      <c r="M194" s="8">
        <f>IF(ISNA(MATCH(181,Engine!$C$2:$C$679,0)),"",INDEX('Compliance Database'!$M$2:$M$679,MATCH(181,Engine!$C$2:$C$679,0)))</f>
        <v/>
      </c>
      <c r="N194" s="8">
        <f>IF(ISNA(MATCH(181,Engine!$C$2:$C$679,0)),"",INDEX('Compliance Database'!$N$2:$N$679,MATCH(181,Engine!$C$2:$C$679,0)))</f>
        <v/>
      </c>
      <c r="O194" s="8">
        <f>IF(ISNA(MATCH(181,Engine!$C$2:$C$679,0)),"",INDEX('Compliance Database'!$O$2:$O$679,MATCH(181,Engine!$C$2:$C$679,0)))</f>
        <v/>
      </c>
      <c r="P194">
        <f>IF(ISNA(MATCH(181,Engine!$C$2:$C$679,0)),"",HYPERLINK(INDEX('Compliance Database'!$P$2:$P$679,MATCH(181,Engine!$C$2:$C$679,0)),"Open PDF"))</f>
        <v/>
      </c>
    </row>
    <row r="195">
      <c r="A195">
        <f>IF(ISNA(MATCH(182,Engine!$C$2:$C$679,0)),"",INDEX('Compliance Database'!$A$2:$A$679,MATCH(182,Engine!$C$2:$C$679,0)))</f>
        <v/>
      </c>
      <c r="B195">
        <f>IF(ISNA(MATCH(182,Engine!$C$2:$C$679,0)),"",INDEX('Compliance Database'!$B$2:$B$679,MATCH(182,Engine!$C$2:$C$679,0)))</f>
        <v/>
      </c>
      <c r="C195">
        <f>IF(ISNA(MATCH(182,Engine!$C$2:$C$679,0)),"",INDEX('Compliance Database'!$C$2:$C$679,MATCH(182,Engine!$C$2:$C$679,0)))</f>
        <v/>
      </c>
      <c r="D195" s="8">
        <f>IF(ISNA(MATCH(182,Engine!$C$2:$C$679,0)),"",INDEX('Compliance Database'!$D$2:$D$679,MATCH(182,Engine!$C$2:$C$679,0)))</f>
        <v/>
      </c>
      <c r="E195">
        <f>IF(ISNA(MATCH(182,Engine!$C$2:$C$679,0)),"",INDEX('Compliance Database'!$E$2:$E$679,MATCH(182,Engine!$C$2:$C$679,0)))</f>
        <v/>
      </c>
      <c r="F195">
        <f>IF(ISNA(MATCH(182,Engine!$C$2:$C$679,0)),"",INDEX('Compliance Database'!$F$2:$F$679,MATCH(182,Engine!$C$2:$C$679,0)))</f>
        <v/>
      </c>
      <c r="G195">
        <f>IF(ISNA(MATCH(182,Engine!$C$2:$C$679,0)),"",INDEX('Compliance Database'!$G$2:$G$679,MATCH(182,Engine!$C$2:$C$679,0)))</f>
        <v/>
      </c>
      <c r="H195">
        <f>IF(ISNA(MATCH(182,Engine!$C$2:$C$679,0)),"",INDEX('Compliance Database'!$H$2:$H$679,MATCH(182,Engine!$C$2:$C$679,0)))</f>
        <v/>
      </c>
      <c r="I195" s="8">
        <f>IF(ISNA(MATCH(182,Engine!$C$2:$C$679,0)),"",INDEX('Compliance Database'!$I$2:$I$679,MATCH(182,Engine!$C$2:$C$679,0)))</f>
        <v/>
      </c>
      <c r="J195" s="8">
        <f>IF(ISNA(MATCH(182,Engine!$C$2:$C$679,0)),"",INDEX('Compliance Database'!$J$2:$J$679,MATCH(182,Engine!$C$2:$C$679,0)))</f>
        <v/>
      </c>
      <c r="K195">
        <f>IF(ISNA(MATCH(182,Engine!$C$2:$C$679,0)),"",INDEX('Compliance Database'!$K$2:$K$679,MATCH(182,Engine!$C$2:$C$679,0)))</f>
        <v/>
      </c>
      <c r="L195" s="8">
        <f>IF(ISNA(MATCH(182,Engine!$C$2:$C$679,0)),"",INDEX('Compliance Database'!$L$2:$L$679,MATCH(182,Engine!$C$2:$C$679,0)))</f>
        <v/>
      </c>
      <c r="M195" s="8">
        <f>IF(ISNA(MATCH(182,Engine!$C$2:$C$679,0)),"",INDEX('Compliance Database'!$M$2:$M$679,MATCH(182,Engine!$C$2:$C$679,0)))</f>
        <v/>
      </c>
      <c r="N195" s="8">
        <f>IF(ISNA(MATCH(182,Engine!$C$2:$C$679,0)),"",INDEX('Compliance Database'!$N$2:$N$679,MATCH(182,Engine!$C$2:$C$679,0)))</f>
        <v/>
      </c>
      <c r="O195" s="8">
        <f>IF(ISNA(MATCH(182,Engine!$C$2:$C$679,0)),"",INDEX('Compliance Database'!$O$2:$O$679,MATCH(182,Engine!$C$2:$C$679,0)))</f>
        <v/>
      </c>
      <c r="P195">
        <f>IF(ISNA(MATCH(182,Engine!$C$2:$C$679,0)),"",HYPERLINK(INDEX('Compliance Database'!$P$2:$P$679,MATCH(182,Engine!$C$2:$C$679,0)),"Open PDF"))</f>
        <v/>
      </c>
    </row>
    <row r="196">
      <c r="A196">
        <f>IF(ISNA(MATCH(183,Engine!$C$2:$C$679,0)),"",INDEX('Compliance Database'!$A$2:$A$679,MATCH(183,Engine!$C$2:$C$679,0)))</f>
        <v/>
      </c>
      <c r="B196">
        <f>IF(ISNA(MATCH(183,Engine!$C$2:$C$679,0)),"",INDEX('Compliance Database'!$B$2:$B$679,MATCH(183,Engine!$C$2:$C$679,0)))</f>
        <v/>
      </c>
      <c r="C196">
        <f>IF(ISNA(MATCH(183,Engine!$C$2:$C$679,0)),"",INDEX('Compliance Database'!$C$2:$C$679,MATCH(183,Engine!$C$2:$C$679,0)))</f>
        <v/>
      </c>
      <c r="D196" s="8">
        <f>IF(ISNA(MATCH(183,Engine!$C$2:$C$679,0)),"",INDEX('Compliance Database'!$D$2:$D$679,MATCH(183,Engine!$C$2:$C$679,0)))</f>
        <v/>
      </c>
      <c r="E196">
        <f>IF(ISNA(MATCH(183,Engine!$C$2:$C$679,0)),"",INDEX('Compliance Database'!$E$2:$E$679,MATCH(183,Engine!$C$2:$C$679,0)))</f>
        <v/>
      </c>
      <c r="F196">
        <f>IF(ISNA(MATCH(183,Engine!$C$2:$C$679,0)),"",INDEX('Compliance Database'!$F$2:$F$679,MATCH(183,Engine!$C$2:$C$679,0)))</f>
        <v/>
      </c>
      <c r="G196">
        <f>IF(ISNA(MATCH(183,Engine!$C$2:$C$679,0)),"",INDEX('Compliance Database'!$G$2:$G$679,MATCH(183,Engine!$C$2:$C$679,0)))</f>
        <v/>
      </c>
      <c r="H196">
        <f>IF(ISNA(MATCH(183,Engine!$C$2:$C$679,0)),"",INDEX('Compliance Database'!$H$2:$H$679,MATCH(183,Engine!$C$2:$C$679,0)))</f>
        <v/>
      </c>
      <c r="I196" s="8">
        <f>IF(ISNA(MATCH(183,Engine!$C$2:$C$679,0)),"",INDEX('Compliance Database'!$I$2:$I$679,MATCH(183,Engine!$C$2:$C$679,0)))</f>
        <v/>
      </c>
      <c r="J196" s="8">
        <f>IF(ISNA(MATCH(183,Engine!$C$2:$C$679,0)),"",INDEX('Compliance Database'!$J$2:$J$679,MATCH(183,Engine!$C$2:$C$679,0)))</f>
        <v/>
      </c>
      <c r="K196">
        <f>IF(ISNA(MATCH(183,Engine!$C$2:$C$679,0)),"",INDEX('Compliance Database'!$K$2:$K$679,MATCH(183,Engine!$C$2:$C$679,0)))</f>
        <v/>
      </c>
      <c r="L196" s="8">
        <f>IF(ISNA(MATCH(183,Engine!$C$2:$C$679,0)),"",INDEX('Compliance Database'!$L$2:$L$679,MATCH(183,Engine!$C$2:$C$679,0)))</f>
        <v/>
      </c>
      <c r="M196" s="8">
        <f>IF(ISNA(MATCH(183,Engine!$C$2:$C$679,0)),"",INDEX('Compliance Database'!$M$2:$M$679,MATCH(183,Engine!$C$2:$C$679,0)))</f>
        <v/>
      </c>
      <c r="N196" s="8">
        <f>IF(ISNA(MATCH(183,Engine!$C$2:$C$679,0)),"",INDEX('Compliance Database'!$N$2:$N$679,MATCH(183,Engine!$C$2:$C$679,0)))</f>
        <v/>
      </c>
      <c r="O196" s="8">
        <f>IF(ISNA(MATCH(183,Engine!$C$2:$C$679,0)),"",INDEX('Compliance Database'!$O$2:$O$679,MATCH(183,Engine!$C$2:$C$679,0)))</f>
        <v/>
      </c>
      <c r="P196">
        <f>IF(ISNA(MATCH(183,Engine!$C$2:$C$679,0)),"",HYPERLINK(INDEX('Compliance Database'!$P$2:$P$679,MATCH(183,Engine!$C$2:$C$679,0)),"Open PDF"))</f>
        <v/>
      </c>
    </row>
    <row r="197">
      <c r="A197">
        <f>IF(ISNA(MATCH(184,Engine!$C$2:$C$679,0)),"",INDEX('Compliance Database'!$A$2:$A$679,MATCH(184,Engine!$C$2:$C$679,0)))</f>
        <v/>
      </c>
      <c r="B197">
        <f>IF(ISNA(MATCH(184,Engine!$C$2:$C$679,0)),"",INDEX('Compliance Database'!$B$2:$B$679,MATCH(184,Engine!$C$2:$C$679,0)))</f>
        <v/>
      </c>
      <c r="C197">
        <f>IF(ISNA(MATCH(184,Engine!$C$2:$C$679,0)),"",INDEX('Compliance Database'!$C$2:$C$679,MATCH(184,Engine!$C$2:$C$679,0)))</f>
        <v/>
      </c>
      <c r="D197" s="8">
        <f>IF(ISNA(MATCH(184,Engine!$C$2:$C$679,0)),"",INDEX('Compliance Database'!$D$2:$D$679,MATCH(184,Engine!$C$2:$C$679,0)))</f>
        <v/>
      </c>
      <c r="E197">
        <f>IF(ISNA(MATCH(184,Engine!$C$2:$C$679,0)),"",INDEX('Compliance Database'!$E$2:$E$679,MATCH(184,Engine!$C$2:$C$679,0)))</f>
        <v/>
      </c>
      <c r="F197">
        <f>IF(ISNA(MATCH(184,Engine!$C$2:$C$679,0)),"",INDEX('Compliance Database'!$F$2:$F$679,MATCH(184,Engine!$C$2:$C$679,0)))</f>
        <v/>
      </c>
      <c r="G197">
        <f>IF(ISNA(MATCH(184,Engine!$C$2:$C$679,0)),"",INDEX('Compliance Database'!$G$2:$G$679,MATCH(184,Engine!$C$2:$C$679,0)))</f>
        <v/>
      </c>
      <c r="H197">
        <f>IF(ISNA(MATCH(184,Engine!$C$2:$C$679,0)),"",INDEX('Compliance Database'!$H$2:$H$679,MATCH(184,Engine!$C$2:$C$679,0)))</f>
        <v/>
      </c>
      <c r="I197" s="8">
        <f>IF(ISNA(MATCH(184,Engine!$C$2:$C$679,0)),"",INDEX('Compliance Database'!$I$2:$I$679,MATCH(184,Engine!$C$2:$C$679,0)))</f>
        <v/>
      </c>
      <c r="J197" s="8">
        <f>IF(ISNA(MATCH(184,Engine!$C$2:$C$679,0)),"",INDEX('Compliance Database'!$J$2:$J$679,MATCH(184,Engine!$C$2:$C$679,0)))</f>
        <v/>
      </c>
      <c r="K197">
        <f>IF(ISNA(MATCH(184,Engine!$C$2:$C$679,0)),"",INDEX('Compliance Database'!$K$2:$K$679,MATCH(184,Engine!$C$2:$C$679,0)))</f>
        <v/>
      </c>
      <c r="L197" s="8">
        <f>IF(ISNA(MATCH(184,Engine!$C$2:$C$679,0)),"",INDEX('Compliance Database'!$L$2:$L$679,MATCH(184,Engine!$C$2:$C$679,0)))</f>
        <v/>
      </c>
      <c r="M197" s="8">
        <f>IF(ISNA(MATCH(184,Engine!$C$2:$C$679,0)),"",INDEX('Compliance Database'!$M$2:$M$679,MATCH(184,Engine!$C$2:$C$679,0)))</f>
        <v/>
      </c>
      <c r="N197" s="8">
        <f>IF(ISNA(MATCH(184,Engine!$C$2:$C$679,0)),"",INDEX('Compliance Database'!$N$2:$N$679,MATCH(184,Engine!$C$2:$C$679,0)))</f>
        <v/>
      </c>
      <c r="O197" s="8">
        <f>IF(ISNA(MATCH(184,Engine!$C$2:$C$679,0)),"",INDEX('Compliance Database'!$O$2:$O$679,MATCH(184,Engine!$C$2:$C$679,0)))</f>
        <v/>
      </c>
      <c r="P197">
        <f>IF(ISNA(MATCH(184,Engine!$C$2:$C$679,0)),"",HYPERLINK(INDEX('Compliance Database'!$P$2:$P$679,MATCH(184,Engine!$C$2:$C$679,0)),"Open PDF"))</f>
        <v/>
      </c>
    </row>
    <row r="198">
      <c r="A198">
        <f>IF(ISNA(MATCH(185,Engine!$C$2:$C$679,0)),"",INDEX('Compliance Database'!$A$2:$A$679,MATCH(185,Engine!$C$2:$C$679,0)))</f>
        <v/>
      </c>
      <c r="B198">
        <f>IF(ISNA(MATCH(185,Engine!$C$2:$C$679,0)),"",INDEX('Compliance Database'!$B$2:$B$679,MATCH(185,Engine!$C$2:$C$679,0)))</f>
        <v/>
      </c>
      <c r="C198">
        <f>IF(ISNA(MATCH(185,Engine!$C$2:$C$679,0)),"",INDEX('Compliance Database'!$C$2:$C$679,MATCH(185,Engine!$C$2:$C$679,0)))</f>
        <v/>
      </c>
      <c r="D198" s="8">
        <f>IF(ISNA(MATCH(185,Engine!$C$2:$C$679,0)),"",INDEX('Compliance Database'!$D$2:$D$679,MATCH(185,Engine!$C$2:$C$679,0)))</f>
        <v/>
      </c>
      <c r="E198">
        <f>IF(ISNA(MATCH(185,Engine!$C$2:$C$679,0)),"",INDEX('Compliance Database'!$E$2:$E$679,MATCH(185,Engine!$C$2:$C$679,0)))</f>
        <v/>
      </c>
      <c r="F198">
        <f>IF(ISNA(MATCH(185,Engine!$C$2:$C$679,0)),"",INDEX('Compliance Database'!$F$2:$F$679,MATCH(185,Engine!$C$2:$C$679,0)))</f>
        <v/>
      </c>
      <c r="G198">
        <f>IF(ISNA(MATCH(185,Engine!$C$2:$C$679,0)),"",INDEX('Compliance Database'!$G$2:$G$679,MATCH(185,Engine!$C$2:$C$679,0)))</f>
        <v/>
      </c>
      <c r="H198">
        <f>IF(ISNA(MATCH(185,Engine!$C$2:$C$679,0)),"",INDEX('Compliance Database'!$H$2:$H$679,MATCH(185,Engine!$C$2:$C$679,0)))</f>
        <v/>
      </c>
      <c r="I198" s="8">
        <f>IF(ISNA(MATCH(185,Engine!$C$2:$C$679,0)),"",INDEX('Compliance Database'!$I$2:$I$679,MATCH(185,Engine!$C$2:$C$679,0)))</f>
        <v/>
      </c>
      <c r="J198" s="8">
        <f>IF(ISNA(MATCH(185,Engine!$C$2:$C$679,0)),"",INDEX('Compliance Database'!$J$2:$J$679,MATCH(185,Engine!$C$2:$C$679,0)))</f>
        <v/>
      </c>
      <c r="K198">
        <f>IF(ISNA(MATCH(185,Engine!$C$2:$C$679,0)),"",INDEX('Compliance Database'!$K$2:$K$679,MATCH(185,Engine!$C$2:$C$679,0)))</f>
        <v/>
      </c>
      <c r="L198" s="8">
        <f>IF(ISNA(MATCH(185,Engine!$C$2:$C$679,0)),"",INDEX('Compliance Database'!$L$2:$L$679,MATCH(185,Engine!$C$2:$C$679,0)))</f>
        <v/>
      </c>
      <c r="M198" s="8">
        <f>IF(ISNA(MATCH(185,Engine!$C$2:$C$679,0)),"",INDEX('Compliance Database'!$M$2:$M$679,MATCH(185,Engine!$C$2:$C$679,0)))</f>
        <v/>
      </c>
      <c r="N198" s="8">
        <f>IF(ISNA(MATCH(185,Engine!$C$2:$C$679,0)),"",INDEX('Compliance Database'!$N$2:$N$679,MATCH(185,Engine!$C$2:$C$679,0)))</f>
        <v/>
      </c>
      <c r="O198" s="8">
        <f>IF(ISNA(MATCH(185,Engine!$C$2:$C$679,0)),"",INDEX('Compliance Database'!$O$2:$O$679,MATCH(185,Engine!$C$2:$C$679,0)))</f>
        <v/>
      </c>
      <c r="P198">
        <f>IF(ISNA(MATCH(185,Engine!$C$2:$C$679,0)),"",HYPERLINK(INDEX('Compliance Database'!$P$2:$P$679,MATCH(185,Engine!$C$2:$C$679,0)),"Open PDF"))</f>
        <v/>
      </c>
    </row>
    <row r="199">
      <c r="A199">
        <f>IF(ISNA(MATCH(186,Engine!$C$2:$C$679,0)),"",INDEX('Compliance Database'!$A$2:$A$679,MATCH(186,Engine!$C$2:$C$679,0)))</f>
        <v/>
      </c>
      <c r="B199">
        <f>IF(ISNA(MATCH(186,Engine!$C$2:$C$679,0)),"",INDEX('Compliance Database'!$B$2:$B$679,MATCH(186,Engine!$C$2:$C$679,0)))</f>
        <v/>
      </c>
      <c r="C199">
        <f>IF(ISNA(MATCH(186,Engine!$C$2:$C$679,0)),"",INDEX('Compliance Database'!$C$2:$C$679,MATCH(186,Engine!$C$2:$C$679,0)))</f>
        <v/>
      </c>
      <c r="D199" s="8">
        <f>IF(ISNA(MATCH(186,Engine!$C$2:$C$679,0)),"",INDEX('Compliance Database'!$D$2:$D$679,MATCH(186,Engine!$C$2:$C$679,0)))</f>
        <v/>
      </c>
      <c r="E199">
        <f>IF(ISNA(MATCH(186,Engine!$C$2:$C$679,0)),"",INDEX('Compliance Database'!$E$2:$E$679,MATCH(186,Engine!$C$2:$C$679,0)))</f>
        <v/>
      </c>
      <c r="F199">
        <f>IF(ISNA(MATCH(186,Engine!$C$2:$C$679,0)),"",INDEX('Compliance Database'!$F$2:$F$679,MATCH(186,Engine!$C$2:$C$679,0)))</f>
        <v/>
      </c>
      <c r="G199">
        <f>IF(ISNA(MATCH(186,Engine!$C$2:$C$679,0)),"",INDEX('Compliance Database'!$G$2:$G$679,MATCH(186,Engine!$C$2:$C$679,0)))</f>
        <v/>
      </c>
      <c r="H199">
        <f>IF(ISNA(MATCH(186,Engine!$C$2:$C$679,0)),"",INDEX('Compliance Database'!$H$2:$H$679,MATCH(186,Engine!$C$2:$C$679,0)))</f>
        <v/>
      </c>
      <c r="I199" s="8">
        <f>IF(ISNA(MATCH(186,Engine!$C$2:$C$679,0)),"",INDEX('Compliance Database'!$I$2:$I$679,MATCH(186,Engine!$C$2:$C$679,0)))</f>
        <v/>
      </c>
      <c r="J199" s="8">
        <f>IF(ISNA(MATCH(186,Engine!$C$2:$C$679,0)),"",INDEX('Compliance Database'!$J$2:$J$679,MATCH(186,Engine!$C$2:$C$679,0)))</f>
        <v/>
      </c>
      <c r="K199">
        <f>IF(ISNA(MATCH(186,Engine!$C$2:$C$679,0)),"",INDEX('Compliance Database'!$K$2:$K$679,MATCH(186,Engine!$C$2:$C$679,0)))</f>
        <v/>
      </c>
      <c r="L199" s="8">
        <f>IF(ISNA(MATCH(186,Engine!$C$2:$C$679,0)),"",INDEX('Compliance Database'!$L$2:$L$679,MATCH(186,Engine!$C$2:$C$679,0)))</f>
        <v/>
      </c>
      <c r="M199" s="8">
        <f>IF(ISNA(MATCH(186,Engine!$C$2:$C$679,0)),"",INDEX('Compliance Database'!$M$2:$M$679,MATCH(186,Engine!$C$2:$C$679,0)))</f>
        <v/>
      </c>
      <c r="N199" s="8">
        <f>IF(ISNA(MATCH(186,Engine!$C$2:$C$679,0)),"",INDEX('Compliance Database'!$N$2:$N$679,MATCH(186,Engine!$C$2:$C$679,0)))</f>
        <v/>
      </c>
      <c r="O199" s="8">
        <f>IF(ISNA(MATCH(186,Engine!$C$2:$C$679,0)),"",INDEX('Compliance Database'!$O$2:$O$679,MATCH(186,Engine!$C$2:$C$679,0)))</f>
        <v/>
      </c>
      <c r="P199">
        <f>IF(ISNA(MATCH(186,Engine!$C$2:$C$679,0)),"",HYPERLINK(INDEX('Compliance Database'!$P$2:$P$679,MATCH(186,Engine!$C$2:$C$679,0)),"Open PDF"))</f>
        <v/>
      </c>
    </row>
    <row r="200">
      <c r="A200">
        <f>IF(ISNA(MATCH(187,Engine!$C$2:$C$679,0)),"",INDEX('Compliance Database'!$A$2:$A$679,MATCH(187,Engine!$C$2:$C$679,0)))</f>
        <v/>
      </c>
      <c r="B200">
        <f>IF(ISNA(MATCH(187,Engine!$C$2:$C$679,0)),"",INDEX('Compliance Database'!$B$2:$B$679,MATCH(187,Engine!$C$2:$C$679,0)))</f>
        <v/>
      </c>
      <c r="C200">
        <f>IF(ISNA(MATCH(187,Engine!$C$2:$C$679,0)),"",INDEX('Compliance Database'!$C$2:$C$679,MATCH(187,Engine!$C$2:$C$679,0)))</f>
        <v/>
      </c>
      <c r="D200" s="8">
        <f>IF(ISNA(MATCH(187,Engine!$C$2:$C$679,0)),"",INDEX('Compliance Database'!$D$2:$D$679,MATCH(187,Engine!$C$2:$C$679,0)))</f>
        <v/>
      </c>
      <c r="E200">
        <f>IF(ISNA(MATCH(187,Engine!$C$2:$C$679,0)),"",INDEX('Compliance Database'!$E$2:$E$679,MATCH(187,Engine!$C$2:$C$679,0)))</f>
        <v/>
      </c>
      <c r="F200">
        <f>IF(ISNA(MATCH(187,Engine!$C$2:$C$679,0)),"",INDEX('Compliance Database'!$F$2:$F$679,MATCH(187,Engine!$C$2:$C$679,0)))</f>
        <v/>
      </c>
      <c r="G200">
        <f>IF(ISNA(MATCH(187,Engine!$C$2:$C$679,0)),"",INDEX('Compliance Database'!$G$2:$G$679,MATCH(187,Engine!$C$2:$C$679,0)))</f>
        <v/>
      </c>
      <c r="H200">
        <f>IF(ISNA(MATCH(187,Engine!$C$2:$C$679,0)),"",INDEX('Compliance Database'!$H$2:$H$679,MATCH(187,Engine!$C$2:$C$679,0)))</f>
        <v/>
      </c>
      <c r="I200" s="8">
        <f>IF(ISNA(MATCH(187,Engine!$C$2:$C$679,0)),"",INDEX('Compliance Database'!$I$2:$I$679,MATCH(187,Engine!$C$2:$C$679,0)))</f>
        <v/>
      </c>
      <c r="J200" s="8">
        <f>IF(ISNA(MATCH(187,Engine!$C$2:$C$679,0)),"",INDEX('Compliance Database'!$J$2:$J$679,MATCH(187,Engine!$C$2:$C$679,0)))</f>
        <v/>
      </c>
      <c r="K200">
        <f>IF(ISNA(MATCH(187,Engine!$C$2:$C$679,0)),"",INDEX('Compliance Database'!$K$2:$K$679,MATCH(187,Engine!$C$2:$C$679,0)))</f>
        <v/>
      </c>
      <c r="L200" s="8">
        <f>IF(ISNA(MATCH(187,Engine!$C$2:$C$679,0)),"",INDEX('Compliance Database'!$L$2:$L$679,MATCH(187,Engine!$C$2:$C$679,0)))</f>
        <v/>
      </c>
      <c r="M200" s="8">
        <f>IF(ISNA(MATCH(187,Engine!$C$2:$C$679,0)),"",INDEX('Compliance Database'!$M$2:$M$679,MATCH(187,Engine!$C$2:$C$679,0)))</f>
        <v/>
      </c>
      <c r="N200" s="8">
        <f>IF(ISNA(MATCH(187,Engine!$C$2:$C$679,0)),"",INDEX('Compliance Database'!$N$2:$N$679,MATCH(187,Engine!$C$2:$C$679,0)))</f>
        <v/>
      </c>
      <c r="O200" s="8">
        <f>IF(ISNA(MATCH(187,Engine!$C$2:$C$679,0)),"",INDEX('Compliance Database'!$O$2:$O$679,MATCH(187,Engine!$C$2:$C$679,0)))</f>
        <v/>
      </c>
      <c r="P200">
        <f>IF(ISNA(MATCH(187,Engine!$C$2:$C$679,0)),"",HYPERLINK(INDEX('Compliance Database'!$P$2:$P$679,MATCH(187,Engine!$C$2:$C$679,0)),"Open PDF"))</f>
        <v/>
      </c>
    </row>
    <row r="201">
      <c r="A201">
        <f>IF(ISNA(MATCH(188,Engine!$C$2:$C$679,0)),"",INDEX('Compliance Database'!$A$2:$A$679,MATCH(188,Engine!$C$2:$C$679,0)))</f>
        <v/>
      </c>
      <c r="B201">
        <f>IF(ISNA(MATCH(188,Engine!$C$2:$C$679,0)),"",INDEX('Compliance Database'!$B$2:$B$679,MATCH(188,Engine!$C$2:$C$679,0)))</f>
        <v/>
      </c>
      <c r="C201">
        <f>IF(ISNA(MATCH(188,Engine!$C$2:$C$679,0)),"",INDEX('Compliance Database'!$C$2:$C$679,MATCH(188,Engine!$C$2:$C$679,0)))</f>
        <v/>
      </c>
      <c r="D201" s="8">
        <f>IF(ISNA(MATCH(188,Engine!$C$2:$C$679,0)),"",INDEX('Compliance Database'!$D$2:$D$679,MATCH(188,Engine!$C$2:$C$679,0)))</f>
        <v/>
      </c>
      <c r="E201">
        <f>IF(ISNA(MATCH(188,Engine!$C$2:$C$679,0)),"",INDEX('Compliance Database'!$E$2:$E$679,MATCH(188,Engine!$C$2:$C$679,0)))</f>
        <v/>
      </c>
      <c r="F201">
        <f>IF(ISNA(MATCH(188,Engine!$C$2:$C$679,0)),"",INDEX('Compliance Database'!$F$2:$F$679,MATCH(188,Engine!$C$2:$C$679,0)))</f>
        <v/>
      </c>
      <c r="G201">
        <f>IF(ISNA(MATCH(188,Engine!$C$2:$C$679,0)),"",INDEX('Compliance Database'!$G$2:$G$679,MATCH(188,Engine!$C$2:$C$679,0)))</f>
        <v/>
      </c>
      <c r="H201">
        <f>IF(ISNA(MATCH(188,Engine!$C$2:$C$679,0)),"",INDEX('Compliance Database'!$H$2:$H$679,MATCH(188,Engine!$C$2:$C$679,0)))</f>
        <v/>
      </c>
      <c r="I201" s="8">
        <f>IF(ISNA(MATCH(188,Engine!$C$2:$C$679,0)),"",INDEX('Compliance Database'!$I$2:$I$679,MATCH(188,Engine!$C$2:$C$679,0)))</f>
        <v/>
      </c>
      <c r="J201" s="8">
        <f>IF(ISNA(MATCH(188,Engine!$C$2:$C$679,0)),"",INDEX('Compliance Database'!$J$2:$J$679,MATCH(188,Engine!$C$2:$C$679,0)))</f>
        <v/>
      </c>
      <c r="K201">
        <f>IF(ISNA(MATCH(188,Engine!$C$2:$C$679,0)),"",INDEX('Compliance Database'!$K$2:$K$679,MATCH(188,Engine!$C$2:$C$679,0)))</f>
        <v/>
      </c>
      <c r="L201" s="8">
        <f>IF(ISNA(MATCH(188,Engine!$C$2:$C$679,0)),"",INDEX('Compliance Database'!$L$2:$L$679,MATCH(188,Engine!$C$2:$C$679,0)))</f>
        <v/>
      </c>
      <c r="M201" s="8">
        <f>IF(ISNA(MATCH(188,Engine!$C$2:$C$679,0)),"",INDEX('Compliance Database'!$M$2:$M$679,MATCH(188,Engine!$C$2:$C$679,0)))</f>
        <v/>
      </c>
      <c r="N201" s="8">
        <f>IF(ISNA(MATCH(188,Engine!$C$2:$C$679,0)),"",INDEX('Compliance Database'!$N$2:$N$679,MATCH(188,Engine!$C$2:$C$679,0)))</f>
        <v/>
      </c>
      <c r="O201" s="8">
        <f>IF(ISNA(MATCH(188,Engine!$C$2:$C$679,0)),"",INDEX('Compliance Database'!$O$2:$O$679,MATCH(188,Engine!$C$2:$C$679,0)))</f>
        <v/>
      </c>
      <c r="P201">
        <f>IF(ISNA(MATCH(188,Engine!$C$2:$C$679,0)),"",HYPERLINK(INDEX('Compliance Database'!$P$2:$P$679,MATCH(188,Engine!$C$2:$C$679,0)),"Open PDF"))</f>
        <v/>
      </c>
    </row>
    <row r="202">
      <c r="A202">
        <f>IF(ISNA(MATCH(189,Engine!$C$2:$C$679,0)),"",INDEX('Compliance Database'!$A$2:$A$679,MATCH(189,Engine!$C$2:$C$679,0)))</f>
        <v/>
      </c>
      <c r="B202">
        <f>IF(ISNA(MATCH(189,Engine!$C$2:$C$679,0)),"",INDEX('Compliance Database'!$B$2:$B$679,MATCH(189,Engine!$C$2:$C$679,0)))</f>
        <v/>
      </c>
      <c r="C202">
        <f>IF(ISNA(MATCH(189,Engine!$C$2:$C$679,0)),"",INDEX('Compliance Database'!$C$2:$C$679,MATCH(189,Engine!$C$2:$C$679,0)))</f>
        <v/>
      </c>
      <c r="D202" s="8">
        <f>IF(ISNA(MATCH(189,Engine!$C$2:$C$679,0)),"",INDEX('Compliance Database'!$D$2:$D$679,MATCH(189,Engine!$C$2:$C$679,0)))</f>
        <v/>
      </c>
      <c r="E202">
        <f>IF(ISNA(MATCH(189,Engine!$C$2:$C$679,0)),"",INDEX('Compliance Database'!$E$2:$E$679,MATCH(189,Engine!$C$2:$C$679,0)))</f>
        <v/>
      </c>
      <c r="F202">
        <f>IF(ISNA(MATCH(189,Engine!$C$2:$C$679,0)),"",INDEX('Compliance Database'!$F$2:$F$679,MATCH(189,Engine!$C$2:$C$679,0)))</f>
        <v/>
      </c>
      <c r="G202">
        <f>IF(ISNA(MATCH(189,Engine!$C$2:$C$679,0)),"",INDEX('Compliance Database'!$G$2:$G$679,MATCH(189,Engine!$C$2:$C$679,0)))</f>
        <v/>
      </c>
      <c r="H202">
        <f>IF(ISNA(MATCH(189,Engine!$C$2:$C$679,0)),"",INDEX('Compliance Database'!$H$2:$H$679,MATCH(189,Engine!$C$2:$C$679,0)))</f>
        <v/>
      </c>
      <c r="I202" s="8">
        <f>IF(ISNA(MATCH(189,Engine!$C$2:$C$679,0)),"",INDEX('Compliance Database'!$I$2:$I$679,MATCH(189,Engine!$C$2:$C$679,0)))</f>
        <v/>
      </c>
      <c r="J202" s="8">
        <f>IF(ISNA(MATCH(189,Engine!$C$2:$C$679,0)),"",INDEX('Compliance Database'!$J$2:$J$679,MATCH(189,Engine!$C$2:$C$679,0)))</f>
        <v/>
      </c>
      <c r="K202">
        <f>IF(ISNA(MATCH(189,Engine!$C$2:$C$679,0)),"",INDEX('Compliance Database'!$K$2:$K$679,MATCH(189,Engine!$C$2:$C$679,0)))</f>
        <v/>
      </c>
      <c r="L202" s="8">
        <f>IF(ISNA(MATCH(189,Engine!$C$2:$C$679,0)),"",INDEX('Compliance Database'!$L$2:$L$679,MATCH(189,Engine!$C$2:$C$679,0)))</f>
        <v/>
      </c>
      <c r="M202" s="8">
        <f>IF(ISNA(MATCH(189,Engine!$C$2:$C$679,0)),"",INDEX('Compliance Database'!$M$2:$M$679,MATCH(189,Engine!$C$2:$C$679,0)))</f>
        <v/>
      </c>
      <c r="N202" s="8">
        <f>IF(ISNA(MATCH(189,Engine!$C$2:$C$679,0)),"",INDEX('Compliance Database'!$N$2:$N$679,MATCH(189,Engine!$C$2:$C$679,0)))</f>
        <v/>
      </c>
      <c r="O202" s="8">
        <f>IF(ISNA(MATCH(189,Engine!$C$2:$C$679,0)),"",INDEX('Compliance Database'!$O$2:$O$679,MATCH(189,Engine!$C$2:$C$679,0)))</f>
        <v/>
      </c>
      <c r="P202">
        <f>IF(ISNA(MATCH(189,Engine!$C$2:$C$679,0)),"",HYPERLINK(INDEX('Compliance Database'!$P$2:$P$679,MATCH(189,Engine!$C$2:$C$679,0)),"Open PDF"))</f>
        <v/>
      </c>
    </row>
    <row r="203">
      <c r="A203">
        <f>IF(ISNA(MATCH(190,Engine!$C$2:$C$679,0)),"",INDEX('Compliance Database'!$A$2:$A$679,MATCH(190,Engine!$C$2:$C$679,0)))</f>
        <v/>
      </c>
      <c r="B203">
        <f>IF(ISNA(MATCH(190,Engine!$C$2:$C$679,0)),"",INDEX('Compliance Database'!$B$2:$B$679,MATCH(190,Engine!$C$2:$C$679,0)))</f>
        <v/>
      </c>
      <c r="C203">
        <f>IF(ISNA(MATCH(190,Engine!$C$2:$C$679,0)),"",INDEX('Compliance Database'!$C$2:$C$679,MATCH(190,Engine!$C$2:$C$679,0)))</f>
        <v/>
      </c>
      <c r="D203" s="8">
        <f>IF(ISNA(MATCH(190,Engine!$C$2:$C$679,0)),"",INDEX('Compliance Database'!$D$2:$D$679,MATCH(190,Engine!$C$2:$C$679,0)))</f>
        <v/>
      </c>
      <c r="E203">
        <f>IF(ISNA(MATCH(190,Engine!$C$2:$C$679,0)),"",INDEX('Compliance Database'!$E$2:$E$679,MATCH(190,Engine!$C$2:$C$679,0)))</f>
        <v/>
      </c>
      <c r="F203">
        <f>IF(ISNA(MATCH(190,Engine!$C$2:$C$679,0)),"",INDEX('Compliance Database'!$F$2:$F$679,MATCH(190,Engine!$C$2:$C$679,0)))</f>
        <v/>
      </c>
      <c r="G203">
        <f>IF(ISNA(MATCH(190,Engine!$C$2:$C$679,0)),"",INDEX('Compliance Database'!$G$2:$G$679,MATCH(190,Engine!$C$2:$C$679,0)))</f>
        <v/>
      </c>
      <c r="H203">
        <f>IF(ISNA(MATCH(190,Engine!$C$2:$C$679,0)),"",INDEX('Compliance Database'!$H$2:$H$679,MATCH(190,Engine!$C$2:$C$679,0)))</f>
        <v/>
      </c>
      <c r="I203" s="8">
        <f>IF(ISNA(MATCH(190,Engine!$C$2:$C$679,0)),"",INDEX('Compliance Database'!$I$2:$I$679,MATCH(190,Engine!$C$2:$C$679,0)))</f>
        <v/>
      </c>
      <c r="J203" s="8">
        <f>IF(ISNA(MATCH(190,Engine!$C$2:$C$679,0)),"",INDEX('Compliance Database'!$J$2:$J$679,MATCH(190,Engine!$C$2:$C$679,0)))</f>
        <v/>
      </c>
      <c r="K203">
        <f>IF(ISNA(MATCH(190,Engine!$C$2:$C$679,0)),"",INDEX('Compliance Database'!$K$2:$K$679,MATCH(190,Engine!$C$2:$C$679,0)))</f>
        <v/>
      </c>
      <c r="L203" s="8">
        <f>IF(ISNA(MATCH(190,Engine!$C$2:$C$679,0)),"",INDEX('Compliance Database'!$L$2:$L$679,MATCH(190,Engine!$C$2:$C$679,0)))</f>
        <v/>
      </c>
      <c r="M203" s="8">
        <f>IF(ISNA(MATCH(190,Engine!$C$2:$C$679,0)),"",INDEX('Compliance Database'!$M$2:$M$679,MATCH(190,Engine!$C$2:$C$679,0)))</f>
        <v/>
      </c>
      <c r="N203" s="8">
        <f>IF(ISNA(MATCH(190,Engine!$C$2:$C$679,0)),"",INDEX('Compliance Database'!$N$2:$N$679,MATCH(190,Engine!$C$2:$C$679,0)))</f>
        <v/>
      </c>
      <c r="O203" s="8">
        <f>IF(ISNA(MATCH(190,Engine!$C$2:$C$679,0)),"",INDEX('Compliance Database'!$O$2:$O$679,MATCH(190,Engine!$C$2:$C$679,0)))</f>
        <v/>
      </c>
      <c r="P203">
        <f>IF(ISNA(MATCH(190,Engine!$C$2:$C$679,0)),"",HYPERLINK(INDEX('Compliance Database'!$P$2:$P$679,MATCH(190,Engine!$C$2:$C$679,0)),"Open PDF"))</f>
        <v/>
      </c>
    </row>
    <row r="204">
      <c r="A204">
        <f>IF(ISNA(MATCH(191,Engine!$C$2:$C$679,0)),"",INDEX('Compliance Database'!$A$2:$A$679,MATCH(191,Engine!$C$2:$C$679,0)))</f>
        <v/>
      </c>
      <c r="B204">
        <f>IF(ISNA(MATCH(191,Engine!$C$2:$C$679,0)),"",INDEX('Compliance Database'!$B$2:$B$679,MATCH(191,Engine!$C$2:$C$679,0)))</f>
        <v/>
      </c>
      <c r="C204">
        <f>IF(ISNA(MATCH(191,Engine!$C$2:$C$679,0)),"",INDEX('Compliance Database'!$C$2:$C$679,MATCH(191,Engine!$C$2:$C$679,0)))</f>
        <v/>
      </c>
      <c r="D204" s="8">
        <f>IF(ISNA(MATCH(191,Engine!$C$2:$C$679,0)),"",INDEX('Compliance Database'!$D$2:$D$679,MATCH(191,Engine!$C$2:$C$679,0)))</f>
        <v/>
      </c>
      <c r="E204">
        <f>IF(ISNA(MATCH(191,Engine!$C$2:$C$679,0)),"",INDEX('Compliance Database'!$E$2:$E$679,MATCH(191,Engine!$C$2:$C$679,0)))</f>
        <v/>
      </c>
      <c r="F204">
        <f>IF(ISNA(MATCH(191,Engine!$C$2:$C$679,0)),"",INDEX('Compliance Database'!$F$2:$F$679,MATCH(191,Engine!$C$2:$C$679,0)))</f>
        <v/>
      </c>
      <c r="G204">
        <f>IF(ISNA(MATCH(191,Engine!$C$2:$C$679,0)),"",INDEX('Compliance Database'!$G$2:$G$679,MATCH(191,Engine!$C$2:$C$679,0)))</f>
        <v/>
      </c>
      <c r="H204">
        <f>IF(ISNA(MATCH(191,Engine!$C$2:$C$679,0)),"",INDEX('Compliance Database'!$H$2:$H$679,MATCH(191,Engine!$C$2:$C$679,0)))</f>
        <v/>
      </c>
      <c r="I204" s="8">
        <f>IF(ISNA(MATCH(191,Engine!$C$2:$C$679,0)),"",INDEX('Compliance Database'!$I$2:$I$679,MATCH(191,Engine!$C$2:$C$679,0)))</f>
        <v/>
      </c>
      <c r="J204" s="8">
        <f>IF(ISNA(MATCH(191,Engine!$C$2:$C$679,0)),"",INDEX('Compliance Database'!$J$2:$J$679,MATCH(191,Engine!$C$2:$C$679,0)))</f>
        <v/>
      </c>
      <c r="K204">
        <f>IF(ISNA(MATCH(191,Engine!$C$2:$C$679,0)),"",INDEX('Compliance Database'!$K$2:$K$679,MATCH(191,Engine!$C$2:$C$679,0)))</f>
        <v/>
      </c>
      <c r="L204" s="8">
        <f>IF(ISNA(MATCH(191,Engine!$C$2:$C$679,0)),"",INDEX('Compliance Database'!$L$2:$L$679,MATCH(191,Engine!$C$2:$C$679,0)))</f>
        <v/>
      </c>
      <c r="M204" s="8">
        <f>IF(ISNA(MATCH(191,Engine!$C$2:$C$679,0)),"",INDEX('Compliance Database'!$M$2:$M$679,MATCH(191,Engine!$C$2:$C$679,0)))</f>
        <v/>
      </c>
      <c r="N204" s="8">
        <f>IF(ISNA(MATCH(191,Engine!$C$2:$C$679,0)),"",INDEX('Compliance Database'!$N$2:$N$679,MATCH(191,Engine!$C$2:$C$679,0)))</f>
        <v/>
      </c>
      <c r="O204" s="8">
        <f>IF(ISNA(MATCH(191,Engine!$C$2:$C$679,0)),"",INDEX('Compliance Database'!$O$2:$O$679,MATCH(191,Engine!$C$2:$C$679,0)))</f>
        <v/>
      </c>
      <c r="P204">
        <f>IF(ISNA(MATCH(191,Engine!$C$2:$C$679,0)),"",HYPERLINK(INDEX('Compliance Database'!$P$2:$P$679,MATCH(191,Engine!$C$2:$C$679,0)),"Open PDF"))</f>
        <v/>
      </c>
    </row>
    <row r="205">
      <c r="A205">
        <f>IF(ISNA(MATCH(192,Engine!$C$2:$C$679,0)),"",INDEX('Compliance Database'!$A$2:$A$679,MATCH(192,Engine!$C$2:$C$679,0)))</f>
        <v/>
      </c>
      <c r="B205">
        <f>IF(ISNA(MATCH(192,Engine!$C$2:$C$679,0)),"",INDEX('Compliance Database'!$B$2:$B$679,MATCH(192,Engine!$C$2:$C$679,0)))</f>
        <v/>
      </c>
      <c r="C205">
        <f>IF(ISNA(MATCH(192,Engine!$C$2:$C$679,0)),"",INDEX('Compliance Database'!$C$2:$C$679,MATCH(192,Engine!$C$2:$C$679,0)))</f>
        <v/>
      </c>
      <c r="D205" s="8">
        <f>IF(ISNA(MATCH(192,Engine!$C$2:$C$679,0)),"",INDEX('Compliance Database'!$D$2:$D$679,MATCH(192,Engine!$C$2:$C$679,0)))</f>
        <v/>
      </c>
      <c r="E205">
        <f>IF(ISNA(MATCH(192,Engine!$C$2:$C$679,0)),"",INDEX('Compliance Database'!$E$2:$E$679,MATCH(192,Engine!$C$2:$C$679,0)))</f>
        <v/>
      </c>
      <c r="F205">
        <f>IF(ISNA(MATCH(192,Engine!$C$2:$C$679,0)),"",INDEX('Compliance Database'!$F$2:$F$679,MATCH(192,Engine!$C$2:$C$679,0)))</f>
        <v/>
      </c>
      <c r="G205">
        <f>IF(ISNA(MATCH(192,Engine!$C$2:$C$679,0)),"",INDEX('Compliance Database'!$G$2:$G$679,MATCH(192,Engine!$C$2:$C$679,0)))</f>
        <v/>
      </c>
      <c r="H205">
        <f>IF(ISNA(MATCH(192,Engine!$C$2:$C$679,0)),"",INDEX('Compliance Database'!$H$2:$H$679,MATCH(192,Engine!$C$2:$C$679,0)))</f>
        <v/>
      </c>
      <c r="I205" s="8">
        <f>IF(ISNA(MATCH(192,Engine!$C$2:$C$679,0)),"",INDEX('Compliance Database'!$I$2:$I$679,MATCH(192,Engine!$C$2:$C$679,0)))</f>
        <v/>
      </c>
      <c r="J205" s="8">
        <f>IF(ISNA(MATCH(192,Engine!$C$2:$C$679,0)),"",INDEX('Compliance Database'!$J$2:$J$679,MATCH(192,Engine!$C$2:$C$679,0)))</f>
        <v/>
      </c>
      <c r="K205">
        <f>IF(ISNA(MATCH(192,Engine!$C$2:$C$679,0)),"",INDEX('Compliance Database'!$K$2:$K$679,MATCH(192,Engine!$C$2:$C$679,0)))</f>
        <v/>
      </c>
      <c r="L205" s="8">
        <f>IF(ISNA(MATCH(192,Engine!$C$2:$C$679,0)),"",INDEX('Compliance Database'!$L$2:$L$679,MATCH(192,Engine!$C$2:$C$679,0)))</f>
        <v/>
      </c>
      <c r="M205" s="8">
        <f>IF(ISNA(MATCH(192,Engine!$C$2:$C$679,0)),"",INDEX('Compliance Database'!$M$2:$M$679,MATCH(192,Engine!$C$2:$C$679,0)))</f>
        <v/>
      </c>
      <c r="N205" s="8">
        <f>IF(ISNA(MATCH(192,Engine!$C$2:$C$679,0)),"",INDEX('Compliance Database'!$N$2:$N$679,MATCH(192,Engine!$C$2:$C$679,0)))</f>
        <v/>
      </c>
      <c r="O205" s="8">
        <f>IF(ISNA(MATCH(192,Engine!$C$2:$C$679,0)),"",INDEX('Compliance Database'!$O$2:$O$679,MATCH(192,Engine!$C$2:$C$679,0)))</f>
        <v/>
      </c>
      <c r="P205">
        <f>IF(ISNA(MATCH(192,Engine!$C$2:$C$679,0)),"",HYPERLINK(INDEX('Compliance Database'!$P$2:$P$679,MATCH(192,Engine!$C$2:$C$679,0)),"Open PDF"))</f>
        <v/>
      </c>
    </row>
    <row r="206">
      <c r="A206">
        <f>IF(ISNA(MATCH(193,Engine!$C$2:$C$679,0)),"",INDEX('Compliance Database'!$A$2:$A$679,MATCH(193,Engine!$C$2:$C$679,0)))</f>
        <v/>
      </c>
      <c r="B206">
        <f>IF(ISNA(MATCH(193,Engine!$C$2:$C$679,0)),"",INDEX('Compliance Database'!$B$2:$B$679,MATCH(193,Engine!$C$2:$C$679,0)))</f>
        <v/>
      </c>
      <c r="C206">
        <f>IF(ISNA(MATCH(193,Engine!$C$2:$C$679,0)),"",INDEX('Compliance Database'!$C$2:$C$679,MATCH(193,Engine!$C$2:$C$679,0)))</f>
        <v/>
      </c>
      <c r="D206" s="8">
        <f>IF(ISNA(MATCH(193,Engine!$C$2:$C$679,0)),"",INDEX('Compliance Database'!$D$2:$D$679,MATCH(193,Engine!$C$2:$C$679,0)))</f>
        <v/>
      </c>
      <c r="E206">
        <f>IF(ISNA(MATCH(193,Engine!$C$2:$C$679,0)),"",INDEX('Compliance Database'!$E$2:$E$679,MATCH(193,Engine!$C$2:$C$679,0)))</f>
        <v/>
      </c>
      <c r="F206">
        <f>IF(ISNA(MATCH(193,Engine!$C$2:$C$679,0)),"",INDEX('Compliance Database'!$F$2:$F$679,MATCH(193,Engine!$C$2:$C$679,0)))</f>
        <v/>
      </c>
      <c r="G206">
        <f>IF(ISNA(MATCH(193,Engine!$C$2:$C$679,0)),"",INDEX('Compliance Database'!$G$2:$G$679,MATCH(193,Engine!$C$2:$C$679,0)))</f>
        <v/>
      </c>
      <c r="H206">
        <f>IF(ISNA(MATCH(193,Engine!$C$2:$C$679,0)),"",INDEX('Compliance Database'!$H$2:$H$679,MATCH(193,Engine!$C$2:$C$679,0)))</f>
        <v/>
      </c>
      <c r="I206" s="8">
        <f>IF(ISNA(MATCH(193,Engine!$C$2:$C$679,0)),"",INDEX('Compliance Database'!$I$2:$I$679,MATCH(193,Engine!$C$2:$C$679,0)))</f>
        <v/>
      </c>
      <c r="J206" s="8">
        <f>IF(ISNA(MATCH(193,Engine!$C$2:$C$679,0)),"",INDEX('Compliance Database'!$J$2:$J$679,MATCH(193,Engine!$C$2:$C$679,0)))</f>
        <v/>
      </c>
      <c r="K206">
        <f>IF(ISNA(MATCH(193,Engine!$C$2:$C$679,0)),"",INDEX('Compliance Database'!$K$2:$K$679,MATCH(193,Engine!$C$2:$C$679,0)))</f>
        <v/>
      </c>
      <c r="L206" s="8">
        <f>IF(ISNA(MATCH(193,Engine!$C$2:$C$679,0)),"",INDEX('Compliance Database'!$L$2:$L$679,MATCH(193,Engine!$C$2:$C$679,0)))</f>
        <v/>
      </c>
      <c r="M206" s="8">
        <f>IF(ISNA(MATCH(193,Engine!$C$2:$C$679,0)),"",INDEX('Compliance Database'!$M$2:$M$679,MATCH(193,Engine!$C$2:$C$679,0)))</f>
        <v/>
      </c>
      <c r="N206" s="8">
        <f>IF(ISNA(MATCH(193,Engine!$C$2:$C$679,0)),"",INDEX('Compliance Database'!$N$2:$N$679,MATCH(193,Engine!$C$2:$C$679,0)))</f>
        <v/>
      </c>
      <c r="O206" s="8">
        <f>IF(ISNA(MATCH(193,Engine!$C$2:$C$679,0)),"",INDEX('Compliance Database'!$O$2:$O$679,MATCH(193,Engine!$C$2:$C$679,0)))</f>
        <v/>
      </c>
      <c r="P206">
        <f>IF(ISNA(MATCH(193,Engine!$C$2:$C$679,0)),"",HYPERLINK(INDEX('Compliance Database'!$P$2:$P$679,MATCH(193,Engine!$C$2:$C$679,0)),"Open PDF"))</f>
        <v/>
      </c>
    </row>
    <row r="207">
      <c r="A207">
        <f>IF(ISNA(MATCH(194,Engine!$C$2:$C$679,0)),"",INDEX('Compliance Database'!$A$2:$A$679,MATCH(194,Engine!$C$2:$C$679,0)))</f>
        <v/>
      </c>
      <c r="B207">
        <f>IF(ISNA(MATCH(194,Engine!$C$2:$C$679,0)),"",INDEX('Compliance Database'!$B$2:$B$679,MATCH(194,Engine!$C$2:$C$679,0)))</f>
        <v/>
      </c>
      <c r="C207">
        <f>IF(ISNA(MATCH(194,Engine!$C$2:$C$679,0)),"",INDEX('Compliance Database'!$C$2:$C$679,MATCH(194,Engine!$C$2:$C$679,0)))</f>
        <v/>
      </c>
      <c r="D207" s="8">
        <f>IF(ISNA(MATCH(194,Engine!$C$2:$C$679,0)),"",INDEX('Compliance Database'!$D$2:$D$679,MATCH(194,Engine!$C$2:$C$679,0)))</f>
        <v/>
      </c>
      <c r="E207">
        <f>IF(ISNA(MATCH(194,Engine!$C$2:$C$679,0)),"",INDEX('Compliance Database'!$E$2:$E$679,MATCH(194,Engine!$C$2:$C$679,0)))</f>
        <v/>
      </c>
      <c r="F207">
        <f>IF(ISNA(MATCH(194,Engine!$C$2:$C$679,0)),"",INDEX('Compliance Database'!$F$2:$F$679,MATCH(194,Engine!$C$2:$C$679,0)))</f>
        <v/>
      </c>
      <c r="G207">
        <f>IF(ISNA(MATCH(194,Engine!$C$2:$C$679,0)),"",INDEX('Compliance Database'!$G$2:$G$679,MATCH(194,Engine!$C$2:$C$679,0)))</f>
        <v/>
      </c>
      <c r="H207">
        <f>IF(ISNA(MATCH(194,Engine!$C$2:$C$679,0)),"",INDEX('Compliance Database'!$H$2:$H$679,MATCH(194,Engine!$C$2:$C$679,0)))</f>
        <v/>
      </c>
      <c r="I207" s="8">
        <f>IF(ISNA(MATCH(194,Engine!$C$2:$C$679,0)),"",INDEX('Compliance Database'!$I$2:$I$679,MATCH(194,Engine!$C$2:$C$679,0)))</f>
        <v/>
      </c>
      <c r="J207" s="8">
        <f>IF(ISNA(MATCH(194,Engine!$C$2:$C$679,0)),"",INDEX('Compliance Database'!$J$2:$J$679,MATCH(194,Engine!$C$2:$C$679,0)))</f>
        <v/>
      </c>
      <c r="K207">
        <f>IF(ISNA(MATCH(194,Engine!$C$2:$C$679,0)),"",INDEX('Compliance Database'!$K$2:$K$679,MATCH(194,Engine!$C$2:$C$679,0)))</f>
        <v/>
      </c>
      <c r="L207" s="8">
        <f>IF(ISNA(MATCH(194,Engine!$C$2:$C$679,0)),"",INDEX('Compliance Database'!$L$2:$L$679,MATCH(194,Engine!$C$2:$C$679,0)))</f>
        <v/>
      </c>
      <c r="M207" s="8">
        <f>IF(ISNA(MATCH(194,Engine!$C$2:$C$679,0)),"",INDEX('Compliance Database'!$M$2:$M$679,MATCH(194,Engine!$C$2:$C$679,0)))</f>
        <v/>
      </c>
      <c r="N207" s="8">
        <f>IF(ISNA(MATCH(194,Engine!$C$2:$C$679,0)),"",INDEX('Compliance Database'!$N$2:$N$679,MATCH(194,Engine!$C$2:$C$679,0)))</f>
        <v/>
      </c>
      <c r="O207" s="8">
        <f>IF(ISNA(MATCH(194,Engine!$C$2:$C$679,0)),"",INDEX('Compliance Database'!$O$2:$O$679,MATCH(194,Engine!$C$2:$C$679,0)))</f>
        <v/>
      </c>
      <c r="P207">
        <f>IF(ISNA(MATCH(194,Engine!$C$2:$C$679,0)),"",HYPERLINK(INDEX('Compliance Database'!$P$2:$P$679,MATCH(194,Engine!$C$2:$C$679,0)),"Open PDF"))</f>
        <v/>
      </c>
    </row>
    <row r="208">
      <c r="A208">
        <f>IF(ISNA(MATCH(195,Engine!$C$2:$C$679,0)),"",INDEX('Compliance Database'!$A$2:$A$679,MATCH(195,Engine!$C$2:$C$679,0)))</f>
        <v/>
      </c>
      <c r="B208">
        <f>IF(ISNA(MATCH(195,Engine!$C$2:$C$679,0)),"",INDEX('Compliance Database'!$B$2:$B$679,MATCH(195,Engine!$C$2:$C$679,0)))</f>
        <v/>
      </c>
      <c r="C208">
        <f>IF(ISNA(MATCH(195,Engine!$C$2:$C$679,0)),"",INDEX('Compliance Database'!$C$2:$C$679,MATCH(195,Engine!$C$2:$C$679,0)))</f>
        <v/>
      </c>
      <c r="D208" s="8">
        <f>IF(ISNA(MATCH(195,Engine!$C$2:$C$679,0)),"",INDEX('Compliance Database'!$D$2:$D$679,MATCH(195,Engine!$C$2:$C$679,0)))</f>
        <v/>
      </c>
      <c r="E208">
        <f>IF(ISNA(MATCH(195,Engine!$C$2:$C$679,0)),"",INDEX('Compliance Database'!$E$2:$E$679,MATCH(195,Engine!$C$2:$C$679,0)))</f>
        <v/>
      </c>
      <c r="F208">
        <f>IF(ISNA(MATCH(195,Engine!$C$2:$C$679,0)),"",INDEX('Compliance Database'!$F$2:$F$679,MATCH(195,Engine!$C$2:$C$679,0)))</f>
        <v/>
      </c>
      <c r="G208">
        <f>IF(ISNA(MATCH(195,Engine!$C$2:$C$679,0)),"",INDEX('Compliance Database'!$G$2:$G$679,MATCH(195,Engine!$C$2:$C$679,0)))</f>
        <v/>
      </c>
      <c r="H208">
        <f>IF(ISNA(MATCH(195,Engine!$C$2:$C$679,0)),"",INDEX('Compliance Database'!$H$2:$H$679,MATCH(195,Engine!$C$2:$C$679,0)))</f>
        <v/>
      </c>
      <c r="I208" s="8">
        <f>IF(ISNA(MATCH(195,Engine!$C$2:$C$679,0)),"",INDEX('Compliance Database'!$I$2:$I$679,MATCH(195,Engine!$C$2:$C$679,0)))</f>
        <v/>
      </c>
      <c r="J208" s="8">
        <f>IF(ISNA(MATCH(195,Engine!$C$2:$C$679,0)),"",INDEX('Compliance Database'!$J$2:$J$679,MATCH(195,Engine!$C$2:$C$679,0)))</f>
        <v/>
      </c>
      <c r="K208">
        <f>IF(ISNA(MATCH(195,Engine!$C$2:$C$679,0)),"",INDEX('Compliance Database'!$K$2:$K$679,MATCH(195,Engine!$C$2:$C$679,0)))</f>
        <v/>
      </c>
      <c r="L208" s="8">
        <f>IF(ISNA(MATCH(195,Engine!$C$2:$C$679,0)),"",INDEX('Compliance Database'!$L$2:$L$679,MATCH(195,Engine!$C$2:$C$679,0)))</f>
        <v/>
      </c>
      <c r="M208" s="8">
        <f>IF(ISNA(MATCH(195,Engine!$C$2:$C$679,0)),"",INDEX('Compliance Database'!$M$2:$M$679,MATCH(195,Engine!$C$2:$C$679,0)))</f>
        <v/>
      </c>
      <c r="N208" s="8">
        <f>IF(ISNA(MATCH(195,Engine!$C$2:$C$679,0)),"",INDEX('Compliance Database'!$N$2:$N$679,MATCH(195,Engine!$C$2:$C$679,0)))</f>
        <v/>
      </c>
      <c r="O208" s="8">
        <f>IF(ISNA(MATCH(195,Engine!$C$2:$C$679,0)),"",INDEX('Compliance Database'!$O$2:$O$679,MATCH(195,Engine!$C$2:$C$679,0)))</f>
        <v/>
      </c>
      <c r="P208">
        <f>IF(ISNA(MATCH(195,Engine!$C$2:$C$679,0)),"",HYPERLINK(INDEX('Compliance Database'!$P$2:$P$679,MATCH(195,Engine!$C$2:$C$679,0)),"Open PDF"))</f>
        <v/>
      </c>
    </row>
    <row r="209">
      <c r="A209">
        <f>IF(ISNA(MATCH(196,Engine!$C$2:$C$679,0)),"",INDEX('Compliance Database'!$A$2:$A$679,MATCH(196,Engine!$C$2:$C$679,0)))</f>
        <v/>
      </c>
      <c r="B209">
        <f>IF(ISNA(MATCH(196,Engine!$C$2:$C$679,0)),"",INDEX('Compliance Database'!$B$2:$B$679,MATCH(196,Engine!$C$2:$C$679,0)))</f>
        <v/>
      </c>
      <c r="C209">
        <f>IF(ISNA(MATCH(196,Engine!$C$2:$C$679,0)),"",INDEX('Compliance Database'!$C$2:$C$679,MATCH(196,Engine!$C$2:$C$679,0)))</f>
        <v/>
      </c>
      <c r="D209" s="8">
        <f>IF(ISNA(MATCH(196,Engine!$C$2:$C$679,0)),"",INDEX('Compliance Database'!$D$2:$D$679,MATCH(196,Engine!$C$2:$C$679,0)))</f>
        <v/>
      </c>
      <c r="E209">
        <f>IF(ISNA(MATCH(196,Engine!$C$2:$C$679,0)),"",INDEX('Compliance Database'!$E$2:$E$679,MATCH(196,Engine!$C$2:$C$679,0)))</f>
        <v/>
      </c>
      <c r="F209">
        <f>IF(ISNA(MATCH(196,Engine!$C$2:$C$679,0)),"",INDEX('Compliance Database'!$F$2:$F$679,MATCH(196,Engine!$C$2:$C$679,0)))</f>
        <v/>
      </c>
      <c r="G209">
        <f>IF(ISNA(MATCH(196,Engine!$C$2:$C$679,0)),"",INDEX('Compliance Database'!$G$2:$G$679,MATCH(196,Engine!$C$2:$C$679,0)))</f>
        <v/>
      </c>
      <c r="H209">
        <f>IF(ISNA(MATCH(196,Engine!$C$2:$C$679,0)),"",INDEX('Compliance Database'!$H$2:$H$679,MATCH(196,Engine!$C$2:$C$679,0)))</f>
        <v/>
      </c>
      <c r="I209" s="8">
        <f>IF(ISNA(MATCH(196,Engine!$C$2:$C$679,0)),"",INDEX('Compliance Database'!$I$2:$I$679,MATCH(196,Engine!$C$2:$C$679,0)))</f>
        <v/>
      </c>
      <c r="J209" s="8">
        <f>IF(ISNA(MATCH(196,Engine!$C$2:$C$679,0)),"",INDEX('Compliance Database'!$J$2:$J$679,MATCH(196,Engine!$C$2:$C$679,0)))</f>
        <v/>
      </c>
      <c r="K209">
        <f>IF(ISNA(MATCH(196,Engine!$C$2:$C$679,0)),"",INDEX('Compliance Database'!$K$2:$K$679,MATCH(196,Engine!$C$2:$C$679,0)))</f>
        <v/>
      </c>
      <c r="L209" s="8">
        <f>IF(ISNA(MATCH(196,Engine!$C$2:$C$679,0)),"",INDEX('Compliance Database'!$L$2:$L$679,MATCH(196,Engine!$C$2:$C$679,0)))</f>
        <v/>
      </c>
      <c r="M209" s="8">
        <f>IF(ISNA(MATCH(196,Engine!$C$2:$C$679,0)),"",INDEX('Compliance Database'!$M$2:$M$679,MATCH(196,Engine!$C$2:$C$679,0)))</f>
        <v/>
      </c>
      <c r="N209" s="8">
        <f>IF(ISNA(MATCH(196,Engine!$C$2:$C$679,0)),"",INDEX('Compliance Database'!$N$2:$N$679,MATCH(196,Engine!$C$2:$C$679,0)))</f>
        <v/>
      </c>
      <c r="O209" s="8">
        <f>IF(ISNA(MATCH(196,Engine!$C$2:$C$679,0)),"",INDEX('Compliance Database'!$O$2:$O$679,MATCH(196,Engine!$C$2:$C$679,0)))</f>
        <v/>
      </c>
      <c r="P209">
        <f>IF(ISNA(MATCH(196,Engine!$C$2:$C$679,0)),"",HYPERLINK(INDEX('Compliance Database'!$P$2:$P$679,MATCH(196,Engine!$C$2:$C$679,0)),"Open PDF"))</f>
        <v/>
      </c>
    </row>
    <row r="210">
      <c r="A210">
        <f>IF(ISNA(MATCH(197,Engine!$C$2:$C$679,0)),"",INDEX('Compliance Database'!$A$2:$A$679,MATCH(197,Engine!$C$2:$C$679,0)))</f>
        <v/>
      </c>
      <c r="B210">
        <f>IF(ISNA(MATCH(197,Engine!$C$2:$C$679,0)),"",INDEX('Compliance Database'!$B$2:$B$679,MATCH(197,Engine!$C$2:$C$679,0)))</f>
        <v/>
      </c>
      <c r="C210">
        <f>IF(ISNA(MATCH(197,Engine!$C$2:$C$679,0)),"",INDEX('Compliance Database'!$C$2:$C$679,MATCH(197,Engine!$C$2:$C$679,0)))</f>
        <v/>
      </c>
      <c r="D210" s="8">
        <f>IF(ISNA(MATCH(197,Engine!$C$2:$C$679,0)),"",INDEX('Compliance Database'!$D$2:$D$679,MATCH(197,Engine!$C$2:$C$679,0)))</f>
        <v/>
      </c>
      <c r="E210">
        <f>IF(ISNA(MATCH(197,Engine!$C$2:$C$679,0)),"",INDEX('Compliance Database'!$E$2:$E$679,MATCH(197,Engine!$C$2:$C$679,0)))</f>
        <v/>
      </c>
      <c r="F210">
        <f>IF(ISNA(MATCH(197,Engine!$C$2:$C$679,0)),"",INDEX('Compliance Database'!$F$2:$F$679,MATCH(197,Engine!$C$2:$C$679,0)))</f>
        <v/>
      </c>
      <c r="G210">
        <f>IF(ISNA(MATCH(197,Engine!$C$2:$C$679,0)),"",INDEX('Compliance Database'!$G$2:$G$679,MATCH(197,Engine!$C$2:$C$679,0)))</f>
        <v/>
      </c>
      <c r="H210">
        <f>IF(ISNA(MATCH(197,Engine!$C$2:$C$679,0)),"",INDEX('Compliance Database'!$H$2:$H$679,MATCH(197,Engine!$C$2:$C$679,0)))</f>
        <v/>
      </c>
      <c r="I210" s="8">
        <f>IF(ISNA(MATCH(197,Engine!$C$2:$C$679,0)),"",INDEX('Compliance Database'!$I$2:$I$679,MATCH(197,Engine!$C$2:$C$679,0)))</f>
        <v/>
      </c>
      <c r="J210" s="8">
        <f>IF(ISNA(MATCH(197,Engine!$C$2:$C$679,0)),"",INDEX('Compliance Database'!$J$2:$J$679,MATCH(197,Engine!$C$2:$C$679,0)))</f>
        <v/>
      </c>
      <c r="K210">
        <f>IF(ISNA(MATCH(197,Engine!$C$2:$C$679,0)),"",INDEX('Compliance Database'!$K$2:$K$679,MATCH(197,Engine!$C$2:$C$679,0)))</f>
        <v/>
      </c>
      <c r="L210" s="8">
        <f>IF(ISNA(MATCH(197,Engine!$C$2:$C$679,0)),"",INDEX('Compliance Database'!$L$2:$L$679,MATCH(197,Engine!$C$2:$C$679,0)))</f>
        <v/>
      </c>
      <c r="M210" s="8">
        <f>IF(ISNA(MATCH(197,Engine!$C$2:$C$679,0)),"",INDEX('Compliance Database'!$M$2:$M$679,MATCH(197,Engine!$C$2:$C$679,0)))</f>
        <v/>
      </c>
      <c r="N210" s="8">
        <f>IF(ISNA(MATCH(197,Engine!$C$2:$C$679,0)),"",INDEX('Compliance Database'!$N$2:$N$679,MATCH(197,Engine!$C$2:$C$679,0)))</f>
        <v/>
      </c>
      <c r="O210" s="8">
        <f>IF(ISNA(MATCH(197,Engine!$C$2:$C$679,0)),"",INDEX('Compliance Database'!$O$2:$O$679,MATCH(197,Engine!$C$2:$C$679,0)))</f>
        <v/>
      </c>
      <c r="P210">
        <f>IF(ISNA(MATCH(197,Engine!$C$2:$C$679,0)),"",HYPERLINK(INDEX('Compliance Database'!$P$2:$P$679,MATCH(197,Engine!$C$2:$C$679,0)),"Open PDF"))</f>
        <v/>
      </c>
    </row>
    <row r="211">
      <c r="A211">
        <f>IF(ISNA(MATCH(198,Engine!$C$2:$C$679,0)),"",INDEX('Compliance Database'!$A$2:$A$679,MATCH(198,Engine!$C$2:$C$679,0)))</f>
        <v/>
      </c>
      <c r="B211">
        <f>IF(ISNA(MATCH(198,Engine!$C$2:$C$679,0)),"",INDEX('Compliance Database'!$B$2:$B$679,MATCH(198,Engine!$C$2:$C$679,0)))</f>
        <v/>
      </c>
      <c r="C211">
        <f>IF(ISNA(MATCH(198,Engine!$C$2:$C$679,0)),"",INDEX('Compliance Database'!$C$2:$C$679,MATCH(198,Engine!$C$2:$C$679,0)))</f>
        <v/>
      </c>
      <c r="D211" s="8">
        <f>IF(ISNA(MATCH(198,Engine!$C$2:$C$679,0)),"",INDEX('Compliance Database'!$D$2:$D$679,MATCH(198,Engine!$C$2:$C$679,0)))</f>
        <v/>
      </c>
      <c r="E211">
        <f>IF(ISNA(MATCH(198,Engine!$C$2:$C$679,0)),"",INDEX('Compliance Database'!$E$2:$E$679,MATCH(198,Engine!$C$2:$C$679,0)))</f>
        <v/>
      </c>
      <c r="F211">
        <f>IF(ISNA(MATCH(198,Engine!$C$2:$C$679,0)),"",INDEX('Compliance Database'!$F$2:$F$679,MATCH(198,Engine!$C$2:$C$679,0)))</f>
        <v/>
      </c>
      <c r="G211">
        <f>IF(ISNA(MATCH(198,Engine!$C$2:$C$679,0)),"",INDEX('Compliance Database'!$G$2:$G$679,MATCH(198,Engine!$C$2:$C$679,0)))</f>
        <v/>
      </c>
      <c r="H211">
        <f>IF(ISNA(MATCH(198,Engine!$C$2:$C$679,0)),"",INDEX('Compliance Database'!$H$2:$H$679,MATCH(198,Engine!$C$2:$C$679,0)))</f>
        <v/>
      </c>
      <c r="I211" s="8">
        <f>IF(ISNA(MATCH(198,Engine!$C$2:$C$679,0)),"",INDEX('Compliance Database'!$I$2:$I$679,MATCH(198,Engine!$C$2:$C$679,0)))</f>
        <v/>
      </c>
      <c r="J211" s="8">
        <f>IF(ISNA(MATCH(198,Engine!$C$2:$C$679,0)),"",INDEX('Compliance Database'!$J$2:$J$679,MATCH(198,Engine!$C$2:$C$679,0)))</f>
        <v/>
      </c>
      <c r="K211">
        <f>IF(ISNA(MATCH(198,Engine!$C$2:$C$679,0)),"",INDEX('Compliance Database'!$K$2:$K$679,MATCH(198,Engine!$C$2:$C$679,0)))</f>
        <v/>
      </c>
      <c r="L211" s="8">
        <f>IF(ISNA(MATCH(198,Engine!$C$2:$C$679,0)),"",INDEX('Compliance Database'!$L$2:$L$679,MATCH(198,Engine!$C$2:$C$679,0)))</f>
        <v/>
      </c>
      <c r="M211" s="8">
        <f>IF(ISNA(MATCH(198,Engine!$C$2:$C$679,0)),"",INDEX('Compliance Database'!$M$2:$M$679,MATCH(198,Engine!$C$2:$C$679,0)))</f>
        <v/>
      </c>
      <c r="N211" s="8">
        <f>IF(ISNA(MATCH(198,Engine!$C$2:$C$679,0)),"",INDEX('Compliance Database'!$N$2:$N$679,MATCH(198,Engine!$C$2:$C$679,0)))</f>
        <v/>
      </c>
      <c r="O211" s="8">
        <f>IF(ISNA(MATCH(198,Engine!$C$2:$C$679,0)),"",INDEX('Compliance Database'!$O$2:$O$679,MATCH(198,Engine!$C$2:$C$679,0)))</f>
        <v/>
      </c>
      <c r="P211">
        <f>IF(ISNA(MATCH(198,Engine!$C$2:$C$679,0)),"",HYPERLINK(INDEX('Compliance Database'!$P$2:$P$679,MATCH(198,Engine!$C$2:$C$679,0)),"Open PDF"))</f>
        <v/>
      </c>
    </row>
    <row r="212">
      <c r="A212">
        <f>IF(ISNA(MATCH(199,Engine!$C$2:$C$679,0)),"",INDEX('Compliance Database'!$A$2:$A$679,MATCH(199,Engine!$C$2:$C$679,0)))</f>
        <v/>
      </c>
      <c r="B212">
        <f>IF(ISNA(MATCH(199,Engine!$C$2:$C$679,0)),"",INDEX('Compliance Database'!$B$2:$B$679,MATCH(199,Engine!$C$2:$C$679,0)))</f>
        <v/>
      </c>
      <c r="C212">
        <f>IF(ISNA(MATCH(199,Engine!$C$2:$C$679,0)),"",INDEX('Compliance Database'!$C$2:$C$679,MATCH(199,Engine!$C$2:$C$679,0)))</f>
        <v/>
      </c>
      <c r="D212" s="8">
        <f>IF(ISNA(MATCH(199,Engine!$C$2:$C$679,0)),"",INDEX('Compliance Database'!$D$2:$D$679,MATCH(199,Engine!$C$2:$C$679,0)))</f>
        <v/>
      </c>
      <c r="E212">
        <f>IF(ISNA(MATCH(199,Engine!$C$2:$C$679,0)),"",INDEX('Compliance Database'!$E$2:$E$679,MATCH(199,Engine!$C$2:$C$679,0)))</f>
        <v/>
      </c>
      <c r="F212">
        <f>IF(ISNA(MATCH(199,Engine!$C$2:$C$679,0)),"",INDEX('Compliance Database'!$F$2:$F$679,MATCH(199,Engine!$C$2:$C$679,0)))</f>
        <v/>
      </c>
      <c r="G212">
        <f>IF(ISNA(MATCH(199,Engine!$C$2:$C$679,0)),"",INDEX('Compliance Database'!$G$2:$G$679,MATCH(199,Engine!$C$2:$C$679,0)))</f>
        <v/>
      </c>
      <c r="H212">
        <f>IF(ISNA(MATCH(199,Engine!$C$2:$C$679,0)),"",INDEX('Compliance Database'!$H$2:$H$679,MATCH(199,Engine!$C$2:$C$679,0)))</f>
        <v/>
      </c>
      <c r="I212" s="8">
        <f>IF(ISNA(MATCH(199,Engine!$C$2:$C$679,0)),"",INDEX('Compliance Database'!$I$2:$I$679,MATCH(199,Engine!$C$2:$C$679,0)))</f>
        <v/>
      </c>
      <c r="J212" s="8">
        <f>IF(ISNA(MATCH(199,Engine!$C$2:$C$679,0)),"",INDEX('Compliance Database'!$J$2:$J$679,MATCH(199,Engine!$C$2:$C$679,0)))</f>
        <v/>
      </c>
      <c r="K212">
        <f>IF(ISNA(MATCH(199,Engine!$C$2:$C$679,0)),"",INDEX('Compliance Database'!$K$2:$K$679,MATCH(199,Engine!$C$2:$C$679,0)))</f>
        <v/>
      </c>
      <c r="L212" s="8">
        <f>IF(ISNA(MATCH(199,Engine!$C$2:$C$679,0)),"",INDEX('Compliance Database'!$L$2:$L$679,MATCH(199,Engine!$C$2:$C$679,0)))</f>
        <v/>
      </c>
      <c r="M212" s="8">
        <f>IF(ISNA(MATCH(199,Engine!$C$2:$C$679,0)),"",INDEX('Compliance Database'!$M$2:$M$679,MATCH(199,Engine!$C$2:$C$679,0)))</f>
        <v/>
      </c>
      <c r="N212" s="8">
        <f>IF(ISNA(MATCH(199,Engine!$C$2:$C$679,0)),"",INDEX('Compliance Database'!$N$2:$N$679,MATCH(199,Engine!$C$2:$C$679,0)))</f>
        <v/>
      </c>
      <c r="O212" s="8">
        <f>IF(ISNA(MATCH(199,Engine!$C$2:$C$679,0)),"",INDEX('Compliance Database'!$O$2:$O$679,MATCH(199,Engine!$C$2:$C$679,0)))</f>
        <v/>
      </c>
      <c r="P212">
        <f>IF(ISNA(MATCH(199,Engine!$C$2:$C$679,0)),"",HYPERLINK(INDEX('Compliance Database'!$P$2:$P$679,MATCH(199,Engine!$C$2:$C$679,0)),"Open PDF"))</f>
        <v/>
      </c>
    </row>
    <row r="213">
      <c r="A213">
        <f>IF(ISNA(MATCH(200,Engine!$C$2:$C$679,0)),"",INDEX('Compliance Database'!$A$2:$A$679,MATCH(200,Engine!$C$2:$C$679,0)))</f>
        <v/>
      </c>
      <c r="B213">
        <f>IF(ISNA(MATCH(200,Engine!$C$2:$C$679,0)),"",INDEX('Compliance Database'!$B$2:$B$679,MATCH(200,Engine!$C$2:$C$679,0)))</f>
        <v/>
      </c>
      <c r="C213">
        <f>IF(ISNA(MATCH(200,Engine!$C$2:$C$679,0)),"",INDEX('Compliance Database'!$C$2:$C$679,MATCH(200,Engine!$C$2:$C$679,0)))</f>
        <v/>
      </c>
      <c r="D213" s="8">
        <f>IF(ISNA(MATCH(200,Engine!$C$2:$C$679,0)),"",INDEX('Compliance Database'!$D$2:$D$679,MATCH(200,Engine!$C$2:$C$679,0)))</f>
        <v/>
      </c>
      <c r="E213">
        <f>IF(ISNA(MATCH(200,Engine!$C$2:$C$679,0)),"",INDEX('Compliance Database'!$E$2:$E$679,MATCH(200,Engine!$C$2:$C$679,0)))</f>
        <v/>
      </c>
      <c r="F213">
        <f>IF(ISNA(MATCH(200,Engine!$C$2:$C$679,0)),"",INDEX('Compliance Database'!$F$2:$F$679,MATCH(200,Engine!$C$2:$C$679,0)))</f>
        <v/>
      </c>
      <c r="G213">
        <f>IF(ISNA(MATCH(200,Engine!$C$2:$C$679,0)),"",INDEX('Compliance Database'!$G$2:$G$679,MATCH(200,Engine!$C$2:$C$679,0)))</f>
        <v/>
      </c>
      <c r="H213">
        <f>IF(ISNA(MATCH(200,Engine!$C$2:$C$679,0)),"",INDEX('Compliance Database'!$H$2:$H$679,MATCH(200,Engine!$C$2:$C$679,0)))</f>
        <v/>
      </c>
      <c r="I213" s="8">
        <f>IF(ISNA(MATCH(200,Engine!$C$2:$C$679,0)),"",INDEX('Compliance Database'!$I$2:$I$679,MATCH(200,Engine!$C$2:$C$679,0)))</f>
        <v/>
      </c>
      <c r="J213" s="8">
        <f>IF(ISNA(MATCH(200,Engine!$C$2:$C$679,0)),"",INDEX('Compliance Database'!$J$2:$J$679,MATCH(200,Engine!$C$2:$C$679,0)))</f>
        <v/>
      </c>
      <c r="K213">
        <f>IF(ISNA(MATCH(200,Engine!$C$2:$C$679,0)),"",INDEX('Compliance Database'!$K$2:$K$679,MATCH(200,Engine!$C$2:$C$679,0)))</f>
        <v/>
      </c>
      <c r="L213" s="8">
        <f>IF(ISNA(MATCH(200,Engine!$C$2:$C$679,0)),"",INDEX('Compliance Database'!$L$2:$L$679,MATCH(200,Engine!$C$2:$C$679,0)))</f>
        <v/>
      </c>
      <c r="M213" s="8">
        <f>IF(ISNA(MATCH(200,Engine!$C$2:$C$679,0)),"",INDEX('Compliance Database'!$M$2:$M$679,MATCH(200,Engine!$C$2:$C$679,0)))</f>
        <v/>
      </c>
      <c r="N213" s="8">
        <f>IF(ISNA(MATCH(200,Engine!$C$2:$C$679,0)),"",INDEX('Compliance Database'!$N$2:$N$679,MATCH(200,Engine!$C$2:$C$679,0)))</f>
        <v/>
      </c>
      <c r="O213" s="8">
        <f>IF(ISNA(MATCH(200,Engine!$C$2:$C$679,0)),"",INDEX('Compliance Database'!$O$2:$O$679,MATCH(200,Engine!$C$2:$C$679,0)))</f>
        <v/>
      </c>
      <c r="P213">
        <f>IF(ISNA(MATCH(200,Engine!$C$2:$C$679,0)),"",HYPERLINK(INDEX('Compliance Database'!$P$2:$P$679,MATCH(200,Engine!$C$2:$C$679,0)),"Open PDF"))</f>
        <v/>
      </c>
    </row>
    <row r="214">
      <c r="A214">
        <f>IF(ISNA(MATCH(201,Engine!$C$2:$C$679,0)),"",INDEX('Compliance Database'!$A$2:$A$679,MATCH(201,Engine!$C$2:$C$679,0)))</f>
        <v/>
      </c>
      <c r="B214">
        <f>IF(ISNA(MATCH(201,Engine!$C$2:$C$679,0)),"",INDEX('Compliance Database'!$B$2:$B$679,MATCH(201,Engine!$C$2:$C$679,0)))</f>
        <v/>
      </c>
      <c r="C214">
        <f>IF(ISNA(MATCH(201,Engine!$C$2:$C$679,0)),"",INDEX('Compliance Database'!$C$2:$C$679,MATCH(201,Engine!$C$2:$C$679,0)))</f>
        <v/>
      </c>
      <c r="D214" s="8">
        <f>IF(ISNA(MATCH(201,Engine!$C$2:$C$679,0)),"",INDEX('Compliance Database'!$D$2:$D$679,MATCH(201,Engine!$C$2:$C$679,0)))</f>
        <v/>
      </c>
      <c r="E214">
        <f>IF(ISNA(MATCH(201,Engine!$C$2:$C$679,0)),"",INDEX('Compliance Database'!$E$2:$E$679,MATCH(201,Engine!$C$2:$C$679,0)))</f>
        <v/>
      </c>
      <c r="F214">
        <f>IF(ISNA(MATCH(201,Engine!$C$2:$C$679,0)),"",INDEX('Compliance Database'!$F$2:$F$679,MATCH(201,Engine!$C$2:$C$679,0)))</f>
        <v/>
      </c>
      <c r="G214">
        <f>IF(ISNA(MATCH(201,Engine!$C$2:$C$679,0)),"",INDEX('Compliance Database'!$G$2:$G$679,MATCH(201,Engine!$C$2:$C$679,0)))</f>
        <v/>
      </c>
      <c r="H214">
        <f>IF(ISNA(MATCH(201,Engine!$C$2:$C$679,0)),"",INDEX('Compliance Database'!$H$2:$H$679,MATCH(201,Engine!$C$2:$C$679,0)))</f>
        <v/>
      </c>
      <c r="I214" s="8">
        <f>IF(ISNA(MATCH(201,Engine!$C$2:$C$679,0)),"",INDEX('Compliance Database'!$I$2:$I$679,MATCH(201,Engine!$C$2:$C$679,0)))</f>
        <v/>
      </c>
      <c r="J214" s="8">
        <f>IF(ISNA(MATCH(201,Engine!$C$2:$C$679,0)),"",INDEX('Compliance Database'!$J$2:$J$679,MATCH(201,Engine!$C$2:$C$679,0)))</f>
        <v/>
      </c>
      <c r="K214">
        <f>IF(ISNA(MATCH(201,Engine!$C$2:$C$679,0)),"",INDEX('Compliance Database'!$K$2:$K$679,MATCH(201,Engine!$C$2:$C$679,0)))</f>
        <v/>
      </c>
      <c r="L214" s="8">
        <f>IF(ISNA(MATCH(201,Engine!$C$2:$C$679,0)),"",INDEX('Compliance Database'!$L$2:$L$679,MATCH(201,Engine!$C$2:$C$679,0)))</f>
        <v/>
      </c>
      <c r="M214" s="8">
        <f>IF(ISNA(MATCH(201,Engine!$C$2:$C$679,0)),"",INDEX('Compliance Database'!$M$2:$M$679,MATCH(201,Engine!$C$2:$C$679,0)))</f>
        <v/>
      </c>
      <c r="N214" s="8">
        <f>IF(ISNA(MATCH(201,Engine!$C$2:$C$679,0)),"",INDEX('Compliance Database'!$N$2:$N$679,MATCH(201,Engine!$C$2:$C$679,0)))</f>
        <v/>
      </c>
      <c r="O214" s="8">
        <f>IF(ISNA(MATCH(201,Engine!$C$2:$C$679,0)),"",INDEX('Compliance Database'!$O$2:$O$679,MATCH(201,Engine!$C$2:$C$679,0)))</f>
        <v/>
      </c>
      <c r="P214">
        <f>IF(ISNA(MATCH(201,Engine!$C$2:$C$679,0)),"",HYPERLINK(INDEX('Compliance Database'!$P$2:$P$679,MATCH(201,Engine!$C$2:$C$679,0)),"Open PDF"))</f>
        <v/>
      </c>
    </row>
    <row r="215">
      <c r="A215">
        <f>IF(ISNA(MATCH(202,Engine!$C$2:$C$679,0)),"",INDEX('Compliance Database'!$A$2:$A$679,MATCH(202,Engine!$C$2:$C$679,0)))</f>
        <v/>
      </c>
      <c r="B215">
        <f>IF(ISNA(MATCH(202,Engine!$C$2:$C$679,0)),"",INDEX('Compliance Database'!$B$2:$B$679,MATCH(202,Engine!$C$2:$C$679,0)))</f>
        <v/>
      </c>
      <c r="C215">
        <f>IF(ISNA(MATCH(202,Engine!$C$2:$C$679,0)),"",INDEX('Compliance Database'!$C$2:$C$679,MATCH(202,Engine!$C$2:$C$679,0)))</f>
        <v/>
      </c>
      <c r="D215" s="8">
        <f>IF(ISNA(MATCH(202,Engine!$C$2:$C$679,0)),"",INDEX('Compliance Database'!$D$2:$D$679,MATCH(202,Engine!$C$2:$C$679,0)))</f>
        <v/>
      </c>
      <c r="E215">
        <f>IF(ISNA(MATCH(202,Engine!$C$2:$C$679,0)),"",INDEX('Compliance Database'!$E$2:$E$679,MATCH(202,Engine!$C$2:$C$679,0)))</f>
        <v/>
      </c>
      <c r="F215">
        <f>IF(ISNA(MATCH(202,Engine!$C$2:$C$679,0)),"",INDEX('Compliance Database'!$F$2:$F$679,MATCH(202,Engine!$C$2:$C$679,0)))</f>
        <v/>
      </c>
      <c r="G215">
        <f>IF(ISNA(MATCH(202,Engine!$C$2:$C$679,0)),"",INDEX('Compliance Database'!$G$2:$G$679,MATCH(202,Engine!$C$2:$C$679,0)))</f>
        <v/>
      </c>
      <c r="H215">
        <f>IF(ISNA(MATCH(202,Engine!$C$2:$C$679,0)),"",INDEX('Compliance Database'!$H$2:$H$679,MATCH(202,Engine!$C$2:$C$679,0)))</f>
        <v/>
      </c>
      <c r="I215" s="8">
        <f>IF(ISNA(MATCH(202,Engine!$C$2:$C$679,0)),"",INDEX('Compliance Database'!$I$2:$I$679,MATCH(202,Engine!$C$2:$C$679,0)))</f>
        <v/>
      </c>
      <c r="J215" s="8">
        <f>IF(ISNA(MATCH(202,Engine!$C$2:$C$679,0)),"",INDEX('Compliance Database'!$J$2:$J$679,MATCH(202,Engine!$C$2:$C$679,0)))</f>
        <v/>
      </c>
      <c r="K215">
        <f>IF(ISNA(MATCH(202,Engine!$C$2:$C$679,0)),"",INDEX('Compliance Database'!$K$2:$K$679,MATCH(202,Engine!$C$2:$C$679,0)))</f>
        <v/>
      </c>
      <c r="L215" s="8">
        <f>IF(ISNA(MATCH(202,Engine!$C$2:$C$679,0)),"",INDEX('Compliance Database'!$L$2:$L$679,MATCH(202,Engine!$C$2:$C$679,0)))</f>
        <v/>
      </c>
      <c r="M215" s="8">
        <f>IF(ISNA(MATCH(202,Engine!$C$2:$C$679,0)),"",INDEX('Compliance Database'!$M$2:$M$679,MATCH(202,Engine!$C$2:$C$679,0)))</f>
        <v/>
      </c>
      <c r="N215" s="8">
        <f>IF(ISNA(MATCH(202,Engine!$C$2:$C$679,0)),"",INDEX('Compliance Database'!$N$2:$N$679,MATCH(202,Engine!$C$2:$C$679,0)))</f>
        <v/>
      </c>
      <c r="O215" s="8">
        <f>IF(ISNA(MATCH(202,Engine!$C$2:$C$679,0)),"",INDEX('Compliance Database'!$O$2:$O$679,MATCH(202,Engine!$C$2:$C$679,0)))</f>
        <v/>
      </c>
      <c r="P215">
        <f>IF(ISNA(MATCH(202,Engine!$C$2:$C$679,0)),"",HYPERLINK(INDEX('Compliance Database'!$P$2:$P$679,MATCH(202,Engine!$C$2:$C$679,0)),"Open PDF"))</f>
        <v/>
      </c>
    </row>
    <row r="216">
      <c r="A216">
        <f>IF(ISNA(MATCH(203,Engine!$C$2:$C$679,0)),"",INDEX('Compliance Database'!$A$2:$A$679,MATCH(203,Engine!$C$2:$C$679,0)))</f>
        <v/>
      </c>
      <c r="B216">
        <f>IF(ISNA(MATCH(203,Engine!$C$2:$C$679,0)),"",INDEX('Compliance Database'!$B$2:$B$679,MATCH(203,Engine!$C$2:$C$679,0)))</f>
        <v/>
      </c>
      <c r="C216">
        <f>IF(ISNA(MATCH(203,Engine!$C$2:$C$679,0)),"",INDEX('Compliance Database'!$C$2:$C$679,MATCH(203,Engine!$C$2:$C$679,0)))</f>
        <v/>
      </c>
      <c r="D216" s="8">
        <f>IF(ISNA(MATCH(203,Engine!$C$2:$C$679,0)),"",INDEX('Compliance Database'!$D$2:$D$679,MATCH(203,Engine!$C$2:$C$679,0)))</f>
        <v/>
      </c>
      <c r="E216">
        <f>IF(ISNA(MATCH(203,Engine!$C$2:$C$679,0)),"",INDEX('Compliance Database'!$E$2:$E$679,MATCH(203,Engine!$C$2:$C$679,0)))</f>
        <v/>
      </c>
      <c r="F216">
        <f>IF(ISNA(MATCH(203,Engine!$C$2:$C$679,0)),"",INDEX('Compliance Database'!$F$2:$F$679,MATCH(203,Engine!$C$2:$C$679,0)))</f>
        <v/>
      </c>
      <c r="G216">
        <f>IF(ISNA(MATCH(203,Engine!$C$2:$C$679,0)),"",INDEX('Compliance Database'!$G$2:$G$679,MATCH(203,Engine!$C$2:$C$679,0)))</f>
        <v/>
      </c>
      <c r="H216">
        <f>IF(ISNA(MATCH(203,Engine!$C$2:$C$679,0)),"",INDEX('Compliance Database'!$H$2:$H$679,MATCH(203,Engine!$C$2:$C$679,0)))</f>
        <v/>
      </c>
      <c r="I216" s="8">
        <f>IF(ISNA(MATCH(203,Engine!$C$2:$C$679,0)),"",INDEX('Compliance Database'!$I$2:$I$679,MATCH(203,Engine!$C$2:$C$679,0)))</f>
        <v/>
      </c>
      <c r="J216" s="8">
        <f>IF(ISNA(MATCH(203,Engine!$C$2:$C$679,0)),"",INDEX('Compliance Database'!$J$2:$J$679,MATCH(203,Engine!$C$2:$C$679,0)))</f>
        <v/>
      </c>
      <c r="K216">
        <f>IF(ISNA(MATCH(203,Engine!$C$2:$C$679,0)),"",INDEX('Compliance Database'!$K$2:$K$679,MATCH(203,Engine!$C$2:$C$679,0)))</f>
        <v/>
      </c>
      <c r="L216" s="8">
        <f>IF(ISNA(MATCH(203,Engine!$C$2:$C$679,0)),"",INDEX('Compliance Database'!$L$2:$L$679,MATCH(203,Engine!$C$2:$C$679,0)))</f>
        <v/>
      </c>
      <c r="M216" s="8">
        <f>IF(ISNA(MATCH(203,Engine!$C$2:$C$679,0)),"",INDEX('Compliance Database'!$M$2:$M$679,MATCH(203,Engine!$C$2:$C$679,0)))</f>
        <v/>
      </c>
      <c r="N216" s="8">
        <f>IF(ISNA(MATCH(203,Engine!$C$2:$C$679,0)),"",INDEX('Compliance Database'!$N$2:$N$679,MATCH(203,Engine!$C$2:$C$679,0)))</f>
        <v/>
      </c>
      <c r="O216" s="8">
        <f>IF(ISNA(MATCH(203,Engine!$C$2:$C$679,0)),"",INDEX('Compliance Database'!$O$2:$O$679,MATCH(203,Engine!$C$2:$C$679,0)))</f>
        <v/>
      </c>
      <c r="P216">
        <f>IF(ISNA(MATCH(203,Engine!$C$2:$C$679,0)),"",HYPERLINK(INDEX('Compliance Database'!$P$2:$P$679,MATCH(203,Engine!$C$2:$C$679,0)),"Open PDF"))</f>
        <v/>
      </c>
    </row>
    <row r="217">
      <c r="A217">
        <f>IF(ISNA(MATCH(204,Engine!$C$2:$C$679,0)),"",INDEX('Compliance Database'!$A$2:$A$679,MATCH(204,Engine!$C$2:$C$679,0)))</f>
        <v/>
      </c>
      <c r="B217">
        <f>IF(ISNA(MATCH(204,Engine!$C$2:$C$679,0)),"",INDEX('Compliance Database'!$B$2:$B$679,MATCH(204,Engine!$C$2:$C$679,0)))</f>
        <v/>
      </c>
      <c r="C217">
        <f>IF(ISNA(MATCH(204,Engine!$C$2:$C$679,0)),"",INDEX('Compliance Database'!$C$2:$C$679,MATCH(204,Engine!$C$2:$C$679,0)))</f>
        <v/>
      </c>
      <c r="D217" s="8">
        <f>IF(ISNA(MATCH(204,Engine!$C$2:$C$679,0)),"",INDEX('Compliance Database'!$D$2:$D$679,MATCH(204,Engine!$C$2:$C$679,0)))</f>
        <v/>
      </c>
      <c r="E217">
        <f>IF(ISNA(MATCH(204,Engine!$C$2:$C$679,0)),"",INDEX('Compliance Database'!$E$2:$E$679,MATCH(204,Engine!$C$2:$C$679,0)))</f>
        <v/>
      </c>
      <c r="F217">
        <f>IF(ISNA(MATCH(204,Engine!$C$2:$C$679,0)),"",INDEX('Compliance Database'!$F$2:$F$679,MATCH(204,Engine!$C$2:$C$679,0)))</f>
        <v/>
      </c>
      <c r="G217">
        <f>IF(ISNA(MATCH(204,Engine!$C$2:$C$679,0)),"",INDEX('Compliance Database'!$G$2:$G$679,MATCH(204,Engine!$C$2:$C$679,0)))</f>
        <v/>
      </c>
      <c r="H217">
        <f>IF(ISNA(MATCH(204,Engine!$C$2:$C$679,0)),"",INDEX('Compliance Database'!$H$2:$H$679,MATCH(204,Engine!$C$2:$C$679,0)))</f>
        <v/>
      </c>
      <c r="I217" s="8">
        <f>IF(ISNA(MATCH(204,Engine!$C$2:$C$679,0)),"",INDEX('Compliance Database'!$I$2:$I$679,MATCH(204,Engine!$C$2:$C$679,0)))</f>
        <v/>
      </c>
      <c r="J217" s="8">
        <f>IF(ISNA(MATCH(204,Engine!$C$2:$C$679,0)),"",INDEX('Compliance Database'!$J$2:$J$679,MATCH(204,Engine!$C$2:$C$679,0)))</f>
        <v/>
      </c>
      <c r="K217">
        <f>IF(ISNA(MATCH(204,Engine!$C$2:$C$679,0)),"",INDEX('Compliance Database'!$K$2:$K$679,MATCH(204,Engine!$C$2:$C$679,0)))</f>
        <v/>
      </c>
      <c r="L217" s="8">
        <f>IF(ISNA(MATCH(204,Engine!$C$2:$C$679,0)),"",INDEX('Compliance Database'!$L$2:$L$679,MATCH(204,Engine!$C$2:$C$679,0)))</f>
        <v/>
      </c>
      <c r="M217" s="8">
        <f>IF(ISNA(MATCH(204,Engine!$C$2:$C$679,0)),"",INDEX('Compliance Database'!$M$2:$M$679,MATCH(204,Engine!$C$2:$C$679,0)))</f>
        <v/>
      </c>
      <c r="N217" s="8">
        <f>IF(ISNA(MATCH(204,Engine!$C$2:$C$679,0)),"",INDEX('Compliance Database'!$N$2:$N$679,MATCH(204,Engine!$C$2:$C$679,0)))</f>
        <v/>
      </c>
      <c r="O217" s="8">
        <f>IF(ISNA(MATCH(204,Engine!$C$2:$C$679,0)),"",INDEX('Compliance Database'!$O$2:$O$679,MATCH(204,Engine!$C$2:$C$679,0)))</f>
        <v/>
      </c>
      <c r="P217">
        <f>IF(ISNA(MATCH(204,Engine!$C$2:$C$679,0)),"",HYPERLINK(INDEX('Compliance Database'!$P$2:$P$679,MATCH(204,Engine!$C$2:$C$679,0)),"Open PDF"))</f>
        <v/>
      </c>
    </row>
    <row r="218">
      <c r="A218">
        <f>IF(ISNA(MATCH(205,Engine!$C$2:$C$679,0)),"",INDEX('Compliance Database'!$A$2:$A$679,MATCH(205,Engine!$C$2:$C$679,0)))</f>
        <v/>
      </c>
      <c r="B218">
        <f>IF(ISNA(MATCH(205,Engine!$C$2:$C$679,0)),"",INDEX('Compliance Database'!$B$2:$B$679,MATCH(205,Engine!$C$2:$C$679,0)))</f>
        <v/>
      </c>
      <c r="C218">
        <f>IF(ISNA(MATCH(205,Engine!$C$2:$C$679,0)),"",INDEX('Compliance Database'!$C$2:$C$679,MATCH(205,Engine!$C$2:$C$679,0)))</f>
        <v/>
      </c>
      <c r="D218" s="8">
        <f>IF(ISNA(MATCH(205,Engine!$C$2:$C$679,0)),"",INDEX('Compliance Database'!$D$2:$D$679,MATCH(205,Engine!$C$2:$C$679,0)))</f>
        <v/>
      </c>
      <c r="E218">
        <f>IF(ISNA(MATCH(205,Engine!$C$2:$C$679,0)),"",INDEX('Compliance Database'!$E$2:$E$679,MATCH(205,Engine!$C$2:$C$679,0)))</f>
        <v/>
      </c>
      <c r="F218">
        <f>IF(ISNA(MATCH(205,Engine!$C$2:$C$679,0)),"",INDEX('Compliance Database'!$F$2:$F$679,MATCH(205,Engine!$C$2:$C$679,0)))</f>
        <v/>
      </c>
      <c r="G218">
        <f>IF(ISNA(MATCH(205,Engine!$C$2:$C$679,0)),"",INDEX('Compliance Database'!$G$2:$G$679,MATCH(205,Engine!$C$2:$C$679,0)))</f>
        <v/>
      </c>
      <c r="H218">
        <f>IF(ISNA(MATCH(205,Engine!$C$2:$C$679,0)),"",INDEX('Compliance Database'!$H$2:$H$679,MATCH(205,Engine!$C$2:$C$679,0)))</f>
        <v/>
      </c>
      <c r="I218" s="8">
        <f>IF(ISNA(MATCH(205,Engine!$C$2:$C$679,0)),"",INDEX('Compliance Database'!$I$2:$I$679,MATCH(205,Engine!$C$2:$C$679,0)))</f>
        <v/>
      </c>
      <c r="J218" s="8">
        <f>IF(ISNA(MATCH(205,Engine!$C$2:$C$679,0)),"",INDEX('Compliance Database'!$J$2:$J$679,MATCH(205,Engine!$C$2:$C$679,0)))</f>
        <v/>
      </c>
      <c r="K218">
        <f>IF(ISNA(MATCH(205,Engine!$C$2:$C$679,0)),"",INDEX('Compliance Database'!$K$2:$K$679,MATCH(205,Engine!$C$2:$C$679,0)))</f>
        <v/>
      </c>
      <c r="L218" s="8">
        <f>IF(ISNA(MATCH(205,Engine!$C$2:$C$679,0)),"",INDEX('Compliance Database'!$L$2:$L$679,MATCH(205,Engine!$C$2:$C$679,0)))</f>
        <v/>
      </c>
      <c r="M218" s="8">
        <f>IF(ISNA(MATCH(205,Engine!$C$2:$C$679,0)),"",INDEX('Compliance Database'!$M$2:$M$679,MATCH(205,Engine!$C$2:$C$679,0)))</f>
        <v/>
      </c>
      <c r="N218" s="8">
        <f>IF(ISNA(MATCH(205,Engine!$C$2:$C$679,0)),"",INDEX('Compliance Database'!$N$2:$N$679,MATCH(205,Engine!$C$2:$C$679,0)))</f>
        <v/>
      </c>
      <c r="O218" s="8">
        <f>IF(ISNA(MATCH(205,Engine!$C$2:$C$679,0)),"",INDEX('Compliance Database'!$O$2:$O$679,MATCH(205,Engine!$C$2:$C$679,0)))</f>
        <v/>
      </c>
      <c r="P218">
        <f>IF(ISNA(MATCH(205,Engine!$C$2:$C$679,0)),"",HYPERLINK(INDEX('Compliance Database'!$P$2:$P$679,MATCH(205,Engine!$C$2:$C$679,0)),"Open PDF"))</f>
        <v/>
      </c>
    </row>
    <row r="219">
      <c r="A219">
        <f>IF(ISNA(MATCH(206,Engine!$C$2:$C$679,0)),"",INDEX('Compliance Database'!$A$2:$A$679,MATCH(206,Engine!$C$2:$C$679,0)))</f>
        <v/>
      </c>
      <c r="B219">
        <f>IF(ISNA(MATCH(206,Engine!$C$2:$C$679,0)),"",INDEX('Compliance Database'!$B$2:$B$679,MATCH(206,Engine!$C$2:$C$679,0)))</f>
        <v/>
      </c>
      <c r="C219">
        <f>IF(ISNA(MATCH(206,Engine!$C$2:$C$679,0)),"",INDEX('Compliance Database'!$C$2:$C$679,MATCH(206,Engine!$C$2:$C$679,0)))</f>
        <v/>
      </c>
      <c r="D219" s="8">
        <f>IF(ISNA(MATCH(206,Engine!$C$2:$C$679,0)),"",INDEX('Compliance Database'!$D$2:$D$679,MATCH(206,Engine!$C$2:$C$679,0)))</f>
        <v/>
      </c>
      <c r="E219">
        <f>IF(ISNA(MATCH(206,Engine!$C$2:$C$679,0)),"",INDEX('Compliance Database'!$E$2:$E$679,MATCH(206,Engine!$C$2:$C$679,0)))</f>
        <v/>
      </c>
      <c r="F219">
        <f>IF(ISNA(MATCH(206,Engine!$C$2:$C$679,0)),"",INDEX('Compliance Database'!$F$2:$F$679,MATCH(206,Engine!$C$2:$C$679,0)))</f>
        <v/>
      </c>
      <c r="G219">
        <f>IF(ISNA(MATCH(206,Engine!$C$2:$C$679,0)),"",INDEX('Compliance Database'!$G$2:$G$679,MATCH(206,Engine!$C$2:$C$679,0)))</f>
        <v/>
      </c>
      <c r="H219">
        <f>IF(ISNA(MATCH(206,Engine!$C$2:$C$679,0)),"",INDEX('Compliance Database'!$H$2:$H$679,MATCH(206,Engine!$C$2:$C$679,0)))</f>
        <v/>
      </c>
      <c r="I219" s="8">
        <f>IF(ISNA(MATCH(206,Engine!$C$2:$C$679,0)),"",INDEX('Compliance Database'!$I$2:$I$679,MATCH(206,Engine!$C$2:$C$679,0)))</f>
        <v/>
      </c>
      <c r="J219" s="8">
        <f>IF(ISNA(MATCH(206,Engine!$C$2:$C$679,0)),"",INDEX('Compliance Database'!$J$2:$J$679,MATCH(206,Engine!$C$2:$C$679,0)))</f>
        <v/>
      </c>
      <c r="K219">
        <f>IF(ISNA(MATCH(206,Engine!$C$2:$C$679,0)),"",INDEX('Compliance Database'!$K$2:$K$679,MATCH(206,Engine!$C$2:$C$679,0)))</f>
        <v/>
      </c>
      <c r="L219" s="8">
        <f>IF(ISNA(MATCH(206,Engine!$C$2:$C$679,0)),"",INDEX('Compliance Database'!$L$2:$L$679,MATCH(206,Engine!$C$2:$C$679,0)))</f>
        <v/>
      </c>
      <c r="M219" s="8">
        <f>IF(ISNA(MATCH(206,Engine!$C$2:$C$679,0)),"",INDEX('Compliance Database'!$M$2:$M$679,MATCH(206,Engine!$C$2:$C$679,0)))</f>
        <v/>
      </c>
      <c r="N219" s="8">
        <f>IF(ISNA(MATCH(206,Engine!$C$2:$C$679,0)),"",INDEX('Compliance Database'!$N$2:$N$679,MATCH(206,Engine!$C$2:$C$679,0)))</f>
        <v/>
      </c>
      <c r="O219" s="8">
        <f>IF(ISNA(MATCH(206,Engine!$C$2:$C$679,0)),"",INDEX('Compliance Database'!$O$2:$O$679,MATCH(206,Engine!$C$2:$C$679,0)))</f>
        <v/>
      </c>
      <c r="P219">
        <f>IF(ISNA(MATCH(206,Engine!$C$2:$C$679,0)),"",HYPERLINK(INDEX('Compliance Database'!$P$2:$P$679,MATCH(206,Engine!$C$2:$C$679,0)),"Open PDF"))</f>
        <v/>
      </c>
    </row>
    <row r="220">
      <c r="A220">
        <f>IF(ISNA(MATCH(207,Engine!$C$2:$C$679,0)),"",INDEX('Compliance Database'!$A$2:$A$679,MATCH(207,Engine!$C$2:$C$679,0)))</f>
        <v/>
      </c>
      <c r="B220">
        <f>IF(ISNA(MATCH(207,Engine!$C$2:$C$679,0)),"",INDEX('Compliance Database'!$B$2:$B$679,MATCH(207,Engine!$C$2:$C$679,0)))</f>
        <v/>
      </c>
      <c r="C220">
        <f>IF(ISNA(MATCH(207,Engine!$C$2:$C$679,0)),"",INDEX('Compliance Database'!$C$2:$C$679,MATCH(207,Engine!$C$2:$C$679,0)))</f>
        <v/>
      </c>
      <c r="D220" s="8">
        <f>IF(ISNA(MATCH(207,Engine!$C$2:$C$679,0)),"",INDEX('Compliance Database'!$D$2:$D$679,MATCH(207,Engine!$C$2:$C$679,0)))</f>
        <v/>
      </c>
      <c r="E220">
        <f>IF(ISNA(MATCH(207,Engine!$C$2:$C$679,0)),"",INDEX('Compliance Database'!$E$2:$E$679,MATCH(207,Engine!$C$2:$C$679,0)))</f>
        <v/>
      </c>
      <c r="F220">
        <f>IF(ISNA(MATCH(207,Engine!$C$2:$C$679,0)),"",INDEX('Compliance Database'!$F$2:$F$679,MATCH(207,Engine!$C$2:$C$679,0)))</f>
        <v/>
      </c>
      <c r="G220">
        <f>IF(ISNA(MATCH(207,Engine!$C$2:$C$679,0)),"",INDEX('Compliance Database'!$G$2:$G$679,MATCH(207,Engine!$C$2:$C$679,0)))</f>
        <v/>
      </c>
      <c r="H220">
        <f>IF(ISNA(MATCH(207,Engine!$C$2:$C$679,0)),"",INDEX('Compliance Database'!$H$2:$H$679,MATCH(207,Engine!$C$2:$C$679,0)))</f>
        <v/>
      </c>
      <c r="I220" s="8">
        <f>IF(ISNA(MATCH(207,Engine!$C$2:$C$679,0)),"",INDEX('Compliance Database'!$I$2:$I$679,MATCH(207,Engine!$C$2:$C$679,0)))</f>
        <v/>
      </c>
      <c r="J220" s="8">
        <f>IF(ISNA(MATCH(207,Engine!$C$2:$C$679,0)),"",INDEX('Compliance Database'!$J$2:$J$679,MATCH(207,Engine!$C$2:$C$679,0)))</f>
        <v/>
      </c>
      <c r="K220">
        <f>IF(ISNA(MATCH(207,Engine!$C$2:$C$679,0)),"",INDEX('Compliance Database'!$K$2:$K$679,MATCH(207,Engine!$C$2:$C$679,0)))</f>
        <v/>
      </c>
      <c r="L220" s="8">
        <f>IF(ISNA(MATCH(207,Engine!$C$2:$C$679,0)),"",INDEX('Compliance Database'!$L$2:$L$679,MATCH(207,Engine!$C$2:$C$679,0)))</f>
        <v/>
      </c>
      <c r="M220" s="8">
        <f>IF(ISNA(MATCH(207,Engine!$C$2:$C$679,0)),"",INDEX('Compliance Database'!$M$2:$M$679,MATCH(207,Engine!$C$2:$C$679,0)))</f>
        <v/>
      </c>
      <c r="N220" s="8">
        <f>IF(ISNA(MATCH(207,Engine!$C$2:$C$679,0)),"",INDEX('Compliance Database'!$N$2:$N$679,MATCH(207,Engine!$C$2:$C$679,0)))</f>
        <v/>
      </c>
      <c r="O220" s="8">
        <f>IF(ISNA(MATCH(207,Engine!$C$2:$C$679,0)),"",INDEX('Compliance Database'!$O$2:$O$679,MATCH(207,Engine!$C$2:$C$679,0)))</f>
        <v/>
      </c>
      <c r="P220">
        <f>IF(ISNA(MATCH(207,Engine!$C$2:$C$679,0)),"",HYPERLINK(INDEX('Compliance Database'!$P$2:$P$679,MATCH(207,Engine!$C$2:$C$679,0)),"Open PDF"))</f>
        <v/>
      </c>
    </row>
    <row r="221">
      <c r="A221">
        <f>IF(ISNA(MATCH(208,Engine!$C$2:$C$679,0)),"",INDEX('Compliance Database'!$A$2:$A$679,MATCH(208,Engine!$C$2:$C$679,0)))</f>
        <v/>
      </c>
      <c r="B221">
        <f>IF(ISNA(MATCH(208,Engine!$C$2:$C$679,0)),"",INDEX('Compliance Database'!$B$2:$B$679,MATCH(208,Engine!$C$2:$C$679,0)))</f>
        <v/>
      </c>
      <c r="C221">
        <f>IF(ISNA(MATCH(208,Engine!$C$2:$C$679,0)),"",INDEX('Compliance Database'!$C$2:$C$679,MATCH(208,Engine!$C$2:$C$679,0)))</f>
        <v/>
      </c>
      <c r="D221" s="8">
        <f>IF(ISNA(MATCH(208,Engine!$C$2:$C$679,0)),"",INDEX('Compliance Database'!$D$2:$D$679,MATCH(208,Engine!$C$2:$C$679,0)))</f>
        <v/>
      </c>
      <c r="E221">
        <f>IF(ISNA(MATCH(208,Engine!$C$2:$C$679,0)),"",INDEX('Compliance Database'!$E$2:$E$679,MATCH(208,Engine!$C$2:$C$679,0)))</f>
        <v/>
      </c>
      <c r="F221">
        <f>IF(ISNA(MATCH(208,Engine!$C$2:$C$679,0)),"",INDEX('Compliance Database'!$F$2:$F$679,MATCH(208,Engine!$C$2:$C$679,0)))</f>
        <v/>
      </c>
      <c r="G221">
        <f>IF(ISNA(MATCH(208,Engine!$C$2:$C$679,0)),"",INDEX('Compliance Database'!$G$2:$G$679,MATCH(208,Engine!$C$2:$C$679,0)))</f>
        <v/>
      </c>
      <c r="H221">
        <f>IF(ISNA(MATCH(208,Engine!$C$2:$C$679,0)),"",INDEX('Compliance Database'!$H$2:$H$679,MATCH(208,Engine!$C$2:$C$679,0)))</f>
        <v/>
      </c>
      <c r="I221" s="8">
        <f>IF(ISNA(MATCH(208,Engine!$C$2:$C$679,0)),"",INDEX('Compliance Database'!$I$2:$I$679,MATCH(208,Engine!$C$2:$C$679,0)))</f>
        <v/>
      </c>
      <c r="J221" s="8">
        <f>IF(ISNA(MATCH(208,Engine!$C$2:$C$679,0)),"",INDEX('Compliance Database'!$J$2:$J$679,MATCH(208,Engine!$C$2:$C$679,0)))</f>
        <v/>
      </c>
      <c r="K221">
        <f>IF(ISNA(MATCH(208,Engine!$C$2:$C$679,0)),"",INDEX('Compliance Database'!$K$2:$K$679,MATCH(208,Engine!$C$2:$C$679,0)))</f>
        <v/>
      </c>
      <c r="L221" s="8">
        <f>IF(ISNA(MATCH(208,Engine!$C$2:$C$679,0)),"",INDEX('Compliance Database'!$L$2:$L$679,MATCH(208,Engine!$C$2:$C$679,0)))</f>
        <v/>
      </c>
      <c r="M221" s="8">
        <f>IF(ISNA(MATCH(208,Engine!$C$2:$C$679,0)),"",INDEX('Compliance Database'!$M$2:$M$679,MATCH(208,Engine!$C$2:$C$679,0)))</f>
        <v/>
      </c>
      <c r="N221" s="8">
        <f>IF(ISNA(MATCH(208,Engine!$C$2:$C$679,0)),"",INDEX('Compliance Database'!$N$2:$N$679,MATCH(208,Engine!$C$2:$C$679,0)))</f>
        <v/>
      </c>
      <c r="O221" s="8">
        <f>IF(ISNA(MATCH(208,Engine!$C$2:$C$679,0)),"",INDEX('Compliance Database'!$O$2:$O$679,MATCH(208,Engine!$C$2:$C$679,0)))</f>
        <v/>
      </c>
      <c r="P221">
        <f>IF(ISNA(MATCH(208,Engine!$C$2:$C$679,0)),"",HYPERLINK(INDEX('Compliance Database'!$P$2:$P$679,MATCH(208,Engine!$C$2:$C$679,0)),"Open PDF"))</f>
        <v/>
      </c>
    </row>
    <row r="222">
      <c r="A222">
        <f>IF(ISNA(MATCH(209,Engine!$C$2:$C$679,0)),"",INDEX('Compliance Database'!$A$2:$A$679,MATCH(209,Engine!$C$2:$C$679,0)))</f>
        <v/>
      </c>
      <c r="B222">
        <f>IF(ISNA(MATCH(209,Engine!$C$2:$C$679,0)),"",INDEX('Compliance Database'!$B$2:$B$679,MATCH(209,Engine!$C$2:$C$679,0)))</f>
        <v/>
      </c>
      <c r="C222">
        <f>IF(ISNA(MATCH(209,Engine!$C$2:$C$679,0)),"",INDEX('Compliance Database'!$C$2:$C$679,MATCH(209,Engine!$C$2:$C$679,0)))</f>
        <v/>
      </c>
      <c r="D222" s="8">
        <f>IF(ISNA(MATCH(209,Engine!$C$2:$C$679,0)),"",INDEX('Compliance Database'!$D$2:$D$679,MATCH(209,Engine!$C$2:$C$679,0)))</f>
        <v/>
      </c>
      <c r="E222">
        <f>IF(ISNA(MATCH(209,Engine!$C$2:$C$679,0)),"",INDEX('Compliance Database'!$E$2:$E$679,MATCH(209,Engine!$C$2:$C$679,0)))</f>
        <v/>
      </c>
      <c r="F222">
        <f>IF(ISNA(MATCH(209,Engine!$C$2:$C$679,0)),"",INDEX('Compliance Database'!$F$2:$F$679,MATCH(209,Engine!$C$2:$C$679,0)))</f>
        <v/>
      </c>
      <c r="G222">
        <f>IF(ISNA(MATCH(209,Engine!$C$2:$C$679,0)),"",INDEX('Compliance Database'!$G$2:$G$679,MATCH(209,Engine!$C$2:$C$679,0)))</f>
        <v/>
      </c>
      <c r="H222">
        <f>IF(ISNA(MATCH(209,Engine!$C$2:$C$679,0)),"",INDEX('Compliance Database'!$H$2:$H$679,MATCH(209,Engine!$C$2:$C$679,0)))</f>
        <v/>
      </c>
      <c r="I222" s="8">
        <f>IF(ISNA(MATCH(209,Engine!$C$2:$C$679,0)),"",INDEX('Compliance Database'!$I$2:$I$679,MATCH(209,Engine!$C$2:$C$679,0)))</f>
        <v/>
      </c>
      <c r="J222" s="8">
        <f>IF(ISNA(MATCH(209,Engine!$C$2:$C$679,0)),"",INDEX('Compliance Database'!$J$2:$J$679,MATCH(209,Engine!$C$2:$C$679,0)))</f>
        <v/>
      </c>
      <c r="K222">
        <f>IF(ISNA(MATCH(209,Engine!$C$2:$C$679,0)),"",INDEX('Compliance Database'!$K$2:$K$679,MATCH(209,Engine!$C$2:$C$679,0)))</f>
        <v/>
      </c>
      <c r="L222" s="8">
        <f>IF(ISNA(MATCH(209,Engine!$C$2:$C$679,0)),"",INDEX('Compliance Database'!$L$2:$L$679,MATCH(209,Engine!$C$2:$C$679,0)))</f>
        <v/>
      </c>
      <c r="M222" s="8">
        <f>IF(ISNA(MATCH(209,Engine!$C$2:$C$679,0)),"",INDEX('Compliance Database'!$M$2:$M$679,MATCH(209,Engine!$C$2:$C$679,0)))</f>
        <v/>
      </c>
      <c r="N222" s="8">
        <f>IF(ISNA(MATCH(209,Engine!$C$2:$C$679,0)),"",INDEX('Compliance Database'!$N$2:$N$679,MATCH(209,Engine!$C$2:$C$679,0)))</f>
        <v/>
      </c>
      <c r="O222" s="8">
        <f>IF(ISNA(MATCH(209,Engine!$C$2:$C$679,0)),"",INDEX('Compliance Database'!$O$2:$O$679,MATCH(209,Engine!$C$2:$C$679,0)))</f>
        <v/>
      </c>
      <c r="P222">
        <f>IF(ISNA(MATCH(209,Engine!$C$2:$C$679,0)),"",HYPERLINK(INDEX('Compliance Database'!$P$2:$P$679,MATCH(209,Engine!$C$2:$C$679,0)),"Open PDF"))</f>
        <v/>
      </c>
    </row>
    <row r="223">
      <c r="A223">
        <f>IF(ISNA(MATCH(210,Engine!$C$2:$C$679,0)),"",INDEX('Compliance Database'!$A$2:$A$679,MATCH(210,Engine!$C$2:$C$679,0)))</f>
        <v/>
      </c>
      <c r="B223">
        <f>IF(ISNA(MATCH(210,Engine!$C$2:$C$679,0)),"",INDEX('Compliance Database'!$B$2:$B$679,MATCH(210,Engine!$C$2:$C$679,0)))</f>
        <v/>
      </c>
      <c r="C223">
        <f>IF(ISNA(MATCH(210,Engine!$C$2:$C$679,0)),"",INDEX('Compliance Database'!$C$2:$C$679,MATCH(210,Engine!$C$2:$C$679,0)))</f>
        <v/>
      </c>
      <c r="D223" s="8">
        <f>IF(ISNA(MATCH(210,Engine!$C$2:$C$679,0)),"",INDEX('Compliance Database'!$D$2:$D$679,MATCH(210,Engine!$C$2:$C$679,0)))</f>
        <v/>
      </c>
      <c r="E223">
        <f>IF(ISNA(MATCH(210,Engine!$C$2:$C$679,0)),"",INDEX('Compliance Database'!$E$2:$E$679,MATCH(210,Engine!$C$2:$C$679,0)))</f>
        <v/>
      </c>
      <c r="F223">
        <f>IF(ISNA(MATCH(210,Engine!$C$2:$C$679,0)),"",INDEX('Compliance Database'!$F$2:$F$679,MATCH(210,Engine!$C$2:$C$679,0)))</f>
        <v/>
      </c>
      <c r="G223">
        <f>IF(ISNA(MATCH(210,Engine!$C$2:$C$679,0)),"",INDEX('Compliance Database'!$G$2:$G$679,MATCH(210,Engine!$C$2:$C$679,0)))</f>
        <v/>
      </c>
      <c r="H223">
        <f>IF(ISNA(MATCH(210,Engine!$C$2:$C$679,0)),"",INDEX('Compliance Database'!$H$2:$H$679,MATCH(210,Engine!$C$2:$C$679,0)))</f>
        <v/>
      </c>
      <c r="I223" s="8">
        <f>IF(ISNA(MATCH(210,Engine!$C$2:$C$679,0)),"",INDEX('Compliance Database'!$I$2:$I$679,MATCH(210,Engine!$C$2:$C$679,0)))</f>
        <v/>
      </c>
      <c r="J223" s="8">
        <f>IF(ISNA(MATCH(210,Engine!$C$2:$C$679,0)),"",INDEX('Compliance Database'!$J$2:$J$679,MATCH(210,Engine!$C$2:$C$679,0)))</f>
        <v/>
      </c>
      <c r="K223">
        <f>IF(ISNA(MATCH(210,Engine!$C$2:$C$679,0)),"",INDEX('Compliance Database'!$K$2:$K$679,MATCH(210,Engine!$C$2:$C$679,0)))</f>
        <v/>
      </c>
      <c r="L223" s="8">
        <f>IF(ISNA(MATCH(210,Engine!$C$2:$C$679,0)),"",INDEX('Compliance Database'!$L$2:$L$679,MATCH(210,Engine!$C$2:$C$679,0)))</f>
        <v/>
      </c>
      <c r="M223" s="8">
        <f>IF(ISNA(MATCH(210,Engine!$C$2:$C$679,0)),"",INDEX('Compliance Database'!$M$2:$M$679,MATCH(210,Engine!$C$2:$C$679,0)))</f>
        <v/>
      </c>
      <c r="N223" s="8">
        <f>IF(ISNA(MATCH(210,Engine!$C$2:$C$679,0)),"",INDEX('Compliance Database'!$N$2:$N$679,MATCH(210,Engine!$C$2:$C$679,0)))</f>
        <v/>
      </c>
      <c r="O223" s="8">
        <f>IF(ISNA(MATCH(210,Engine!$C$2:$C$679,0)),"",INDEX('Compliance Database'!$O$2:$O$679,MATCH(210,Engine!$C$2:$C$679,0)))</f>
        <v/>
      </c>
      <c r="P223">
        <f>IF(ISNA(MATCH(210,Engine!$C$2:$C$679,0)),"",HYPERLINK(INDEX('Compliance Database'!$P$2:$P$679,MATCH(210,Engine!$C$2:$C$679,0)),"Open PDF"))</f>
        <v/>
      </c>
    </row>
    <row r="224">
      <c r="A224">
        <f>IF(ISNA(MATCH(211,Engine!$C$2:$C$679,0)),"",INDEX('Compliance Database'!$A$2:$A$679,MATCH(211,Engine!$C$2:$C$679,0)))</f>
        <v/>
      </c>
      <c r="B224">
        <f>IF(ISNA(MATCH(211,Engine!$C$2:$C$679,0)),"",INDEX('Compliance Database'!$B$2:$B$679,MATCH(211,Engine!$C$2:$C$679,0)))</f>
        <v/>
      </c>
      <c r="C224">
        <f>IF(ISNA(MATCH(211,Engine!$C$2:$C$679,0)),"",INDEX('Compliance Database'!$C$2:$C$679,MATCH(211,Engine!$C$2:$C$679,0)))</f>
        <v/>
      </c>
      <c r="D224" s="8">
        <f>IF(ISNA(MATCH(211,Engine!$C$2:$C$679,0)),"",INDEX('Compliance Database'!$D$2:$D$679,MATCH(211,Engine!$C$2:$C$679,0)))</f>
        <v/>
      </c>
      <c r="E224">
        <f>IF(ISNA(MATCH(211,Engine!$C$2:$C$679,0)),"",INDEX('Compliance Database'!$E$2:$E$679,MATCH(211,Engine!$C$2:$C$679,0)))</f>
        <v/>
      </c>
      <c r="F224">
        <f>IF(ISNA(MATCH(211,Engine!$C$2:$C$679,0)),"",INDEX('Compliance Database'!$F$2:$F$679,MATCH(211,Engine!$C$2:$C$679,0)))</f>
        <v/>
      </c>
      <c r="G224">
        <f>IF(ISNA(MATCH(211,Engine!$C$2:$C$679,0)),"",INDEX('Compliance Database'!$G$2:$G$679,MATCH(211,Engine!$C$2:$C$679,0)))</f>
        <v/>
      </c>
      <c r="H224">
        <f>IF(ISNA(MATCH(211,Engine!$C$2:$C$679,0)),"",INDEX('Compliance Database'!$H$2:$H$679,MATCH(211,Engine!$C$2:$C$679,0)))</f>
        <v/>
      </c>
      <c r="I224" s="8">
        <f>IF(ISNA(MATCH(211,Engine!$C$2:$C$679,0)),"",INDEX('Compliance Database'!$I$2:$I$679,MATCH(211,Engine!$C$2:$C$679,0)))</f>
        <v/>
      </c>
      <c r="J224" s="8">
        <f>IF(ISNA(MATCH(211,Engine!$C$2:$C$679,0)),"",INDEX('Compliance Database'!$J$2:$J$679,MATCH(211,Engine!$C$2:$C$679,0)))</f>
        <v/>
      </c>
      <c r="K224">
        <f>IF(ISNA(MATCH(211,Engine!$C$2:$C$679,0)),"",INDEX('Compliance Database'!$K$2:$K$679,MATCH(211,Engine!$C$2:$C$679,0)))</f>
        <v/>
      </c>
      <c r="L224" s="8">
        <f>IF(ISNA(MATCH(211,Engine!$C$2:$C$679,0)),"",INDEX('Compliance Database'!$L$2:$L$679,MATCH(211,Engine!$C$2:$C$679,0)))</f>
        <v/>
      </c>
      <c r="M224" s="8">
        <f>IF(ISNA(MATCH(211,Engine!$C$2:$C$679,0)),"",INDEX('Compliance Database'!$M$2:$M$679,MATCH(211,Engine!$C$2:$C$679,0)))</f>
        <v/>
      </c>
      <c r="N224" s="8">
        <f>IF(ISNA(MATCH(211,Engine!$C$2:$C$679,0)),"",INDEX('Compliance Database'!$N$2:$N$679,MATCH(211,Engine!$C$2:$C$679,0)))</f>
        <v/>
      </c>
      <c r="O224" s="8">
        <f>IF(ISNA(MATCH(211,Engine!$C$2:$C$679,0)),"",INDEX('Compliance Database'!$O$2:$O$679,MATCH(211,Engine!$C$2:$C$679,0)))</f>
        <v/>
      </c>
      <c r="P224">
        <f>IF(ISNA(MATCH(211,Engine!$C$2:$C$679,0)),"",HYPERLINK(INDEX('Compliance Database'!$P$2:$P$679,MATCH(211,Engine!$C$2:$C$679,0)),"Open PDF"))</f>
        <v/>
      </c>
    </row>
    <row r="225">
      <c r="A225">
        <f>IF(ISNA(MATCH(212,Engine!$C$2:$C$679,0)),"",INDEX('Compliance Database'!$A$2:$A$679,MATCH(212,Engine!$C$2:$C$679,0)))</f>
        <v/>
      </c>
      <c r="B225">
        <f>IF(ISNA(MATCH(212,Engine!$C$2:$C$679,0)),"",INDEX('Compliance Database'!$B$2:$B$679,MATCH(212,Engine!$C$2:$C$679,0)))</f>
        <v/>
      </c>
      <c r="C225">
        <f>IF(ISNA(MATCH(212,Engine!$C$2:$C$679,0)),"",INDEX('Compliance Database'!$C$2:$C$679,MATCH(212,Engine!$C$2:$C$679,0)))</f>
        <v/>
      </c>
      <c r="D225" s="8">
        <f>IF(ISNA(MATCH(212,Engine!$C$2:$C$679,0)),"",INDEX('Compliance Database'!$D$2:$D$679,MATCH(212,Engine!$C$2:$C$679,0)))</f>
        <v/>
      </c>
      <c r="E225">
        <f>IF(ISNA(MATCH(212,Engine!$C$2:$C$679,0)),"",INDEX('Compliance Database'!$E$2:$E$679,MATCH(212,Engine!$C$2:$C$679,0)))</f>
        <v/>
      </c>
      <c r="F225">
        <f>IF(ISNA(MATCH(212,Engine!$C$2:$C$679,0)),"",INDEX('Compliance Database'!$F$2:$F$679,MATCH(212,Engine!$C$2:$C$679,0)))</f>
        <v/>
      </c>
      <c r="G225">
        <f>IF(ISNA(MATCH(212,Engine!$C$2:$C$679,0)),"",INDEX('Compliance Database'!$G$2:$G$679,MATCH(212,Engine!$C$2:$C$679,0)))</f>
        <v/>
      </c>
      <c r="H225">
        <f>IF(ISNA(MATCH(212,Engine!$C$2:$C$679,0)),"",INDEX('Compliance Database'!$H$2:$H$679,MATCH(212,Engine!$C$2:$C$679,0)))</f>
        <v/>
      </c>
      <c r="I225" s="8">
        <f>IF(ISNA(MATCH(212,Engine!$C$2:$C$679,0)),"",INDEX('Compliance Database'!$I$2:$I$679,MATCH(212,Engine!$C$2:$C$679,0)))</f>
        <v/>
      </c>
      <c r="J225" s="8">
        <f>IF(ISNA(MATCH(212,Engine!$C$2:$C$679,0)),"",INDEX('Compliance Database'!$J$2:$J$679,MATCH(212,Engine!$C$2:$C$679,0)))</f>
        <v/>
      </c>
      <c r="K225">
        <f>IF(ISNA(MATCH(212,Engine!$C$2:$C$679,0)),"",INDEX('Compliance Database'!$K$2:$K$679,MATCH(212,Engine!$C$2:$C$679,0)))</f>
        <v/>
      </c>
      <c r="L225" s="8">
        <f>IF(ISNA(MATCH(212,Engine!$C$2:$C$679,0)),"",INDEX('Compliance Database'!$L$2:$L$679,MATCH(212,Engine!$C$2:$C$679,0)))</f>
        <v/>
      </c>
      <c r="M225" s="8">
        <f>IF(ISNA(MATCH(212,Engine!$C$2:$C$679,0)),"",INDEX('Compliance Database'!$M$2:$M$679,MATCH(212,Engine!$C$2:$C$679,0)))</f>
        <v/>
      </c>
      <c r="N225" s="8">
        <f>IF(ISNA(MATCH(212,Engine!$C$2:$C$679,0)),"",INDEX('Compliance Database'!$N$2:$N$679,MATCH(212,Engine!$C$2:$C$679,0)))</f>
        <v/>
      </c>
      <c r="O225" s="8">
        <f>IF(ISNA(MATCH(212,Engine!$C$2:$C$679,0)),"",INDEX('Compliance Database'!$O$2:$O$679,MATCH(212,Engine!$C$2:$C$679,0)))</f>
        <v/>
      </c>
      <c r="P225">
        <f>IF(ISNA(MATCH(212,Engine!$C$2:$C$679,0)),"",HYPERLINK(INDEX('Compliance Database'!$P$2:$P$679,MATCH(212,Engine!$C$2:$C$679,0)),"Open PDF"))</f>
        <v/>
      </c>
    </row>
    <row r="226">
      <c r="A226">
        <f>IF(ISNA(MATCH(213,Engine!$C$2:$C$679,0)),"",INDEX('Compliance Database'!$A$2:$A$679,MATCH(213,Engine!$C$2:$C$679,0)))</f>
        <v/>
      </c>
      <c r="B226">
        <f>IF(ISNA(MATCH(213,Engine!$C$2:$C$679,0)),"",INDEX('Compliance Database'!$B$2:$B$679,MATCH(213,Engine!$C$2:$C$679,0)))</f>
        <v/>
      </c>
      <c r="C226">
        <f>IF(ISNA(MATCH(213,Engine!$C$2:$C$679,0)),"",INDEX('Compliance Database'!$C$2:$C$679,MATCH(213,Engine!$C$2:$C$679,0)))</f>
        <v/>
      </c>
      <c r="D226" s="8">
        <f>IF(ISNA(MATCH(213,Engine!$C$2:$C$679,0)),"",INDEX('Compliance Database'!$D$2:$D$679,MATCH(213,Engine!$C$2:$C$679,0)))</f>
        <v/>
      </c>
      <c r="E226">
        <f>IF(ISNA(MATCH(213,Engine!$C$2:$C$679,0)),"",INDEX('Compliance Database'!$E$2:$E$679,MATCH(213,Engine!$C$2:$C$679,0)))</f>
        <v/>
      </c>
      <c r="F226">
        <f>IF(ISNA(MATCH(213,Engine!$C$2:$C$679,0)),"",INDEX('Compliance Database'!$F$2:$F$679,MATCH(213,Engine!$C$2:$C$679,0)))</f>
        <v/>
      </c>
      <c r="G226">
        <f>IF(ISNA(MATCH(213,Engine!$C$2:$C$679,0)),"",INDEX('Compliance Database'!$G$2:$G$679,MATCH(213,Engine!$C$2:$C$679,0)))</f>
        <v/>
      </c>
      <c r="H226">
        <f>IF(ISNA(MATCH(213,Engine!$C$2:$C$679,0)),"",INDEX('Compliance Database'!$H$2:$H$679,MATCH(213,Engine!$C$2:$C$679,0)))</f>
        <v/>
      </c>
      <c r="I226" s="8">
        <f>IF(ISNA(MATCH(213,Engine!$C$2:$C$679,0)),"",INDEX('Compliance Database'!$I$2:$I$679,MATCH(213,Engine!$C$2:$C$679,0)))</f>
        <v/>
      </c>
      <c r="J226" s="8">
        <f>IF(ISNA(MATCH(213,Engine!$C$2:$C$679,0)),"",INDEX('Compliance Database'!$J$2:$J$679,MATCH(213,Engine!$C$2:$C$679,0)))</f>
        <v/>
      </c>
      <c r="K226">
        <f>IF(ISNA(MATCH(213,Engine!$C$2:$C$679,0)),"",INDEX('Compliance Database'!$K$2:$K$679,MATCH(213,Engine!$C$2:$C$679,0)))</f>
        <v/>
      </c>
      <c r="L226" s="8">
        <f>IF(ISNA(MATCH(213,Engine!$C$2:$C$679,0)),"",INDEX('Compliance Database'!$L$2:$L$679,MATCH(213,Engine!$C$2:$C$679,0)))</f>
        <v/>
      </c>
      <c r="M226" s="8">
        <f>IF(ISNA(MATCH(213,Engine!$C$2:$C$679,0)),"",INDEX('Compliance Database'!$M$2:$M$679,MATCH(213,Engine!$C$2:$C$679,0)))</f>
        <v/>
      </c>
      <c r="N226" s="8">
        <f>IF(ISNA(MATCH(213,Engine!$C$2:$C$679,0)),"",INDEX('Compliance Database'!$N$2:$N$679,MATCH(213,Engine!$C$2:$C$679,0)))</f>
        <v/>
      </c>
      <c r="O226" s="8">
        <f>IF(ISNA(MATCH(213,Engine!$C$2:$C$679,0)),"",INDEX('Compliance Database'!$O$2:$O$679,MATCH(213,Engine!$C$2:$C$679,0)))</f>
        <v/>
      </c>
      <c r="P226">
        <f>IF(ISNA(MATCH(213,Engine!$C$2:$C$679,0)),"",HYPERLINK(INDEX('Compliance Database'!$P$2:$P$679,MATCH(213,Engine!$C$2:$C$679,0)),"Open PDF"))</f>
        <v/>
      </c>
    </row>
    <row r="227">
      <c r="A227">
        <f>IF(ISNA(MATCH(214,Engine!$C$2:$C$679,0)),"",INDEX('Compliance Database'!$A$2:$A$679,MATCH(214,Engine!$C$2:$C$679,0)))</f>
        <v/>
      </c>
      <c r="B227">
        <f>IF(ISNA(MATCH(214,Engine!$C$2:$C$679,0)),"",INDEX('Compliance Database'!$B$2:$B$679,MATCH(214,Engine!$C$2:$C$679,0)))</f>
        <v/>
      </c>
      <c r="C227">
        <f>IF(ISNA(MATCH(214,Engine!$C$2:$C$679,0)),"",INDEX('Compliance Database'!$C$2:$C$679,MATCH(214,Engine!$C$2:$C$679,0)))</f>
        <v/>
      </c>
      <c r="D227" s="8">
        <f>IF(ISNA(MATCH(214,Engine!$C$2:$C$679,0)),"",INDEX('Compliance Database'!$D$2:$D$679,MATCH(214,Engine!$C$2:$C$679,0)))</f>
        <v/>
      </c>
      <c r="E227">
        <f>IF(ISNA(MATCH(214,Engine!$C$2:$C$679,0)),"",INDEX('Compliance Database'!$E$2:$E$679,MATCH(214,Engine!$C$2:$C$679,0)))</f>
        <v/>
      </c>
      <c r="F227">
        <f>IF(ISNA(MATCH(214,Engine!$C$2:$C$679,0)),"",INDEX('Compliance Database'!$F$2:$F$679,MATCH(214,Engine!$C$2:$C$679,0)))</f>
        <v/>
      </c>
      <c r="G227">
        <f>IF(ISNA(MATCH(214,Engine!$C$2:$C$679,0)),"",INDEX('Compliance Database'!$G$2:$G$679,MATCH(214,Engine!$C$2:$C$679,0)))</f>
        <v/>
      </c>
      <c r="H227">
        <f>IF(ISNA(MATCH(214,Engine!$C$2:$C$679,0)),"",INDEX('Compliance Database'!$H$2:$H$679,MATCH(214,Engine!$C$2:$C$679,0)))</f>
        <v/>
      </c>
      <c r="I227" s="8">
        <f>IF(ISNA(MATCH(214,Engine!$C$2:$C$679,0)),"",INDEX('Compliance Database'!$I$2:$I$679,MATCH(214,Engine!$C$2:$C$679,0)))</f>
        <v/>
      </c>
      <c r="J227" s="8">
        <f>IF(ISNA(MATCH(214,Engine!$C$2:$C$679,0)),"",INDEX('Compliance Database'!$J$2:$J$679,MATCH(214,Engine!$C$2:$C$679,0)))</f>
        <v/>
      </c>
      <c r="K227">
        <f>IF(ISNA(MATCH(214,Engine!$C$2:$C$679,0)),"",INDEX('Compliance Database'!$K$2:$K$679,MATCH(214,Engine!$C$2:$C$679,0)))</f>
        <v/>
      </c>
      <c r="L227" s="8">
        <f>IF(ISNA(MATCH(214,Engine!$C$2:$C$679,0)),"",INDEX('Compliance Database'!$L$2:$L$679,MATCH(214,Engine!$C$2:$C$679,0)))</f>
        <v/>
      </c>
      <c r="M227" s="8">
        <f>IF(ISNA(MATCH(214,Engine!$C$2:$C$679,0)),"",INDEX('Compliance Database'!$M$2:$M$679,MATCH(214,Engine!$C$2:$C$679,0)))</f>
        <v/>
      </c>
      <c r="N227" s="8">
        <f>IF(ISNA(MATCH(214,Engine!$C$2:$C$679,0)),"",INDEX('Compliance Database'!$N$2:$N$679,MATCH(214,Engine!$C$2:$C$679,0)))</f>
        <v/>
      </c>
      <c r="O227" s="8">
        <f>IF(ISNA(MATCH(214,Engine!$C$2:$C$679,0)),"",INDEX('Compliance Database'!$O$2:$O$679,MATCH(214,Engine!$C$2:$C$679,0)))</f>
        <v/>
      </c>
      <c r="P227">
        <f>IF(ISNA(MATCH(214,Engine!$C$2:$C$679,0)),"",HYPERLINK(INDEX('Compliance Database'!$P$2:$P$679,MATCH(214,Engine!$C$2:$C$679,0)),"Open PDF"))</f>
        <v/>
      </c>
    </row>
    <row r="228">
      <c r="A228">
        <f>IF(ISNA(MATCH(215,Engine!$C$2:$C$679,0)),"",INDEX('Compliance Database'!$A$2:$A$679,MATCH(215,Engine!$C$2:$C$679,0)))</f>
        <v/>
      </c>
      <c r="B228">
        <f>IF(ISNA(MATCH(215,Engine!$C$2:$C$679,0)),"",INDEX('Compliance Database'!$B$2:$B$679,MATCH(215,Engine!$C$2:$C$679,0)))</f>
        <v/>
      </c>
      <c r="C228">
        <f>IF(ISNA(MATCH(215,Engine!$C$2:$C$679,0)),"",INDEX('Compliance Database'!$C$2:$C$679,MATCH(215,Engine!$C$2:$C$679,0)))</f>
        <v/>
      </c>
      <c r="D228" s="8">
        <f>IF(ISNA(MATCH(215,Engine!$C$2:$C$679,0)),"",INDEX('Compliance Database'!$D$2:$D$679,MATCH(215,Engine!$C$2:$C$679,0)))</f>
        <v/>
      </c>
      <c r="E228">
        <f>IF(ISNA(MATCH(215,Engine!$C$2:$C$679,0)),"",INDEX('Compliance Database'!$E$2:$E$679,MATCH(215,Engine!$C$2:$C$679,0)))</f>
        <v/>
      </c>
      <c r="F228">
        <f>IF(ISNA(MATCH(215,Engine!$C$2:$C$679,0)),"",INDEX('Compliance Database'!$F$2:$F$679,MATCH(215,Engine!$C$2:$C$679,0)))</f>
        <v/>
      </c>
      <c r="G228">
        <f>IF(ISNA(MATCH(215,Engine!$C$2:$C$679,0)),"",INDEX('Compliance Database'!$G$2:$G$679,MATCH(215,Engine!$C$2:$C$679,0)))</f>
        <v/>
      </c>
      <c r="H228">
        <f>IF(ISNA(MATCH(215,Engine!$C$2:$C$679,0)),"",INDEX('Compliance Database'!$H$2:$H$679,MATCH(215,Engine!$C$2:$C$679,0)))</f>
        <v/>
      </c>
      <c r="I228" s="8">
        <f>IF(ISNA(MATCH(215,Engine!$C$2:$C$679,0)),"",INDEX('Compliance Database'!$I$2:$I$679,MATCH(215,Engine!$C$2:$C$679,0)))</f>
        <v/>
      </c>
      <c r="J228" s="8">
        <f>IF(ISNA(MATCH(215,Engine!$C$2:$C$679,0)),"",INDEX('Compliance Database'!$J$2:$J$679,MATCH(215,Engine!$C$2:$C$679,0)))</f>
        <v/>
      </c>
      <c r="K228">
        <f>IF(ISNA(MATCH(215,Engine!$C$2:$C$679,0)),"",INDEX('Compliance Database'!$K$2:$K$679,MATCH(215,Engine!$C$2:$C$679,0)))</f>
        <v/>
      </c>
      <c r="L228" s="8">
        <f>IF(ISNA(MATCH(215,Engine!$C$2:$C$679,0)),"",INDEX('Compliance Database'!$L$2:$L$679,MATCH(215,Engine!$C$2:$C$679,0)))</f>
        <v/>
      </c>
      <c r="M228" s="8">
        <f>IF(ISNA(MATCH(215,Engine!$C$2:$C$679,0)),"",INDEX('Compliance Database'!$M$2:$M$679,MATCH(215,Engine!$C$2:$C$679,0)))</f>
        <v/>
      </c>
      <c r="N228" s="8">
        <f>IF(ISNA(MATCH(215,Engine!$C$2:$C$679,0)),"",INDEX('Compliance Database'!$N$2:$N$679,MATCH(215,Engine!$C$2:$C$679,0)))</f>
        <v/>
      </c>
      <c r="O228" s="8">
        <f>IF(ISNA(MATCH(215,Engine!$C$2:$C$679,0)),"",INDEX('Compliance Database'!$O$2:$O$679,MATCH(215,Engine!$C$2:$C$679,0)))</f>
        <v/>
      </c>
      <c r="P228">
        <f>IF(ISNA(MATCH(215,Engine!$C$2:$C$679,0)),"",HYPERLINK(INDEX('Compliance Database'!$P$2:$P$679,MATCH(215,Engine!$C$2:$C$679,0)),"Open PDF"))</f>
        <v/>
      </c>
    </row>
    <row r="229">
      <c r="A229">
        <f>IF(ISNA(MATCH(216,Engine!$C$2:$C$679,0)),"",INDEX('Compliance Database'!$A$2:$A$679,MATCH(216,Engine!$C$2:$C$679,0)))</f>
        <v/>
      </c>
      <c r="B229">
        <f>IF(ISNA(MATCH(216,Engine!$C$2:$C$679,0)),"",INDEX('Compliance Database'!$B$2:$B$679,MATCH(216,Engine!$C$2:$C$679,0)))</f>
        <v/>
      </c>
      <c r="C229">
        <f>IF(ISNA(MATCH(216,Engine!$C$2:$C$679,0)),"",INDEX('Compliance Database'!$C$2:$C$679,MATCH(216,Engine!$C$2:$C$679,0)))</f>
        <v/>
      </c>
      <c r="D229" s="8">
        <f>IF(ISNA(MATCH(216,Engine!$C$2:$C$679,0)),"",INDEX('Compliance Database'!$D$2:$D$679,MATCH(216,Engine!$C$2:$C$679,0)))</f>
        <v/>
      </c>
      <c r="E229">
        <f>IF(ISNA(MATCH(216,Engine!$C$2:$C$679,0)),"",INDEX('Compliance Database'!$E$2:$E$679,MATCH(216,Engine!$C$2:$C$679,0)))</f>
        <v/>
      </c>
      <c r="F229">
        <f>IF(ISNA(MATCH(216,Engine!$C$2:$C$679,0)),"",INDEX('Compliance Database'!$F$2:$F$679,MATCH(216,Engine!$C$2:$C$679,0)))</f>
        <v/>
      </c>
      <c r="G229">
        <f>IF(ISNA(MATCH(216,Engine!$C$2:$C$679,0)),"",INDEX('Compliance Database'!$G$2:$G$679,MATCH(216,Engine!$C$2:$C$679,0)))</f>
        <v/>
      </c>
      <c r="H229">
        <f>IF(ISNA(MATCH(216,Engine!$C$2:$C$679,0)),"",INDEX('Compliance Database'!$H$2:$H$679,MATCH(216,Engine!$C$2:$C$679,0)))</f>
        <v/>
      </c>
      <c r="I229" s="8">
        <f>IF(ISNA(MATCH(216,Engine!$C$2:$C$679,0)),"",INDEX('Compliance Database'!$I$2:$I$679,MATCH(216,Engine!$C$2:$C$679,0)))</f>
        <v/>
      </c>
      <c r="J229" s="8">
        <f>IF(ISNA(MATCH(216,Engine!$C$2:$C$679,0)),"",INDEX('Compliance Database'!$J$2:$J$679,MATCH(216,Engine!$C$2:$C$679,0)))</f>
        <v/>
      </c>
      <c r="K229">
        <f>IF(ISNA(MATCH(216,Engine!$C$2:$C$679,0)),"",INDEX('Compliance Database'!$K$2:$K$679,MATCH(216,Engine!$C$2:$C$679,0)))</f>
        <v/>
      </c>
      <c r="L229" s="8">
        <f>IF(ISNA(MATCH(216,Engine!$C$2:$C$679,0)),"",INDEX('Compliance Database'!$L$2:$L$679,MATCH(216,Engine!$C$2:$C$679,0)))</f>
        <v/>
      </c>
      <c r="M229" s="8">
        <f>IF(ISNA(MATCH(216,Engine!$C$2:$C$679,0)),"",INDEX('Compliance Database'!$M$2:$M$679,MATCH(216,Engine!$C$2:$C$679,0)))</f>
        <v/>
      </c>
      <c r="N229" s="8">
        <f>IF(ISNA(MATCH(216,Engine!$C$2:$C$679,0)),"",INDEX('Compliance Database'!$N$2:$N$679,MATCH(216,Engine!$C$2:$C$679,0)))</f>
        <v/>
      </c>
      <c r="O229" s="8">
        <f>IF(ISNA(MATCH(216,Engine!$C$2:$C$679,0)),"",INDEX('Compliance Database'!$O$2:$O$679,MATCH(216,Engine!$C$2:$C$679,0)))</f>
        <v/>
      </c>
      <c r="P229">
        <f>IF(ISNA(MATCH(216,Engine!$C$2:$C$679,0)),"",HYPERLINK(INDEX('Compliance Database'!$P$2:$P$679,MATCH(216,Engine!$C$2:$C$679,0)),"Open PDF"))</f>
        <v/>
      </c>
    </row>
    <row r="230">
      <c r="A230">
        <f>IF(ISNA(MATCH(217,Engine!$C$2:$C$679,0)),"",INDEX('Compliance Database'!$A$2:$A$679,MATCH(217,Engine!$C$2:$C$679,0)))</f>
        <v/>
      </c>
      <c r="B230">
        <f>IF(ISNA(MATCH(217,Engine!$C$2:$C$679,0)),"",INDEX('Compliance Database'!$B$2:$B$679,MATCH(217,Engine!$C$2:$C$679,0)))</f>
        <v/>
      </c>
      <c r="C230">
        <f>IF(ISNA(MATCH(217,Engine!$C$2:$C$679,0)),"",INDEX('Compliance Database'!$C$2:$C$679,MATCH(217,Engine!$C$2:$C$679,0)))</f>
        <v/>
      </c>
      <c r="D230" s="8">
        <f>IF(ISNA(MATCH(217,Engine!$C$2:$C$679,0)),"",INDEX('Compliance Database'!$D$2:$D$679,MATCH(217,Engine!$C$2:$C$679,0)))</f>
        <v/>
      </c>
      <c r="E230">
        <f>IF(ISNA(MATCH(217,Engine!$C$2:$C$679,0)),"",INDEX('Compliance Database'!$E$2:$E$679,MATCH(217,Engine!$C$2:$C$679,0)))</f>
        <v/>
      </c>
      <c r="F230">
        <f>IF(ISNA(MATCH(217,Engine!$C$2:$C$679,0)),"",INDEX('Compliance Database'!$F$2:$F$679,MATCH(217,Engine!$C$2:$C$679,0)))</f>
        <v/>
      </c>
      <c r="G230">
        <f>IF(ISNA(MATCH(217,Engine!$C$2:$C$679,0)),"",INDEX('Compliance Database'!$G$2:$G$679,MATCH(217,Engine!$C$2:$C$679,0)))</f>
        <v/>
      </c>
      <c r="H230">
        <f>IF(ISNA(MATCH(217,Engine!$C$2:$C$679,0)),"",INDEX('Compliance Database'!$H$2:$H$679,MATCH(217,Engine!$C$2:$C$679,0)))</f>
        <v/>
      </c>
      <c r="I230" s="8">
        <f>IF(ISNA(MATCH(217,Engine!$C$2:$C$679,0)),"",INDEX('Compliance Database'!$I$2:$I$679,MATCH(217,Engine!$C$2:$C$679,0)))</f>
        <v/>
      </c>
      <c r="J230" s="8">
        <f>IF(ISNA(MATCH(217,Engine!$C$2:$C$679,0)),"",INDEX('Compliance Database'!$J$2:$J$679,MATCH(217,Engine!$C$2:$C$679,0)))</f>
        <v/>
      </c>
      <c r="K230">
        <f>IF(ISNA(MATCH(217,Engine!$C$2:$C$679,0)),"",INDEX('Compliance Database'!$K$2:$K$679,MATCH(217,Engine!$C$2:$C$679,0)))</f>
        <v/>
      </c>
      <c r="L230" s="8">
        <f>IF(ISNA(MATCH(217,Engine!$C$2:$C$679,0)),"",INDEX('Compliance Database'!$L$2:$L$679,MATCH(217,Engine!$C$2:$C$679,0)))</f>
        <v/>
      </c>
      <c r="M230" s="8">
        <f>IF(ISNA(MATCH(217,Engine!$C$2:$C$679,0)),"",INDEX('Compliance Database'!$M$2:$M$679,MATCH(217,Engine!$C$2:$C$679,0)))</f>
        <v/>
      </c>
      <c r="N230" s="8">
        <f>IF(ISNA(MATCH(217,Engine!$C$2:$C$679,0)),"",INDEX('Compliance Database'!$N$2:$N$679,MATCH(217,Engine!$C$2:$C$679,0)))</f>
        <v/>
      </c>
      <c r="O230" s="8">
        <f>IF(ISNA(MATCH(217,Engine!$C$2:$C$679,0)),"",INDEX('Compliance Database'!$O$2:$O$679,MATCH(217,Engine!$C$2:$C$679,0)))</f>
        <v/>
      </c>
      <c r="P230">
        <f>IF(ISNA(MATCH(217,Engine!$C$2:$C$679,0)),"",HYPERLINK(INDEX('Compliance Database'!$P$2:$P$679,MATCH(217,Engine!$C$2:$C$679,0)),"Open PDF"))</f>
        <v/>
      </c>
    </row>
    <row r="231">
      <c r="A231">
        <f>IF(ISNA(MATCH(218,Engine!$C$2:$C$679,0)),"",INDEX('Compliance Database'!$A$2:$A$679,MATCH(218,Engine!$C$2:$C$679,0)))</f>
        <v/>
      </c>
      <c r="B231">
        <f>IF(ISNA(MATCH(218,Engine!$C$2:$C$679,0)),"",INDEX('Compliance Database'!$B$2:$B$679,MATCH(218,Engine!$C$2:$C$679,0)))</f>
        <v/>
      </c>
      <c r="C231">
        <f>IF(ISNA(MATCH(218,Engine!$C$2:$C$679,0)),"",INDEX('Compliance Database'!$C$2:$C$679,MATCH(218,Engine!$C$2:$C$679,0)))</f>
        <v/>
      </c>
      <c r="D231" s="8">
        <f>IF(ISNA(MATCH(218,Engine!$C$2:$C$679,0)),"",INDEX('Compliance Database'!$D$2:$D$679,MATCH(218,Engine!$C$2:$C$679,0)))</f>
        <v/>
      </c>
      <c r="E231">
        <f>IF(ISNA(MATCH(218,Engine!$C$2:$C$679,0)),"",INDEX('Compliance Database'!$E$2:$E$679,MATCH(218,Engine!$C$2:$C$679,0)))</f>
        <v/>
      </c>
      <c r="F231">
        <f>IF(ISNA(MATCH(218,Engine!$C$2:$C$679,0)),"",INDEX('Compliance Database'!$F$2:$F$679,MATCH(218,Engine!$C$2:$C$679,0)))</f>
        <v/>
      </c>
      <c r="G231">
        <f>IF(ISNA(MATCH(218,Engine!$C$2:$C$679,0)),"",INDEX('Compliance Database'!$G$2:$G$679,MATCH(218,Engine!$C$2:$C$679,0)))</f>
        <v/>
      </c>
      <c r="H231">
        <f>IF(ISNA(MATCH(218,Engine!$C$2:$C$679,0)),"",INDEX('Compliance Database'!$H$2:$H$679,MATCH(218,Engine!$C$2:$C$679,0)))</f>
        <v/>
      </c>
      <c r="I231" s="8">
        <f>IF(ISNA(MATCH(218,Engine!$C$2:$C$679,0)),"",INDEX('Compliance Database'!$I$2:$I$679,MATCH(218,Engine!$C$2:$C$679,0)))</f>
        <v/>
      </c>
      <c r="J231" s="8">
        <f>IF(ISNA(MATCH(218,Engine!$C$2:$C$679,0)),"",INDEX('Compliance Database'!$J$2:$J$679,MATCH(218,Engine!$C$2:$C$679,0)))</f>
        <v/>
      </c>
      <c r="K231">
        <f>IF(ISNA(MATCH(218,Engine!$C$2:$C$679,0)),"",INDEX('Compliance Database'!$K$2:$K$679,MATCH(218,Engine!$C$2:$C$679,0)))</f>
        <v/>
      </c>
      <c r="L231" s="8">
        <f>IF(ISNA(MATCH(218,Engine!$C$2:$C$679,0)),"",INDEX('Compliance Database'!$L$2:$L$679,MATCH(218,Engine!$C$2:$C$679,0)))</f>
        <v/>
      </c>
      <c r="M231" s="8">
        <f>IF(ISNA(MATCH(218,Engine!$C$2:$C$679,0)),"",INDEX('Compliance Database'!$M$2:$M$679,MATCH(218,Engine!$C$2:$C$679,0)))</f>
        <v/>
      </c>
      <c r="N231" s="8">
        <f>IF(ISNA(MATCH(218,Engine!$C$2:$C$679,0)),"",INDEX('Compliance Database'!$N$2:$N$679,MATCH(218,Engine!$C$2:$C$679,0)))</f>
        <v/>
      </c>
      <c r="O231" s="8">
        <f>IF(ISNA(MATCH(218,Engine!$C$2:$C$679,0)),"",INDEX('Compliance Database'!$O$2:$O$679,MATCH(218,Engine!$C$2:$C$679,0)))</f>
        <v/>
      </c>
      <c r="P231">
        <f>IF(ISNA(MATCH(218,Engine!$C$2:$C$679,0)),"",HYPERLINK(INDEX('Compliance Database'!$P$2:$P$679,MATCH(218,Engine!$C$2:$C$679,0)),"Open PDF"))</f>
        <v/>
      </c>
    </row>
    <row r="232">
      <c r="A232">
        <f>IF(ISNA(MATCH(219,Engine!$C$2:$C$679,0)),"",INDEX('Compliance Database'!$A$2:$A$679,MATCH(219,Engine!$C$2:$C$679,0)))</f>
        <v/>
      </c>
      <c r="B232">
        <f>IF(ISNA(MATCH(219,Engine!$C$2:$C$679,0)),"",INDEX('Compliance Database'!$B$2:$B$679,MATCH(219,Engine!$C$2:$C$679,0)))</f>
        <v/>
      </c>
      <c r="C232">
        <f>IF(ISNA(MATCH(219,Engine!$C$2:$C$679,0)),"",INDEX('Compliance Database'!$C$2:$C$679,MATCH(219,Engine!$C$2:$C$679,0)))</f>
        <v/>
      </c>
      <c r="D232" s="8">
        <f>IF(ISNA(MATCH(219,Engine!$C$2:$C$679,0)),"",INDEX('Compliance Database'!$D$2:$D$679,MATCH(219,Engine!$C$2:$C$679,0)))</f>
        <v/>
      </c>
      <c r="E232">
        <f>IF(ISNA(MATCH(219,Engine!$C$2:$C$679,0)),"",INDEX('Compliance Database'!$E$2:$E$679,MATCH(219,Engine!$C$2:$C$679,0)))</f>
        <v/>
      </c>
      <c r="F232">
        <f>IF(ISNA(MATCH(219,Engine!$C$2:$C$679,0)),"",INDEX('Compliance Database'!$F$2:$F$679,MATCH(219,Engine!$C$2:$C$679,0)))</f>
        <v/>
      </c>
      <c r="G232">
        <f>IF(ISNA(MATCH(219,Engine!$C$2:$C$679,0)),"",INDEX('Compliance Database'!$G$2:$G$679,MATCH(219,Engine!$C$2:$C$679,0)))</f>
        <v/>
      </c>
      <c r="H232">
        <f>IF(ISNA(MATCH(219,Engine!$C$2:$C$679,0)),"",INDEX('Compliance Database'!$H$2:$H$679,MATCH(219,Engine!$C$2:$C$679,0)))</f>
        <v/>
      </c>
      <c r="I232" s="8">
        <f>IF(ISNA(MATCH(219,Engine!$C$2:$C$679,0)),"",INDEX('Compliance Database'!$I$2:$I$679,MATCH(219,Engine!$C$2:$C$679,0)))</f>
        <v/>
      </c>
      <c r="J232" s="8">
        <f>IF(ISNA(MATCH(219,Engine!$C$2:$C$679,0)),"",INDEX('Compliance Database'!$J$2:$J$679,MATCH(219,Engine!$C$2:$C$679,0)))</f>
        <v/>
      </c>
      <c r="K232">
        <f>IF(ISNA(MATCH(219,Engine!$C$2:$C$679,0)),"",INDEX('Compliance Database'!$K$2:$K$679,MATCH(219,Engine!$C$2:$C$679,0)))</f>
        <v/>
      </c>
      <c r="L232" s="8">
        <f>IF(ISNA(MATCH(219,Engine!$C$2:$C$679,0)),"",INDEX('Compliance Database'!$L$2:$L$679,MATCH(219,Engine!$C$2:$C$679,0)))</f>
        <v/>
      </c>
      <c r="M232" s="8">
        <f>IF(ISNA(MATCH(219,Engine!$C$2:$C$679,0)),"",INDEX('Compliance Database'!$M$2:$M$679,MATCH(219,Engine!$C$2:$C$679,0)))</f>
        <v/>
      </c>
      <c r="N232" s="8">
        <f>IF(ISNA(MATCH(219,Engine!$C$2:$C$679,0)),"",INDEX('Compliance Database'!$N$2:$N$679,MATCH(219,Engine!$C$2:$C$679,0)))</f>
        <v/>
      </c>
      <c r="O232" s="8">
        <f>IF(ISNA(MATCH(219,Engine!$C$2:$C$679,0)),"",INDEX('Compliance Database'!$O$2:$O$679,MATCH(219,Engine!$C$2:$C$679,0)))</f>
        <v/>
      </c>
      <c r="P232">
        <f>IF(ISNA(MATCH(219,Engine!$C$2:$C$679,0)),"",HYPERLINK(INDEX('Compliance Database'!$P$2:$P$679,MATCH(219,Engine!$C$2:$C$679,0)),"Open PDF"))</f>
        <v/>
      </c>
    </row>
    <row r="233">
      <c r="A233">
        <f>IF(ISNA(MATCH(220,Engine!$C$2:$C$679,0)),"",INDEX('Compliance Database'!$A$2:$A$679,MATCH(220,Engine!$C$2:$C$679,0)))</f>
        <v/>
      </c>
      <c r="B233">
        <f>IF(ISNA(MATCH(220,Engine!$C$2:$C$679,0)),"",INDEX('Compliance Database'!$B$2:$B$679,MATCH(220,Engine!$C$2:$C$679,0)))</f>
        <v/>
      </c>
      <c r="C233">
        <f>IF(ISNA(MATCH(220,Engine!$C$2:$C$679,0)),"",INDEX('Compliance Database'!$C$2:$C$679,MATCH(220,Engine!$C$2:$C$679,0)))</f>
        <v/>
      </c>
      <c r="D233" s="8">
        <f>IF(ISNA(MATCH(220,Engine!$C$2:$C$679,0)),"",INDEX('Compliance Database'!$D$2:$D$679,MATCH(220,Engine!$C$2:$C$679,0)))</f>
        <v/>
      </c>
      <c r="E233">
        <f>IF(ISNA(MATCH(220,Engine!$C$2:$C$679,0)),"",INDEX('Compliance Database'!$E$2:$E$679,MATCH(220,Engine!$C$2:$C$679,0)))</f>
        <v/>
      </c>
      <c r="F233">
        <f>IF(ISNA(MATCH(220,Engine!$C$2:$C$679,0)),"",INDEX('Compliance Database'!$F$2:$F$679,MATCH(220,Engine!$C$2:$C$679,0)))</f>
        <v/>
      </c>
      <c r="G233">
        <f>IF(ISNA(MATCH(220,Engine!$C$2:$C$679,0)),"",INDEX('Compliance Database'!$G$2:$G$679,MATCH(220,Engine!$C$2:$C$679,0)))</f>
        <v/>
      </c>
      <c r="H233">
        <f>IF(ISNA(MATCH(220,Engine!$C$2:$C$679,0)),"",INDEX('Compliance Database'!$H$2:$H$679,MATCH(220,Engine!$C$2:$C$679,0)))</f>
        <v/>
      </c>
      <c r="I233" s="8">
        <f>IF(ISNA(MATCH(220,Engine!$C$2:$C$679,0)),"",INDEX('Compliance Database'!$I$2:$I$679,MATCH(220,Engine!$C$2:$C$679,0)))</f>
        <v/>
      </c>
      <c r="J233" s="8">
        <f>IF(ISNA(MATCH(220,Engine!$C$2:$C$679,0)),"",INDEX('Compliance Database'!$J$2:$J$679,MATCH(220,Engine!$C$2:$C$679,0)))</f>
        <v/>
      </c>
      <c r="K233">
        <f>IF(ISNA(MATCH(220,Engine!$C$2:$C$679,0)),"",INDEX('Compliance Database'!$K$2:$K$679,MATCH(220,Engine!$C$2:$C$679,0)))</f>
        <v/>
      </c>
      <c r="L233" s="8">
        <f>IF(ISNA(MATCH(220,Engine!$C$2:$C$679,0)),"",INDEX('Compliance Database'!$L$2:$L$679,MATCH(220,Engine!$C$2:$C$679,0)))</f>
        <v/>
      </c>
      <c r="M233" s="8">
        <f>IF(ISNA(MATCH(220,Engine!$C$2:$C$679,0)),"",INDEX('Compliance Database'!$M$2:$M$679,MATCH(220,Engine!$C$2:$C$679,0)))</f>
        <v/>
      </c>
      <c r="N233" s="8">
        <f>IF(ISNA(MATCH(220,Engine!$C$2:$C$679,0)),"",INDEX('Compliance Database'!$N$2:$N$679,MATCH(220,Engine!$C$2:$C$679,0)))</f>
        <v/>
      </c>
      <c r="O233" s="8">
        <f>IF(ISNA(MATCH(220,Engine!$C$2:$C$679,0)),"",INDEX('Compliance Database'!$O$2:$O$679,MATCH(220,Engine!$C$2:$C$679,0)))</f>
        <v/>
      </c>
      <c r="P233">
        <f>IF(ISNA(MATCH(220,Engine!$C$2:$C$679,0)),"",HYPERLINK(INDEX('Compliance Database'!$P$2:$P$679,MATCH(220,Engine!$C$2:$C$679,0)),"Open PDF"))</f>
        <v/>
      </c>
    </row>
    <row r="234">
      <c r="A234">
        <f>IF(ISNA(MATCH(221,Engine!$C$2:$C$679,0)),"",INDEX('Compliance Database'!$A$2:$A$679,MATCH(221,Engine!$C$2:$C$679,0)))</f>
        <v/>
      </c>
      <c r="B234">
        <f>IF(ISNA(MATCH(221,Engine!$C$2:$C$679,0)),"",INDEX('Compliance Database'!$B$2:$B$679,MATCH(221,Engine!$C$2:$C$679,0)))</f>
        <v/>
      </c>
      <c r="C234">
        <f>IF(ISNA(MATCH(221,Engine!$C$2:$C$679,0)),"",INDEX('Compliance Database'!$C$2:$C$679,MATCH(221,Engine!$C$2:$C$679,0)))</f>
        <v/>
      </c>
      <c r="D234" s="8">
        <f>IF(ISNA(MATCH(221,Engine!$C$2:$C$679,0)),"",INDEX('Compliance Database'!$D$2:$D$679,MATCH(221,Engine!$C$2:$C$679,0)))</f>
        <v/>
      </c>
      <c r="E234">
        <f>IF(ISNA(MATCH(221,Engine!$C$2:$C$679,0)),"",INDEX('Compliance Database'!$E$2:$E$679,MATCH(221,Engine!$C$2:$C$679,0)))</f>
        <v/>
      </c>
      <c r="F234">
        <f>IF(ISNA(MATCH(221,Engine!$C$2:$C$679,0)),"",INDEX('Compliance Database'!$F$2:$F$679,MATCH(221,Engine!$C$2:$C$679,0)))</f>
        <v/>
      </c>
      <c r="G234">
        <f>IF(ISNA(MATCH(221,Engine!$C$2:$C$679,0)),"",INDEX('Compliance Database'!$G$2:$G$679,MATCH(221,Engine!$C$2:$C$679,0)))</f>
        <v/>
      </c>
      <c r="H234">
        <f>IF(ISNA(MATCH(221,Engine!$C$2:$C$679,0)),"",INDEX('Compliance Database'!$H$2:$H$679,MATCH(221,Engine!$C$2:$C$679,0)))</f>
        <v/>
      </c>
      <c r="I234" s="8">
        <f>IF(ISNA(MATCH(221,Engine!$C$2:$C$679,0)),"",INDEX('Compliance Database'!$I$2:$I$679,MATCH(221,Engine!$C$2:$C$679,0)))</f>
        <v/>
      </c>
      <c r="J234" s="8">
        <f>IF(ISNA(MATCH(221,Engine!$C$2:$C$679,0)),"",INDEX('Compliance Database'!$J$2:$J$679,MATCH(221,Engine!$C$2:$C$679,0)))</f>
        <v/>
      </c>
      <c r="K234">
        <f>IF(ISNA(MATCH(221,Engine!$C$2:$C$679,0)),"",INDEX('Compliance Database'!$K$2:$K$679,MATCH(221,Engine!$C$2:$C$679,0)))</f>
        <v/>
      </c>
      <c r="L234" s="8">
        <f>IF(ISNA(MATCH(221,Engine!$C$2:$C$679,0)),"",INDEX('Compliance Database'!$L$2:$L$679,MATCH(221,Engine!$C$2:$C$679,0)))</f>
        <v/>
      </c>
      <c r="M234" s="8">
        <f>IF(ISNA(MATCH(221,Engine!$C$2:$C$679,0)),"",INDEX('Compliance Database'!$M$2:$M$679,MATCH(221,Engine!$C$2:$C$679,0)))</f>
        <v/>
      </c>
      <c r="N234" s="8">
        <f>IF(ISNA(MATCH(221,Engine!$C$2:$C$679,0)),"",INDEX('Compliance Database'!$N$2:$N$679,MATCH(221,Engine!$C$2:$C$679,0)))</f>
        <v/>
      </c>
      <c r="O234" s="8">
        <f>IF(ISNA(MATCH(221,Engine!$C$2:$C$679,0)),"",INDEX('Compliance Database'!$O$2:$O$679,MATCH(221,Engine!$C$2:$C$679,0)))</f>
        <v/>
      </c>
      <c r="P234">
        <f>IF(ISNA(MATCH(221,Engine!$C$2:$C$679,0)),"",HYPERLINK(INDEX('Compliance Database'!$P$2:$P$679,MATCH(221,Engine!$C$2:$C$679,0)),"Open PDF"))</f>
        <v/>
      </c>
    </row>
    <row r="235">
      <c r="A235">
        <f>IF(ISNA(MATCH(222,Engine!$C$2:$C$679,0)),"",INDEX('Compliance Database'!$A$2:$A$679,MATCH(222,Engine!$C$2:$C$679,0)))</f>
        <v/>
      </c>
      <c r="B235">
        <f>IF(ISNA(MATCH(222,Engine!$C$2:$C$679,0)),"",INDEX('Compliance Database'!$B$2:$B$679,MATCH(222,Engine!$C$2:$C$679,0)))</f>
        <v/>
      </c>
      <c r="C235">
        <f>IF(ISNA(MATCH(222,Engine!$C$2:$C$679,0)),"",INDEX('Compliance Database'!$C$2:$C$679,MATCH(222,Engine!$C$2:$C$679,0)))</f>
        <v/>
      </c>
      <c r="D235" s="8">
        <f>IF(ISNA(MATCH(222,Engine!$C$2:$C$679,0)),"",INDEX('Compliance Database'!$D$2:$D$679,MATCH(222,Engine!$C$2:$C$679,0)))</f>
        <v/>
      </c>
      <c r="E235">
        <f>IF(ISNA(MATCH(222,Engine!$C$2:$C$679,0)),"",INDEX('Compliance Database'!$E$2:$E$679,MATCH(222,Engine!$C$2:$C$679,0)))</f>
        <v/>
      </c>
      <c r="F235">
        <f>IF(ISNA(MATCH(222,Engine!$C$2:$C$679,0)),"",INDEX('Compliance Database'!$F$2:$F$679,MATCH(222,Engine!$C$2:$C$679,0)))</f>
        <v/>
      </c>
      <c r="G235">
        <f>IF(ISNA(MATCH(222,Engine!$C$2:$C$679,0)),"",INDEX('Compliance Database'!$G$2:$G$679,MATCH(222,Engine!$C$2:$C$679,0)))</f>
        <v/>
      </c>
      <c r="H235">
        <f>IF(ISNA(MATCH(222,Engine!$C$2:$C$679,0)),"",INDEX('Compliance Database'!$H$2:$H$679,MATCH(222,Engine!$C$2:$C$679,0)))</f>
        <v/>
      </c>
      <c r="I235" s="8">
        <f>IF(ISNA(MATCH(222,Engine!$C$2:$C$679,0)),"",INDEX('Compliance Database'!$I$2:$I$679,MATCH(222,Engine!$C$2:$C$679,0)))</f>
        <v/>
      </c>
      <c r="J235" s="8">
        <f>IF(ISNA(MATCH(222,Engine!$C$2:$C$679,0)),"",INDEX('Compliance Database'!$J$2:$J$679,MATCH(222,Engine!$C$2:$C$679,0)))</f>
        <v/>
      </c>
      <c r="K235">
        <f>IF(ISNA(MATCH(222,Engine!$C$2:$C$679,0)),"",INDEX('Compliance Database'!$K$2:$K$679,MATCH(222,Engine!$C$2:$C$679,0)))</f>
        <v/>
      </c>
      <c r="L235" s="8">
        <f>IF(ISNA(MATCH(222,Engine!$C$2:$C$679,0)),"",INDEX('Compliance Database'!$L$2:$L$679,MATCH(222,Engine!$C$2:$C$679,0)))</f>
        <v/>
      </c>
      <c r="M235" s="8">
        <f>IF(ISNA(MATCH(222,Engine!$C$2:$C$679,0)),"",INDEX('Compliance Database'!$M$2:$M$679,MATCH(222,Engine!$C$2:$C$679,0)))</f>
        <v/>
      </c>
      <c r="N235" s="8">
        <f>IF(ISNA(MATCH(222,Engine!$C$2:$C$679,0)),"",INDEX('Compliance Database'!$N$2:$N$679,MATCH(222,Engine!$C$2:$C$679,0)))</f>
        <v/>
      </c>
      <c r="O235" s="8">
        <f>IF(ISNA(MATCH(222,Engine!$C$2:$C$679,0)),"",INDEX('Compliance Database'!$O$2:$O$679,MATCH(222,Engine!$C$2:$C$679,0)))</f>
        <v/>
      </c>
      <c r="P235">
        <f>IF(ISNA(MATCH(222,Engine!$C$2:$C$679,0)),"",HYPERLINK(INDEX('Compliance Database'!$P$2:$P$679,MATCH(222,Engine!$C$2:$C$679,0)),"Open PDF"))</f>
        <v/>
      </c>
    </row>
    <row r="236">
      <c r="A236">
        <f>IF(ISNA(MATCH(223,Engine!$C$2:$C$679,0)),"",INDEX('Compliance Database'!$A$2:$A$679,MATCH(223,Engine!$C$2:$C$679,0)))</f>
        <v/>
      </c>
      <c r="B236">
        <f>IF(ISNA(MATCH(223,Engine!$C$2:$C$679,0)),"",INDEX('Compliance Database'!$B$2:$B$679,MATCH(223,Engine!$C$2:$C$679,0)))</f>
        <v/>
      </c>
      <c r="C236">
        <f>IF(ISNA(MATCH(223,Engine!$C$2:$C$679,0)),"",INDEX('Compliance Database'!$C$2:$C$679,MATCH(223,Engine!$C$2:$C$679,0)))</f>
        <v/>
      </c>
      <c r="D236" s="8">
        <f>IF(ISNA(MATCH(223,Engine!$C$2:$C$679,0)),"",INDEX('Compliance Database'!$D$2:$D$679,MATCH(223,Engine!$C$2:$C$679,0)))</f>
        <v/>
      </c>
      <c r="E236">
        <f>IF(ISNA(MATCH(223,Engine!$C$2:$C$679,0)),"",INDEX('Compliance Database'!$E$2:$E$679,MATCH(223,Engine!$C$2:$C$679,0)))</f>
        <v/>
      </c>
      <c r="F236">
        <f>IF(ISNA(MATCH(223,Engine!$C$2:$C$679,0)),"",INDEX('Compliance Database'!$F$2:$F$679,MATCH(223,Engine!$C$2:$C$679,0)))</f>
        <v/>
      </c>
      <c r="G236">
        <f>IF(ISNA(MATCH(223,Engine!$C$2:$C$679,0)),"",INDEX('Compliance Database'!$G$2:$G$679,MATCH(223,Engine!$C$2:$C$679,0)))</f>
        <v/>
      </c>
      <c r="H236">
        <f>IF(ISNA(MATCH(223,Engine!$C$2:$C$679,0)),"",INDEX('Compliance Database'!$H$2:$H$679,MATCH(223,Engine!$C$2:$C$679,0)))</f>
        <v/>
      </c>
      <c r="I236" s="8">
        <f>IF(ISNA(MATCH(223,Engine!$C$2:$C$679,0)),"",INDEX('Compliance Database'!$I$2:$I$679,MATCH(223,Engine!$C$2:$C$679,0)))</f>
        <v/>
      </c>
      <c r="J236" s="8">
        <f>IF(ISNA(MATCH(223,Engine!$C$2:$C$679,0)),"",INDEX('Compliance Database'!$J$2:$J$679,MATCH(223,Engine!$C$2:$C$679,0)))</f>
        <v/>
      </c>
      <c r="K236">
        <f>IF(ISNA(MATCH(223,Engine!$C$2:$C$679,0)),"",INDEX('Compliance Database'!$K$2:$K$679,MATCH(223,Engine!$C$2:$C$679,0)))</f>
        <v/>
      </c>
      <c r="L236" s="8">
        <f>IF(ISNA(MATCH(223,Engine!$C$2:$C$679,0)),"",INDEX('Compliance Database'!$L$2:$L$679,MATCH(223,Engine!$C$2:$C$679,0)))</f>
        <v/>
      </c>
      <c r="M236" s="8">
        <f>IF(ISNA(MATCH(223,Engine!$C$2:$C$679,0)),"",INDEX('Compliance Database'!$M$2:$M$679,MATCH(223,Engine!$C$2:$C$679,0)))</f>
        <v/>
      </c>
      <c r="N236" s="8">
        <f>IF(ISNA(MATCH(223,Engine!$C$2:$C$679,0)),"",INDEX('Compliance Database'!$N$2:$N$679,MATCH(223,Engine!$C$2:$C$679,0)))</f>
        <v/>
      </c>
      <c r="O236" s="8">
        <f>IF(ISNA(MATCH(223,Engine!$C$2:$C$679,0)),"",INDEX('Compliance Database'!$O$2:$O$679,MATCH(223,Engine!$C$2:$C$679,0)))</f>
        <v/>
      </c>
      <c r="P236">
        <f>IF(ISNA(MATCH(223,Engine!$C$2:$C$679,0)),"",HYPERLINK(INDEX('Compliance Database'!$P$2:$P$679,MATCH(223,Engine!$C$2:$C$679,0)),"Open PDF"))</f>
        <v/>
      </c>
    </row>
    <row r="237">
      <c r="A237">
        <f>IF(ISNA(MATCH(224,Engine!$C$2:$C$679,0)),"",INDEX('Compliance Database'!$A$2:$A$679,MATCH(224,Engine!$C$2:$C$679,0)))</f>
        <v/>
      </c>
      <c r="B237">
        <f>IF(ISNA(MATCH(224,Engine!$C$2:$C$679,0)),"",INDEX('Compliance Database'!$B$2:$B$679,MATCH(224,Engine!$C$2:$C$679,0)))</f>
        <v/>
      </c>
      <c r="C237">
        <f>IF(ISNA(MATCH(224,Engine!$C$2:$C$679,0)),"",INDEX('Compliance Database'!$C$2:$C$679,MATCH(224,Engine!$C$2:$C$679,0)))</f>
        <v/>
      </c>
      <c r="D237" s="8">
        <f>IF(ISNA(MATCH(224,Engine!$C$2:$C$679,0)),"",INDEX('Compliance Database'!$D$2:$D$679,MATCH(224,Engine!$C$2:$C$679,0)))</f>
        <v/>
      </c>
      <c r="E237">
        <f>IF(ISNA(MATCH(224,Engine!$C$2:$C$679,0)),"",INDEX('Compliance Database'!$E$2:$E$679,MATCH(224,Engine!$C$2:$C$679,0)))</f>
        <v/>
      </c>
      <c r="F237">
        <f>IF(ISNA(MATCH(224,Engine!$C$2:$C$679,0)),"",INDEX('Compliance Database'!$F$2:$F$679,MATCH(224,Engine!$C$2:$C$679,0)))</f>
        <v/>
      </c>
      <c r="G237">
        <f>IF(ISNA(MATCH(224,Engine!$C$2:$C$679,0)),"",INDEX('Compliance Database'!$G$2:$G$679,MATCH(224,Engine!$C$2:$C$679,0)))</f>
        <v/>
      </c>
      <c r="H237">
        <f>IF(ISNA(MATCH(224,Engine!$C$2:$C$679,0)),"",INDEX('Compliance Database'!$H$2:$H$679,MATCH(224,Engine!$C$2:$C$679,0)))</f>
        <v/>
      </c>
      <c r="I237" s="8">
        <f>IF(ISNA(MATCH(224,Engine!$C$2:$C$679,0)),"",INDEX('Compliance Database'!$I$2:$I$679,MATCH(224,Engine!$C$2:$C$679,0)))</f>
        <v/>
      </c>
      <c r="J237" s="8">
        <f>IF(ISNA(MATCH(224,Engine!$C$2:$C$679,0)),"",INDEX('Compliance Database'!$J$2:$J$679,MATCH(224,Engine!$C$2:$C$679,0)))</f>
        <v/>
      </c>
      <c r="K237">
        <f>IF(ISNA(MATCH(224,Engine!$C$2:$C$679,0)),"",INDEX('Compliance Database'!$K$2:$K$679,MATCH(224,Engine!$C$2:$C$679,0)))</f>
        <v/>
      </c>
      <c r="L237" s="8">
        <f>IF(ISNA(MATCH(224,Engine!$C$2:$C$679,0)),"",INDEX('Compliance Database'!$L$2:$L$679,MATCH(224,Engine!$C$2:$C$679,0)))</f>
        <v/>
      </c>
      <c r="M237" s="8">
        <f>IF(ISNA(MATCH(224,Engine!$C$2:$C$679,0)),"",INDEX('Compliance Database'!$M$2:$M$679,MATCH(224,Engine!$C$2:$C$679,0)))</f>
        <v/>
      </c>
      <c r="N237" s="8">
        <f>IF(ISNA(MATCH(224,Engine!$C$2:$C$679,0)),"",INDEX('Compliance Database'!$N$2:$N$679,MATCH(224,Engine!$C$2:$C$679,0)))</f>
        <v/>
      </c>
      <c r="O237" s="8">
        <f>IF(ISNA(MATCH(224,Engine!$C$2:$C$679,0)),"",INDEX('Compliance Database'!$O$2:$O$679,MATCH(224,Engine!$C$2:$C$679,0)))</f>
        <v/>
      </c>
      <c r="P237">
        <f>IF(ISNA(MATCH(224,Engine!$C$2:$C$679,0)),"",HYPERLINK(INDEX('Compliance Database'!$P$2:$P$679,MATCH(224,Engine!$C$2:$C$679,0)),"Open PDF"))</f>
        <v/>
      </c>
    </row>
    <row r="238">
      <c r="A238">
        <f>IF(ISNA(MATCH(225,Engine!$C$2:$C$679,0)),"",INDEX('Compliance Database'!$A$2:$A$679,MATCH(225,Engine!$C$2:$C$679,0)))</f>
        <v/>
      </c>
      <c r="B238">
        <f>IF(ISNA(MATCH(225,Engine!$C$2:$C$679,0)),"",INDEX('Compliance Database'!$B$2:$B$679,MATCH(225,Engine!$C$2:$C$679,0)))</f>
        <v/>
      </c>
      <c r="C238">
        <f>IF(ISNA(MATCH(225,Engine!$C$2:$C$679,0)),"",INDEX('Compliance Database'!$C$2:$C$679,MATCH(225,Engine!$C$2:$C$679,0)))</f>
        <v/>
      </c>
      <c r="D238" s="8">
        <f>IF(ISNA(MATCH(225,Engine!$C$2:$C$679,0)),"",INDEX('Compliance Database'!$D$2:$D$679,MATCH(225,Engine!$C$2:$C$679,0)))</f>
        <v/>
      </c>
      <c r="E238">
        <f>IF(ISNA(MATCH(225,Engine!$C$2:$C$679,0)),"",INDEX('Compliance Database'!$E$2:$E$679,MATCH(225,Engine!$C$2:$C$679,0)))</f>
        <v/>
      </c>
      <c r="F238">
        <f>IF(ISNA(MATCH(225,Engine!$C$2:$C$679,0)),"",INDEX('Compliance Database'!$F$2:$F$679,MATCH(225,Engine!$C$2:$C$679,0)))</f>
        <v/>
      </c>
      <c r="G238">
        <f>IF(ISNA(MATCH(225,Engine!$C$2:$C$679,0)),"",INDEX('Compliance Database'!$G$2:$G$679,MATCH(225,Engine!$C$2:$C$679,0)))</f>
        <v/>
      </c>
      <c r="H238">
        <f>IF(ISNA(MATCH(225,Engine!$C$2:$C$679,0)),"",INDEX('Compliance Database'!$H$2:$H$679,MATCH(225,Engine!$C$2:$C$679,0)))</f>
        <v/>
      </c>
      <c r="I238" s="8">
        <f>IF(ISNA(MATCH(225,Engine!$C$2:$C$679,0)),"",INDEX('Compliance Database'!$I$2:$I$679,MATCH(225,Engine!$C$2:$C$679,0)))</f>
        <v/>
      </c>
      <c r="J238" s="8">
        <f>IF(ISNA(MATCH(225,Engine!$C$2:$C$679,0)),"",INDEX('Compliance Database'!$J$2:$J$679,MATCH(225,Engine!$C$2:$C$679,0)))</f>
        <v/>
      </c>
      <c r="K238">
        <f>IF(ISNA(MATCH(225,Engine!$C$2:$C$679,0)),"",INDEX('Compliance Database'!$K$2:$K$679,MATCH(225,Engine!$C$2:$C$679,0)))</f>
        <v/>
      </c>
      <c r="L238" s="8">
        <f>IF(ISNA(MATCH(225,Engine!$C$2:$C$679,0)),"",INDEX('Compliance Database'!$L$2:$L$679,MATCH(225,Engine!$C$2:$C$679,0)))</f>
        <v/>
      </c>
      <c r="M238" s="8">
        <f>IF(ISNA(MATCH(225,Engine!$C$2:$C$679,0)),"",INDEX('Compliance Database'!$M$2:$M$679,MATCH(225,Engine!$C$2:$C$679,0)))</f>
        <v/>
      </c>
      <c r="N238" s="8">
        <f>IF(ISNA(MATCH(225,Engine!$C$2:$C$679,0)),"",INDEX('Compliance Database'!$N$2:$N$679,MATCH(225,Engine!$C$2:$C$679,0)))</f>
        <v/>
      </c>
      <c r="O238" s="8">
        <f>IF(ISNA(MATCH(225,Engine!$C$2:$C$679,0)),"",INDEX('Compliance Database'!$O$2:$O$679,MATCH(225,Engine!$C$2:$C$679,0)))</f>
        <v/>
      </c>
      <c r="P238">
        <f>IF(ISNA(MATCH(225,Engine!$C$2:$C$679,0)),"",HYPERLINK(INDEX('Compliance Database'!$P$2:$P$679,MATCH(225,Engine!$C$2:$C$679,0)),"Open PDF"))</f>
        <v/>
      </c>
    </row>
    <row r="239">
      <c r="A239">
        <f>IF(ISNA(MATCH(226,Engine!$C$2:$C$679,0)),"",INDEX('Compliance Database'!$A$2:$A$679,MATCH(226,Engine!$C$2:$C$679,0)))</f>
        <v/>
      </c>
      <c r="B239">
        <f>IF(ISNA(MATCH(226,Engine!$C$2:$C$679,0)),"",INDEX('Compliance Database'!$B$2:$B$679,MATCH(226,Engine!$C$2:$C$679,0)))</f>
        <v/>
      </c>
      <c r="C239">
        <f>IF(ISNA(MATCH(226,Engine!$C$2:$C$679,0)),"",INDEX('Compliance Database'!$C$2:$C$679,MATCH(226,Engine!$C$2:$C$679,0)))</f>
        <v/>
      </c>
      <c r="D239" s="8">
        <f>IF(ISNA(MATCH(226,Engine!$C$2:$C$679,0)),"",INDEX('Compliance Database'!$D$2:$D$679,MATCH(226,Engine!$C$2:$C$679,0)))</f>
        <v/>
      </c>
      <c r="E239">
        <f>IF(ISNA(MATCH(226,Engine!$C$2:$C$679,0)),"",INDEX('Compliance Database'!$E$2:$E$679,MATCH(226,Engine!$C$2:$C$679,0)))</f>
        <v/>
      </c>
      <c r="F239">
        <f>IF(ISNA(MATCH(226,Engine!$C$2:$C$679,0)),"",INDEX('Compliance Database'!$F$2:$F$679,MATCH(226,Engine!$C$2:$C$679,0)))</f>
        <v/>
      </c>
      <c r="G239">
        <f>IF(ISNA(MATCH(226,Engine!$C$2:$C$679,0)),"",INDEX('Compliance Database'!$G$2:$G$679,MATCH(226,Engine!$C$2:$C$679,0)))</f>
        <v/>
      </c>
      <c r="H239">
        <f>IF(ISNA(MATCH(226,Engine!$C$2:$C$679,0)),"",INDEX('Compliance Database'!$H$2:$H$679,MATCH(226,Engine!$C$2:$C$679,0)))</f>
        <v/>
      </c>
      <c r="I239" s="8">
        <f>IF(ISNA(MATCH(226,Engine!$C$2:$C$679,0)),"",INDEX('Compliance Database'!$I$2:$I$679,MATCH(226,Engine!$C$2:$C$679,0)))</f>
        <v/>
      </c>
      <c r="J239" s="8">
        <f>IF(ISNA(MATCH(226,Engine!$C$2:$C$679,0)),"",INDEX('Compliance Database'!$J$2:$J$679,MATCH(226,Engine!$C$2:$C$679,0)))</f>
        <v/>
      </c>
      <c r="K239">
        <f>IF(ISNA(MATCH(226,Engine!$C$2:$C$679,0)),"",INDEX('Compliance Database'!$K$2:$K$679,MATCH(226,Engine!$C$2:$C$679,0)))</f>
        <v/>
      </c>
      <c r="L239" s="8">
        <f>IF(ISNA(MATCH(226,Engine!$C$2:$C$679,0)),"",INDEX('Compliance Database'!$L$2:$L$679,MATCH(226,Engine!$C$2:$C$679,0)))</f>
        <v/>
      </c>
      <c r="M239" s="8">
        <f>IF(ISNA(MATCH(226,Engine!$C$2:$C$679,0)),"",INDEX('Compliance Database'!$M$2:$M$679,MATCH(226,Engine!$C$2:$C$679,0)))</f>
        <v/>
      </c>
      <c r="N239" s="8">
        <f>IF(ISNA(MATCH(226,Engine!$C$2:$C$679,0)),"",INDEX('Compliance Database'!$N$2:$N$679,MATCH(226,Engine!$C$2:$C$679,0)))</f>
        <v/>
      </c>
      <c r="O239" s="8">
        <f>IF(ISNA(MATCH(226,Engine!$C$2:$C$679,0)),"",INDEX('Compliance Database'!$O$2:$O$679,MATCH(226,Engine!$C$2:$C$679,0)))</f>
        <v/>
      </c>
      <c r="P239">
        <f>IF(ISNA(MATCH(226,Engine!$C$2:$C$679,0)),"",HYPERLINK(INDEX('Compliance Database'!$P$2:$P$679,MATCH(226,Engine!$C$2:$C$679,0)),"Open PDF"))</f>
        <v/>
      </c>
    </row>
    <row r="240">
      <c r="A240">
        <f>IF(ISNA(MATCH(227,Engine!$C$2:$C$679,0)),"",INDEX('Compliance Database'!$A$2:$A$679,MATCH(227,Engine!$C$2:$C$679,0)))</f>
        <v/>
      </c>
      <c r="B240">
        <f>IF(ISNA(MATCH(227,Engine!$C$2:$C$679,0)),"",INDEX('Compliance Database'!$B$2:$B$679,MATCH(227,Engine!$C$2:$C$679,0)))</f>
        <v/>
      </c>
      <c r="C240">
        <f>IF(ISNA(MATCH(227,Engine!$C$2:$C$679,0)),"",INDEX('Compliance Database'!$C$2:$C$679,MATCH(227,Engine!$C$2:$C$679,0)))</f>
        <v/>
      </c>
      <c r="D240" s="8">
        <f>IF(ISNA(MATCH(227,Engine!$C$2:$C$679,0)),"",INDEX('Compliance Database'!$D$2:$D$679,MATCH(227,Engine!$C$2:$C$679,0)))</f>
        <v/>
      </c>
      <c r="E240">
        <f>IF(ISNA(MATCH(227,Engine!$C$2:$C$679,0)),"",INDEX('Compliance Database'!$E$2:$E$679,MATCH(227,Engine!$C$2:$C$679,0)))</f>
        <v/>
      </c>
      <c r="F240">
        <f>IF(ISNA(MATCH(227,Engine!$C$2:$C$679,0)),"",INDEX('Compliance Database'!$F$2:$F$679,MATCH(227,Engine!$C$2:$C$679,0)))</f>
        <v/>
      </c>
      <c r="G240">
        <f>IF(ISNA(MATCH(227,Engine!$C$2:$C$679,0)),"",INDEX('Compliance Database'!$G$2:$G$679,MATCH(227,Engine!$C$2:$C$679,0)))</f>
        <v/>
      </c>
      <c r="H240">
        <f>IF(ISNA(MATCH(227,Engine!$C$2:$C$679,0)),"",INDEX('Compliance Database'!$H$2:$H$679,MATCH(227,Engine!$C$2:$C$679,0)))</f>
        <v/>
      </c>
      <c r="I240" s="8">
        <f>IF(ISNA(MATCH(227,Engine!$C$2:$C$679,0)),"",INDEX('Compliance Database'!$I$2:$I$679,MATCH(227,Engine!$C$2:$C$679,0)))</f>
        <v/>
      </c>
      <c r="J240" s="8">
        <f>IF(ISNA(MATCH(227,Engine!$C$2:$C$679,0)),"",INDEX('Compliance Database'!$J$2:$J$679,MATCH(227,Engine!$C$2:$C$679,0)))</f>
        <v/>
      </c>
      <c r="K240">
        <f>IF(ISNA(MATCH(227,Engine!$C$2:$C$679,0)),"",INDEX('Compliance Database'!$K$2:$K$679,MATCH(227,Engine!$C$2:$C$679,0)))</f>
        <v/>
      </c>
      <c r="L240" s="8">
        <f>IF(ISNA(MATCH(227,Engine!$C$2:$C$679,0)),"",INDEX('Compliance Database'!$L$2:$L$679,MATCH(227,Engine!$C$2:$C$679,0)))</f>
        <v/>
      </c>
      <c r="M240" s="8">
        <f>IF(ISNA(MATCH(227,Engine!$C$2:$C$679,0)),"",INDEX('Compliance Database'!$M$2:$M$679,MATCH(227,Engine!$C$2:$C$679,0)))</f>
        <v/>
      </c>
      <c r="N240" s="8">
        <f>IF(ISNA(MATCH(227,Engine!$C$2:$C$679,0)),"",INDEX('Compliance Database'!$N$2:$N$679,MATCH(227,Engine!$C$2:$C$679,0)))</f>
        <v/>
      </c>
      <c r="O240" s="8">
        <f>IF(ISNA(MATCH(227,Engine!$C$2:$C$679,0)),"",INDEX('Compliance Database'!$O$2:$O$679,MATCH(227,Engine!$C$2:$C$679,0)))</f>
        <v/>
      </c>
      <c r="P240">
        <f>IF(ISNA(MATCH(227,Engine!$C$2:$C$679,0)),"",HYPERLINK(INDEX('Compliance Database'!$P$2:$P$679,MATCH(227,Engine!$C$2:$C$679,0)),"Open PDF"))</f>
        <v/>
      </c>
    </row>
    <row r="241">
      <c r="A241">
        <f>IF(ISNA(MATCH(228,Engine!$C$2:$C$679,0)),"",INDEX('Compliance Database'!$A$2:$A$679,MATCH(228,Engine!$C$2:$C$679,0)))</f>
        <v/>
      </c>
      <c r="B241">
        <f>IF(ISNA(MATCH(228,Engine!$C$2:$C$679,0)),"",INDEX('Compliance Database'!$B$2:$B$679,MATCH(228,Engine!$C$2:$C$679,0)))</f>
        <v/>
      </c>
      <c r="C241">
        <f>IF(ISNA(MATCH(228,Engine!$C$2:$C$679,0)),"",INDEX('Compliance Database'!$C$2:$C$679,MATCH(228,Engine!$C$2:$C$679,0)))</f>
        <v/>
      </c>
      <c r="D241" s="8">
        <f>IF(ISNA(MATCH(228,Engine!$C$2:$C$679,0)),"",INDEX('Compliance Database'!$D$2:$D$679,MATCH(228,Engine!$C$2:$C$679,0)))</f>
        <v/>
      </c>
      <c r="E241">
        <f>IF(ISNA(MATCH(228,Engine!$C$2:$C$679,0)),"",INDEX('Compliance Database'!$E$2:$E$679,MATCH(228,Engine!$C$2:$C$679,0)))</f>
        <v/>
      </c>
      <c r="F241">
        <f>IF(ISNA(MATCH(228,Engine!$C$2:$C$679,0)),"",INDEX('Compliance Database'!$F$2:$F$679,MATCH(228,Engine!$C$2:$C$679,0)))</f>
        <v/>
      </c>
      <c r="G241">
        <f>IF(ISNA(MATCH(228,Engine!$C$2:$C$679,0)),"",INDEX('Compliance Database'!$G$2:$G$679,MATCH(228,Engine!$C$2:$C$679,0)))</f>
        <v/>
      </c>
      <c r="H241">
        <f>IF(ISNA(MATCH(228,Engine!$C$2:$C$679,0)),"",INDEX('Compliance Database'!$H$2:$H$679,MATCH(228,Engine!$C$2:$C$679,0)))</f>
        <v/>
      </c>
      <c r="I241" s="8">
        <f>IF(ISNA(MATCH(228,Engine!$C$2:$C$679,0)),"",INDEX('Compliance Database'!$I$2:$I$679,MATCH(228,Engine!$C$2:$C$679,0)))</f>
        <v/>
      </c>
      <c r="J241" s="8">
        <f>IF(ISNA(MATCH(228,Engine!$C$2:$C$679,0)),"",INDEX('Compliance Database'!$J$2:$J$679,MATCH(228,Engine!$C$2:$C$679,0)))</f>
        <v/>
      </c>
      <c r="K241">
        <f>IF(ISNA(MATCH(228,Engine!$C$2:$C$679,0)),"",INDEX('Compliance Database'!$K$2:$K$679,MATCH(228,Engine!$C$2:$C$679,0)))</f>
        <v/>
      </c>
      <c r="L241" s="8">
        <f>IF(ISNA(MATCH(228,Engine!$C$2:$C$679,0)),"",INDEX('Compliance Database'!$L$2:$L$679,MATCH(228,Engine!$C$2:$C$679,0)))</f>
        <v/>
      </c>
      <c r="M241" s="8">
        <f>IF(ISNA(MATCH(228,Engine!$C$2:$C$679,0)),"",INDEX('Compliance Database'!$M$2:$M$679,MATCH(228,Engine!$C$2:$C$679,0)))</f>
        <v/>
      </c>
      <c r="N241" s="8">
        <f>IF(ISNA(MATCH(228,Engine!$C$2:$C$679,0)),"",INDEX('Compliance Database'!$N$2:$N$679,MATCH(228,Engine!$C$2:$C$679,0)))</f>
        <v/>
      </c>
      <c r="O241" s="8">
        <f>IF(ISNA(MATCH(228,Engine!$C$2:$C$679,0)),"",INDEX('Compliance Database'!$O$2:$O$679,MATCH(228,Engine!$C$2:$C$679,0)))</f>
        <v/>
      </c>
      <c r="P241">
        <f>IF(ISNA(MATCH(228,Engine!$C$2:$C$679,0)),"",HYPERLINK(INDEX('Compliance Database'!$P$2:$P$679,MATCH(228,Engine!$C$2:$C$679,0)),"Open PDF"))</f>
        <v/>
      </c>
    </row>
    <row r="242">
      <c r="A242">
        <f>IF(ISNA(MATCH(229,Engine!$C$2:$C$679,0)),"",INDEX('Compliance Database'!$A$2:$A$679,MATCH(229,Engine!$C$2:$C$679,0)))</f>
        <v/>
      </c>
      <c r="B242">
        <f>IF(ISNA(MATCH(229,Engine!$C$2:$C$679,0)),"",INDEX('Compliance Database'!$B$2:$B$679,MATCH(229,Engine!$C$2:$C$679,0)))</f>
        <v/>
      </c>
      <c r="C242">
        <f>IF(ISNA(MATCH(229,Engine!$C$2:$C$679,0)),"",INDEX('Compliance Database'!$C$2:$C$679,MATCH(229,Engine!$C$2:$C$679,0)))</f>
        <v/>
      </c>
      <c r="D242" s="8">
        <f>IF(ISNA(MATCH(229,Engine!$C$2:$C$679,0)),"",INDEX('Compliance Database'!$D$2:$D$679,MATCH(229,Engine!$C$2:$C$679,0)))</f>
        <v/>
      </c>
      <c r="E242">
        <f>IF(ISNA(MATCH(229,Engine!$C$2:$C$679,0)),"",INDEX('Compliance Database'!$E$2:$E$679,MATCH(229,Engine!$C$2:$C$679,0)))</f>
        <v/>
      </c>
      <c r="F242">
        <f>IF(ISNA(MATCH(229,Engine!$C$2:$C$679,0)),"",INDEX('Compliance Database'!$F$2:$F$679,MATCH(229,Engine!$C$2:$C$679,0)))</f>
        <v/>
      </c>
      <c r="G242">
        <f>IF(ISNA(MATCH(229,Engine!$C$2:$C$679,0)),"",INDEX('Compliance Database'!$G$2:$G$679,MATCH(229,Engine!$C$2:$C$679,0)))</f>
        <v/>
      </c>
      <c r="H242">
        <f>IF(ISNA(MATCH(229,Engine!$C$2:$C$679,0)),"",INDEX('Compliance Database'!$H$2:$H$679,MATCH(229,Engine!$C$2:$C$679,0)))</f>
        <v/>
      </c>
      <c r="I242" s="8">
        <f>IF(ISNA(MATCH(229,Engine!$C$2:$C$679,0)),"",INDEX('Compliance Database'!$I$2:$I$679,MATCH(229,Engine!$C$2:$C$679,0)))</f>
        <v/>
      </c>
      <c r="J242" s="8">
        <f>IF(ISNA(MATCH(229,Engine!$C$2:$C$679,0)),"",INDEX('Compliance Database'!$J$2:$J$679,MATCH(229,Engine!$C$2:$C$679,0)))</f>
        <v/>
      </c>
      <c r="K242">
        <f>IF(ISNA(MATCH(229,Engine!$C$2:$C$679,0)),"",INDEX('Compliance Database'!$K$2:$K$679,MATCH(229,Engine!$C$2:$C$679,0)))</f>
        <v/>
      </c>
      <c r="L242" s="8">
        <f>IF(ISNA(MATCH(229,Engine!$C$2:$C$679,0)),"",INDEX('Compliance Database'!$L$2:$L$679,MATCH(229,Engine!$C$2:$C$679,0)))</f>
        <v/>
      </c>
      <c r="M242" s="8">
        <f>IF(ISNA(MATCH(229,Engine!$C$2:$C$679,0)),"",INDEX('Compliance Database'!$M$2:$M$679,MATCH(229,Engine!$C$2:$C$679,0)))</f>
        <v/>
      </c>
      <c r="N242" s="8">
        <f>IF(ISNA(MATCH(229,Engine!$C$2:$C$679,0)),"",INDEX('Compliance Database'!$N$2:$N$679,MATCH(229,Engine!$C$2:$C$679,0)))</f>
        <v/>
      </c>
      <c r="O242" s="8">
        <f>IF(ISNA(MATCH(229,Engine!$C$2:$C$679,0)),"",INDEX('Compliance Database'!$O$2:$O$679,MATCH(229,Engine!$C$2:$C$679,0)))</f>
        <v/>
      </c>
      <c r="P242">
        <f>IF(ISNA(MATCH(229,Engine!$C$2:$C$679,0)),"",HYPERLINK(INDEX('Compliance Database'!$P$2:$P$679,MATCH(229,Engine!$C$2:$C$679,0)),"Open PDF"))</f>
        <v/>
      </c>
    </row>
    <row r="243">
      <c r="A243">
        <f>IF(ISNA(MATCH(230,Engine!$C$2:$C$679,0)),"",INDEX('Compliance Database'!$A$2:$A$679,MATCH(230,Engine!$C$2:$C$679,0)))</f>
        <v/>
      </c>
      <c r="B243">
        <f>IF(ISNA(MATCH(230,Engine!$C$2:$C$679,0)),"",INDEX('Compliance Database'!$B$2:$B$679,MATCH(230,Engine!$C$2:$C$679,0)))</f>
        <v/>
      </c>
      <c r="C243">
        <f>IF(ISNA(MATCH(230,Engine!$C$2:$C$679,0)),"",INDEX('Compliance Database'!$C$2:$C$679,MATCH(230,Engine!$C$2:$C$679,0)))</f>
        <v/>
      </c>
      <c r="D243" s="8">
        <f>IF(ISNA(MATCH(230,Engine!$C$2:$C$679,0)),"",INDEX('Compliance Database'!$D$2:$D$679,MATCH(230,Engine!$C$2:$C$679,0)))</f>
        <v/>
      </c>
      <c r="E243">
        <f>IF(ISNA(MATCH(230,Engine!$C$2:$C$679,0)),"",INDEX('Compliance Database'!$E$2:$E$679,MATCH(230,Engine!$C$2:$C$679,0)))</f>
        <v/>
      </c>
      <c r="F243">
        <f>IF(ISNA(MATCH(230,Engine!$C$2:$C$679,0)),"",INDEX('Compliance Database'!$F$2:$F$679,MATCH(230,Engine!$C$2:$C$679,0)))</f>
        <v/>
      </c>
      <c r="G243">
        <f>IF(ISNA(MATCH(230,Engine!$C$2:$C$679,0)),"",INDEX('Compliance Database'!$G$2:$G$679,MATCH(230,Engine!$C$2:$C$679,0)))</f>
        <v/>
      </c>
      <c r="H243">
        <f>IF(ISNA(MATCH(230,Engine!$C$2:$C$679,0)),"",INDEX('Compliance Database'!$H$2:$H$679,MATCH(230,Engine!$C$2:$C$679,0)))</f>
        <v/>
      </c>
      <c r="I243" s="8">
        <f>IF(ISNA(MATCH(230,Engine!$C$2:$C$679,0)),"",INDEX('Compliance Database'!$I$2:$I$679,MATCH(230,Engine!$C$2:$C$679,0)))</f>
        <v/>
      </c>
      <c r="J243" s="8">
        <f>IF(ISNA(MATCH(230,Engine!$C$2:$C$679,0)),"",INDEX('Compliance Database'!$J$2:$J$679,MATCH(230,Engine!$C$2:$C$679,0)))</f>
        <v/>
      </c>
      <c r="K243">
        <f>IF(ISNA(MATCH(230,Engine!$C$2:$C$679,0)),"",INDEX('Compliance Database'!$K$2:$K$679,MATCH(230,Engine!$C$2:$C$679,0)))</f>
        <v/>
      </c>
      <c r="L243" s="8">
        <f>IF(ISNA(MATCH(230,Engine!$C$2:$C$679,0)),"",INDEX('Compliance Database'!$L$2:$L$679,MATCH(230,Engine!$C$2:$C$679,0)))</f>
        <v/>
      </c>
      <c r="M243" s="8">
        <f>IF(ISNA(MATCH(230,Engine!$C$2:$C$679,0)),"",INDEX('Compliance Database'!$M$2:$M$679,MATCH(230,Engine!$C$2:$C$679,0)))</f>
        <v/>
      </c>
      <c r="N243" s="8">
        <f>IF(ISNA(MATCH(230,Engine!$C$2:$C$679,0)),"",INDEX('Compliance Database'!$N$2:$N$679,MATCH(230,Engine!$C$2:$C$679,0)))</f>
        <v/>
      </c>
      <c r="O243" s="8">
        <f>IF(ISNA(MATCH(230,Engine!$C$2:$C$679,0)),"",INDEX('Compliance Database'!$O$2:$O$679,MATCH(230,Engine!$C$2:$C$679,0)))</f>
        <v/>
      </c>
      <c r="P243">
        <f>IF(ISNA(MATCH(230,Engine!$C$2:$C$679,0)),"",HYPERLINK(INDEX('Compliance Database'!$P$2:$P$679,MATCH(230,Engine!$C$2:$C$679,0)),"Open PDF"))</f>
        <v/>
      </c>
    </row>
    <row r="244">
      <c r="A244">
        <f>IF(ISNA(MATCH(231,Engine!$C$2:$C$679,0)),"",INDEX('Compliance Database'!$A$2:$A$679,MATCH(231,Engine!$C$2:$C$679,0)))</f>
        <v/>
      </c>
      <c r="B244">
        <f>IF(ISNA(MATCH(231,Engine!$C$2:$C$679,0)),"",INDEX('Compliance Database'!$B$2:$B$679,MATCH(231,Engine!$C$2:$C$679,0)))</f>
        <v/>
      </c>
      <c r="C244">
        <f>IF(ISNA(MATCH(231,Engine!$C$2:$C$679,0)),"",INDEX('Compliance Database'!$C$2:$C$679,MATCH(231,Engine!$C$2:$C$679,0)))</f>
        <v/>
      </c>
      <c r="D244" s="8">
        <f>IF(ISNA(MATCH(231,Engine!$C$2:$C$679,0)),"",INDEX('Compliance Database'!$D$2:$D$679,MATCH(231,Engine!$C$2:$C$679,0)))</f>
        <v/>
      </c>
      <c r="E244">
        <f>IF(ISNA(MATCH(231,Engine!$C$2:$C$679,0)),"",INDEX('Compliance Database'!$E$2:$E$679,MATCH(231,Engine!$C$2:$C$679,0)))</f>
        <v/>
      </c>
      <c r="F244">
        <f>IF(ISNA(MATCH(231,Engine!$C$2:$C$679,0)),"",INDEX('Compliance Database'!$F$2:$F$679,MATCH(231,Engine!$C$2:$C$679,0)))</f>
        <v/>
      </c>
      <c r="G244">
        <f>IF(ISNA(MATCH(231,Engine!$C$2:$C$679,0)),"",INDEX('Compliance Database'!$G$2:$G$679,MATCH(231,Engine!$C$2:$C$679,0)))</f>
        <v/>
      </c>
      <c r="H244">
        <f>IF(ISNA(MATCH(231,Engine!$C$2:$C$679,0)),"",INDEX('Compliance Database'!$H$2:$H$679,MATCH(231,Engine!$C$2:$C$679,0)))</f>
        <v/>
      </c>
      <c r="I244" s="8">
        <f>IF(ISNA(MATCH(231,Engine!$C$2:$C$679,0)),"",INDEX('Compliance Database'!$I$2:$I$679,MATCH(231,Engine!$C$2:$C$679,0)))</f>
        <v/>
      </c>
      <c r="J244" s="8">
        <f>IF(ISNA(MATCH(231,Engine!$C$2:$C$679,0)),"",INDEX('Compliance Database'!$J$2:$J$679,MATCH(231,Engine!$C$2:$C$679,0)))</f>
        <v/>
      </c>
      <c r="K244">
        <f>IF(ISNA(MATCH(231,Engine!$C$2:$C$679,0)),"",INDEX('Compliance Database'!$K$2:$K$679,MATCH(231,Engine!$C$2:$C$679,0)))</f>
        <v/>
      </c>
      <c r="L244" s="8">
        <f>IF(ISNA(MATCH(231,Engine!$C$2:$C$679,0)),"",INDEX('Compliance Database'!$L$2:$L$679,MATCH(231,Engine!$C$2:$C$679,0)))</f>
        <v/>
      </c>
      <c r="M244" s="8">
        <f>IF(ISNA(MATCH(231,Engine!$C$2:$C$679,0)),"",INDEX('Compliance Database'!$M$2:$M$679,MATCH(231,Engine!$C$2:$C$679,0)))</f>
        <v/>
      </c>
      <c r="N244" s="8">
        <f>IF(ISNA(MATCH(231,Engine!$C$2:$C$679,0)),"",INDEX('Compliance Database'!$N$2:$N$679,MATCH(231,Engine!$C$2:$C$679,0)))</f>
        <v/>
      </c>
      <c r="O244" s="8">
        <f>IF(ISNA(MATCH(231,Engine!$C$2:$C$679,0)),"",INDEX('Compliance Database'!$O$2:$O$679,MATCH(231,Engine!$C$2:$C$679,0)))</f>
        <v/>
      </c>
      <c r="P244">
        <f>IF(ISNA(MATCH(231,Engine!$C$2:$C$679,0)),"",HYPERLINK(INDEX('Compliance Database'!$P$2:$P$679,MATCH(231,Engine!$C$2:$C$679,0)),"Open PDF"))</f>
        <v/>
      </c>
    </row>
    <row r="245">
      <c r="A245">
        <f>IF(ISNA(MATCH(232,Engine!$C$2:$C$679,0)),"",INDEX('Compliance Database'!$A$2:$A$679,MATCH(232,Engine!$C$2:$C$679,0)))</f>
        <v/>
      </c>
      <c r="B245">
        <f>IF(ISNA(MATCH(232,Engine!$C$2:$C$679,0)),"",INDEX('Compliance Database'!$B$2:$B$679,MATCH(232,Engine!$C$2:$C$679,0)))</f>
        <v/>
      </c>
      <c r="C245">
        <f>IF(ISNA(MATCH(232,Engine!$C$2:$C$679,0)),"",INDEX('Compliance Database'!$C$2:$C$679,MATCH(232,Engine!$C$2:$C$679,0)))</f>
        <v/>
      </c>
      <c r="D245" s="8">
        <f>IF(ISNA(MATCH(232,Engine!$C$2:$C$679,0)),"",INDEX('Compliance Database'!$D$2:$D$679,MATCH(232,Engine!$C$2:$C$679,0)))</f>
        <v/>
      </c>
      <c r="E245">
        <f>IF(ISNA(MATCH(232,Engine!$C$2:$C$679,0)),"",INDEX('Compliance Database'!$E$2:$E$679,MATCH(232,Engine!$C$2:$C$679,0)))</f>
        <v/>
      </c>
      <c r="F245">
        <f>IF(ISNA(MATCH(232,Engine!$C$2:$C$679,0)),"",INDEX('Compliance Database'!$F$2:$F$679,MATCH(232,Engine!$C$2:$C$679,0)))</f>
        <v/>
      </c>
      <c r="G245">
        <f>IF(ISNA(MATCH(232,Engine!$C$2:$C$679,0)),"",INDEX('Compliance Database'!$G$2:$G$679,MATCH(232,Engine!$C$2:$C$679,0)))</f>
        <v/>
      </c>
      <c r="H245">
        <f>IF(ISNA(MATCH(232,Engine!$C$2:$C$679,0)),"",INDEX('Compliance Database'!$H$2:$H$679,MATCH(232,Engine!$C$2:$C$679,0)))</f>
        <v/>
      </c>
      <c r="I245" s="8">
        <f>IF(ISNA(MATCH(232,Engine!$C$2:$C$679,0)),"",INDEX('Compliance Database'!$I$2:$I$679,MATCH(232,Engine!$C$2:$C$679,0)))</f>
        <v/>
      </c>
      <c r="J245" s="8">
        <f>IF(ISNA(MATCH(232,Engine!$C$2:$C$679,0)),"",INDEX('Compliance Database'!$J$2:$J$679,MATCH(232,Engine!$C$2:$C$679,0)))</f>
        <v/>
      </c>
      <c r="K245">
        <f>IF(ISNA(MATCH(232,Engine!$C$2:$C$679,0)),"",INDEX('Compliance Database'!$K$2:$K$679,MATCH(232,Engine!$C$2:$C$679,0)))</f>
        <v/>
      </c>
      <c r="L245" s="8">
        <f>IF(ISNA(MATCH(232,Engine!$C$2:$C$679,0)),"",INDEX('Compliance Database'!$L$2:$L$679,MATCH(232,Engine!$C$2:$C$679,0)))</f>
        <v/>
      </c>
      <c r="M245" s="8">
        <f>IF(ISNA(MATCH(232,Engine!$C$2:$C$679,0)),"",INDEX('Compliance Database'!$M$2:$M$679,MATCH(232,Engine!$C$2:$C$679,0)))</f>
        <v/>
      </c>
      <c r="N245" s="8">
        <f>IF(ISNA(MATCH(232,Engine!$C$2:$C$679,0)),"",INDEX('Compliance Database'!$N$2:$N$679,MATCH(232,Engine!$C$2:$C$679,0)))</f>
        <v/>
      </c>
      <c r="O245" s="8">
        <f>IF(ISNA(MATCH(232,Engine!$C$2:$C$679,0)),"",INDEX('Compliance Database'!$O$2:$O$679,MATCH(232,Engine!$C$2:$C$679,0)))</f>
        <v/>
      </c>
      <c r="P245">
        <f>IF(ISNA(MATCH(232,Engine!$C$2:$C$679,0)),"",HYPERLINK(INDEX('Compliance Database'!$P$2:$P$679,MATCH(232,Engine!$C$2:$C$679,0)),"Open PDF"))</f>
        <v/>
      </c>
    </row>
    <row r="246">
      <c r="A246">
        <f>IF(ISNA(MATCH(233,Engine!$C$2:$C$679,0)),"",INDEX('Compliance Database'!$A$2:$A$679,MATCH(233,Engine!$C$2:$C$679,0)))</f>
        <v/>
      </c>
      <c r="B246">
        <f>IF(ISNA(MATCH(233,Engine!$C$2:$C$679,0)),"",INDEX('Compliance Database'!$B$2:$B$679,MATCH(233,Engine!$C$2:$C$679,0)))</f>
        <v/>
      </c>
      <c r="C246">
        <f>IF(ISNA(MATCH(233,Engine!$C$2:$C$679,0)),"",INDEX('Compliance Database'!$C$2:$C$679,MATCH(233,Engine!$C$2:$C$679,0)))</f>
        <v/>
      </c>
      <c r="D246" s="8">
        <f>IF(ISNA(MATCH(233,Engine!$C$2:$C$679,0)),"",INDEX('Compliance Database'!$D$2:$D$679,MATCH(233,Engine!$C$2:$C$679,0)))</f>
        <v/>
      </c>
      <c r="E246">
        <f>IF(ISNA(MATCH(233,Engine!$C$2:$C$679,0)),"",INDEX('Compliance Database'!$E$2:$E$679,MATCH(233,Engine!$C$2:$C$679,0)))</f>
        <v/>
      </c>
      <c r="F246">
        <f>IF(ISNA(MATCH(233,Engine!$C$2:$C$679,0)),"",INDEX('Compliance Database'!$F$2:$F$679,MATCH(233,Engine!$C$2:$C$679,0)))</f>
        <v/>
      </c>
      <c r="G246">
        <f>IF(ISNA(MATCH(233,Engine!$C$2:$C$679,0)),"",INDEX('Compliance Database'!$G$2:$G$679,MATCH(233,Engine!$C$2:$C$679,0)))</f>
        <v/>
      </c>
      <c r="H246">
        <f>IF(ISNA(MATCH(233,Engine!$C$2:$C$679,0)),"",INDEX('Compliance Database'!$H$2:$H$679,MATCH(233,Engine!$C$2:$C$679,0)))</f>
        <v/>
      </c>
      <c r="I246" s="8">
        <f>IF(ISNA(MATCH(233,Engine!$C$2:$C$679,0)),"",INDEX('Compliance Database'!$I$2:$I$679,MATCH(233,Engine!$C$2:$C$679,0)))</f>
        <v/>
      </c>
      <c r="J246" s="8">
        <f>IF(ISNA(MATCH(233,Engine!$C$2:$C$679,0)),"",INDEX('Compliance Database'!$J$2:$J$679,MATCH(233,Engine!$C$2:$C$679,0)))</f>
        <v/>
      </c>
      <c r="K246">
        <f>IF(ISNA(MATCH(233,Engine!$C$2:$C$679,0)),"",INDEX('Compliance Database'!$K$2:$K$679,MATCH(233,Engine!$C$2:$C$679,0)))</f>
        <v/>
      </c>
      <c r="L246" s="8">
        <f>IF(ISNA(MATCH(233,Engine!$C$2:$C$679,0)),"",INDEX('Compliance Database'!$L$2:$L$679,MATCH(233,Engine!$C$2:$C$679,0)))</f>
        <v/>
      </c>
      <c r="M246" s="8">
        <f>IF(ISNA(MATCH(233,Engine!$C$2:$C$679,0)),"",INDEX('Compliance Database'!$M$2:$M$679,MATCH(233,Engine!$C$2:$C$679,0)))</f>
        <v/>
      </c>
      <c r="N246" s="8">
        <f>IF(ISNA(MATCH(233,Engine!$C$2:$C$679,0)),"",INDEX('Compliance Database'!$N$2:$N$679,MATCH(233,Engine!$C$2:$C$679,0)))</f>
        <v/>
      </c>
      <c r="O246" s="8">
        <f>IF(ISNA(MATCH(233,Engine!$C$2:$C$679,0)),"",INDEX('Compliance Database'!$O$2:$O$679,MATCH(233,Engine!$C$2:$C$679,0)))</f>
        <v/>
      </c>
      <c r="P246">
        <f>IF(ISNA(MATCH(233,Engine!$C$2:$C$679,0)),"",HYPERLINK(INDEX('Compliance Database'!$P$2:$P$679,MATCH(233,Engine!$C$2:$C$679,0)),"Open PDF"))</f>
        <v/>
      </c>
    </row>
    <row r="247">
      <c r="A247">
        <f>IF(ISNA(MATCH(234,Engine!$C$2:$C$679,0)),"",INDEX('Compliance Database'!$A$2:$A$679,MATCH(234,Engine!$C$2:$C$679,0)))</f>
        <v/>
      </c>
      <c r="B247">
        <f>IF(ISNA(MATCH(234,Engine!$C$2:$C$679,0)),"",INDEX('Compliance Database'!$B$2:$B$679,MATCH(234,Engine!$C$2:$C$679,0)))</f>
        <v/>
      </c>
      <c r="C247">
        <f>IF(ISNA(MATCH(234,Engine!$C$2:$C$679,0)),"",INDEX('Compliance Database'!$C$2:$C$679,MATCH(234,Engine!$C$2:$C$679,0)))</f>
        <v/>
      </c>
      <c r="D247" s="8">
        <f>IF(ISNA(MATCH(234,Engine!$C$2:$C$679,0)),"",INDEX('Compliance Database'!$D$2:$D$679,MATCH(234,Engine!$C$2:$C$679,0)))</f>
        <v/>
      </c>
      <c r="E247">
        <f>IF(ISNA(MATCH(234,Engine!$C$2:$C$679,0)),"",INDEX('Compliance Database'!$E$2:$E$679,MATCH(234,Engine!$C$2:$C$679,0)))</f>
        <v/>
      </c>
      <c r="F247">
        <f>IF(ISNA(MATCH(234,Engine!$C$2:$C$679,0)),"",INDEX('Compliance Database'!$F$2:$F$679,MATCH(234,Engine!$C$2:$C$679,0)))</f>
        <v/>
      </c>
      <c r="G247">
        <f>IF(ISNA(MATCH(234,Engine!$C$2:$C$679,0)),"",INDEX('Compliance Database'!$G$2:$G$679,MATCH(234,Engine!$C$2:$C$679,0)))</f>
        <v/>
      </c>
      <c r="H247">
        <f>IF(ISNA(MATCH(234,Engine!$C$2:$C$679,0)),"",INDEX('Compliance Database'!$H$2:$H$679,MATCH(234,Engine!$C$2:$C$679,0)))</f>
        <v/>
      </c>
      <c r="I247" s="8">
        <f>IF(ISNA(MATCH(234,Engine!$C$2:$C$679,0)),"",INDEX('Compliance Database'!$I$2:$I$679,MATCH(234,Engine!$C$2:$C$679,0)))</f>
        <v/>
      </c>
      <c r="J247" s="8">
        <f>IF(ISNA(MATCH(234,Engine!$C$2:$C$679,0)),"",INDEX('Compliance Database'!$J$2:$J$679,MATCH(234,Engine!$C$2:$C$679,0)))</f>
        <v/>
      </c>
      <c r="K247">
        <f>IF(ISNA(MATCH(234,Engine!$C$2:$C$679,0)),"",INDEX('Compliance Database'!$K$2:$K$679,MATCH(234,Engine!$C$2:$C$679,0)))</f>
        <v/>
      </c>
      <c r="L247" s="8">
        <f>IF(ISNA(MATCH(234,Engine!$C$2:$C$679,0)),"",INDEX('Compliance Database'!$L$2:$L$679,MATCH(234,Engine!$C$2:$C$679,0)))</f>
        <v/>
      </c>
      <c r="M247" s="8">
        <f>IF(ISNA(MATCH(234,Engine!$C$2:$C$679,0)),"",INDEX('Compliance Database'!$M$2:$M$679,MATCH(234,Engine!$C$2:$C$679,0)))</f>
        <v/>
      </c>
      <c r="N247" s="8">
        <f>IF(ISNA(MATCH(234,Engine!$C$2:$C$679,0)),"",INDEX('Compliance Database'!$N$2:$N$679,MATCH(234,Engine!$C$2:$C$679,0)))</f>
        <v/>
      </c>
      <c r="O247" s="8">
        <f>IF(ISNA(MATCH(234,Engine!$C$2:$C$679,0)),"",INDEX('Compliance Database'!$O$2:$O$679,MATCH(234,Engine!$C$2:$C$679,0)))</f>
        <v/>
      </c>
      <c r="P247">
        <f>IF(ISNA(MATCH(234,Engine!$C$2:$C$679,0)),"",HYPERLINK(INDEX('Compliance Database'!$P$2:$P$679,MATCH(234,Engine!$C$2:$C$679,0)),"Open PDF"))</f>
        <v/>
      </c>
    </row>
    <row r="248">
      <c r="A248">
        <f>IF(ISNA(MATCH(235,Engine!$C$2:$C$679,0)),"",INDEX('Compliance Database'!$A$2:$A$679,MATCH(235,Engine!$C$2:$C$679,0)))</f>
        <v/>
      </c>
      <c r="B248">
        <f>IF(ISNA(MATCH(235,Engine!$C$2:$C$679,0)),"",INDEX('Compliance Database'!$B$2:$B$679,MATCH(235,Engine!$C$2:$C$679,0)))</f>
        <v/>
      </c>
      <c r="C248">
        <f>IF(ISNA(MATCH(235,Engine!$C$2:$C$679,0)),"",INDEX('Compliance Database'!$C$2:$C$679,MATCH(235,Engine!$C$2:$C$679,0)))</f>
        <v/>
      </c>
      <c r="D248" s="8">
        <f>IF(ISNA(MATCH(235,Engine!$C$2:$C$679,0)),"",INDEX('Compliance Database'!$D$2:$D$679,MATCH(235,Engine!$C$2:$C$679,0)))</f>
        <v/>
      </c>
      <c r="E248">
        <f>IF(ISNA(MATCH(235,Engine!$C$2:$C$679,0)),"",INDEX('Compliance Database'!$E$2:$E$679,MATCH(235,Engine!$C$2:$C$679,0)))</f>
        <v/>
      </c>
      <c r="F248">
        <f>IF(ISNA(MATCH(235,Engine!$C$2:$C$679,0)),"",INDEX('Compliance Database'!$F$2:$F$679,MATCH(235,Engine!$C$2:$C$679,0)))</f>
        <v/>
      </c>
      <c r="G248">
        <f>IF(ISNA(MATCH(235,Engine!$C$2:$C$679,0)),"",INDEX('Compliance Database'!$G$2:$G$679,MATCH(235,Engine!$C$2:$C$679,0)))</f>
        <v/>
      </c>
      <c r="H248">
        <f>IF(ISNA(MATCH(235,Engine!$C$2:$C$679,0)),"",INDEX('Compliance Database'!$H$2:$H$679,MATCH(235,Engine!$C$2:$C$679,0)))</f>
        <v/>
      </c>
      <c r="I248" s="8">
        <f>IF(ISNA(MATCH(235,Engine!$C$2:$C$679,0)),"",INDEX('Compliance Database'!$I$2:$I$679,MATCH(235,Engine!$C$2:$C$679,0)))</f>
        <v/>
      </c>
      <c r="J248" s="8">
        <f>IF(ISNA(MATCH(235,Engine!$C$2:$C$679,0)),"",INDEX('Compliance Database'!$J$2:$J$679,MATCH(235,Engine!$C$2:$C$679,0)))</f>
        <v/>
      </c>
      <c r="K248">
        <f>IF(ISNA(MATCH(235,Engine!$C$2:$C$679,0)),"",INDEX('Compliance Database'!$K$2:$K$679,MATCH(235,Engine!$C$2:$C$679,0)))</f>
        <v/>
      </c>
      <c r="L248" s="8">
        <f>IF(ISNA(MATCH(235,Engine!$C$2:$C$679,0)),"",INDEX('Compliance Database'!$L$2:$L$679,MATCH(235,Engine!$C$2:$C$679,0)))</f>
        <v/>
      </c>
      <c r="M248" s="8">
        <f>IF(ISNA(MATCH(235,Engine!$C$2:$C$679,0)),"",INDEX('Compliance Database'!$M$2:$M$679,MATCH(235,Engine!$C$2:$C$679,0)))</f>
        <v/>
      </c>
      <c r="N248" s="8">
        <f>IF(ISNA(MATCH(235,Engine!$C$2:$C$679,0)),"",INDEX('Compliance Database'!$N$2:$N$679,MATCH(235,Engine!$C$2:$C$679,0)))</f>
        <v/>
      </c>
      <c r="O248" s="8">
        <f>IF(ISNA(MATCH(235,Engine!$C$2:$C$679,0)),"",INDEX('Compliance Database'!$O$2:$O$679,MATCH(235,Engine!$C$2:$C$679,0)))</f>
        <v/>
      </c>
      <c r="P248">
        <f>IF(ISNA(MATCH(235,Engine!$C$2:$C$679,0)),"",HYPERLINK(INDEX('Compliance Database'!$P$2:$P$679,MATCH(235,Engine!$C$2:$C$679,0)),"Open PDF"))</f>
        <v/>
      </c>
    </row>
    <row r="249">
      <c r="A249">
        <f>IF(ISNA(MATCH(236,Engine!$C$2:$C$679,0)),"",INDEX('Compliance Database'!$A$2:$A$679,MATCH(236,Engine!$C$2:$C$679,0)))</f>
        <v/>
      </c>
      <c r="B249">
        <f>IF(ISNA(MATCH(236,Engine!$C$2:$C$679,0)),"",INDEX('Compliance Database'!$B$2:$B$679,MATCH(236,Engine!$C$2:$C$679,0)))</f>
        <v/>
      </c>
      <c r="C249">
        <f>IF(ISNA(MATCH(236,Engine!$C$2:$C$679,0)),"",INDEX('Compliance Database'!$C$2:$C$679,MATCH(236,Engine!$C$2:$C$679,0)))</f>
        <v/>
      </c>
      <c r="D249" s="8">
        <f>IF(ISNA(MATCH(236,Engine!$C$2:$C$679,0)),"",INDEX('Compliance Database'!$D$2:$D$679,MATCH(236,Engine!$C$2:$C$679,0)))</f>
        <v/>
      </c>
      <c r="E249">
        <f>IF(ISNA(MATCH(236,Engine!$C$2:$C$679,0)),"",INDEX('Compliance Database'!$E$2:$E$679,MATCH(236,Engine!$C$2:$C$679,0)))</f>
        <v/>
      </c>
      <c r="F249">
        <f>IF(ISNA(MATCH(236,Engine!$C$2:$C$679,0)),"",INDEX('Compliance Database'!$F$2:$F$679,MATCH(236,Engine!$C$2:$C$679,0)))</f>
        <v/>
      </c>
      <c r="G249">
        <f>IF(ISNA(MATCH(236,Engine!$C$2:$C$679,0)),"",INDEX('Compliance Database'!$G$2:$G$679,MATCH(236,Engine!$C$2:$C$679,0)))</f>
        <v/>
      </c>
      <c r="H249">
        <f>IF(ISNA(MATCH(236,Engine!$C$2:$C$679,0)),"",INDEX('Compliance Database'!$H$2:$H$679,MATCH(236,Engine!$C$2:$C$679,0)))</f>
        <v/>
      </c>
      <c r="I249" s="8">
        <f>IF(ISNA(MATCH(236,Engine!$C$2:$C$679,0)),"",INDEX('Compliance Database'!$I$2:$I$679,MATCH(236,Engine!$C$2:$C$679,0)))</f>
        <v/>
      </c>
      <c r="J249" s="8">
        <f>IF(ISNA(MATCH(236,Engine!$C$2:$C$679,0)),"",INDEX('Compliance Database'!$J$2:$J$679,MATCH(236,Engine!$C$2:$C$679,0)))</f>
        <v/>
      </c>
      <c r="K249">
        <f>IF(ISNA(MATCH(236,Engine!$C$2:$C$679,0)),"",INDEX('Compliance Database'!$K$2:$K$679,MATCH(236,Engine!$C$2:$C$679,0)))</f>
        <v/>
      </c>
      <c r="L249" s="8">
        <f>IF(ISNA(MATCH(236,Engine!$C$2:$C$679,0)),"",INDEX('Compliance Database'!$L$2:$L$679,MATCH(236,Engine!$C$2:$C$679,0)))</f>
        <v/>
      </c>
      <c r="M249" s="8">
        <f>IF(ISNA(MATCH(236,Engine!$C$2:$C$679,0)),"",INDEX('Compliance Database'!$M$2:$M$679,MATCH(236,Engine!$C$2:$C$679,0)))</f>
        <v/>
      </c>
      <c r="N249" s="8">
        <f>IF(ISNA(MATCH(236,Engine!$C$2:$C$679,0)),"",INDEX('Compliance Database'!$N$2:$N$679,MATCH(236,Engine!$C$2:$C$679,0)))</f>
        <v/>
      </c>
      <c r="O249" s="8">
        <f>IF(ISNA(MATCH(236,Engine!$C$2:$C$679,0)),"",INDEX('Compliance Database'!$O$2:$O$679,MATCH(236,Engine!$C$2:$C$679,0)))</f>
        <v/>
      </c>
      <c r="P249">
        <f>IF(ISNA(MATCH(236,Engine!$C$2:$C$679,0)),"",HYPERLINK(INDEX('Compliance Database'!$P$2:$P$679,MATCH(236,Engine!$C$2:$C$679,0)),"Open PDF"))</f>
        <v/>
      </c>
    </row>
    <row r="250">
      <c r="A250">
        <f>IF(ISNA(MATCH(237,Engine!$C$2:$C$679,0)),"",INDEX('Compliance Database'!$A$2:$A$679,MATCH(237,Engine!$C$2:$C$679,0)))</f>
        <v/>
      </c>
      <c r="B250">
        <f>IF(ISNA(MATCH(237,Engine!$C$2:$C$679,0)),"",INDEX('Compliance Database'!$B$2:$B$679,MATCH(237,Engine!$C$2:$C$679,0)))</f>
        <v/>
      </c>
      <c r="C250">
        <f>IF(ISNA(MATCH(237,Engine!$C$2:$C$679,0)),"",INDEX('Compliance Database'!$C$2:$C$679,MATCH(237,Engine!$C$2:$C$679,0)))</f>
        <v/>
      </c>
      <c r="D250" s="8">
        <f>IF(ISNA(MATCH(237,Engine!$C$2:$C$679,0)),"",INDEX('Compliance Database'!$D$2:$D$679,MATCH(237,Engine!$C$2:$C$679,0)))</f>
        <v/>
      </c>
      <c r="E250">
        <f>IF(ISNA(MATCH(237,Engine!$C$2:$C$679,0)),"",INDEX('Compliance Database'!$E$2:$E$679,MATCH(237,Engine!$C$2:$C$679,0)))</f>
        <v/>
      </c>
      <c r="F250">
        <f>IF(ISNA(MATCH(237,Engine!$C$2:$C$679,0)),"",INDEX('Compliance Database'!$F$2:$F$679,MATCH(237,Engine!$C$2:$C$679,0)))</f>
        <v/>
      </c>
      <c r="G250">
        <f>IF(ISNA(MATCH(237,Engine!$C$2:$C$679,0)),"",INDEX('Compliance Database'!$G$2:$G$679,MATCH(237,Engine!$C$2:$C$679,0)))</f>
        <v/>
      </c>
      <c r="H250">
        <f>IF(ISNA(MATCH(237,Engine!$C$2:$C$679,0)),"",INDEX('Compliance Database'!$H$2:$H$679,MATCH(237,Engine!$C$2:$C$679,0)))</f>
        <v/>
      </c>
      <c r="I250" s="8">
        <f>IF(ISNA(MATCH(237,Engine!$C$2:$C$679,0)),"",INDEX('Compliance Database'!$I$2:$I$679,MATCH(237,Engine!$C$2:$C$679,0)))</f>
        <v/>
      </c>
      <c r="J250" s="8">
        <f>IF(ISNA(MATCH(237,Engine!$C$2:$C$679,0)),"",INDEX('Compliance Database'!$J$2:$J$679,MATCH(237,Engine!$C$2:$C$679,0)))</f>
        <v/>
      </c>
      <c r="K250">
        <f>IF(ISNA(MATCH(237,Engine!$C$2:$C$679,0)),"",INDEX('Compliance Database'!$K$2:$K$679,MATCH(237,Engine!$C$2:$C$679,0)))</f>
        <v/>
      </c>
      <c r="L250" s="8">
        <f>IF(ISNA(MATCH(237,Engine!$C$2:$C$679,0)),"",INDEX('Compliance Database'!$L$2:$L$679,MATCH(237,Engine!$C$2:$C$679,0)))</f>
        <v/>
      </c>
      <c r="M250" s="8">
        <f>IF(ISNA(MATCH(237,Engine!$C$2:$C$679,0)),"",INDEX('Compliance Database'!$M$2:$M$679,MATCH(237,Engine!$C$2:$C$679,0)))</f>
        <v/>
      </c>
      <c r="N250" s="8">
        <f>IF(ISNA(MATCH(237,Engine!$C$2:$C$679,0)),"",INDEX('Compliance Database'!$N$2:$N$679,MATCH(237,Engine!$C$2:$C$679,0)))</f>
        <v/>
      </c>
      <c r="O250" s="8">
        <f>IF(ISNA(MATCH(237,Engine!$C$2:$C$679,0)),"",INDEX('Compliance Database'!$O$2:$O$679,MATCH(237,Engine!$C$2:$C$679,0)))</f>
        <v/>
      </c>
      <c r="P250">
        <f>IF(ISNA(MATCH(237,Engine!$C$2:$C$679,0)),"",HYPERLINK(INDEX('Compliance Database'!$P$2:$P$679,MATCH(237,Engine!$C$2:$C$679,0)),"Open PDF"))</f>
        <v/>
      </c>
    </row>
    <row r="251">
      <c r="A251">
        <f>IF(ISNA(MATCH(238,Engine!$C$2:$C$679,0)),"",INDEX('Compliance Database'!$A$2:$A$679,MATCH(238,Engine!$C$2:$C$679,0)))</f>
        <v/>
      </c>
      <c r="B251">
        <f>IF(ISNA(MATCH(238,Engine!$C$2:$C$679,0)),"",INDEX('Compliance Database'!$B$2:$B$679,MATCH(238,Engine!$C$2:$C$679,0)))</f>
        <v/>
      </c>
      <c r="C251">
        <f>IF(ISNA(MATCH(238,Engine!$C$2:$C$679,0)),"",INDEX('Compliance Database'!$C$2:$C$679,MATCH(238,Engine!$C$2:$C$679,0)))</f>
        <v/>
      </c>
      <c r="D251" s="8">
        <f>IF(ISNA(MATCH(238,Engine!$C$2:$C$679,0)),"",INDEX('Compliance Database'!$D$2:$D$679,MATCH(238,Engine!$C$2:$C$679,0)))</f>
        <v/>
      </c>
      <c r="E251">
        <f>IF(ISNA(MATCH(238,Engine!$C$2:$C$679,0)),"",INDEX('Compliance Database'!$E$2:$E$679,MATCH(238,Engine!$C$2:$C$679,0)))</f>
        <v/>
      </c>
      <c r="F251">
        <f>IF(ISNA(MATCH(238,Engine!$C$2:$C$679,0)),"",INDEX('Compliance Database'!$F$2:$F$679,MATCH(238,Engine!$C$2:$C$679,0)))</f>
        <v/>
      </c>
      <c r="G251">
        <f>IF(ISNA(MATCH(238,Engine!$C$2:$C$679,0)),"",INDEX('Compliance Database'!$G$2:$G$679,MATCH(238,Engine!$C$2:$C$679,0)))</f>
        <v/>
      </c>
      <c r="H251">
        <f>IF(ISNA(MATCH(238,Engine!$C$2:$C$679,0)),"",INDEX('Compliance Database'!$H$2:$H$679,MATCH(238,Engine!$C$2:$C$679,0)))</f>
        <v/>
      </c>
      <c r="I251" s="8">
        <f>IF(ISNA(MATCH(238,Engine!$C$2:$C$679,0)),"",INDEX('Compliance Database'!$I$2:$I$679,MATCH(238,Engine!$C$2:$C$679,0)))</f>
        <v/>
      </c>
      <c r="J251" s="8">
        <f>IF(ISNA(MATCH(238,Engine!$C$2:$C$679,0)),"",INDEX('Compliance Database'!$J$2:$J$679,MATCH(238,Engine!$C$2:$C$679,0)))</f>
        <v/>
      </c>
      <c r="K251">
        <f>IF(ISNA(MATCH(238,Engine!$C$2:$C$679,0)),"",INDEX('Compliance Database'!$K$2:$K$679,MATCH(238,Engine!$C$2:$C$679,0)))</f>
        <v/>
      </c>
      <c r="L251" s="8">
        <f>IF(ISNA(MATCH(238,Engine!$C$2:$C$679,0)),"",INDEX('Compliance Database'!$L$2:$L$679,MATCH(238,Engine!$C$2:$C$679,0)))</f>
        <v/>
      </c>
      <c r="M251" s="8">
        <f>IF(ISNA(MATCH(238,Engine!$C$2:$C$679,0)),"",INDEX('Compliance Database'!$M$2:$M$679,MATCH(238,Engine!$C$2:$C$679,0)))</f>
        <v/>
      </c>
      <c r="N251" s="8">
        <f>IF(ISNA(MATCH(238,Engine!$C$2:$C$679,0)),"",INDEX('Compliance Database'!$N$2:$N$679,MATCH(238,Engine!$C$2:$C$679,0)))</f>
        <v/>
      </c>
      <c r="O251" s="8">
        <f>IF(ISNA(MATCH(238,Engine!$C$2:$C$679,0)),"",INDEX('Compliance Database'!$O$2:$O$679,MATCH(238,Engine!$C$2:$C$679,0)))</f>
        <v/>
      </c>
      <c r="P251">
        <f>IF(ISNA(MATCH(238,Engine!$C$2:$C$679,0)),"",HYPERLINK(INDEX('Compliance Database'!$P$2:$P$679,MATCH(238,Engine!$C$2:$C$679,0)),"Open PDF"))</f>
        <v/>
      </c>
    </row>
    <row r="252">
      <c r="A252">
        <f>IF(ISNA(MATCH(239,Engine!$C$2:$C$679,0)),"",INDEX('Compliance Database'!$A$2:$A$679,MATCH(239,Engine!$C$2:$C$679,0)))</f>
        <v/>
      </c>
      <c r="B252">
        <f>IF(ISNA(MATCH(239,Engine!$C$2:$C$679,0)),"",INDEX('Compliance Database'!$B$2:$B$679,MATCH(239,Engine!$C$2:$C$679,0)))</f>
        <v/>
      </c>
      <c r="C252">
        <f>IF(ISNA(MATCH(239,Engine!$C$2:$C$679,0)),"",INDEX('Compliance Database'!$C$2:$C$679,MATCH(239,Engine!$C$2:$C$679,0)))</f>
        <v/>
      </c>
      <c r="D252" s="8">
        <f>IF(ISNA(MATCH(239,Engine!$C$2:$C$679,0)),"",INDEX('Compliance Database'!$D$2:$D$679,MATCH(239,Engine!$C$2:$C$679,0)))</f>
        <v/>
      </c>
      <c r="E252">
        <f>IF(ISNA(MATCH(239,Engine!$C$2:$C$679,0)),"",INDEX('Compliance Database'!$E$2:$E$679,MATCH(239,Engine!$C$2:$C$679,0)))</f>
        <v/>
      </c>
      <c r="F252">
        <f>IF(ISNA(MATCH(239,Engine!$C$2:$C$679,0)),"",INDEX('Compliance Database'!$F$2:$F$679,MATCH(239,Engine!$C$2:$C$679,0)))</f>
        <v/>
      </c>
      <c r="G252">
        <f>IF(ISNA(MATCH(239,Engine!$C$2:$C$679,0)),"",INDEX('Compliance Database'!$G$2:$G$679,MATCH(239,Engine!$C$2:$C$679,0)))</f>
        <v/>
      </c>
      <c r="H252">
        <f>IF(ISNA(MATCH(239,Engine!$C$2:$C$679,0)),"",INDEX('Compliance Database'!$H$2:$H$679,MATCH(239,Engine!$C$2:$C$679,0)))</f>
        <v/>
      </c>
      <c r="I252" s="8">
        <f>IF(ISNA(MATCH(239,Engine!$C$2:$C$679,0)),"",INDEX('Compliance Database'!$I$2:$I$679,MATCH(239,Engine!$C$2:$C$679,0)))</f>
        <v/>
      </c>
      <c r="J252" s="8">
        <f>IF(ISNA(MATCH(239,Engine!$C$2:$C$679,0)),"",INDEX('Compliance Database'!$J$2:$J$679,MATCH(239,Engine!$C$2:$C$679,0)))</f>
        <v/>
      </c>
      <c r="K252">
        <f>IF(ISNA(MATCH(239,Engine!$C$2:$C$679,0)),"",INDEX('Compliance Database'!$K$2:$K$679,MATCH(239,Engine!$C$2:$C$679,0)))</f>
        <v/>
      </c>
      <c r="L252" s="8">
        <f>IF(ISNA(MATCH(239,Engine!$C$2:$C$679,0)),"",INDEX('Compliance Database'!$L$2:$L$679,MATCH(239,Engine!$C$2:$C$679,0)))</f>
        <v/>
      </c>
      <c r="M252" s="8">
        <f>IF(ISNA(MATCH(239,Engine!$C$2:$C$679,0)),"",INDEX('Compliance Database'!$M$2:$M$679,MATCH(239,Engine!$C$2:$C$679,0)))</f>
        <v/>
      </c>
      <c r="N252" s="8">
        <f>IF(ISNA(MATCH(239,Engine!$C$2:$C$679,0)),"",INDEX('Compliance Database'!$N$2:$N$679,MATCH(239,Engine!$C$2:$C$679,0)))</f>
        <v/>
      </c>
      <c r="O252" s="8">
        <f>IF(ISNA(MATCH(239,Engine!$C$2:$C$679,0)),"",INDEX('Compliance Database'!$O$2:$O$679,MATCH(239,Engine!$C$2:$C$679,0)))</f>
        <v/>
      </c>
      <c r="P252">
        <f>IF(ISNA(MATCH(239,Engine!$C$2:$C$679,0)),"",HYPERLINK(INDEX('Compliance Database'!$P$2:$P$679,MATCH(239,Engine!$C$2:$C$679,0)),"Open PDF"))</f>
        <v/>
      </c>
    </row>
    <row r="253">
      <c r="A253">
        <f>IF(ISNA(MATCH(240,Engine!$C$2:$C$679,0)),"",INDEX('Compliance Database'!$A$2:$A$679,MATCH(240,Engine!$C$2:$C$679,0)))</f>
        <v/>
      </c>
      <c r="B253">
        <f>IF(ISNA(MATCH(240,Engine!$C$2:$C$679,0)),"",INDEX('Compliance Database'!$B$2:$B$679,MATCH(240,Engine!$C$2:$C$679,0)))</f>
        <v/>
      </c>
      <c r="C253">
        <f>IF(ISNA(MATCH(240,Engine!$C$2:$C$679,0)),"",INDEX('Compliance Database'!$C$2:$C$679,MATCH(240,Engine!$C$2:$C$679,0)))</f>
        <v/>
      </c>
      <c r="D253" s="8">
        <f>IF(ISNA(MATCH(240,Engine!$C$2:$C$679,0)),"",INDEX('Compliance Database'!$D$2:$D$679,MATCH(240,Engine!$C$2:$C$679,0)))</f>
        <v/>
      </c>
      <c r="E253">
        <f>IF(ISNA(MATCH(240,Engine!$C$2:$C$679,0)),"",INDEX('Compliance Database'!$E$2:$E$679,MATCH(240,Engine!$C$2:$C$679,0)))</f>
        <v/>
      </c>
      <c r="F253">
        <f>IF(ISNA(MATCH(240,Engine!$C$2:$C$679,0)),"",INDEX('Compliance Database'!$F$2:$F$679,MATCH(240,Engine!$C$2:$C$679,0)))</f>
        <v/>
      </c>
      <c r="G253">
        <f>IF(ISNA(MATCH(240,Engine!$C$2:$C$679,0)),"",INDEX('Compliance Database'!$G$2:$G$679,MATCH(240,Engine!$C$2:$C$679,0)))</f>
        <v/>
      </c>
      <c r="H253">
        <f>IF(ISNA(MATCH(240,Engine!$C$2:$C$679,0)),"",INDEX('Compliance Database'!$H$2:$H$679,MATCH(240,Engine!$C$2:$C$679,0)))</f>
        <v/>
      </c>
      <c r="I253" s="8">
        <f>IF(ISNA(MATCH(240,Engine!$C$2:$C$679,0)),"",INDEX('Compliance Database'!$I$2:$I$679,MATCH(240,Engine!$C$2:$C$679,0)))</f>
        <v/>
      </c>
      <c r="J253" s="8">
        <f>IF(ISNA(MATCH(240,Engine!$C$2:$C$679,0)),"",INDEX('Compliance Database'!$J$2:$J$679,MATCH(240,Engine!$C$2:$C$679,0)))</f>
        <v/>
      </c>
      <c r="K253">
        <f>IF(ISNA(MATCH(240,Engine!$C$2:$C$679,0)),"",INDEX('Compliance Database'!$K$2:$K$679,MATCH(240,Engine!$C$2:$C$679,0)))</f>
        <v/>
      </c>
      <c r="L253" s="8">
        <f>IF(ISNA(MATCH(240,Engine!$C$2:$C$679,0)),"",INDEX('Compliance Database'!$L$2:$L$679,MATCH(240,Engine!$C$2:$C$679,0)))</f>
        <v/>
      </c>
      <c r="M253" s="8">
        <f>IF(ISNA(MATCH(240,Engine!$C$2:$C$679,0)),"",INDEX('Compliance Database'!$M$2:$M$679,MATCH(240,Engine!$C$2:$C$679,0)))</f>
        <v/>
      </c>
      <c r="N253" s="8">
        <f>IF(ISNA(MATCH(240,Engine!$C$2:$C$679,0)),"",INDEX('Compliance Database'!$N$2:$N$679,MATCH(240,Engine!$C$2:$C$679,0)))</f>
        <v/>
      </c>
      <c r="O253" s="8">
        <f>IF(ISNA(MATCH(240,Engine!$C$2:$C$679,0)),"",INDEX('Compliance Database'!$O$2:$O$679,MATCH(240,Engine!$C$2:$C$679,0)))</f>
        <v/>
      </c>
      <c r="P253">
        <f>IF(ISNA(MATCH(240,Engine!$C$2:$C$679,0)),"",HYPERLINK(INDEX('Compliance Database'!$P$2:$P$679,MATCH(240,Engine!$C$2:$C$679,0)),"Open PDF"))</f>
        <v/>
      </c>
    </row>
    <row r="254">
      <c r="A254">
        <f>IF(ISNA(MATCH(241,Engine!$C$2:$C$679,0)),"",INDEX('Compliance Database'!$A$2:$A$679,MATCH(241,Engine!$C$2:$C$679,0)))</f>
        <v/>
      </c>
      <c r="B254">
        <f>IF(ISNA(MATCH(241,Engine!$C$2:$C$679,0)),"",INDEX('Compliance Database'!$B$2:$B$679,MATCH(241,Engine!$C$2:$C$679,0)))</f>
        <v/>
      </c>
      <c r="C254">
        <f>IF(ISNA(MATCH(241,Engine!$C$2:$C$679,0)),"",INDEX('Compliance Database'!$C$2:$C$679,MATCH(241,Engine!$C$2:$C$679,0)))</f>
        <v/>
      </c>
      <c r="D254" s="8">
        <f>IF(ISNA(MATCH(241,Engine!$C$2:$C$679,0)),"",INDEX('Compliance Database'!$D$2:$D$679,MATCH(241,Engine!$C$2:$C$679,0)))</f>
        <v/>
      </c>
      <c r="E254">
        <f>IF(ISNA(MATCH(241,Engine!$C$2:$C$679,0)),"",INDEX('Compliance Database'!$E$2:$E$679,MATCH(241,Engine!$C$2:$C$679,0)))</f>
        <v/>
      </c>
      <c r="F254">
        <f>IF(ISNA(MATCH(241,Engine!$C$2:$C$679,0)),"",INDEX('Compliance Database'!$F$2:$F$679,MATCH(241,Engine!$C$2:$C$679,0)))</f>
        <v/>
      </c>
      <c r="G254">
        <f>IF(ISNA(MATCH(241,Engine!$C$2:$C$679,0)),"",INDEX('Compliance Database'!$G$2:$G$679,MATCH(241,Engine!$C$2:$C$679,0)))</f>
        <v/>
      </c>
      <c r="H254">
        <f>IF(ISNA(MATCH(241,Engine!$C$2:$C$679,0)),"",INDEX('Compliance Database'!$H$2:$H$679,MATCH(241,Engine!$C$2:$C$679,0)))</f>
        <v/>
      </c>
      <c r="I254" s="8">
        <f>IF(ISNA(MATCH(241,Engine!$C$2:$C$679,0)),"",INDEX('Compliance Database'!$I$2:$I$679,MATCH(241,Engine!$C$2:$C$679,0)))</f>
        <v/>
      </c>
      <c r="J254" s="8">
        <f>IF(ISNA(MATCH(241,Engine!$C$2:$C$679,0)),"",INDEX('Compliance Database'!$J$2:$J$679,MATCH(241,Engine!$C$2:$C$679,0)))</f>
        <v/>
      </c>
      <c r="K254">
        <f>IF(ISNA(MATCH(241,Engine!$C$2:$C$679,0)),"",INDEX('Compliance Database'!$K$2:$K$679,MATCH(241,Engine!$C$2:$C$679,0)))</f>
        <v/>
      </c>
      <c r="L254" s="8">
        <f>IF(ISNA(MATCH(241,Engine!$C$2:$C$679,0)),"",INDEX('Compliance Database'!$L$2:$L$679,MATCH(241,Engine!$C$2:$C$679,0)))</f>
        <v/>
      </c>
      <c r="M254" s="8">
        <f>IF(ISNA(MATCH(241,Engine!$C$2:$C$679,0)),"",INDEX('Compliance Database'!$M$2:$M$679,MATCH(241,Engine!$C$2:$C$679,0)))</f>
        <v/>
      </c>
      <c r="N254" s="8">
        <f>IF(ISNA(MATCH(241,Engine!$C$2:$C$679,0)),"",INDEX('Compliance Database'!$N$2:$N$679,MATCH(241,Engine!$C$2:$C$679,0)))</f>
        <v/>
      </c>
      <c r="O254" s="8">
        <f>IF(ISNA(MATCH(241,Engine!$C$2:$C$679,0)),"",INDEX('Compliance Database'!$O$2:$O$679,MATCH(241,Engine!$C$2:$C$679,0)))</f>
        <v/>
      </c>
      <c r="P254">
        <f>IF(ISNA(MATCH(241,Engine!$C$2:$C$679,0)),"",HYPERLINK(INDEX('Compliance Database'!$P$2:$P$679,MATCH(241,Engine!$C$2:$C$679,0)),"Open PDF"))</f>
        <v/>
      </c>
    </row>
    <row r="255">
      <c r="A255">
        <f>IF(ISNA(MATCH(242,Engine!$C$2:$C$679,0)),"",INDEX('Compliance Database'!$A$2:$A$679,MATCH(242,Engine!$C$2:$C$679,0)))</f>
        <v/>
      </c>
      <c r="B255">
        <f>IF(ISNA(MATCH(242,Engine!$C$2:$C$679,0)),"",INDEX('Compliance Database'!$B$2:$B$679,MATCH(242,Engine!$C$2:$C$679,0)))</f>
        <v/>
      </c>
      <c r="C255">
        <f>IF(ISNA(MATCH(242,Engine!$C$2:$C$679,0)),"",INDEX('Compliance Database'!$C$2:$C$679,MATCH(242,Engine!$C$2:$C$679,0)))</f>
        <v/>
      </c>
      <c r="D255" s="8">
        <f>IF(ISNA(MATCH(242,Engine!$C$2:$C$679,0)),"",INDEX('Compliance Database'!$D$2:$D$679,MATCH(242,Engine!$C$2:$C$679,0)))</f>
        <v/>
      </c>
      <c r="E255">
        <f>IF(ISNA(MATCH(242,Engine!$C$2:$C$679,0)),"",INDEX('Compliance Database'!$E$2:$E$679,MATCH(242,Engine!$C$2:$C$679,0)))</f>
        <v/>
      </c>
      <c r="F255">
        <f>IF(ISNA(MATCH(242,Engine!$C$2:$C$679,0)),"",INDEX('Compliance Database'!$F$2:$F$679,MATCH(242,Engine!$C$2:$C$679,0)))</f>
        <v/>
      </c>
      <c r="G255">
        <f>IF(ISNA(MATCH(242,Engine!$C$2:$C$679,0)),"",INDEX('Compliance Database'!$G$2:$G$679,MATCH(242,Engine!$C$2:$C$679,0)))</f>
        <v/>
      </c>
      <c r="H255">
        <f>IF(ISNA(MATCH(242,Engine!$C$2:$C$679,0)),"",INDEX('Compliance Database'!$H$2:$H$679,MATCH(242,Engine!$C$2:$C$679,0)))</f>
        <v/>
      </c>
      <c r="I255" s="8">
        <f>IF(ISNA(MATCH(242,Engine!$C$2:$C$679,0)),"",INDEX('Compliance Database'!$I$2:$I$679,MATCH(242,Engine!$C$2:$C$679,0)))</f>
        <v/>
      </c>
      <c r="J255" s="8">
        <f>IF(ISNA(MATCH(242,Engine!$C$2:$C$679,0)),"",INDEX('Compliance Database'!$J$2:$J$679,MATCH(242,Engine!$C$2:$C$679,0)))</f>
        <v/>
      </c>
      <c r="K255">
        <f>IF(ISNA(MATCH(242,Engine!$C$2:$C$679,0)),"",INDEX('Compliance Database'!$K$2:$K$679,MATCH(242,Engine!$C$2:$C$679,0)))</f>
        <v/>
      </c>
      <c r="L255" s="8">
        <f>IF(ISNA(MATCH(242,Engine!$C$2:$C$679,0)),"",INDEX('Compliance Database'!$L$2:$L$679,MATCH(242,Engine!$C$2:$C$679,0)))</f>
        <v/>
      </c>
      <c r="M255" s="8">
        <f>IF(ISNA(MATCH(242,Engine!$C$2:$C$679,0)),"",INDEX('Compliance Database'!$M$2:$M$679,MATCH(242,Engine!$C$2:$C$679,0)))</f>
        <v/>
      </c>
      <c r="N255" s="8">
        <f>IF(ISNA(MATCH(242,Engine!$C$2:$C$679,0)),"",INDEX('Compliance Database'!$N$2:$N$679,MATCH(242,Engine!$C$2:$C$679,0)))</f>
        <v/>
      </c>
      <c r="O255" s="8">
        <f>IF(ISNA(MATCH(242,Engine!$C$2:$C$679,0)),"",INDEX('Compliance Database'!$O$2:$O$679,MATCH(242,Engine!$C$2:$C$679,0)))</f>
        <v/>
      </c>
      <c r="P255">
        <f>IF(ISNA(MATCH(242,Engine!$C$2:$C$679,0)),"",HYPERLINK(INDEX('Compliance Database'!$P$2:$P$679,MATCH(242,Engine!$C$2:$C$679,0)),"Open PDF"))</f>
        <v/>
      </c>
    </row>
    <row r="256">
      <c r="A256">
        <f>IF(ISNA(MATCH(243,Engine!$C$2:$C$679,0)),"",INDEX('Compliance Database'!$A$2:$A$679,MATCH(243,Engine!$C$2:$C$679,0)))</f>
        <v/>
      </c>
      <c r="B256">
        <f>IF(ISNA(MATCH(243,Engine!$C$2:$C$679,0)),"",INDEX('Compliance Database'!$B$2:$B$679,MATCH(243,Engine!$C$2:$C$679,0)))</f>
        <v/>
      </c>
      <c r="C256">
        <f>IF(ISNA(MATCH(243,Engine!$C$2:$C$679,0)),"",INDEX('Compliance Database'!$C$2:$C$679,MATCH(243,Engine!$C$2:$C$679,0)))</f>
        <v/>
      </c>
      <c r="D256" s="8">
        <f>IF(ISNA(MATCH(243,Engine!$C$2:$C$679,0)),"",INDEX('Compliance Database'!$D$2:$D$679,MATCH(243,Engine!$C$2:$C$679,0)))</f>
        <v/>
      </c>
      <c r="E256">
        <f>IF(ISNA(MATCH(243,Engine!$C$2:$C$679,0)),"",INDEX('Compliance Database'!$E$2:$E$679,MATCH(243,Engine!$C$2:$C$679,0)))</f>
        <v/>
      </c>
      <c r="F256">
        <f>IF(ISNA(MATCH(243,Engine!$C$2:$C$679,0)),"",INDEX('Compliance Database'!$F$2:$F$679,MATCH(243,Engine!$C$2:$C$679,0)))</f>
        <v/>
      </c>
      <c r="G256">
        <f>IF(ISNA(MATCH(243,Engine!$C$2:$C$679,0)),"",INDEX('Compliance Database'!$G$2:$G$679,MATCH(243,Engine!$C$2:$C$679,0)))</f>
        <v/>
      </c>
      <c r="H256">
        <f>IF(ISNA(MATCH(243,Engine!$C$2:$C$679,0)),"",INDEX('Compliance Database'!$H$2:$H$679,MATCH(243,Engine!$C$2:$C$679,0)))</f>
        <v/>
      </c>
      <c r="I256" s="8">
        <f>IF(ISNA(MATCH(243,Engine!$C$2:$C$679,0)),"",INDEX('Compliance Database'!$I$2:$I$679,MATCH(243,Engine!$C$2:$C$679,0)))</f>
        <v/>
      </c>
      <c r="J256" s="8">
        <f>IF(ISNA(MATCH(243,Engine!$C$2:$C$679,0)),"",INDEX('Compliance Database'!$J$2:$J$679,MATCH(243,Engine!$C$2:$C$679,0)))</f>
        <v/>
      </c>
      <c r="K256">
        <f>IF(ISNA(MATCH(243,Engine!$C$2:$C$679,0)),"",INDEX('Compliance Database'!$K$2:$K$679,MATCH(243,Engine!$C$2:$C$679,0)))</f>
        <v/>
      </c>
      <c r="L256" s="8">
        <f>IF(ISNA(MATCH(243,Engine!$C$2:$C$679,0)),"",INDEX('Compliance Database'!$L$2:$L$679,MATCH(243,Engine!$C$2:$C$679,0)))</f>
        <v/>
      </c>
      <c r="M256" s="8">
        <f>IF(ISNA(MATCH(243,Engine!$C$2:$C$679,0)),"",INDEX('Compliance Database'!$M$2:$M$679,MATCH(243,Engine!$C$2:$C$679,0)))</f>
        <v/>
      </c>
      <c r="N256" s="8">
        <f>IF(ISNA(MATCH(243,Engine!$C$2:$C$679,0)),"",INDEX('Compliance Database'!$N$2:$N$679,MATCH(243,Engine!$C$2:$C$679,0)))</f>
        <v/>
      </c>
      <c r="O256" s="8">
        <f>IF(ISNA(MATCH(243,Engine!$C$2:$C$679,0)),"",INDEX('Compliance Database'!$O$2:$O$679,MATCH(243,Engine!$C$2:$C$679,0)))</f>
        <v/>
      </c>
      <c r="P256">
        <f>IF(ISNA(MATCH(243,Engine!$C$2:$C$679,0)),"",HYPERLINK(INDEX('Compliance Database'!$P$2:$P$679,MATCH(243,Engine!$C$2:$C$679,0)),"Open PDF"))</f>
        <v/>
      </c>
    </row>
    <row r="257">
      <c r="A257">
        <f>IF(ISNA(MATCH(244,Engine!$C$2:$C$679,0)),"",INDEX('Compliance Database'!$A$2:$A$679,MATCH(244,Engine!$C$2:$C$679,0)))</f>
        <v/>
      </c>
      <c r="B257">
        <f>IF(ISNA(MATCH(244,Engine!$C$2:$C$679,0)),"",INDEX('Compliance Database'!$B$2:$B$679,MATCH(244,Engine!$C$2:$C$679,0)))</f>
        <v/>
      </c>
      <c r="C257">
        <f>IF(ISNA(MATCH(244,Engine!$C$2:$C$679,0)),"",INDEX('Compliance Database'!$C$2:$C$679,MATCH(244,Engine!$C$2:$C$679,0)))</f>
        <v/>
      </c>
      <c r="D257" s="8">
        <f>IF(ISNA(MATCH(244,Engine!$C$2:$C$679,0)),"",INDEX('Compliance Database'!$D$2:$D$679,MATCH(244,Engine!$C$2:$C$679,0)))</f>
        <v/>
      </c>
      <c r="E257">
        <f>IF(ISNA(MATCH(244,Engine!$C$2:$C$679,0)),"",INDEX('Compliance Database'!$E$2:$E$679,MATCH(244,Engine!$C$2:$C$679,0)))</f>
        <v/>
      </c>
      <c r="F257">
        <f>IF(ISNA(MATCH(244,Engine!$C$2:$C$679,0)),"",INDEX('Compliance Database'!$F$2:$F$679,MATCH(244,Engine!$C$2:$C$679,0)))</f>
        <v/>
      </c>
      <c r="G257">
        <f>IF(ISNA(MATCH(244,Engine!$C$2:$C$679,0)),"",INDEX('Compliance Database'!$G$2:$G$679,MATCH(244,Engine!$C$2:$C$679,0)))</f>
        <v/>
      </c>
      <c r="H257">
        <f>IF(ISNA(MATCH(244,Engine!$C$2:$C$679,0)),"",INDEX('Compliance Database'!$H$2:$H$679,MATCH(244,Engine!$C$2:$C$679,0)))</f>
        <v/>
      </c>
      <c r="I257" s="8">
        <f>IF(ISNA(MATCH(244,Engine!$C$2:$C$679,0)),"",INDEX('Compliance Database'!$I$2:$I$679,MATCH(244,Engine!$C$2:$C$679,0)))</f>
        <v/>
      </c>
      <c r="J257" s="8">
        <f>IF(ISNA(MATCH(244,Engine!$C$2:$C$679,0)),"",INDEX('Compliance Database'!$J$2:$J$679,MATCH(244,Engine!$C$2:$C$679,0)))</f>
        <v/>
      </c>
      <c r="K257">
        <f>IF(ISNA(MATCH(244,Engine!$C$2:$C$679,0)),"",INDEX('Compliance Database'!$K$2:$K$679,MATCH(244,Engine!$C$2:$C$679,0)))</f>
        <v/>
      </c>
      <c r="L257" s="8">
        <f>IF(ISNA(MATCH(244,Engine!$C$2:$C$679,0)),"",INDEX('Compliance Database'!$L$2:$L$679,MATCH(244,Engine!$C$2:$C$679,0)))</f>
        <v/>
      </c>
      <c r="M257" s="8">
        <f>IF(ISNA(MATCH(244,Engine!$C$2:$C$679,0)),"",INDEX('Compliance Database'!$M$2:$M$679,MATCH(244,Engine!$C$2:$C$679,0)))</f>
        <v/>
      </c>
      <c r="N257" s="8">
        <f>IF(ISNA(MATCH(244,Engine!$C$2:$C$679,0)),"",INDEX('Compliance Database'!$N$2:$N$679,MATCH(244,Engine!$C$2:$C$679,0)))</f>
        <v/>
      </c>
      <c r="O257" s="8">
        <f>IF(ISNA(MATCH(244,Engine!$C$2:$C$679,0)),"",INDEX('Compliance Database'!$O$2:$O$679,MATCH(244,Engine!$C$2:$C$679,0)))</f>
        <v/>
      </c>
      <c r="P257">
        <f>IF(ISNA(MATCH(244,Engine!$C$2:$C$679,0)),"",HYPERLINK(INDEX('Compliance Database'!$P$2:$P$679,MATCH(244,Engine!$C$2:$C$679,0)),"Open PDF"))</f>
        <v/>
      </c>
    </row>
    <row r="258">
      <c r="A258">
        <f>IF(ISNA(MATCH(245,Engine!$C$2:$C$679,0)),"",INDEX('Compliance Database'!$A$2:$A$679,MATCH(245,Engine!$C$2:$C$679,0)))</f>
        <v/>
      </c>
      <c r="B258">
        <f>IF(ISNA(MATCH(245,Engine!$C$2:$C$679,0)),"",INDEX('Compliance Database'!$B$2:$B$679,MATCH(245,Engine!$C$2:$C$679,0)))</f>
        <v/>
      </c>
      <c r="C258">
        <f>IF(ISNA(MATCH(245,Engine!$C$2:$C$679,0)),"",INDEX('Compliance Database'!$C$2:$C$679,MATCH(245,Engine!$C$2:$C$679,0)))</f>
        <v/>
      </c>
      <c r="D258" s="8">
        <f>IF(ISNA(MATCH(245,Engine!$C$2:$C$679,0)),"",INDEX('Compliance Database'!$D$2:$D$679,MATCH(245,Engine!$C$2:$C$679,0)))</f>
        <v/>
      </c>
      <c r="E258">
        <f>IF(ISNA(MATCH(245,Engine!$C$2:$C$679,0)),"",INDEX('Compliance Database'!$E$2:$E$679,MATCH(245,Engine!$C$2:$C$679,0)))</f>
        <v/>
      </c>
      <c r="F258">
        <f>IF(ISNA(MATCH(245,Engine!$C$2:$C$679,0)),"",INDEX('Compliance Database'!$F$2:$F$679,MATCH(245,Engine!$C$2:$C$679,0)))</f>
        <v/>
      </c>
      <c r="G258">
        <f>IF(ISNA(MATCH(245,Engine!$C$2:$C$679,0)),"",INDEX('Compliance Database'!$G$2:$G$679,MATCH(245,Engine!$C$2:$C$679,0)))</f>
        <v/>
      </c>
      <c r="H258">
        <f>IF(ISNA(MATCH(245,Engine!$C$2:$C$679,0)),"",INDEX('Compliance Database'!$H$2:$H$679,MATCH(245,Engine!$C$2:$C$679,0)))</f>
        <v/>
      </c>
      <c r="I258" s="8">
        <f>IF(ISNA(MATCH(245,Engine!$C$2:$C$679,0)),"",INDEX('Compliance Database'!$I$2:$I$679,MATCH(245,Engine!$C$2:$C$679,0)))</f>
        <v/>
      </c>
      <c r="J258" s="8">
        <f>IF(ISNA(MATCH(245,Engine!$C$2:$C$679,0)),"",INDEX('Compliance Database'!$J$2:$J$679,MATCH(245,Engine!$C$2:$C$679,0)))</f>
        <v/>
      </c>
      <c r="K258">
        <f>IF(ISNA(MATCH(245,Engine!$C$2:$C$679,0)),"",INDEX('Compliance Database'!$K$2:$K$679,MATCH(245,Engine!$C$2:$C$679,0)))</f>
        <v/>
      </c>
      <c r="L258" s="8">
        <f>IF(ISNA(MATCH(245,Engine!$C$2:$C$679,0)),"",INDEX('Compliance Database'!$L$2:$L$679,MATCH(245,Engine!$C$2:$C$679,0)))</f>
        <v/>
      </c>
      <c r="M258" s="8">
        <f>IF(ISNA(MATCH(245,Engine!$C$2:$C$679,0)),"",INDEX('Compliance Database'!$M$2:$M$679,MATCH(245,Engine!$C$2:$C$679,0)))</f>
        <v/>
      </c>
      <c r="N258" s="8">
        <f>IF(ISNA(MATCH(245,Engine!$C$2:$C$679,0)),"",INDEX('Compliance Database'!$N$2:$N$679,MATCH(245,Engine!$C$2:$C$679,0)))</f>
        <v/>
      </c>
      <c r="O258" s="8">
        <f>IF(ISNA(MATCH(245,Engine!$C$2:$C$679,0)),"",INDEX('Compliance Database'!$O$2:$O$679,MATCH(245,Engine!$C$2:$C$679,0)))</f>
        <v/>
      </c>
      <c r="P258">
        <f>IF(ISNA(MATCH(245,Engine!$C$2:$C$679,0)),"",HYPERLINK(INDEX('Compliance Database'!$P$2:$P$679,MATCH(245,Engine!$C$2:$C$679,0)),"Open PDF"))</f>
        <v/>
      </c>
    </row>
    <row r="259">
      <c r="A259">
        <f>IF(ISNA(MATCH(246,Engine!$C$2:$C$679,0)),"",INDEX('Compliance Database'!$A$2:$A$679,MATCH(246,Engine!$C$2:$C$679,0)))</f>
        <v/>
      </c>
      <c r="B259">
        <f>IF(ISNA(MATCH(246,Engine!$C$2:$C$679,0)),"",INDEX('Compliance Database'!$B$2:$B$679,MATCH(246,Engine!$C$2:$C$679,0)))</f>
        <v/>
      </c>
      <c r="C259">
        <f>IF(ISNA(MATCH(246,Engine!$C$2:$C$679,0)),"",INDEX('Compliance Database'!$C$2:$C$679,MATCH(246,Engine!$C$2:$C$679,0)))</f>
        <v/>
      </c>
      <c r="D259" s="8">
        <f>IF(ISNA(MATCH(246,Engine!$C$2:$C$679,0)),"",INDEX('Compliance Database'!$D$2:$D$679,MATCH(246,Engine!$C$2:$C$679,0)))</f>
        <v/>
      </c>
      <c r="E259">
        <f>IF(ISNA(MATCH(246,Engine!$C$2:$C$679,0)),"",INDEX('Compliance Database'!$E$2:$E$679,MATCH(246,Engine!$C$2:$C$679,0)))</f>
        <v/>
      </c>
      <c r="F259">
        <f>IF(ISNA(MATCH(246,Engine!$C$2:$C$679,0)),"",INDEX('Compliance Database'!$F$2:$F$679,MATCH(246,Engine!$C$2:$C$679,0)))</f>
        <v/>
      </c>
      <c r="G259">
        <f>IF(ISNA(MATCH(246,Engine!$C$2:$C$679,0)),"",INDEX('Compliance Database'!$G$2:$G$679,MATCH(246,Engine!$C$2:$C$679,0)))</f>
        <v/>
      </c>
      <c r="H259">
        <f>IF(ISNA(MATCH(246,Engine!$C$2:$C$679,0)),"",INDEX('Compliance Database'!$H$2:$H$679,MATCH(246,Engine!$C$2:$C$679,0)))</f>
        <v/>
      </c>
      <c r="I259" s="8">
        <f>IF(ISNA(MATCH(246,Engine!$C$2:$C$679,0)),"",INDEX('Compliance Database'!$I$2:$I$679,MATCH(246,Engine!$C$2:$C$679,0)))</f>
        <v/>
      </c>
      <c r="J259" s="8">
        <f>IF(ISNA(MATCH(246,Engine!$C$2:$C$679,0)),"",INDEX('Compliance Database'!$J$2:$J$679,MATCH(246,Engine!$C$2:$C$679,0)))</f>
        <v/>
      </c>
      <c r="K259">
        <f>IF(ISNA(MATCH(246,Engine!$C$2:$C$679,0)),"",INDEX('Compliance Database'!$K$2:$K$679,MATCH(246,Engine!$C$2:$C$679,0)))</f>
        <v/>
      </c>
      <c r="L259" s="8">
        <f>IF(ISNA(MATCH(246,Engine!$C$2:$C$679,0)),"",INDEX('Compliance Database'!$L$2:$L$679,MATCH(246,Engine!$C$2:$C$679,0)))</f>
        <v/>
      </c>
      <c r="M259" s="8">
        <f>IF(ISNA(MATCH(246,Engine!$C$2:$C$679,0)),"",INDEX('Compliance Database'!$M$2:$M$679,MATCH(246,Engine!$C$2:$C$679,0)))</f>
        <v/>
      </c>
      <c r="N259" s="8">
        <f>IF(ISNA(MATCH(246,Engine!$C$2:$C$679,0)),"",INDEX('Compliance Database'!$N$2:$N$679,MATCH(246,Engine!$C$2:$C$679,0)))</f>
        <v/>
      </c>
      <c r="O259" s="8">
        <f>IF(ISNA(MATCH(246,Engine!$C$2:$C$679,0)),"",INDEX('Compliance Database'!$O$2:$O$679,MATCH(246,Engine!$C$2:$C$679,0)))</f>
        <v/>
      </c>
      <c r="P259">
        <f>IF(ISNA(MATCH(246,Engine!$C$2:$C$679,0)),"",HYPERLINK(INDEX('Compliance Database'!$P$2:$P$679,MATCH(246,Engine!$C$2:$C$679,0)),"Open PDF"))</f>
        <v/>
      </c>
    </row>
    <row r="260">
      <c r="A260">
        <f>IF(ISNA(MATCH(247,Engine!$C$2:$C$679,0)),"",INDEX('Compliance Database'!$A$2:$A$679,MATCH(247,Engine!$C$2:$C$679,0)))</f>
        <v/>
      </c>
      <c r="B260">
        <f>IF(ISNA(MATCH(247,Engine!$C$2:$C$679,0)),"",INDEX('Compliance Database'!$B$2:$B$679,MATCH(247,Engine!$C$2:$C$679,0)))</f>
        <v/>
      </c>
      <c r="C260">
        <f>IF(ISNA(MATCH(247,Engine!$C$2:$C$679,0)),"",INDEX('Compliance Database'!$C$2:$C$679,MATCH(247,Engine!$C$2:$C$679,0)))</f>
        <v/>
      </c>
      <c r="D260" s="8">
        <f>IF(ISNA(MATCH(247,Engine!$C$2:$C$679,0)),"",INDEX('Compliance Database'!$D$2:$D$679,MATCH(247,Engine!$C$2:$C$679,0)))</f>
        <v/>
      </c>
      <c r="E260">
        <f>IF(ISNA(MATCH(247,Engine!$C$2:$C$679,0)),"",INDEX('Compliance Database'!$E$2:$E$679,MATCH(247,Engine!$C$2:$C$679,0)))</f>
        <v/>
      </c>
      <c r="F260">
        <f>IF(ISNA(MATCH(247,Engine!$C$2:$C$679,0)),"",INDEX('Compliance Database'!$F$2:$F$679,MATCH(247,Engine!$C$2:$C$679,0)))</f>
        <v/>
      </c>
      <c r="G260">
        <f>IF(ISNA(MATCH(247,Engine!$C$2:$C$679,0)),"",INDEX('Compliance Database'!$G$2:$G$679,MATCH(247,Engine!$C$2:$C$679,0)))</f>
        <v/>
      </c>
      <c r="H260">
        <f>IF(ISNA(MATCH(247,Engine!$C$2:$C$679,0)),"",INDEX('Compliance Database'!$H$2:$H$679,MATCH(247,Engine!$C$2:$C$679,0)))</f>
        <v/>
      </c>
      <c r="I260" s="8">
        <f>IF(ISNA(MATCH(247,Engine!$C$2:$C$679,0)),"",INDEX('Compliance Database'!$I$2:$I$679,MATCH(247,Engine!$C$2:$C$679,0)))</f>
        <v/>
      </c>
      <c r="J260" s="8">
        <f>IF(ISNA(MATCH(247,Engine!$C$2:$C$679,0)),"",INDEX('Compliance Database'!$J$2:$J$679,MATCH(247,Engine!$C$2:$C$679,0)))</f>
        <v/>
      </c>
      <c r="K260">
        <f>IF(ISNA(MATCH(247,Engine!$C$2:$C$679,0)),"",INDEX('Compliance Database'!$K$2:$K$679,MATCH(247,Engine!$C$2:$C$679,0)))</f>
        <v/>
      </c>
      <c r="L260" s="8">
        <f>IF(ISNA(MATCH(247,Engine!$C$2:$C$679,0)),"",INDEX('Compliance Database'!$L$2:$L$679,MATCH(247,Engine!$C$2:$C$679,0)))</f>
        <v/>
      </c>
      <c r="M260" s="8">
        <f>IF(ISNA(MATCH(247,Engine!$C$2:$C$679,0)),"",INDEX('Compliance Database'!$M$2:$M$679,MATCH(247,Engine!$C$2:$C$679,0)))</f>
        <v/>
      </c>
      <c r="N260" s="8">
        <f>IF(ISNA(MATCH(247,Engine!$C$2:$C$679,0)),"",INDEX('Compliance Database'!$N$2:$N$679,MATCH(247,Engine!$C$2:$C$679,0)))</f>
        <v/>
      </c>
      <c r="O260" s="8">
        <f>IF(ISNA(MATCH(247,Engine!$C$2:$C$679,0)),"",INDEX('Compliance Database'!$O$2:$O$679,MATCH(247,Engine!$C$2:$C$679,0)))</f>
        <v/>
      </c>
      <c r="P260">
        <f>IF(ISNA(MATCH(247,Engine!$C$2:$C$679,0)),"",HYPERLINK(INDEX('Compliance Database'!$P$2:$P$679,MATCH(247,Engine!$C$2:$C$679,0)),"Open PDF"))</f>
        <v/>
      </c>
    </row>
    <row r="261">
      <c r="A261">
        <f>IF(ISNA(MATCH(248,Engine!$C$2:$C$679,0)),"",INDEX('Compliance Database'!$A$2:$A$679,MATCH(248,Engine!$C$2:$C$679,0)))</f>
        <v/>
      </c>
      <c r="B261">
        <f>IF(ISNA(MATCH(248,Engine!$C$2:$C$679,0)),"",INDEX('Compliance Database'!$B$2:$B$679,MATCH(248,Engine!$C$2:$C$679,0)))</f>
        <v/>
      </c>
      <c r="C261">
        <f>IF(ISNA(MATCH(248,Engine!$C$2:$C$679,0)),"",INDEX('Compliance Database'!$C$2:$C$679,MATCH(248,Engine!$C$2:$C$679,0)))</f>
        <v/>
      </c>
      <c r="D261" s="8">
        <f>IF(ISNA(MATCH(248,Engine!$C$2:$C$679,0)),"",INDEX('Compliance Database'!$D$2:$D$679,MATCH(248,Engine!$C$2:$C$679,0)))</f>
        <v/>
      </c>
      <c r="E261">
        <f>IF(ISNA(MATCH(248,Engine!$C$2:$C$679,0)),"",INDEX('Compliance Database'!$E$2:$E$679,MATCH(248,Engine!$C$2:$C$679,0)))</f>
        <v/>
      </c>
      <c r="F261">
        <f>IF(ISNA(MATCH(248,Engine!$C$2:$C$679,0)),"",INDEX('Compliance Database'!$F$2:$F$679,MATCH(248,Engine!$C$2:$C$679,0)))</f>
        <v/>
      </c>
      <c r="G261">
        <f>IF(ISNA(MATCH(248,Engine!$C$2:$C$679,0)),"",INDEX('Compliance Database'!$G$2:$G$679,MATCH(248,Engine!$C$2:$C$679,0)))</f>
        <v/>
      </c>
      <c r="H261">
        <f>IF(ISNA(MATCH(248,Engine!$C$2:$C$679,0)),"",INDEX('Compliance Database'!$H$2:$H$679,MATCH(248,Engine!$C$2:$C$679,0)))</f>
        <v/>
      </c>
      <c r="I261" s="8">
        <f>IF(ISNA(MATCH(248,Engine!$C$2:$C$679,0)),"",INDEX('Compliance Database'!$I$2:$I$679,MATCH(248,Engine!$C$2:$C$679,0)))</f>
        <v/>
      </c>
      <c r="J261" s="8">
        <f>IF(ISNA(MATCH(248,Engine!$C$2:$C$679,0)),"",INDEX('Compliance Database'!$J$2:$J$679,MATCH(248,Engine!$C$2:$C$679,0)))</f>
        <v/>
      </c>
      <c r="K261">
        <f>IF(ISNA(MATCH(248,Engine!$C$2:$C$679,0)),"",INDEX('Compliance Database'!$K$2:$K$679,MATCH(248,Engine!$C$2:$C$679,0)))</f>
        <v/>
      </c>
      <c r="L261" s="8">
        <f>IF(ISNA(MATCH(248,Engine!$C$2:$C$679,0)),"",INDEX('Compliance Database'!$L$2:$L$679,MATCH(248,Engine!$C$2:$C$679,0)))</f>
        <v/>
      </c>
      <c r="M261" s="8">
        <f>IF(ISNA(MATCH(248,Engine!$C$2:$C$679,0)),"",INDEX('Compliance Database'!$M$2:$M$679,MATCH(248,Engine!$C$2:$C$679,0)))</f>
        <v/>
      </c>
      <c r="N261" s="8">
        <f>IF(ISNA(MATCH(248,Engine!$C$2:$C$679,0)),"",INDEX('Compliance Database'!$N$2:$N$679,MATCH(248,Engine!$C$2:$C$679,0)))</f>
        <v/>
      </c>
      <c r="O261" s="8">
        <f>IF(ISNA(MATCH(248,Engine!$C$2:$C$679,0)),"",INDEX('Compliance Database'!$O$2:$O$679,MATCH(248,Engine!$C$2:$C$679,0)))</f>
        <v/>
      </c>
      <c r="P261">
        <f>IF(ISNA(MATCH(248,Engine!$C$2:$C$679,0)),"",HYPERLINK(INDEX('Compliance Database'!$P$2:$P$679,MATCH(248,Engine!$C$2:$C$679,0)),"Open PDF"))</f>
        <v/>
      </c>
    </row>
    <row r="262">
      <c r="A262">
        <f>IF(ISNA(MATCH(249,Engine!$C$2:$C$679,0)),"",INDEX('Compliance Database'!$A$2:$A$679,MATCH(249,Engine!$C$2:$C$679,0)))</f>
        <v/>
      </c>
      <c r="B262">
        <f>IF(ISNA(MATCH(249,Engine!$C$2:$C$679,0)),"",INDEX('Compliance Database'!$B$2:$B$679,MATCH(249,Engine!$C$2:$C$679,0)))</f>
        <v/>
      </c>
      <c r="C262">
        <f>IF(ISNA(MATCH(249,Engine!$C$2:$C$679,0)),"",INDEX('Compliance Database'!$C$2:$C$679,MATCH(249,Engine!$C$2:$C$679,0)))</f>
        <v/>
      </c>
      <c r="D262" s="8">
        <f>IF(ISNA(MATCH(249,Engine!$C$2:$C$679,0)),"",INDEX('Compliance Database'!$D$2:$D$679,MATCH(249,Engine!$C$2:$C$679,0)))</f>
        <v/>
      </c>
      <c r="E262">
        <f>IF(ISNA(MATCH(249,Engine!$C$2:$C$679,0)),"",INDEX('Compliance Database'!$E$2:$E$679,MATCH(249,Engine!$C$2:$C$679,0)))</f>
        <v/>
      </c>
      <c r="F262">
        <f>IF(ISNA(MATCH(249,Engine!$C$2:$C$679,0)),"",INDEX('Compliance Database'!$F$2:$F$679,MATCH(249,Engine!$C$2:$C$679,0)))</f>
        <v/>
      </c>
      <c r="G262">
        <f>IF(ISNA(MATCH(249,Engine!$C$2:$C$679,0)),"",INDEX('Compliance Database'!$G$2:$G$679,MATCH(249,Engine!$C$2:$C$679,0)))</f>
        <v/>
      </c>
      <c r="H262">
        <f>IF(ISNA(MATCH(249,Engine!$C$2:$C$679,0)),"",INDEX('Compliance Database'!$H$2:$H$679,MATCH(249,Engine!$C$2:$C$679,0)))</f>
        <v/>
      </c>
      <c r="I262" s="8">
        <f>IF(ISNA(MATCH(249,Engine!$C$2:$C$679,0)),"",INDEX('Compliance Database'!$I$2:$I$679,MATCH(249,Engine!$C$2:$C$679,0)))</f>
        <v/>
      </c>
      <c r="J262" s="8">
        <f>IF(ISNA(MATCH(249,Engine!$C$2:$C$679,0)),"",INDEX('Compliance Database'!$J$2:$J$679,MATCH(249,Engine!$C$2:$C$679,0)))</f>
        <v/>
      </c>
      <c r="K262">
        <f>IF(ISNA(MATCH(249,Engine!$C$2:$C$679,0)),"",INDEX('Compliance Database'!$K$2:$K$679,MATCH(249,Engine!$C$2:$C$679,0)))</f>
        <v/>
      </c>
      <c r="L262" s="8">
        <f>IF(ISNA(MATCH(249,Engine!$C$2:$C$679,0)),"",INDEX('Compliance Database'!$L$2:$L$679,MATCH(249,Engine!$C$2:$C$679,0)))</f>
        <v/>
      </c>
      <c r="M262" s="8">
        <f>IF(ISNA(MATCH(249,Engine!$C$2:$C$679,0)),"",INDEX('Compliance Database'!$M$2:$M$679,MATCH(249,Engine!$C$2:$C$679,0)))</f>
        <v/>
      </c>
      <c r="N262" s="8">
        <f>IF(ISNA(MATCH(249,Engine!$C$2:$C$679,0)),"",INDEX('Compliance Database'!$N$2:$N$679,MATCH(249,Engine!$C$2:$C$679,0)))</f>
        <v/>
      </c>
      <c r="O262" s="8">
        <f>IF(ISNA(MATCH(249,Engine!$C$2:$C$679,0)),"",INDEX('Compliance Database'!$O$2:$O$679,MATCH(249,Engine!$C$2:$C$679,0)))</f>
        <v/>
      </c>
      <c r="P262">
        <f>IF(ISNA(MATCH(249,Engine!$C$2:$C$679,0)),"",HYPERLINK(INDEX('Compliance Database'!$P$2:$P$679,MATCH(249,Engine!$C$2:$C$679,0)),"Open PDF"))</f>
        <v/>
      </c>
    </row>
    <row r="263">
      <c r="A263">
        <f>IF(ISNA(MATCH(250,Engine!$C$2:$C$679,0)),"",INDEX('Compliance Database'!$A$2:$A$679,MATCH(250,Engine!$C$2:$C$679,0)))</f>
        <v/>
      </c>
      <c r="B263">
        <f>IF(ISNA(MATCH(250,Engine!$C$2:$C$679,0)),"",INDEX('Compliance Database'!$B$2:$B$679,MATCH(250,Engine!$C$2:$C$679,0)))</f>
        <v/>
      </c>
      <c r="C263">
        <f>IF(ISNA(MATCH(250,Engine!$C$2:$C$679,0)),"",INDEX('Compliance Database'!$C$2:$C$679,MATCH(250,Engine!$C$2:$C$679,0)))</f>
        <v/>
      </c>
      <c r="D263" s="8">
        <f>IF(ISNA(MATCH(250,Engine!$C$2:$C$679,0)),"",INDEX('Compliance Database'!$D$2:$D$679,MATCH(250,Engine!$C$2:$C$679,0)))</f>
        <v/>
      </c>
      <c r="E263">
        <f>IF(ISNA(MATCH(250,Engine!$C$2:$C$679,0)),"",INDEX('Compliance Database'!$E$2:$E$679,MATCH(250,Engine!$C$2:$C$679,0)))</f>
        <v/>
      </c>
      <c r="F263">
        <f>IF(ISNA(MATCH(250,Engine!$C$2:$C$679,0)),"",INDEX('Compliance Database'!$F$2:$F$679,MATCH(250,Engine!$C$2:$C$679,0)))</f>
        <v/>
      </c>
      <c r="G263">
        <f>IF(ISNA(MATCH(250,Engine!$C$2:$C$679,0)),"",INDEX('Compliance Database'!$G$2:$G$679,MATCH(250,Engine!$C$2:$C$679,0)))</f>
        <v/>
      </c>
      <c r="H263">
        <f>IF(ISNA(MATCH(250,Engine!$C$2:$C$679,0)),"",INDEX('Compliance Database'!$H$2:$H$679,MATCH(250,Engine!$C$2:$C$679,0)))</f>
        <v/>
      </c>
      <c r="I263" s="8">
        <f>IF(ISNA(MATCH(250,Engine!$C$2:$C$679,0)),"",INDEX('Compliance Database'!$I$2:$I$679,MATCH(250,Engine!$C$2:$C$679,0)))</f>
        <v/>
      </c>
      <c r="J263" s="8">
        <f>IF(ISNA(MATCH(250,Engine!$C$2:$C$679,0)),"",INDEX('Compliance Database'!$J$2:$J$679,MATCH(250,Engine!$C$2:$C$679,0)))</f>
        <v/>
      </c>
      <c r="K263">
        <f>IF(ISNA(MATCH(250,Engine!$C$2:$C$679,0)),"",INDEX('Compliance Database'!$K$2:$K$679,MATCH(250,Engine!$C$2:$C$679,0)))</f>
        <v/>
      </c>
      <c r="L263" s="8">
        <f>IF(ISNA(MATCH(250,Engine!$C$2:$C$679,0)),"",INDEX('Compliance Database'!$L$2:$L$679,MATCH(250,Engine!$C$2:$C$679,0)))</f>
        <v/>
      </c>
      <c r="M263" s="8">
        <f>IF(ISNA(MATCH(250,Engine!$C$2:$C$679,0)),"",INDEX('Compliance Database'!$M$2:$M$679,MATCH(250,Engine!$C$2:$C$679,0)))</f>
        <v/>
      </c>
      <c r="N263" s="8">
        <f>IF(ISNA(MATCH(250,Engine!$C$2:$C$679,0)),"",INDEX('Compliance Database'!$N$2:$N$679,MATCH(250,Engine!$C$2:$C$679,0)))</f>
        <v/>
      </c>
      <c r="O263" s="8">
        <f>IF(ISNA(MATCH(250,Engine!$C$2:$C$679,0)),"",INDEX('Compliance Database'!$O$2:$O$679,MATCH(250,Engine!$C$2:$C$679,0)))</f>
        <v/>
      </c>
      <c r="P263">
        <f>IF(ISNA(MATCH(250,Engine!$C$2:$C$679,0)),"",HYPERLINK(INDEX('Compliance Database'!$P$2:$P$679,MATCH(250,Engine!$C$2:$C$679,0)),"Open PDF"))</f>
        <v/>
      </c>
    </row>
    <row r="264">
      <c r="A264">
        <f>IF(ISNA(MATCH(251,Engine!$C$2:$C$679,0)),"",INDEX('Compliance Database'!$A$2:$A$679,MATCH(251,Engine!$C$2:$C$679,0)))</f>
        <v/>
      </c>
      <c r="B264">
        <f>IF(ISNA(MATCH(251,Engine!$C$2:$C$679,0)),"",INDEX('Compliance Database'!$B$2:$B$679,MATCH(251,Engine!$C$2:$C$679,0)))</f>
        <v/>
      </c>
      <c r="C264">
        <f>IF(ISNA(MATCH(251,Engine!$C$2:$C$679,0)),"",INDEX('Compliance Database'!$C$2:$C$679,MATCH(251,Engine!$C$2:$C$679,0)))</f>
        <v/>
      </c>
      <c r="D264" s="8">
        <f>IF(ISNA(MATCH(251,Engine!$C$2:$C$679,0)),"",INDEX('Compliance Database'!$D$2:$D$679,MATCH(251,Engine!$C$2:$C$679,0)))</f>
        <v/>
      </c>
      <c r="E264">
        <f>IF(ISNA(MATCH(251,Engine!$C$2:$C$679,0)),"",INDEX('Compliance Database'!$E$2:$E$679,MATCH(251,Engine!$C$2:$C$679,0)))</f>
        <v/>
      </c>
      <c r="F264">
        <f>IF(ISNA(MATCH(251,Engine!$C$2:$C$679,0)),"",INDEX('Compliance Database'!$F$2:$F$679,MATCH(251,Engine!$C$2:$C$679,0)))</f>
        <v/>
      </c>
      <c r="G264">
        <f>IF(ISNA(MATCH(251,Engine!$C$2:$C$679,0)),"",INDEX('Compliance Database'!$G$2:$G$679,MATCH(251,Engine!$C$2:$C$679,0)))</f>
        <v/>
      </c>
      <c r="H264">
        <f>IF(ISNA(MATCH(251,Engine!$C$2:$C$679,0)),"",INDEX('Compliance Database'!$H$2:$H$679,MATCH(251,Engine!$C$2:$C$679,0)))</f>
        <v/>
      </c>
      <c r="I264" s="8">
        <f>IF(ISNA(MATCH(251,Engine!$C$2:$C$679,0)),"",INDEX('Compliance Database'!$I$2:$I$679,MATCH(251,Engine!$C$2:$C$679,0)))</f>
        <v/>
      </c>
      <c r="J264" s="8">
        <f>IF(ISNA(MATCH(251,Engine!$C$2:$C$679,0)),"",INDEX('Compliance Database'!$J$2:$J$679,MATCH(251,Engine!$C$2:$C$679,0)))</f>
        <v/>
      </c>
      <c r="K264">
        <f>IF(ISNA(MATCH(251,Engine!$C$2:$C$679,0)),"",INDEX('Compliance Database'!$K$2:$K$679,MATCH(251,Engine!$C$2:$C$679,0)))</f>
        <v/>
      </c>
      <c r="L264" s="8">
        <f>IF(ISNA(MATCH(251,Engine!$C$2:$C$679,0)),"",INDEX('Compliance Database'!$L$2:$L$679,MATCH(251,Engine!$C$2:$C$679,0)))</f>
        <v/>
      </c>
      <c r="M264" s="8">
        <f>IF(ISNA(MATCH(251,Engine!$C$2:$C$679,0)),"",INDEX('Compliance Database'!$M$2:$M$679,MATCH(251,Engine!$C$2:$C$679,0)))</f>
        <v/>
      </c>
      <c r="N264" s="8">
        <f>IF(ISNA(MATCH(251,Engine!$C$2:$C$679,0)),"",INDEX('Compliance Database'!$N$2:$N$679,MATCH(251,Engine!$C$2:$C$679,0)))</f>
        <v/>
      </c>
      <c r="O264" s="8">
        <f>IF(ISNA(MATCH(251,Engine!$C$2:$C$679,0)),"",INDEX('Compliance Database'!$O$2:$O$679,MATCH(251,Engine!$C$2:$C$679,0)))</f>
        <v/>
      </c>
      <c r="P264">
        <f>IF(ISNA(MATCH(251,Engine!$C$2:$C$679,0)),"",HYPERLINK(INDEX('Compliance Database'!$P$2:$P$679,MATCH(251,Engine!$C$2:$C$679,0)),"Open PDF"))</f>
        <v/>
      </c>
    </row>
    <row r="265">
      <c r="A265">
        <f>IF(ISNA(MATCH(252,Engine!$C$2:$C$679,0)),"",INDEX('Compliance Database'!$A$2:$A$679,MATCH(252,Engine!$C$2:$C$679,0)))</f>
        <v/>
      </c>
      <c r="B265">
        <f>IF(ISNA(MATCH(252,Engine!$C$2:$C$679,0)),"",INDEX('Compliance Database'!$B$2:$B$679,MATCH(252,Engine!$C$2:$C$679,0)))</f>
        <v/>
      </c>
      <c r="C265">
        <f>IF(ISNA(MATCH(252,Engine!$C$2:$C$679,0)),"",INDEX('Compliance Database'!$C$2:$C$679,MATCH(252,Engine!$C$2:$C$679,0)))</f>
        <v/>
      </c>
      <c r="D265" s="8">
        <f>IF(ISNA(MATCH(252,Engine!$C$2:$C$679,0)),"",INDEX('Compliance Database'!$D$2:$D$679,MATCH(252,Engine!$C$2:$C$679,0)))</f>
        <v/>
      </c>
      <c r="E265">
        <f>IF(ISNA(MATCH(252,Engine!$C$2:$C$679,0)),"",INDEX('Compliance Database'!$E$2:$E$679,MATCH(252,Engine!$C$2:$C$679,0)))</f>
        <v/>
      </c>
      <c r="F265">
        <f>IF(ISNA(MATCH(252,Engine!$C$2:$C$679,0)),"",INDEX('Compliance Database'!$F$2:$F$679,MATCH(252,Engine!$C$2:$C$679,0)))</f>
        <v/>
      </c>
      <c r="G265">
        <f>IF(ISNA(MATCH(252,Engine!$C$2:$C$679,0)),"",INDEX('Compliance Database'!$G$2:$G$679,MATCH(252,Engine!$C$2:$C$679,0)))</f>
        <v/>
      </c>
      <c r="H265">
        <f>IF(ISNA(MATCH(252,Engine!$C$2:$C$679,0)),"",INDEX('Compliance Database'!$H$2:$H$679,MATCH(252,Engine!$C$2:$C$679,0)))</f>
        <v/>
      </c>
      <c r="I265" s="8">
        <f>IF(ISNA(MATCH(252,Engine!$C$2:$C$679,0)),"",INDEX('Compliance Database'!$I$2:$I$679,MATCH(252,Engine!$C$2:$C$679,0)))</f>
        <v/>
      </c>
      <c r="J265" s="8">
        <f>IF(ISNA(MATCH(252,Engine!$C$2:$C$679,0)),"",INDEX('Compliance Database'!$J$2:$J$679,MATCH(252,Engine!$C$2:$C$679,0)))</f>
        <v/>
      </c>
      <c r="K265">
        <f>IF(ISNA(MATCH(252,Engine!$C$2:$C$679,0)),"",INDEX('Compliance Database'!$K$2:$K$679,MATCH(252,Engine!$C$2:$C$679,0)))</f>
        <v/>
      </c>
      <c r="L265" s="8">
        <f>IF(ISNA(MATCH(252,Engine!$C$2:$C$679,0)),"",INDEX('Compliance Database'!$L$2:$L$679,MATCH(252,Engine!$C$2:$C$679,0)))</f>
        <v/>
      </c>
      <c r="M265" s="8">
        <f>IF(ISNA(MATCH(252,Engine!$C$2:$C$679,0)),"",INDEX('Compliance Database'!$M$2:$M$679,MATCH(252,Engine!$C$2:$C$679,0)))</f>
        <v/>
      </c>
      <c r="N265" s="8">
        <f>IF(ISNA(MATCH(252,Engine!$C$2:$C$679,0)),"",INDEX('Compliance Database'!$N$2:$N$679,MATCH(252,Engine!$C$2:$C$679,0)))</f>
        <v/>
      </c>
      <c r="O265" s="8">
        <f>IF(ISNA(MATCH(252,Engine!$C$2:$C$679,0)),"",INDEX('Compliance Database'!$O$2:$O$679,MATCH(252,Engine!$C$2:$C$679,0)))</f>
        <v/>
      </c>
      <c r="P265">
        <f>IF(ISNA(MATCH(252,Engine!$C$2:$C$679,0)),"",HYPERLINK(INDEX('Compliance Database'!$P$2:$P$679,MATCH(252,Engine!$C$2:$C$679,0)),"Open PDF"))</f>
        <v/>
      </c>
    </row>
    <row r="266">
      <c r="A266">
        <f>IF(ISNA(MATCH(253,Engine!$C$2:$C$679,0)),"",INDEX('Compliance Database'!$A$2:$A$679,MATCH(253,Engine!$C$2:$C$679,0)))</f>
        <v/>
      </c>
      <c r="B266">
        <f>IF(ISNA(MATCH(253,Engine!$C$2:$C$679,0)),"",INDEX('Compliance Database'!$B$2:$B$679,MATCH(253,Engine!$C$2:$C$679,0)))</f>
        <v/>
      </c>
      <c r="C266">
        <f>IF(ISNA(MATCH(253,Engine!$C$2:$C$679,0)),"",INDEX('Compliance Database'!$C$2:$C$679,MATCH(253,Engine!$C$2:$C$679,0)))</f>
        <v/>
      </c>
      <c r="D266" s="8">
        <f>IF(ISNA(MATCH(253,Engine!$C$2:$C$679,0)),"",INDEX('Compliance Database'!$D$2:$D$679,MATCH(253,Engine!$C$2:$C$679,0)))</f>
        <v/>
      </c>
      <c r="E266">
        <f>IF(ISNA(MATCH(253,Engine!$C$2:$C$679,0)),"",INDEX('Compliance Database'!$E$2:$E$679,MATCH(253,Engine!$C$2:$C$679,0)))</f>
        <v/>
      </c>
      <c r="F266">
        <f>IF(ISNA(MATCH(253,Engine!$C$2:$C$679,0)),"",INDEX('Compliance Database'!$F$2:$F$679,MATCH(253,Engine!$C$2:$C$679,0)))</f>
        <v/>
      </c>
      <c r="G266">
        <f>IF(ISNA(MATCH(253,Engine!$C$2:$C$679,0)),"",INDEX('Compliance Database'!$G$2:$G$679,MATCH(253,Engine!$C$2:$C$679,0)))</f>
        <v/>
      </c>
      <c r="H266">
        <f>IF(ISNA(MATCH(253,Engine!$C$2:$C$679,0)),"",INDEX('Compliance Database'!$H$2:$H$679,MATCH(253,Engine!$C$2:$C$679,0)))</f>
        <v/>
      </c>
      <c r="I266" s="8">
        <f>IF(ISNA(MATCH(253,Engine!$C$2:$C$679,0)),"",INDEX('Compliance Database'!$I$2:$I$679,MATCH(253,Engine!$C$2:$C$679,0)))</f>
        <v/>
      </c>
      <c r="J266" s="8">
        <f>IF(ISNA(MATCH(253,Engine!$C$2:$C$679,0)),"",INDEX('Compliance Database'!$J$2:$J$679,MATCH(253,Engine!$C$2:$C$679,0)))</f>
        <v/>
      </c>
      <c r="K266">
        <f>IF(ISNA(MATCH(253,Engine!$C$2:$C$679,0)),"",INDEX('Compliance Database'!$K$2:$K$679,MATCH(253,Engine!$C$2:$C$679,0)))</f>
        <v/>
      </c>
      <c r="L266" s="8">
        <f>IF(ISNA(MATCH(253,Engine!$C$2:$C$679,0)),"",INDEX('Compliance Database'!$L$2:$L$679,MATCH(253,Engine!$C$2:$C$679,0)))</f>
        <v/>
      </c>
      <c r="M266" s="8">
        <f>IF(ISNA(MATCH(253,Engine!$C$2:$C$679,0)),"",INDEX('Compliance Database'!$M$2:$M$679,MATCH(253,Engine!$C$2:$C$679,0)))</f>
        <v/>
      </c>
      <c r="N266" s="8">
        <f>IF(ISNA(MATCH(253,Engine!$C$2:$C$679,0)),"",INDEX('Compliance Database'!$N$2:$N$679,MATCH(253,Engine!$C$2:$C$679,0)))</f>
        <v/>
      </c>
      <c r="O266" s="8">
        <f>IF(ISNA(MATCH(253,Engine!$C$2:$C$679,0)),"",INDEX('Compliance Database'!$O$2:$O$679,MATCH(253,Engine!$C$2:$C$679,0)))</f>
        <v/>
      </c>
      <c r="P266">
        <f>IF(ISNA(MATCH(253,Engine!$C$2:$C$679,0)),"",HYPERLINK(INDEX('Compliance Database'!$P$2:$P$679,MATCH(253,Engine!$C$2:$C$679,0)),"Open PDF"))</f>
        <v/>
      </c>
    </row>
    <row r="267">
      <c r="A267">
        <f>IF(ISNA(MATCH(254,Engine!$C$2:$C$679,0)),"",INDEX('Compliance Database'!$A$2:$A$679,MATCH(254,Engine!$C$2:$C$679,0)))</f>
        <v/>
      </c>
      <c r="B267">
        <f>IF(ISNA(MATCH(254,Engine!$C$2:$C$679,0)),"",INDEX('Compliance Database'!$B$2:$B$679,MATCH(254,Engine!$C$2:$C$679,0)))</f>
        <v/>
      </c>
      <c r="C267">
        <f>IF(ISNA(MATCH(254,Engine!$C$2:$C$679,0)),"",INDEX('Compliance Database'!$C$2:$C$679,MATCH(254,Engine!$C$2:$C$679,0)))</f>
        <v/>
      </c>
      <c r="D267" s="8">
        <f>IF(ISNA(MATCH(254,Engine!$C$2:$C$679,0)),"",INDEX('Compliance Database'!$D$2:$D$679,MATCH(254,Engine!$C$2:$C$679,0)))</f>
        <v/>
      </c>
      <c r="E267">
        <f>IF(ISNA(MATCH(254,Engine!$C$2:$C$679,0)),"",INDEX('Compliance Database'!$E$2:$E$679,MATCH(254,Engine!$C$2:$C$679,0)))</f>
        <v/>
      </c>
      <c r="F267">
        <f>IF(ISNA(MATCH(254,Engine!$C$2:$C$679,0)),"",INDEX('Compliance Database'!$F$2:$F$679,MATCH(254,Engine!$C$2:$C$679,0)))</f>
        <v/>
      </c>
      <c r="G267">
        <f>IF(ISNA(MATCH(254,Engine!$C$2:$C$679,0)),"",INDEX('Compliance Database'!$G$2:$G$679,MATCH(254,Engine!$C$2:$C$679,0)))</f>
        <v/>
      </c>
      <c r="H267">
        <f>IF(ISNA(MATCH(254,Engine!$C$2:$C$679,0)),"",INDEX('Compliance Database'!$H$2:$H$679,MATCH(254,Engine!$C$2:$C$679,0)))</f>
        <v/>
      </c>
      <c r="I267" s="8">
        <f>IF(ISNA(MATCH(254,Engine!$C$2:$C$679,0)),"",INDEX('Compliance Database'!$I$2:$I$679,MATCH(254,Engine!$C$2:$C$679,0)))</f>
        <v/>
      </c>
      <c r="J267" s="8">
        <f>IF(ISNA(MATCH(254,Engine!$C$2:$C$679,0)),"",INDEX('Compliance Database'!$J$2:$J$679,MATCH(254,Engine!$C$2:$C$679,0)))</f>
        <v/>
      </c>
      <c r="K267">
        <f>IF(ISNA(MATCH(254,Engine!$C$2:$C$679,0)),"",INDEX('Compliance Database'!$K$2:$K$679,MATCH(254,Engine!$C$2:$C$679,0)))</f>
        <v/>
      </c>
      <c r="L267" s="8">
        <f>IF(ISNA(MATCH(254,Engine!$C$2:$C$679,0)),"",INDEX('Compliance Database'!$L$2:$L$679,MATCH(254,Engine!$C$2:$C$679,0)))</f>
        <v/>
      </c>
      <c r="M267" s="8">
        <f>IF(ISNA(MATCH(254,Engine!$C$2:$C$679,0)),"",INDEX('Compliance Database'!$M$2:$M$679,MATCH(254,Engine!$C$2:$C$679,0)))</f>
        <v/>
      </c>
      <c r="N267" s="8">
        <f>IF(ISNA(MATCH(254,Engine!$C$2:$C$679,0)),"",INDEX('Compliance Database'!$N$2:$N$679,MATCH(254,Engine!$C$2:$C$679,0)))</f>
        <v/>
      </c>
      <c r="O267" s="8">
        <f>IF(ISNA(MATCH(254,Engine!$C$2:$C$679,0)),"",INDEX('Compliance Database'!$O$2:$O$679,MATCH(254,Engine!$C$2:$C$679,0)))</f>
        <v/>
      </c>
      <c r="P267">
        <f>IF(ISNA(MATCH(254,Engine!$C$2:$C$679,0)),"",HYPERLINK(INDEX('Compliance Database'!$P$2:$P$679,MATCH(254,Engine!$C$2:$C$679,0)),"Open PDF"))</f>
        <v/>
      </c>
    </row>
    <row r="268">
      <c r="A268">
        <f>IF(ISNA(MATCH(255,Engine!$C$2:$C$679,0)),"",INDEX('Compliance Database'!$A$2:$A$679,MATCH(255,Engine!$C$2:$C$679,0)))</f>
        <v/>
      </c>
      <c r="B268">
        <f>IF(ISNA(MATCH(255,Engine!$C$2:$C$679,0)),"",INDEX('Compliance Database'!$B$2:$B$679,MATCH(255,Engine!$C$2:$C$679,0)))</f>
        <v/>
      </c>
      <c r="C268">
        <f>IF(ISNA(MATCH(255,Engine!$C$2:$C$679,0)),"",INDEX('Compliance Database'!$C$2:$C$679,MATCH(255,Engine!$C$2:$C$679,0)))</f>
        <v/>
      </c>
      <c r="D268" s="8">
        <f>IF(ISNA(MATCH(255,Engine!$C$2:$C$679,0)),"",INDEX('Compliance Database'!$D$2:$D$679,MATCH(255,Engine!$C$2:$C$679,0)))</f>
        <v/>
      </c>
      <c r="E268">
        <f>IF(ISNA(MATCH(255,Engine!$C$2:$C$679,0)),"",INDEX('Compliance Database'!$E$2:$E$679,MATCH(255,Engine!$C$2:$C$679,0)))</f>
        <v/>
      </c>
      <c r="F268">
        <f>IF(ISNA(MATCH(255,Engine!$C$2:$C$679,0)),"",INDEX('Compliance Database'!$F$2:$F$679,MATCH(255,Engine!$C$2:$C$679,0)))</f>
        <v/>
      </c>
      <c r="G268">
        <f>IF(ISNA(MATCH(255,Engine!$C$2:$C$679,0)),"",INDEX('Compliance Database'!$G$2:$G$679,MATCH(255,Engine!$C$2:$C$679,0)))</f>
        <v/>
      </c>
      <c r="H268">
        <f>IF(ISNA(MATCH(255,Engine!$C$2:$C$679,0)),"",INDEX('Compliance Database'!$H$2:$H$679,MATCH(255,Engine!$C$2:$C$679,0)))</f>
        <v/>
      </c>
      <c r="I268" s="8">
        <f>IF(ISNA(MATCH(255,Engine!$C$2:$C$679,0)),"",INDEX('Compliance Database'!$I$2:$I$679,MATCH(255,Engine!$C$2:$C$679,0)))</f>
        <v/>
      </c>
      <c r="J268" s="8">
        <f>IF(ISNA(MATCH(255,Engine!$C$2:$C$679,0)),"",INDEX('Compliance Database'!$J$2:$J$679,MATCH(255,Engine!$C$2:$C$679,0)))</f>
        <v/>
      </c>
      <c r="K268">
        <f>IF(ISNA(MATCH(255,Engine!$C$2:$C$679,0)),"",INDEX('Compliance Database'!$K$2:$K$679,MATCH(255,Engine!$C$2:$C$679,0)))</f>
        <v/>
      </c>
      <c r="L268" s="8">
        <f>IF(ISNA(MATCH(255,Engine!$C$2:$C$679,0)),"",INDEX('Compliance Database'!$L$2:$L$679,MATCH(255,Engine!$C$2:$C$679,0)))</f>
        <v/>
      </c>
      <c r="M268" s="8">
        <f>IF(ISNA(MATCH(255,Engine!$C$2:$C$679,0)),"",INDEX('Compliance Database'!$M$2:$M$679,MATCH(255,Engine!$C$2:$C$679,0)))</f>
        <v/>
      </c>
      <c r="N268" s="8">
        <f>IF(ISNA(MATCH(255,Engine!$C$2:$C$679,0)),"",INDEX('Compliance Database'!$N$2:$N$679,MATCH(255,Engine!$C$2:$C$679,0)))</f>
        <v/>
      </c>
      <c r="O268" s="8">
        <f>IF(ISNA(MATCH(255,Engine!$C$2:$C$679,0)),"",INDEX('Compliance Database'!$O$2:$O$679,MATCH(255,Engine!$C$2:$C$679,0)))</f>
        <v/>
      </c>
      <c r="P268">
        <f>IF(ISNA(MATCH(255,Engine!$C$2:$C$679,0)),"",HYPERLINK(INDEX('Compliance Database'!$P$2:$P$679,MATCH(255,Engine!$C$2:$C$679,0)),"Open PDF"))</f>
        <v/>
      </c>
    </row>
    <row r="269">
      <c r="A269">
        <f>IF(ISNA(MATCH(256,Engine!$C$2:$C$679,0)),"",INDEX('Compliance Database'!$A$2:$A$679,MATCH(256,Engine!$C$2:$C$679,0)))</f>
        <v/>
      </c>
      <c r="B269">
        <f>IF(ISNA(MATCH(256,Engine!$C$2:$C$679,0)),"",INDEX('Compliance Database'!$B$2:$B$679,MATCH(256,Engine!$C$2:$C$679,0)))</f>
        <v/>
      </c>
      <c r="C269">
        <f>IF(ISNA(MATCH(256,Engine!$C$2:$C$679,0)),"",INDEX('Compliance Database'!$C$2:$C$679,MATCH(256,Engine!$C$2:$C$679,0)))</f>
        <v/>
      </c>
      <c r="D269" s="8">
        <f>IF(ISNA(MATCH(256,Engine!$C$2:$C$679,0)),"",INDEX('Compliance Database'!$D$2:$D$679,MATCH(256,Engine!$C$2:$C$679,0)))</f>
        <v/>
      </c>
      <c r="E269">
        <f>IF(ISNA(MATCH(256,Engine!$C$2:$C$679,0)),"",INDEX('Compliance Database'!$E$2:$E$679,MATCH(256,Engine!$C$2:$C$679,0)))</f>
        <v/>
      </c>
      <c r="F269">
        <f>IF(ISNA(MATCH(256,Engine!$C$2:$C$679,0)),"",INDEX('Compliance Database'!$F$2:$F$679,MATCH(256,Engine!$C$2:$C$679,0)))</f>
        <v/>
      </c>
      <c r="G269">
        <f>IF(ISNA(MATCH(256,Engine!$C$2:$C$679,0)),"",INDEX('Compliance Database'!$G$2:$G$679,MATCH(256,Engine!$C$2:$C$679,0)))</f>
        <v/>
      </c>
      <c r="H269">
        <f>IF(ISNA(MATCH(256,Engine!$C$2:$C$679,0)),"",INDEX('Compliance Database'!$H$2:$H$679,MATCH(256,Engine!$C$2:$C$679,0)))</f>
        <v/>
      </c>
      <c r="I269" s="8">
        <f>IF(ISNA(MATCH(256,Engine!$C$2:$C$679,0)),"",INDEX('Compliance Database'!$I$2:$I$679,MATCH(256,Engine!$C$2:$C$679,0)))</f>
        <v/>
      </c>
      <c r="J269" s="8">
        <f>IF(ISNA(MATCH(256,Engine!$C$2:$C$679,0)),"",INDEX('Compliance Database'!$J$2:$J$679,MATCH(256,Engine!$C$2:$C$679,0)))</f>
        <v/>
      </c>
      <c r="K269">
        <f>IF(ISNA(MATCH(256,Engine!$C$2:$C$679,0)),"",INDEX('Compliance Database'!$K$2:$K$679,MATCH(256,Engine!$C$2:$C$679,0)))</f>
        <v/>
      </c>
      <c r="L269" s="8">
        <f>IF(ISNA(MATCH(256,Engine!$C$2:$C$679,0)),"",INDEX('Compliance Database'!$L$2:$L$679,MATCH(256,Engine!$C$2:$C$679,0)))</f>
        <v/>
      </c>
      <c r="M269" s="8">
        <f>IF(ISNA(MATCH(256,Engine!$C$2:$C$679,0)),"",INDEX('Compliance Database'!$M$2:$M$679,MATCH(256,Engine!$C$2:$C$679,0)))</f>
        <v/>
      </c>
      <c r="N269" s="8">
        <f>IF(ISNA(MATCH(256,Engine!$C$2:$C$679,0)),"",INDEX('Compliance Database'!$N$2:$N$679,MATCH(256,Engine!$C$2:$C$679,0)))</f>
        <v/>
      </c>
      <c r="O269" s="8">
        <f>IF(ISNA(MATCH(256,Engine!$C$2:$C$679,0)),"",INDEX('Compliance Database'!$O$2:$O$679,MATCH(256,Engine!$C$2:$C$679,0)))</f>
        <v/>
      </c>
      <c r="P269">
        <f>IF(ISNA(MATCH(256,Engine!$C$2:$C$679,0)),"",HYPERLINK(INDEX('Compliance Database'!$P$2:$P$679,MATCH(256,Engine!$C$2:$C$679,0)),"Open PDF"))</f>
        <v/>
      </c>
    </row>
    <row r="270">
      <c r="A270">
        <f>IF(ISNA(MATCH(257,Engine!$C$2:$C$679,0)),"",INDEX('Compliance Database'!$A$2:$A$679,MATCH(257,Engine!$C$2:$C$679,0)))</f>
        <v/>
      </c>
      <c r="B270">
        <f>IF(ISNA(MATCH(257,Engine!$C$2:$C$679,0)),"",INDEX('Compliance Database'!$B$2:$B$679,MATCH(257,Engine!$C$2:$C$679,0)))</f>
        <v/>
      </c>
      <c r="C270">
        <f>IF(ISNA(MATCH(257,Engine!$C$2:$C$679,0)),"",INDEX('Compliance Database'!$C$2:$C$679,MATCH(257,Engine!$C$2:$C$679,0)))</f>
        <v/>
      </c>
      <c r="D270" s="8">
        <f>IF(ISNA(MATCH(257,Engine!$C$2:$C$679,0)),"",INDEX('Compliance Database'!$D$2:$D$679,MATCH(257,Engine!$C$2:$C$679,0)))</f>
        <v/>
      </c>
      <c r="E270">
        <f>IF(ISNA(MATCH(257,Engine!$C$2:$C$679,0)),"",INDEX('Compliance Database'!$E$2:$E$679,MATCH(257,Engine!$C$2:$C$679,0)))</f>
        <v/>
      </c>
      <c r="F270">
        <f>IF(ISNA(MATCH(257,Engine!$C$2:$C$679,0)),"",INDEX('Compliance Database'!$F$2:$F$679,MATCH(257,Engine!$C$2:$C$679,0)))</f>
        <v/>
      </c>
      <c r="G270">
        <f>IF(ISNA(MATCH(257,Engine!$C$2:$C$679,0)),"",INDEX('Compliance Database'!$G$2:$G$679,MATCH(257,Engine!$C$2:$C$679,0)))</f>
        <v/>
      </c>
      <c r="H270">
        <f>IF(ISNA(MATCH(257,Engine!$C$2:$C$679,0)),"",INDEX('Compliance Database'!$H$2:$H$679,MATCH(257,Engine!$C$2:$C$679,0)))</f>
        <v/>
      </c>
      <c r="I270" s="8">
        <f>IF(ISNA(MATCH(257,Engine!$C$2:$C$679,0)),"",INDEX('Compliance Database'!$I$2:$I$679,MATCH(257,Engine!$C$2:$C$679,0)))</f>
        <v/>
      </c>
      <c r="J270" s="8">
        <f>IF(ISNA(MATCH(257,Engine!$C$2:$C$679,0)),"",INDEX('Compliance Database'!$J$2:$J$679,MATCH(257,Engine!$C$2:$C$679,0)))</f>
        <v/>
      </c>
      <c r="K270">
        <f>IF(ISNA(MATCH(257,Engine!$C$2:$C$679,0)),"",INDEX('Compliance Database'!$K$2:$K$679,MATCH(257,Engine!$C$2:$C$679,0)))</f>
        <v/>
      </c>
      <c r="L270" s="8">
        <f>IF(ISNA(MATCH(257,Engine!$C$2:$C$679,0)),"",INDEX('Compliance Database'!$L$2:$L$679,MATCH(257,Engine!$C$2:$C$679,0)))</f>
        <v/>
      </c>
      <c r="M270" s="8">
        <f>IF(ISNA(MATCH(257,Engine!$C$2:$C$679,0)),"",INDEX('Compliance Database'!$M$2:$M$679,MATCH(257,Engine!$C$2:$C$679,0)))</f>
        <v/>
      </c>
      <c r="N270" s="8">
        <f>IF(ISNA(MATCH(257,Engine!$C$2:$C$679,0)),"",INDEX('Compliance Database'!$N$2:$N$679,MATCH(257,Engine!$C$2:$C$679,0)))</f>
        <v/>
      </c>
      <c r="O270" s="8">
        <f>IF(ISNA(MATCH(257,Engine!$C$2:$C$679,0)),"",INDEX('Compliance Database'!$O$2:$O$679,MATCH(257,Engine!$C$2:$C$679,0)))</f>
        <v/>
      </c>
      <c r="P270">
        <f>IF(ISNA(MATCH(257,Engine!$C$2:$C$679,0)),"",HYPERLINK(INDEX('Compliance Database'!$P$2:$P$679,MATCH(257,Engine!$C$2:$C$679,0)),"Open PDF"))</f>
        <v/>
      </c>
    </row>
    <row r="271">
      <c r="A271">
        <f>IF(ISNA(MATCH(258,Engine!$C$2:$C$679,0)),"",INDEX('Compliance Database'!$A$2:$A$679,MATCH(258,Engine!$C$2:$C$679,0)))</f>
        <v/>
      </c>
      <c r="B271">
        <f>IF(ISNA(MATCH(258,Engine!$C$2:$C$679,0)),"",INDEX('Compliance Database'!$B$2:$B$679,MATCH(258,Engine!$C$2:$C$679,0)))</f>
        <v/>
      </c>
      <c r="C271">
        <f>IF(ISNA(MATCH(258,Engine!$C$2:$C$679,0)),"",INDEX('Compliance Database'!$C$2:$C$679,MATCH(258,Engine!$C$2:$C$679,0)))</f>
        <v/>
      </c>
      <c r="D271" s="8">
        <f>IF(ISNA(MATCH(258,Engine!$C$2:$C$679,0)),"",INDEX('Compliance Database'!$D$2:$D$679,MATCH(258,Engine!$C$2:$C$679,0)))</f>
        <v/>
      </c>
      <c r="E271">
        <f>IF(ISNA(MATCH(258,Engine!$C$2:$C$679,0)),"",INDEX('Compliance Database'!$E$2:$E$679,MATCH(258,Engine!$C$2:$C$679,0)))</f>
        <v/>
      </c>
      <c r="F271">
        <f>IF(ISNA(MATCH(258,Engine!$C$2:$C$679,0)),"",INDEX('Compliance Database'!$F$2:$F$679,MATCH(258,Engine!$C$2:$C$679,0)))</f>
        <v/>
      </c>
      <c r="G271">
        <f>IF(ISNA(MATCH(258,Engine!$C$2:$C$679,0)),"",INDEX('Compliance Database'!$G$2:$G$679,MATCH(258,Engine!$C$2:$C$679,0)))</f>
        <v/>
      </c>
      <c r="H271">
        <f>IF(ISNA(MATCH(258,Engine!$C$2:$C$679,0)),"",INDEX('Compliance Database'!$H$2:$H$679,MATCH(258,Engine!$C$2:$C$679,0)))</f>
        <v/>
      </c>
      <c r="I271" s="8">
        <f>IF(ISNA(MATCH(258,Engine!$C$2:$C$679,0)),"",INDEX('Compliance Database'!$I$2:$I$679,MATCH(258,Engine!$C$2:$C$679,0)))</f>
        <v/>
      </c>
      <c r="J271" s="8">
        <f>IF(ISNA(MATCH(258,Engine!$C$2:$C$679,0)),"",INDEX('Compliance Database'!$J$2:$J$679,MATCH(258,Engine!$C$2:$C$679,0)))</f>
        <v/>
      </c>
      <c r="K271">
        <f>IF(ISNA(MATCH(258,Engine!$C$2:$C$679,0)),"",INDEX('Compliance Database'!$K$2:$K$679,MATCH(258,Engine!$C$2:$C$679,0)))</f>
        <v/>
      </c>
      <c r="L271" s="8">
        <f>IF(ISNA(MATCH(258,Engine!$C$2:$C$679,0)),"",INDEX('Compliance Database'!$L$2:$L$679,MATCH(258,Engine!$C$2:$C$679,0)))</f>
        <v/>
      </c>
      <c r="M271" s="8">
        <f>IF(ISNA(MATCH(258,Engine!$C$2:$C$679,0)),"",INDEX('Compliance Database'!$M$2:$M$679,MATCH(258,Engine!$C$2:$C$679,0)))</f>
        <v/>
      </c>
      <c r="N271" s="8">
        <f>IF(ISNA(MATCH(258,Engine!$C$2:$C$679,0)),"",INDEX('Compliance Database'!$N$2:$N$679,MATCH(258,Engine!$C$2:$C$679,0)))</f>
        <v/>
      </c>
      <c r="O271" s="8">
        <f>IF(ISNA(MATCH(258,Engine!$C$2:$C$679,0)),"",INDEX('Compliance Database'!$O$2:$O$679,MATCH(258,Engine!$C$2:$C$679,0)))</f>
        <v/>
      </c>
      <c r="P271">
        <f>IF(ISNA(MATCH(258,Engine!$C$2:$C$679,0)),"",HYPERLINK(INDEX('Compliance Database'!$P$2:$P$679,MATCH(258,Engine!$C$2:$C$679,0)),"Open PDF"))</f>
        <v/>
      </c>
    </row>
    <row r="272">
      <c r="A272">
        <f>IF(ISNA(MATCH(259,Engine!$C$2:$C$679,0)),"",INDEX('Compliance Database'!$A$2:$A$679,MATCH(259,Engine!$C$2:$C$679,0)))</f>
        <v/>
      </c>
      <c r="B272">
        <f>IF(ISNA(MATCH(259,Engine!$C$2:$C$679,0)),"",INDEX('Compliance Database'!$B$2:$B$679,MATCH(259,Engine!$C$2:$C$679,0)))</f>
        <v/>
      </c>
      <c r="C272">
        <f>IF(ISNA(MATCH(259,Engine!$C$2:$C$679,0)),"",INDEX('Compliance Database'!$C$2:$C$679,MATCH(259,Engine!$C$2:$C$679,0)))</f>
        <v/>
      </c>
      <c r="D272" s="8">
        <f>IF(ISNA(MATCH(259,Engine!$C$2:$C$679,0)),"",INDEX('Compliance Database'!$D$2:$D$679,MATCH(259,Engine!$C$2:$C$679,0)))</f>
        <v/>
      </c>
      <c r="E272">
        <f>IF(ISNA(MATCH(259,Engine!$C$2:$C$679,0)),"",INDEX('Compliance Database'!$E$2:$E$679,MATCH(259,Engine!$C$2:$C$679,0)))</f>
        <v/>
      </c>
      <c r="F272">
        <f>IF(ISNA(MATCH(259,Engine!$C$2:$C$679,0)),"",INDEX('Compliance Database'!$F$2:$F$679,MATCH(259,Engine!$C$2:$C$679,0)))</f>
        <v/>
      </c>
      <c r="G272">
        <f>IF(ISNA(MATCH(259,Engine!$C$2:$C$679,0)),"",INDEX('Compliance Database'!$G$2:$G$679,MATCH(259,Engine!$C$2:$C$679,0)))</f>
        <v/>
      </c>
      <c r="H272">
        <f>IF(ISNA(MATCH(259,Engine!$C$2:$C$679,0)),"",INDEX('Compliance Database'!$H$2:$H$679,MATCH(259,Engine!$C$2:$C$679,0)))</f>
        <v/>
      </c>
      <c r="I272" s="8">
        <f>IF(ISNA(MATCH(259,Engine!$C$2:$C$679,0)),"",INDEX('Compliance Database'!$I$2:$I$679,MATCH(259,Engine!$C$2:$C$679,0)))</f>
        <v/>
      </c>
      <c r="J272" s="8">
        <f>IF(ISNA(MATCH(259,Engine!$C$2:$C$679,0)),"",INDEX('Compliance Database'!$J$2:$J$679,MATCH(259,Engine!$C$2:$C$679,0)))</f>
        <v/>
      </c>
      <c r="K272">
        <f>IF(ISNA(MATCH(259,Engine!$C$2:$C$679,0)),"",INDEX('Compliance Database'!$K$2:$K$679,MATCH(259,Engine!$C$2:$C$679,0)))</f>
        <v/>
      </c>
      <c r="L272" s="8">
        <f>IF(ISNA(MATCH(259,Engine!$C$2:$C$679,0)),"",INDEX('Compliance Database'!$L$2:$L$679,MATCH(259,Engine!$C$2:$C$679,0)))</f>
        <v/>
      </c>
      <c r="M272" s="8">
        <f>IF(ISNA(MATCH(259,Engine!$C$2:$C$679,0)),"",INDEX('Compliance Database'!$M$2:$M$679,MATCH(259,Engine!$C$2:$C$679,0)))</f>
        <v/>
      </c>
      <c r="N272" s="8">
        <f>IF(ISNA(MATCH(259,Engine!$C$2:$C$679,0)),"",INDEX('Compliance Database'!$N$2:$N$679,MATCH(259,Engine!$C$2:$C$679,0)))</f>
        <v/>
      </c>
      <c r="O272" s="8">
        <f>IF(ISNA(MATCH(259,Engine!$C$2:$C$679,0)),"",INDEX('Compliance Database'!$O$2:$O$679,MATCH(259,Engine!$C$2:$C$679,0)))</f>
        <v/>
      </c>
      <c r="P272">
        <f>IF(ISNA(MATCH(259,Engine!$C$2:$C$679,0)),"",HYPERLINK(INDEX('Compliance Database'!$P$2:$P$679,MATCH(259,Engine!$C$2:$C$679,0)),"Open PDF"))</f>
        <v/>
      </c>
    </row>
    <row r="273">
      <c r="A273">
        <f>IF(ISNA(MATCH(260,Engine!$C$2:$C$679,0)),"",INDEX('Compliance Database'!$A$2:$A$679,MATCH(260,Engine!$C$2:$C$679,0)))</f>
        <v/>
      </c>
      <c r="B273">
        <f>IF(ISNA(MATCH(260,Engine!$C$2:$C$679,0)),"",INDEX('Compliance Database'!$B$2:$B$679,MATCH(260,Engine!$C$2:$C$679,0)))</f>
        <v/>
      </c>
      <c r="C273">
        <f>IF(ISNA(MATCH(260,Engine!$C$2:$C$679,0)),"",INDEX('Compliance Database'!$C$2:$C$679,MATCH(260,Engine!$C$2:$C$679,0)))</f>
        <v/>
      </c>
      <c r="D273" s="8">
        <f>IF(ISNA(MATCH(260,Engine!$C$2:$C$679,0)),"",INDEX('Compliance Database'!$D$2:$D$679,MATCH(260,Engine!$C$2:$C$679,0)))</f>
        <v/>
      </c>
      <c r="E273">
        <f>IF(ISNA(MATCH(260,Engine!$C$2:$C$679,0)),"",INDEX('Compliance Database'!$E$2:$E$679,MATCH(260,Engine!$C$2:$C$679,0)))</f>
        <v/>
      </c>
      <c r="F273">
        <f>IF(ISNA(MATCH(260,Engine!$C$2:$C$679,0)),"",INDEX('Compliance Database'!$F$2:$F$679,MATCH(260,Engine!$C$2:$C$679,0)))</f>
        <v/>
      </c>
      <c r="G273">
        <f>IF(ISNA(MATCH(260,Engine!$C$2:$C$679,0)),"",INDEX('Compliance Database'!$G$2:$G$679,MATCH(260,Engine!$C$2:$C$679,0)))</f>
        <v/>
      </c>
      <c r="H273">
        <f>IF(ISNA(MATCH(260,Engine!$C$2:$C$679,0)),"",INDEX('Compliance Database'!$H$2:$H$679,MATCH(260,Engine!$C$2:$C$679,0)))</f>
        <v/>
      </c>
      <c r="I273" s="8">
        <f>IF(ISNA(MATCH(260,Engine!$C$2:$C$679,0)),"",INDEX('Compliance Database'!$I$2:$I$679,MATCH(260,Engine!$C$2:$C$679,0)))</f>
        <v/>
      </c>
      <c r="J273" s="8">
        <f>IF(ISNA(MATCH(260,Engine!$C$2:$C$679,0)),"",INDEX('Compliance Database'!$J$2:$J$679,MATCH(260,Engine!$C$2:$C$679,0)))</f>
        <v/>
      </c>
      <c r="K273">
        <f>IF(ISNA(MATCH(260,Engine!$C$2:$C$679,0)),"",INDEX('Compliance Database'!$K$2:$K$679,MATCH(260,Engine!$C$2:$C$679,0)))</f>
        <v/>
      </c>
      <c r="L273" s="8">
        <f>IF(ISNA(MATCH(260,Engine!$C$2:$C$679,0)),"",INDEX('Compliance Database'!$L$2:$L$679,MATCH(260,Engine!$C$2:$C$679,0)))</f>
        <v/>
      </c>
      <c r="M273" s="8">
        <f>IF(ISNA(MATCH(260,Engine!$C$2:$C$679,0)),"",INDEX('Compliance Database'!$M$2:$M$679,MATCH(260,Engine!$C$2:$C$679,0)))</f>
        <v/>
      </c>
      <c r="N273" s="8">
        <f>IF(ISNA(MATCH(260,Engine!$C$2:$C$679,0)),"",INDEX('Compliance Database'!$N$2:$N$679,MATCH(260,Engine!$C$2:$C$679,0)))</f>
        <v/>
      </c>
      <c r="O273" s="8">
        <f>IF(ISNA(MATCH(260,Engine!$C$2:$C$679,0)),"",INDEX('Compliance Database'!$O$2:$O$679,MATCH(260,Engine!$C$2:$C$679,0)))</f>
        <v/>
      </c>
      <c r="P273">
        <f>IF(ISNA(MATCH(260,Engine!$C$2:$C$679,0)),"",HYPERLINK(INDEX('Compliance Database'!$P$2:$P$679,MATCH(260,Engine!$C$2:$C$679,0)),"Open PDF"))</f>
        <v/>
      </c>
    </row>
    <row r="274">
      <c r="A274">
        <f>IF(ISNA(MATCH(261,Engine!$C$2:$C$679,0)),"",INDEX('Compliance Database'!$A$2:$A$679,MATCH(261,Engine!$C$2:$C$679,0)))</f>
        <v/>
      </c>
      <c r="B274">
        <f>IF(ISNA(MATCH(261,Engine!$C$2:$C$679,0)),"",INDEX('Compliance Database'!$B$2:$B$679,MATCH(261,Engine!$C$2:$C$679,0)))</f>
        <v/>
      </c>
      <c r="C274">
        <f>IF(ISNA(MATCH(261,Engine!$C$2:$C$679,0)),"",INDEX('Compliance Database'!$C$2:$C$679,MATCH(261,Engine!$C$2:$C$679,0)))</f>
        <v/>
      </c>
      <c r="D274" s="8">
        <f>IF(ISNA(MATCH(261,Engine!$C$2:$C$679,0)),"",INDEX('Compliance Database'!$D$2:$D$679,MATCH(261,Engine!$C$2:$C$679,0)))</f>
        <v/>
      </c>
      <c r="E274">
        <f>IF(ISNA(MATCH(261,Engine!$C$2:$C$679,0)),"",INDEX('Compliance Database'!$E$2:$E$679,MATCH(261,Engine!$C$2:$C$679,0)))</f>
        <v/>
      </c>
      <c r="F274">
        <f>IF(ISNA(MATCH(261,Engine!$C$2:$C$679,0)),"",INDEX('Compliance Database'!$F$2:$F$679,MATCH(261,Engine!$C$2:$C$679,0)))</f>
        <v/>
      </c>
      <c r="G274">
        <f>IF(ISNA(MATCH(261,Engine!$C$2:$C$679,0)),"",INDEX('Compliance Database'!$G$2:$G$679,MATCH(261,Engine!$C$2:$C$679,0)))</f>
        <v/>
      </c>
      <c r="H274">
        <f>IF(ISNA(MATCH(261,Engine!$C$2:$C$679,0)),"",INDEX('Compliance Database'!$H$2:$H$679,MATCH(261,Engine!$C$2:$C$679,0)))</f>
        <v/>
      </c>
      <c r="I274" s="8">
        <f>IF(ISNA(MATCH(261,Engine!$C$2:$C$679,0)),"",INDEX('Compliance Database'!$I$2:$I$679,MATCH(261,Engine!$C$2:$C$679,0)))</f>
        <v/>
      </c>
      <c r="J274" s="8">
        <f>IF(ISNA(MATCH(261,Engine!$C$2:$C$679,0)),"",INDEX('Compliance Database'!$J$2:$J$679,MATCH(261,Engine!$C$2:$C$679,0)))</f>
        <v/>
      </c>
      <c r="K274">
        <f>IF(ISNA(MATCH(261,Engine!$C$2:$C$679,0)),"",INDEX('Compliance Database'!$K$2:$K$679,MATCH(261,Engine!$C$2:$C$679,0)))</f>
        <v/>
      </c>
      <c r="L274" s="8">
        <f>IF(ISNA(MATCH(261,Engine!$C$2:$C$679,0)),"",INDEX('Compliance Database'!$L$2:$L$679,MATCH(261,Engine!$C$2:$C$679,0)))</f>
        <v/>
      </c>
      <c r="M274" s="8">
        <f>IF(ISNA(MATCH(261,Engine!$C$2:$C$679,0)),"",INDEX('Compliance Database'!$M$2:$M$679,MATCH(261,Engine!$C$2:$C$679,0)))</f>
        <v/>
      </c>
      <c r="N274" s="8">
        <f>IF(ISNA(MATCH(261,Engine!$C$2:$C$679,0)),"",INDEX('Compliance Database'!$N$2:$N$679,MATCH(261,Engine!$C$2:$C$679,0)))</f>
        <v/>
      </c>
      <c r="O274" s="8">
        <f>IF(ISNA(MATCH(261,Engine!$C$2:$C$679,0)),"",INDEX('Compliance Database'!$O$2:$O$679,MATCH(261,Engine!$C$2:$C$679,0)))</f>
        <v/>
      </c>
      <c r="P274">
        <f>IF(ISNA(MATCH(261,Engine!$C$2:$C$679,0)),"",HYPERLINK(INDEX('Compliance Database'!$P$2:$P$679,MATCH(261,Engine!$C$2:$C$679,0)),"Open PDF"))</f>
        <v/>
      </c>
    </row>
    <row r="275">
      <c r="A275">
        <f>IF(ISNA(MATCH(262,Engine!$C$2:$C$679,0)),"",INDEX('Compliance Database'!$A$2:$A$679,MATCH(262,Engine!$C$2:$C$679,0)))</f>
        <v/>
      </c>
      <c r="B275">
        <f>IF(ISNA(MATCH(262,Engine!$C$2:$C$679,0)),"",INDEX('Compliance Database'!$B$2:$B$679,MATCH(262,Engine!$C$2:$C$679,0)))</f>
        <v/>
      </c>
      <c r="C275">
        <f>IF(ISNA(MATCH(262,Engine!$C$2:$C$679,0)),"",INDEX('Compliance Database'!$C$2:$C$679,MATCH(262,Engine!$C$2:$C$679,0)))</f>
        <v/>
      </c>
      <c r="D275" s="8">
        <f>IF(ISNA(MATCH(262,Engine!$C$2:$C$679,0)),"",INDEX('Compliance Database'!$D$2:$D$679,MATCH(262,Engine!$C$2:$C$679,0)))</f>
        <v/>
      </c>
      <c r="E275">
        <f>IF(ISNA(MATCH(262,Engine!$C$2:$C$679,0)),"",INDEX('Compliance Database'!$E$2:$E$679,MATCH(262,Engine!$C$2:$C$679,0)))</f>
        <v/>
      </c>
      <c r="F275">
        <f>IF(ISNA(MATCH(262,Engine!$C$2:$C$679,0)),"",INDEX('Compliance Database'!$F$2:$F$679,MATCH(262,Engine!$C$2:$C$679,0)))</f>
        <v/>
      </c>
      <c r="G275">
        <f>IF(ISNA(MATCH(262,Engine!$C$2:$C$679,0)),"",INDEX('Compliance Database'!$G$2:$G$679,MATCH(262,Engine!$C$2:$C$679,0)))</f>
        <v/>
      </c>
      <c r="H275">
        <f>IF(ISNA(MATCH(262,Engine!$C$2:$C$679,0)),"",INDEX('Compliance Database'!$H$2:$H$679,MATCH(262,Engine!$C$2:$C$679,0)))</f>
        <v/>
      </c>
      <c r="I275" s="8">
        <f>IF(ISNA(MATCH(262,Engine!$C$2:$C$679,0)),"",INDEX('Compliance Database'!$I$2:$I$679,MATCH(262,Engine!$C$2:$C$679,0)))</f>
        <v/>
      </c>
      <c r="J275" s="8">
        <f>IF(ISNA(MATCH(262,Engine!$C$2:$C$679,0)),"",INDEX('Compliance Database'!$J$2:$J$679,MATCH(262,Engine!$C$2:$C$679,0)))</f>
        <v/>
      </c>
      <c r="K275">
        <f>IF(ISNA(MATCH(262,Engine!$C$2:$C$679,0)),"",INDEX('Compliance Database'!$K$2:$K$679,MATCH(262,Engine!$C$2:$C$679,0)))</f>
        <v/>
      </c>
      <c r="L275" s="8">
        <f>IF(ISNA(MATCH(262,Engine!$C$2:$C$679,0)),"",INDEX('Compliance Database'!$L$2:$L$679,MATCH(262,Engine!$C$2:$C$679,0)))</f>
        <v/>
      </c>
      <c r="M275" s="8">
        <f>IF(ISNA(MATCH(262,Engine!$C$2:$C$679,0)),"",INDEX('Compliance Database'!$M$2:$M$679,MATCH(262,Engine!$C$2:$C$679,0)))</f>
        <v/>
      </c>
      <c r="N275" s="8">
        <f>IF(ISNA(MATCH(262,Engine!$C$2:$C$679,0)),"",INDEX('Compliance Database'!$N$2:$N$679,MATCH(262,Engine!$C$2:$C$679,0)))</f>
        <v/>
      </c>
      <c r="O275" s="8">
        <f>IF(ISNA(MATCH(262,Engine!$C$2:$C$679,0)),"",INDEX('Compliance Database'!$O$2:$O$679,MATCH(262,Engine!$C$2:$C$679,0)))</f>
        <v/>
      </c>
      <c r="P275">
        <f>IF(ISNA(MATCH(262,Engine!$C$2:$C$679,0)),"",HYPERLINK(INDEX('Compliance Database'!$P$2:$P$679,MATCH(262,Engine!$C$2:$C$679,0)),"Open PDF"))</f>
        <v/>
      </c>
    </row>
    <row r="276">
      <c r="A276">
        <f>IF(ISNA(MATCH(263,Engine!$C$2:$C$679,0)),"",INDEX('Compliance Database'!$A$2:$A$679,MATCH(263,Engine!$C$2:$C$679,0)))</f>
        <v/>
      </c>
      <c r="B276">
        <f>IF(ISNA(MATCH(263,Engine!$C$2:$C$679,0)),"",INDEX('Compliance Database'!$B$2:$B$679,MATCH(263,Engine!$C$2:$C$679,0)))</f>
        <v/>
      </c>
      <c r="C276">
        <f>IF(ISNA(MATCH(263,Engine!$C$2:$C$679,0)),"",INDEX('Compliance Database'!$C$2:$C$679,MATCH(263,Engine!$C$2:$C$679,0)))</f>
        <v/>
      </c>
      <c r="D276" s="8">
        <f>IF(ISNA(MATCH(263,Engine!$C$2:$C$679,0)),"",INDEX('Compliance Database'!$D$2:$D$679,MATCH(263,Engine!$C$2:$C$679,0)))</f>
        <v/>
      </c>
      <c r="E276">
        <f>IF(ISNA(MATCH(263,Engine!$C$2:$C$679,0)),"",INDEX('Compliance Database'!$E$2:$E$679,MATCH(263,Engine!$C$2:$C$679,0)))</f>
        <v/>
      </c>
      <c r="F276">
        <f>IF(ISNA(MATCH(263,Engine!$C$2:$C$679,0)),"",INDEX('Compliance Database'!$F$2:$F$679,MATCH(263,Engine!$C$2:$C$679,0)))</f>
        <v/>
      </c>
      <c r="G276">
        <f>IF(ISNA(MATCH(263,Engine!$C$2:$C$679,0)),"",INDEX('Compliance Database'!$G$2:$G$679,MATCH(263,Engine!$C$2:$C$679,0)))</f>
        <v/>
      </c>
      <c r="H276">
        <f>IF(ISNA(MATCH(263,Engine!$C$2:$C$679,0)),"",INDEX('Compliance Database'!$H$2:$H$679,MATCH(263,Engine!$C$2:$C$679,0)))</f>
        <v/>
      </c>
      <c r="I276" s="8">
        <f>IF(ISNA(MATCH(263,Engine!$C$2:$C$679,0)),"",INDEX('Compliance Database'!$I$2:$I$679,MATCH(263,Engine!$C$2:$C$679,0)))</f>
        <v/>
      </c>
      <c r="J276" s="8">
        <f>IF(ISNA(MATCH(263,Engine!$C$2:$C$679,0)),"",INDEX('Compliance Database'!$J$2:$J$679,MATCH(263,Engine!$C$2:$C$679,0)))</f>
        <v/>
      </c>
      <c r="K276">
        <f>IF(ISNA(MATCH(263,Engine!$C$2:$C$679,0)),"",INDEX('Compliance Database'!$K$2:$K$679,MATCH(263,Engine!$C$2:$C$679,0)))</f>
        <v/>
      </c>
      <c r="L276" s="8">
        <f>IF(ISNA(MATCH(263,Engine!$C$2:$C$679,0)),"",INDEX('Compliance Database'!$L$2:$L$679,MATCH(263,Engine!$C$2:$C$679,0)))</f>
        <v/>
      </c>
      <c r="M276" s="8">
        <f>IF(ISNA(MATCH(263,Engine!$C$2:$C$679,0)),"",INDEX('Compliance Database'!$M$2:$M$679,MATCH(263,Engine!$C$2:$C$679,0)))</f>
        <v/>
      </c>
      <c r="N276" s="8">
        <f>IF(ISNA(MATCH(263,Engine!$C$2:$C$679,0)),"",INDEX('Compliance Database'!$N$2:$N$679,MATCH(263,Engine!$C$2:$C$679,0)))</f>
        <v/>
      </c>
      <c r="O276" s="8">
        <f>IF(ISNA(MATCH(263,Engine!$C$2:$C$679,0)),"",INDEX('Compliance Database'!$O$2:$O$679,MATCH(263,Engine!$C$2:$C$679,0)))</f>
        <v/>
      </c>
      <c r="P276">
        <f>IF(ISNA(MATCH(263,Engine!$C$2:$C$679,0)),"",HYPERLINK(INDEX('Compliance Database'!$P$2:$P$679,MATCH(263,Engine!$C$2:$C$679,0)),"Open PDF"))</f>
        <v/>
      </c>
    </row>
    <row r="277">
      <c r="A277">
        <f>IF(ISNA(MATCH(264,Engine!$C$2:$C$679,0)),"",INDEX('Compliance Database'!$A$2:$A$679,MATCH(264,Engine!$C$2:$C$679,0)))</f>
        <v/>
      </c>
      <c r="B277">
        <f>IF(ISNA(MATCH(264,Engine!$C$2:$C$679,0)),"",INDEX('Compliance Database'!$B$2:$B$679,MATCH(264,Engine!$C$2:$C$679,0)))</f>
        <v/>
      </c>
      <c r="C277">
        <f>IF(ISNA(MATCH(264,Engine!$C$2:$C$679,0)),"",INDEX('Compliance Database'!$C$2:$C$679,MATCH(264,Engine!$C$2:$C$679,0)))</f>
        <v/>
      </c>
      <c r="D277" s="8">
        <f>IF(ISNA(MATCH(264,Engine!$C$2:$C$679,0)),"",INDEX('Compliance Database'!$D$2:$D$679,MATCH(264,Engine!$C$2:$C$679,0)))</f>
        <v/>
      </c>
      <c r="E277">
        <f>IF(ISNA(MATCH(264,Engine!$C$2:$C$679,0)),"",INDEX('Compliance Database'!$E$2:$E$679,MATCH(264,Engine!$C$2:$C$679,0)))</f>
        <v/>
      </c>
      <c r="F277">
        <f>IF(ISNA(MATCH(264,Engine!$C$2:$C$679,0)),"",INDEX('Compliance Database'!$F$2:$F$679,MATCH(264,Engine!$C$2:$C$679,0)))</f>
        <v/>
      </c>
      <c r="G277">
        <f>IF(ISNA(MATCH(264,Engine!$C$2:$C$679,0)),"",INDEX('Compliance Database'!$G$2:$G$679,MATCH(264,Engine!$C$2:$C$679,0)))</f>
        <v/>
      </c>
      <c r="H277">
        <f>IF(ISNA(MATCH(264,Engine!$C$2:$C$679,0)),"",INDEX('Compliance Database'!$H$2:$H$679,MATCH(264,Engine!$C$2:$C$679,0)))</f>
        <v/>
      </c>
      <c r="I277" s="8">
        <f>IF(ISNA(MATCH(264,Engine!$C$2:$C$679,0)),"",INDEX('Compliance Database'!$I$2:$I$679,MATCH(264,Engine!$C$2:$C$679,0)))</f>
        <v/>
      </c>
      <c r="J277" s="8">
        <f>IF(ISNA(MATCH(264,Engine!$C$2:$C$679,0)),"",INDEX('Compliance Database'!$J$2:$J$679,MATCH(264,Engine!$C$2:$C$679,0)))</f>
        <v/>
      </c>
      <c r="K277">
        <f>IF(ISNA(MATCH(264,Engine!$C$2:$C$679,0)),"",INDEX('Compliance Database'!$K$2:$K$679,MATCH(264,Engine!$C$2:$C$679,0)))</f>
        <v/>
      </c>
      <c r="L277" s="8">
        <f>IF(ISNA(MATCH(264,Engine!$C$2:$C$679,0)),"",INDEX('Compliance Database'!$L$2:$L$679,MATCH(264,Engine!$C$2:$C$679,0)))</f>
        <v/>
      </c>
      <c r="M277" s="8">
        <f>IF(ISNA(MATCH(264,Engine!$C$2:$C$679,0)),"",INDEX('Compliance Database'!$M$2:$M$679,MATCH(264,Engine!$C$2:$C$679,0)))</f>
        <v/>
      </c>
      <c r="N277" s="8">
        <f>IF(ISNA(MATCH(264,Engine!$C$2:$C$679,0)),"",INDEX('Compliance Database'!$N$2:$N$679,MATCH(264,Engine!$C$2:$C$679,0)))</f>
        <v/>
      </c>
      <c r="O277" s="8">
        <f>IF(ISNA(MATCH(264,Engine!$C$2:$C$679,0)),"",INDEX('Compliance Database'!$O$2:$O$679,MATCH(264,Engine!$C$2:$C$679,0)))</f>
        <v/>
      </c>
      <c r="P277">
        <f>IF(ISNA(MATCH(264,Engine!$C$2:$C$679,0)),"",HYPERLINK(INDEX('Compliance Database'!$P$2:$P$679,MATCH(264,Engine!$C$2:$C$679,0)),"Open PDF"))</f>
        <v/>
      </c>
    </row>
    <row r="278">
      <c r="A278">
        <f>IF(ISNA(MATCH(265,Engine!$C$2:$C$679,0)),"",INDEX('Compliance Database'!$A$2:$A$679,MATCH(265,Engine!$C$2:$C$679,0)))</f>
        <v/>
      </c>
      <c r="B278">
        <f>IF(ISNA(MATCH(265,Engine!$C$2:$C$679,0)),"",INDEX('Compliance Database'!$B$2:$B$679,MATCH(265,Engine!$C$2:$C$679,0)))</f>
        <v/>
      </c>
      <c r="C278">
        <f>IF(ISNA(MATCH(265,Engine!$C$2:$C$679,0)),"",INDEX('Compliance Database'!$C$2:$C$679,MATCH(265,Engine!$C$2:$C$679,0)))</f>
        <v/>
      </c>
      <c r="D278" s="8">
        <f>IF(ISNA(MATCH(265,Engine!$C$2:$C$679,0)),"",INDEX('Compliance Database'!$D$2:$D$679,MATCH(265,Engine!$C$2:$C$679,0)))</f>
        <v/>
      </c>
      <c r="E278">
        <f>IF(ISNA(MATCH(265,Engine!$C$2:$C$679,0)),"",INDEX('Compliance Database'!$E$2:$E$679,MATCH(265,Engine!$C$2:$C$679,0)))</f>
        <v/>
      </c>
      <c r="F278">
        <f>IF(ISNA(MATCH(265,Engine!$C$2:$C$679,0)),"",INDEX('Compliance Database'!$F$2:$F$679,MATCH(265,Engine!$C$2:$C$679,0)))</f>
        <v/>
      </c>
      <c r="G278">
        <f>IF(ISNA(MATCH(265,Engine!$C$2:$C$679,0)),"",INDEX('Compliance Database'!$G$2:$G$679,MATCH(265,Engine!$C$2:$C$679,0)))</f>
        <v/>
      </c>
      <c r="H278">
        <f>IF(ISNA(MATCH(265,Engine!$C$2:$C$679,0)),"",INDEX('Compliance Database'!$H$2:$H$679,MATCH(265,Engine!$C$2:$C$679,0)))</f>
        <v/>
      </c>
      <c r="I278" s="8">
        <f>IF(ISNA(MATCH(265,Engine!$C$2:$C$679,0)),"",INDEX('Compliance Database'!$I$2:$I$679,MATCH(265,Engine!$C$2:$C$679,0)))</f>
        <v/>
      </c>
      <c r="J278" s="8">
        <f>IF(ISNA(MATCH(265,Engine!$C$2:$C$679,0)),"",INDEX('Compliance Database'!$J$2:$J$679,MATCH(265,Engine!$C$2:$C$679,0)))</f>
        <v/>
      </c>
      <c r="K278">
        <f>IF(ISNA(MATCH(265,Engine!$C$2:$C$679,0)),"",INDEX('Compliance Database'!$K$2:$K$679,MATCH(265,Engine!$C$2:$C$679,0)))</f>
        <v/>
      </c>
      <c r="L278" s="8">
        <f>IF(ISNA(MATCH(265,Engine!$C$2:$C$679,0)),"",INDEX('Compliance Database'!$L$2:$L$679,MATCH(265,Engine!$C$2:$C$679,0)))</f>
        <v/>
      </c>
      <c r="M278" s="8">
        <f>IF(ISNA(MATCH(265,Engine!$C$2:$C$679,0)),"",INDEX('Compliance Database'!$M$2:$M$679,MATCH(265,Engine!$C$2:$C$679,0)))</f>
        <v/>
      </c>
      <c r="N278" s="8">
        <f>IF(ISNA(MATCH(265,Engine!$C$2:$C$679,0)),"",INDEX('Compliance Database'!$N$2:$N$679,MATCH(265,Engine!$C$2:$C$679,0)))</f>
        <v/>
      </c>
      <c r="O278" s="8">
        <f>IF(ISNA(MATCH(265,Engine!$C$2:$C$679,0)),"",INDEX('Compliance Database'!$O$2:$O$679,MATCH(265,Engine!$C$2:$C$679,0)))</f>
        <v/>
      </c>
      <c r="P278">
        <f>IF(ISNA(MATCH(265,Engine!$C$2:$C$679,0)),"",HYPERLINK(INDEX('Compliance Database'!$P$2:$P$679,MATCH(265,Engine!$C$2:$C$679,0)),"Open PDF"))</f>
        <v/>
      </c>
    </row>
    <row r="279">
      <c r="A279">
        <f>IF(ISNA(MATCH(266,Engine!$C$2:$C$679,0)),"",INDEX('Compliance Database'!$A$2:$A$679,MATCH(266,Engine!$C$2:$C$679,0)))</f>
        <v/>
      </c>
      <c r="B279">
        <f>IF(ISNA(MATCH(266,Engine!$C$2:$C$679,0)),"",INDEX('Compliance Database'!$B$2:$B$679,MATCH(266,Engine!$C$2:$C$679,0)))</f>
        <v/>
      </c>
      <c r="C279">
        <f>IF(ISNA(MATCH(266,Engine!$C$2:$C$679,0)),"",INDEX('Compliance Database'!$C$2:$C$679,MATCH(266,Engine!$C$2:$C$679,0)))</f>
        <v/>
      </c>
      <c r="D279" s="8">
        <f>IF(ISNA(MATCH(266,Engine!$C$2:$C$679,0)),"",INDEX('Compliance Database'!$D$2:$D$679,MATCH(266,Engine!$C$2:$C$679,0)))</f>
        <v/>
      </c>
      <c r="E279">
        <f>IF(ISNA(MATCH(266,Engine!$C$2:$C$679,0)),"",INDEX('Compliance Database'!$E$2:$E$679,MATCH(266,Engine!$C$2:$C$679,0)))</f>
        <v/>
      </c>
      <c r="F279">
        <f>IF(ISNA(MATCH(266,Engine!$C$2:$C$679,0)),"",INDEX('Compliance Database'!$F$2:$F$679,MATCH(266,Engine!$C$2:$C$679,0)))</f>
        <v/>
      </c>
      <c r="G279">
        <f>IF(ISNA(MATCH(266,Engine!$C$2:$C$679,0)),"",INDEX('Compliance Database'!$G$2:$G$679,MATCH(266,Engine!$C$2:$C$679,0)))</f>
        <v/>
      </c>
      <c r="H279">
        <f>IF(ISNA(MATCH(266,Engine!$C$2:$C$679,0)),"",INDEX('Compliance Database'!$H$2:$H$679,MATCH(266,Engine!$C$2:$C$679,0)))</f>
        <v/>
      </c>
      <c r="I279" s="8">
        <f>IF(ISNA(MATCH(266,Engine!$C$2:$C$679,0)),"",INDEX('Compliance Database'!$I$2:$I$679,MATCH(266,Engine!$C$2:$C$679,0)))</f>
        <v/>
      </c>
      <c r="J279" s="8">
        <f>IF(ISNA(MATCH(266,Engine!$C$2:$C$679,0)),"",INDEX('Compliance Database'!$J$2:$J$679,MATCH(266,Engine!$C$2:$C$679,0)))</f>
        <v/>
      </c>
      <c r="K279">
        <f>IF(ISNA(MATCH(266,Engine!$C$2:$C$679,0)),"",INDEX('Compliance Database'!$K$2:$K$679,MATCH(266,Engine!$C$2:$C$679,0)))</f>
        <v/>
      </c>
      <c r="L279" s="8">
        <f>IF(ISNA(MATCH(266,Engine!$C$2:$C$679,0)),"",INDEX('Compliance Database'!$L$2:$L$679,MATCH(266,Engine!$C$2:$C$679,0)))</f>
        <v/>
      </c>
      <c r="M279" s="8">
        <f>IF(ISNA(MATCH(266,Engine!$C$2:$C$679,0)),"",INDEX('Compliance Database'!$M$2:$M$679,MATCH(266,Engine!$C$2:$C$679,0)))</f>
        <v/>
      </c>
      <c r="N279" s="8">
        <f>IF(ISNA(MATCH(266,Engine!$C$2:$C$679,0)),"",INDEX('Compliance Database'!$N$2:$N$679,MATCH(266,Engine!$C$2:$C$679,0)))</f>
        <v/>
      </c>
      <c r="O279" s="8">
        <f>IF(ISNA(MATCH(266,Engine!$C$2:$C$679,0)),"",INDEX('Compliance Database'!$O$2:$O$679,MATCH(266,Engine!$C$2:$C$679,0)))</f>
        <v/>
      </c>
      <c r="P279">
        <f>IF(ISNA(MATCH(266,Engine!$C$2:$C$679,0)),"",HYPERLINK(INDEX('Compliance Database'!$P$2:$P$679,MATCH(266,Engine!$C$2:$C$679,0)),"Open PDF"))</f>
        <v/>
      </c>
    </row>
    <row r="280">
      <c r="A280">
        <f>IF(ISNA(MATCH(267,Engine!$C$2:$C$679,0)),"",INDEX('Compliance Database'!$A$2:$A$679,MATCH(267,Engine!$C$2:$C$679,0)))</f>
        <v/>
      </c>
      <c r="B280">
        <f>IF(ISNA(MATCH(267,Engine!$C$2:$C$679,0)),"",INDEX('Compliance Database'!$B$2:$B$679,MATCH(267,Engine!$C$2:$C$679,0)))</f>
        <v/>
      </c>
      <c r="C280">
        <f>IF(ISNA(MATCH(267,Engine!$C$2:$C$679,0)),"",INDEX('Compliance Database'!$C$2:$C$679,MATCH(267,Engine!$C$2:$C$679,0)))</f>
        <v/>
      </c>
      <c r="D280" s="8">
        <f>IF(ISNA(MATCH(267,Engine!$C$2:$C$679,0)),"",INDEX('Compliance Database'!$D$2:$D$679,MATCH(267,Engine!$C$2:$C$679,0)))</f>
        <v/>
      </c>
      <c r="E280">
        <f>IF(ISNA(MATCH(267,Engine!$C$2:$C$679,0)),"",INDEX('Compliance Database'!$E$2:$E$679,MATCH(267,Engine!$C$2:$C$679,0)))</f>
        <v/>
      </c>
      <c r="F280">
        <f>IF(ISNA(MATCH(267,Engine!$C$2:$C$679,0)),"",INDEX('Compliance Database'!$F$2:$F$679,MATCH(267,Engine!$C$2:$C$679,0)))</f>
        <v/>
      </c>
      <c r="G280">
        <f>IF(ISNA(MATCH(267,Engine!$C$2:$C$679,0)),"",INDEX('Compliance Database'!$G$2:$G$679,MATCH(267,Engine!$C$2:$C$679,0)))</f>
        <v/>
      </c>
      <c r="H280">
        <f>IF(ISNA(MATCH(267,Engine!$C$2:$C$679,0)),"",INDEX('Compliance Database'!$H$2:$H$679,MATCH(267,Engine!$C$2:$C$679,0)))</f>
        <v/>
      </c>
      <c r="I280" s="8">
        <f>IF(ISNA(MATCH(267,Engine!$C$2:$C$679,0)),"",INDEX('Compliance Database'!$I$2:$I$679,MATCH(267,Engine!$C$2:$C$679,0)))</f>
        <v/>
      </c>
      <c r="J280" s="8">
        <f>IF(ISNA(MATCH(267,Engine!$C$2:$C$679,0)),"",INDEX('Compliance Database'!$J$2:$J$679,MATCH(267,Engine!$C$2:$C$679,0)))</f>
        <v/>
      </c>
      <c r="K280">
        <f>IF(ISNA(MATCH(267,Engine!$C$2:$C$679,0)),"",INDEX('Compliance Database'!$K$2:$K$679,MATCH(267,Engine!$C$2:$C$679,0)))</f>
        <v/>
      </c>
      <c r="L280" s="8">
        <f>IF(ISNA(MATCH(267,Engine!$C$2:$C$679,0)),"",INDEX('Compliance Database'!$L$2:$L$679,MATCH(267,Engine!$C$2:$C$679,0)))</f>
        <v/>
      </c>
      <c r="M280" s="8">
        <f>IF(ISNA(MATCH(267,Engine!$C$2:$C$679,0)),"",INDEX('Compliance Database'!$M$2:$M$679,MATCH(267,Engine!$C$2:$C$679,0)))</f>
        <v/>
      </c>
      <c r="N280" s="8">
        <f>IF(ISNA(MATCH(267,Engine!$C$2:$C$679,0)),"",INDEX('Compliance Database'!$N$2:$N$679,MATCH(267,Engine!$C$2:$C$679,0)))</f>
        <v/>
      </c>
      <c r="O280" s="8">
        <f>IF(ISNA(MATCH(267,Engine!$C$2:$C$679,0)),"",INDEX('Compliance Database'!$O$2:$O$679,MATCH(267,Engine!$C$2:$C$679,0)))</f>
        <v/>
      </c>
      <c r="P280">
        <f>IF(ISNA(MATCH(267,Engine!$C$2:$C$679,0)),"",HYPERLINK(INDEX('Compliance Database'!$P$2:$P$679,MATCH(267,Engine!$C$2:$C$679,0)),"Open PDF"))</f>
        <v/>
      </c>
    </row>
    <row r="281">
      <c r="A281">
        <f>IF(ISNA(MATCH(268,Engine!$C$2:$C$679,0)),"",INDEX('Compliance Database'!$A$2:$A$679,MATCH(268,Engine!$C$2:$C$679,0)))</f>
        <v/>
      </c>
      <c r="B281">
        <f>IF(ISNA(MATCH(268,Engine!$C$2:$C$679,0)),"",INDEX('Compliance Database'!$B$2:$B$679,MATCH(268,Engine!$C$2:$C$679,0)))</f>
        <v/>
      </c>
      <c r="C281">
        <f>IF(ISNA(MATCH(268,Engine!$C$2:$C$679,0)),"",INDEX('Compliance Database'!$C$2:$C$679,MATCH(268,Engine!$C$2:$C$679,0)))</f>
        <v/>
      </c>
      <c r="D281" s="8">
        <f>IF(ISNA(MATCH(268,Engine!$C$2:$C$679,0)),"",INDEX('Compliance Database'!$D$2:$D$679,MATCH(268,Engine!$C$2:$C$679,0)))</f>
        <v/>
      </c>
      <c r="E281">
        <f>IF(ISNA(MATCH(268,Engine!$C$2:$C$679,0)),"",INDEX('Compliance Database'!$E$2:$E$679,MATCH(268,Engine!$C$2:$C$679,0)))</f>
        <v/>
      </c>
      <c r="F281">
        <f>IF(ISNA(MATCH(268,Engine!$C$2:$C$679,0)),"",INDEX('Compliance Database'!$F$2:$F$679,MATCH(268,Engine!$C$2:$C$679,0)))</f>
        <v/>
      </c>
      <c r="G281">
        <f>IF(ISNA(MATCH(268,Engine!$C$2:$C$679,0)),"",INDEX('Compliance Database'!$G$2:$G$679,MATCH(268,Engine!$C$2:$C$679,0)))</f>
        <v/>
      </c>
      <c r="H281">
        <f>IF(ISNA(MATCH(268,Engine!$C$2:$C$679,0)),"",INDEX('Compliance Database'!$H$2:$H$679,MATCH(268,Engine!$C$2:$C$679,0)))</f>
        <v/>
      </c>
      <c r="I281" s="8">
        <f>IF(ISNA(MATCH(268,Engine!$C$2:$C$679,0)),"",INDEX('Compliance Database'!$I$2:$I$679,MATCH(268,Engine!$C$2:$C$679,0)))</f>
        <v/>
      </c>
      <c r="J281" s="8">
        <f>IF(ISNA(MATCH(268,Engine!$C$2:$C$679,0)),"",INDEX('Compliance Database'!$J$2:$J$679,MATCH(268,Engine!$C$2:$C$679,0)))</f>
        <v/>
      </c>
      <c r="K281">
        <f>IF(ISNA(MATCH(268,Engine!$C$2:$C$679,0)),"",INDEX('Compliance Database'!$K$2:$K$679,MATCH(268,Engine!$C$2:$C$679,0)))</f>
        <v/>
      </c>
      <c r="L281" s="8">
        <f>IF(ISNA(MATCH(268,Engine!$C$2:$C$679,0)),"",INDEX('Compliance Database'!$L$2:$L$679,MATCH(268,Engine!$C$2:$C$679,0)))</f>
        <v/>
      </c>
      <c r="M281" s="8">
        <f>IF(ISNA(MATCH(268,Engine!$C$2:$C$679,0)),"",INDEX('Compliance Database'!$M$2:$M$679,MATCH(268,Engine!$C$2:$C$679,0)))</f>
        <v/>
      </c>
      <c r="N281" s="8">
        <f>IF(ISNA(MATCH(268,Engine!$C$2:$C$679,0)),"",INDEX('Compliance Database'!$N$2:$N$679,MATCH(268,Engine!$C$2:$C$679,0)))</f>
        <v/>
      </c>
      <c r="O281" s="8">
        <f>IF(ISNA(MATCH(268,Engine!$C$2:$C$679,0)),"",INDEX('Compliance Database'!$O$2:$O$679,MATCH(268,Engine!$C$2:$C$679,0)))</f>
        <v/>
      </c>
      <c r="P281">
        <f>IF(ISNA(MATCH(268,Engine!$C$2:$C$679,0)),"",HYPERLINK(INDEX('Compliance Database'!$P$2:$P$679,MATCH(268,Engine!$C$2:$C$679,0)),"Open PDF"))</f>
        <v/>
      </c>
    </row>
    <row r="282">
      <c r="A282">
        <f>IF(ISNA(MATCH(269,Engine!$C$2:$C$679,0)),"",INDEX('Compliance Database'!$A$2:$A$679,MATCH(269,Engine!$C$2:$C$679,0)))</f>
        <v/>
      </c>
      <c r="B282">
        <f>IF(ISNA(MATCH(269,Engine!$C$2:$C$679,0)),"",INDEX('Compliance Database'!$B$2:$B$679,MATCH(269,Engine!$C$2:$C$679,0)))</f>
        <v/>
      </c>
      <c r="C282">
        <f>IF(ISNA(MATCH(269,Engine!$C$2:$C$679,0)),"",INDEX('Compliance Database'!$C$2:$C$679,MATCH(269,Engine!$C$2:$C$679,0)))</f>
        <v/>
      </c>
      <c r="D282" s="8">
        <f>IF(ISNA(MATCH(269,Engine!$C$2:$C$679,0)),"",INDEX('Compliance Database'!$D$2:$D$679,MATCH(269,Engine!$C$2:$C$679,0)))</f>
        <v/>
      </c>
      <c r="E282">
        <f>IF(ISNA(MATCH(269,Engine!$C$2:$C$679,0)),"",INDEX('Compliance Database'!$E$2:$E$679,MATCH(269,Engine!$C$2:$C$679,0)))</f>
        <v/>
      </c>
      <c r="F282">
        <f>IF(ISNA(MATCH(269,Engine!$C$2:$C$679,0)),"",INDEX('Compliance Database'!$F$2:$F$679,MATCH(269,Engine!$C$2:$C$679,0)))</f>
        <v/>
      </c>
      <c r="G282">
        <f>IF(ISNA(MATCH(269,Engine!$C$2:$C$679,0)),"",INDEX('Compliance Database'!$G$2:$G$679,MATCH(269,Engine!$C$2:$C$679,0)))</f>
        <v/>
      </c>
      <c r="H282">
        <f>IF(ISNA(MATCH(269,Engine!$C$2:$C$679,0)),"",INDEX('Compliance Database'!$H$2:$H$679,MATCH(269,Engine!$C$2:$C$679,0)))</f>
        <v/>
      </c>
      <c r="I282" s="8">
        <f>IF(ISNA(MATCH(269,Engine!$C$2:$C$679,0)),"",INDEX('Compliance Database'!$I$2:$I$679,MATCH(269,Engine!$C$2:$C$679,0)))</f>
        <v/>
      </c>
      <c r="J282" s="8">
        <f>IF(ISNA(MATCH(269,Engine!$C$2:$C$679,0)),"",INDEX('Compliance Database'!$J$2:$J$679,MATCH(269,Engine!$C$2:$C$679,0)))</f>
        <v/>
      </c>
      <c r="K282">
        <f>IF(ISNA(MATCH(269,Engine!$C$2:$C$679,0)),"",INDEX('Compliance Database'!$K$2:$K$679,MATCH(269,Engine!$C$2:$C$679,0)))</f>
        <v/>
      </c>
      <c r="L282" s="8">
        <f>IF(ISNA(MATCH(269,Engine!$C$2:$C$679,0)),"",INDEX('Compliance Database'!$L$2:$L$679,MATCH(269,Engine!$C$2:$C$679,0)))</f>
        <v/>
      </c>
      <c r="M282" s="8">
        <f>IF(ISNA(MATCH(269,Engine!$C$2:$C$679,0)),"",INDEX('Compliance Database'!$M$2:$M$679,MATCH(269,Engine!$C$2:$C$679,0)))</f>
        <v/>
      </c>
      <c r="N282" s="8">
        <f>IF(ISNA(MATCH(269,Engine!$C$2:$C$679,0)),"",INDEX('Compliance Database'!$N$2:$N$679,MATCH(269,Engine!$C$2:$C$679,0)))</f>
        <v/>
      </c>
      <c r="O282" s="8">
        <f>IF(ISNA(MATCH(269,Engine!$C$2:$C$679,0)),"",INDEX('Compliance Database'!$O$2:$O$679,MATCH(269,Engine!$C$2:$C$679,0)))</f>
        <v/>
      </c>
      <c r="P282">
        <f>IF(ISNA(MATCH(269,Engine!$C$2:$C$679,0)),"",HYPERLINK(INDEX('Compliance Database'!$P$2:$P$679,MATCH(269,Engine!$C$2:$C$679,0)),"Open PDF"))</f>
        <v/>
      </c>
    </row>
    <row r="283">
      <c r="A283">
        <f>IF(ISNA(MATCH(270,Engine!$C$2:$C$679,0)),"",INDEX('Compliance Database'!$A$2:$A$679,MATCH(270,Engine!$C$2:$C$679,0)))</f>
        <v/>
      </c>
      <c r="B283">
        <f>IF(ISNA(MATCH(270,Engine!$C$2:$C$679,0)),"",INDEX('Compliance Database'!$B$2:$B$679,MATCH(270,Engine!$C$2:$C$679,0)))</f>
        <v/>
      </c>
      <c r="C283">
        <f>IF(ISNA(MATCH(270,Engine!$C$2:$C$679,0)),"",INDEX('Compliance Database'!$C$2:$C$679,MATCH(270,Engine!$C$2:$C$679,0)))</f>
        <v/>
      </c>
      <c r="D283" s="8">
        <f>IF(ISNA(MATCH(270,Engine!$C$2:$C$679,0)),"",INDEX('Compliance Database'!$D$2:$D$679,MATCH(270,Engine!$C$2:$C$679,0)))</f>
        <v/>
      </c>
      <c r="E283">
        <f>IF(ISNA(MATCH(270,Engine!$C$2:$C$679,0)),"",INDEX('Compliance Database'!$E$2:$E$679,MATCH(270,Engine!$C$2:$C$679,0)))</f>
        <v/>
      </c>
      <c r="F283">
        <f>IF(ISNA(MATCH(270,Engine!$C$2:$C$679,0)),"",INDEX('Compliance Database'!$F$2:$F$679,MATCH(270,Engine!$C$2:$C$679,0)))</f>
        <v/>
      </c>
      <c r="G283">
        <f>IF(ISNA(MATCH(270,Engine!$C$2:$C$679,0)),"",INDEX('Compliance Database'!$G$2:$G$679,MATCH(270,Engine!$C$2:$C$679,0)))</f>
        <v/>
      </c>
      <c r="H283">
        <f>IF(ISNA(MATCH(270,Engine!$C$2:$C$679,0)),"",INDEX('Compliance Database'!$H$2:$H$679,MATCH(270,Engine!$C$2:$C$679,0)))</f>
        <v/>
      </c>
      <c r="I283" s="8">
        <f>IF(ISNA(MATCH(270,Engine!$C$2:$C$679,0)),"",INDEX('Compliance Database'!$I$2:$I$679,MATCH(270,Engine!$C$2:$C$679,0)))</f>
        <v/>
      </c>
      <c r="J283" s="8">
        <f>IF(ISNA(MATCH(270,Engine!$C$2:$C$679,0)),"",INDEX('Compliance Database'!$J$2:$J$679,MATCH(270,Engine!$C$2:$C$679,0)))</f>
        <v/>
      </c>
      <c r="K283">
        <f>IF(ISNA(MATCH(270,Engine!$C$2:$C$679,0)),"",INDEX('Compliance Database'!$K$2:$K$679,MATCH(270,Engine!$C$2:$C$679,0)))</f>
        <v/>
      </c>
      <c r="L283" s="8">
        <f>IF(ISNA(MATCH(270,Engine!$C$2:$C$679,0)),"",INDEX('Compliance Database'!$L$2:$L$679,MATCH(270,Engine!$C$2:$C$679,0)))</f>
        <v/>
      </c>
      <c r="M283" s="8">
        <f>IF(ISNA(MATCH(270,Engine!$C$2:$C$679,0)),"",INDEX('Compliance Database'!$M$2:$M$679,MATCH(270,Engine!$C$2:$C$679,0)))</f>
        <v/>
      </c>
      <c r="N283" s="8">
        <f>IF(ISNA(MATCH(270,Engine!$C$2:$C$679,0)),"",INDEX('Compliance Database'!$N$2:$N$679,MATCH(270,Engine!$C$2:$C$679,0)))</f>
        <v/>
      </c>
      <c r="O283" s="8">
        <f>IF(ISNA(MATCH(270,Engine!$C$2:$C$679,0)),"",INDEX('Compliance Database'!$O$2:$O$679,MATCH(270,Engine!$C$2:$C$679,0)))</f>
        <v/>
      </c>
      <c r="P283">
        <f>IF(ISNA(MATCH(270,Engine!$C$2:$C$679,0)),"",HYPERLINK(INDEX('Compliance Database'!$P$2:$P$679,MATCH(270,Engine!$C$2:$C$679,0)),"Open PDF"))</f>
        <v/>
      </c>
    </row>
    <row r="284">
      <c r="A284">
        <f>IF(ISNA(MATCH(271,Engine!$C$2:$C$679,0)),"",INDEX('Compliance Database'!$A$2:$A$679,MATCH(271,Engine!$C$2:$C$679,0)))</f>
        <v/>
      </c>
      <c r="B284">
        <f>IF(ISNA(MATCH(271,Engine!$C$2:$C$679,0)),"",INDEX('Compliance Database'!$B$2:$B$679,MATCH(271,Engine!$C$2:$C$679,0)))</f>
        <v/>
      </c>
      <c r="C284">
        <f>IF(ISNA(MATCH(271,Engine!$C$2:$C$679,0)),"",INDEX('Compliance Database'!$C$2:$C$679,MATCH(271,Engine!$C$2:$C$679,0)))</f>
        <v/>
      </c>
      <c r="D284" s="8">
        <f>IF(ISNA(MATCH(271,Engine!$C$2:$C$679,0)),"",INDEX('Compliance Database'!$D$2:$D$679,MATCH(271,Engine!$C$2:$C$679,0)))</f>
        <v/>
      </c>
      <c r="E284">
        <f>IF(ISNA(MATCH(271,Engine!$C$2:$C$679,0)),"",INDEX('Compliance Database'!$E$2:$E$679,MATCH(271,Engine!$C$2:$C$679,0)))</f>
        <v/>
      </c>
      <c r="F284">
        <f>IF(ISNA(MATCH(271,Engine!$C$2:$C$679,0)),"",INDEX('Compliance Database'!$F$2:$F$679,MATCH(271,Engine!$C$2:$C$679,0)))</f>
        <v/>
      </c>
      <c r="G284">
        <f>IF(ISNA(MATCH(271,Engine!$C$2:$C$679,0)),"",INDEX('Compliance Database'!$G$2:$G$679,MATCH(271,Engine!$C$2:$C$679,0)))</f>
        <v/>
      </c>
      <c r="H284">
        <f>IF(ISNA(MATCH(271,Engine!$C$2:$C$679,0)),"",INDEX('Compliance Database'!$H$2:$H$679,MATCH(271,Engine!$C$2:$C$679,0)))</f>
        <v/>
      </c>
      <c r="I284" s="8">
        <f>IF(ISNA(MATCH(271,Engine!$C$2:$C$679,0)),"",INDEX('Compliance Database'!$I$2:$I$679,MATCH(271,Engine!$C$2:$C$679,0)))</f>
        <v/>
      </c>
      <c r="J284" s="8">
        <f>IF(ISNA(MATCH(271,Engine!$C$2:$C$679,0)),"",INDEX('Compliance Database'!$J$2:$J$679,MATCH(271,Engine!$C$2:$C$679,0)))</f>
        <v/>
      </c>
      <c r="K284">
        <f>IF(ISNA(MATCH(271,Engine!$C$2:$C$679,0)),"",INDEX('Compliance Database'!$K$2:$K$679,MATCH(271,Engine!$C$2:$C$679,0)))</f>
        <v/>
      </c>
      <c r="L284" s="8">
        <f>IF(ISNA(MATCH(271,Engine!$C$2:$C$679,0)),"",INDEX('Compliance Database'!$L$2:$L$679,MATCH(271,Engine!$C$2:$C$679,0)))</f>
        <v/>
      </c>
      <c r="M284" s="8">
        <f>IF(ISNA(MATCH(271,Engine!$C$2:$C$679,0)),"",INDEX('Compliance Database'!$M$2:$M$679,MATCH(271,Engine!$C$2:$C$679,0)))</f>
        <v/>
      </c>
      <c r="N284" s="8">
        <f>IF(ISNA(MATCH(271,Engine!$C$2:$C$679,0)),"",INDEX('Compliance Database'!$N$2:$N$679,MATCH(271,Engine!$C$2:$C$679,0)))</f>
        <v/>
      </c>
      <c r="O284" s="8">
        <f>IF(ISNA(MATCH(271,Engine!$C$2:$C$679,0)),"",INDEX('Compliance Database'!$O$2:$O$679,MATCH(271,Engine!$C$2:$C$679,0)))</f>
        <v/>
      </c>
      <c r="P284">
        <f>IF(ISNA(MATCH(271,Engine!$C$2:$C$679,0)),"",HYPERLINK(INDEX('Compliance Database'!$P$2:$P$679,MATCH(271,Engine!$C$2:$C$679,0)),"Open PDF"))</f>
        <v/>
      </c>
    </row>
    <row r="285">
      <c r="A285">
        <f>IF(ISNA(MATCH(272,Engine!$C$2:$C$679,0)),"",INDEX('Compliance Database'!$A$2:$A$679,MATCH(272,Engine!$C$2:$C$679,0)))</f>
        <v/>
      </c>
      <c r="B285">
        <f>IF(ISNA(MATCH(272,Engine!$C$2:$C$679,0)),"",INDEX('Compliance Database'!$B$2:$B$679,MATCH(272,Engine!$C$2:$C$679,0)))</f>
        <v/>
      </c>
      <c r="C285">
        <f>IF(ISNA(MATCH(272,Engine!$C$2:$C$679,0)),"",INDEX('Compliance Database'!$C$2:$C$679,MATCH(272,Engine!$C$2:$C$679,0)))</f>
        <v/>
      </c>
      <c r="D285" s="8">
        <f>IF(ISNA(MATCH(272,Engine!$C$2:$C$679,0)),"",INDEX('Compliance Database'!$D$2:$D$679,MATCH(272,Engine!$C$2:$C$679,0)))</f>
        <v/>
      </c>
      <c r="E285">
        <f>IF(ISNA(MATCH(272,Engine!$C$2:$C$679,0)),"",INDEX('Compliance Database'!$E$2:$E$679,MATCH(272,Engine!$C$2:$C$679,0)))</f>
        <v/>
      </c>
      <c r="F285">
        <f>IF(ISNA(MATCH(272,Engine!$C$2:$C$679,0)),"",INDEX('Compliance Database'!$F$2:$F$679,MATCH(272,Engine!$C$2:$C$679,0)))</f>
        <v/>
      </c>
      <c r="G285">
        <f>IF(ISNA(MATCH(272,Engine!$C$2:$C$679,0)),"",INDEX('Compliance Database'!$G$2:$G$679,MATCH(272,Engine!$C$2:$C$679,0)))</f>
        <v/>
      </c>
      <c r="H285">
        <f>IF(ISNA(MATCH(272,Engine!$C$2:$C$679,0)),"",INDEX('Compliance Database'!$H$2:$H$679,MATCH(272,Engine!$C$2:$C$679,0)))</f>
        <v/>
      </c>
      <c r="I285" s="8">
        <f>IF(ISNA(MATCH(272,Engine!$C$2:$C$679,0)),"",INDEX('Compliance Database'!$I$2:$I$679,MATCH(272,Engine!$C$2:$C$679,0)))</f>
        <v/>
      </c>
      <c r="J285" s="8">
        <f>IF(ISNA(MATCH(272,Engine!$C$2:$C$679,0)),"",INDEX('Compliance Database'!$J$2:$J$679,MATCH(272,Engine!$C$2:$C$679,0)))</f>
        <v/>
      </c>
      <c r="K285">
        <f>IF(ISNA(MATCH(272,Engine!$C$2:$C$679,0)),"",INDEX('Compliance Database'!$K$2:$K$679,MATCH(272,Engine!$C$2:$C$679,0)))</f>
        <v/>
      </c>
      <c r="L285" s="8">
        <f>IF(ISNA(MATCH(272,Engine!$C$2:$C$679,0)),"",INDEX('Compliance Database'!$L$2:$L$679,MATCH(272,Engine!$C$2:$C$679,0)))</f>
        <v/>
      </c>
      <c r="M285" s="8">
        <f>IF(ISNA(MATCH(272,Engine!$C$2:$C$679,0)),"",INDEX('Compliance Database'!$M$2:$M$679,MATCH(272,Engine!$C$2:$C$679,0)))</f>
        <v/>
      </c>
      <c r="N285" s="8">
        <f>IF(ISNA(MATCH(272,Engine!$C$2:$C$679,0)),"",INDEX('Compliance Database'!$N$2:$N$679,MATCH(272,Engine!$C$2:$C$679,0)))</f>
        <v/>
      </c>
      <c r="O285" s="8">
        <f>IF(ISNA(MATCH(272,Engine!$C$2:$C$679,0)),"",INDEX('Compliance Database'!$O$2:$O$679,MATCH(272,Engine!$C$2:$C$679,0)))</f>
        <v/>
      </c>
      <c r="P285">
        <f>IF(ISNA(MATCH(272,Engine!$C$2:$C$679,0)),"",HYPERLINK(INDEX('Compliance Database'!$P$2:$P$679,MATCH(272,Engine!$C$2:$C$679,0)),"Open PDF"))</f>
        <v/>
      </c>
    </row>
    <row r="286">
      <c r="A286">
        <f>IF(ISNA(MATCH(273,Engine!$C$2:$C$679,0)),"",INDEX('Compliance Database'!$A$2:$A$679,MATCH(273,Engine!$C$2:$C$679,0)))</f>
        <v/>
      </c>
      <c r="B286">
        <f>IF(ISNA(MATCH(273,Engine!$C$2:$C$679,0)),"",INDEX('Compliance Database'!$B$2:$B$679,MATCH(273,Engine!$C$2:$C$679,0)))</f>
        <v/>
      </c>
      <c r="C286">
        <f>IF(ISNA(MATCH(273,Engine!$C$2:$C$679,0)),"",INDEX('Compliance Database'!$C$2:$C$679,MATCH(273,Engine!$C$2:$C$679,0)))</f>
        <v/>
      </c>
      <c r="D286" s="8">
        <f>IF(ISNA(MATCH(273,Engine!$C$2:$C$679,0)),"",INDEX('Compliance Database'!$D$2:$D$679,MATCH(273,Engine!$C$2:$C$679,0)))</f>
        <v/>
      </c>
      <c r="E286">
        <f>IF(ISNA(MATCH(273,Engine!$C$2:$C$679,0)),"",INDEX('Compliance Database'!$E$2:$E$679,MATCH(273,Engine!$C$2:$C$679,0)))</f>
        <v/>
      </c>
      <c r="F286">
        <f>IF(ISNA(MATCH(273,Engine!$C$2:$C$679,0)),"",INDEX('Compliance Database'!$F$2:$F$679,MATCH(273,Engine!$C$2:$C$679,0)))</f>
        <v/>
      </c>
      <c r="G286">
        <f>IF(ISNA(MATCH(273,Engine!$C$2:$C$679,0)),"",INDEX('Compliance Database'!$G$2:$G$679,MATCH(273,Engine!$C$2:$C$679,0)))</f>
        <v/>
      </c>
      <c r="H286">
        <f>IF(ISNA(MATCH(273,Engine!$C$2:$C$679,0)),"",INDEX('Compliance Database'!$H$2:$H$679,MATCH(273,Engine!$C$2:$C$679,0)))</f>
        <v/>
      </c>
      <c r="I286" s="8">
        <f>IF(ISNA(MATCH(273,Engine!$C$2:$C$679,0)),"",INDEX('Compliance Database'!$I$2:$I$679,MATCH(273,Engine!$C$2:$C$679,0)))</f>
        <v/>
      </c>
      <c r="J286" s="8">
        <f>IF(ISNA(MATCH(273,Engine!$C$2:$C$679,0)),"",INDEX('Compliance Database'!$J$2:$J$679,MATCH(273,Engine!$C$2:$C$679,0)))</f>
        <v/>
      </c>
      <c r="K286">
        <f>IF(ISNA(MATCH(273,Engine!$C$2:$C$679,0)),"",INDEX('Compliance Database'!$K$2:$K$679,MATCH(273,Engine!$C$2:$C$679,0)))</f>
        <v/>
      </c>
      <c r="L286" s="8">
        <f>IF(ISNA(MATCH(273,Engine!$C$2:$C$679,0)),"",INDEX('Compliance Database'!$L$2:$L$679,MATCH(273,Engine!$C$2:$C$679,0)))</f>
        <v/>
      </c>
      <c r="M286" s="8">
        <f>IF(ISNA(MATCH(273,Engine!$C$2:$C$679,0)),"",INDEX('Compliance Database'!$M$2:$M$679,MATCH(273,Engine!$C$2:$C$679,0)))</f>
        <v/>
      </c>
      <c r="N286" s="8">
        <f>IF(ISNA(MATCH(273,Engine!$C$2:$C$679,0)),"",INDEX('Compliance Database'!$N$2:$N$679,MATCH(273,Engine!$C$2:$C$679,0)))</f>
        <v/>
      </c>
      <c r="O286" s="8">
        <f>IF(ISNA(MATCH(273,Engine!$C$2:$C$679,0)),"",INDEX('Compliance Database'!$O$2:$O$679,MATCH(273,Engine!$C$2:$C$679,0)))</f>
        <v/>
      </c>
      <c r="P286">
        <f>IF(ISNA(MATCH(273,Engine!$C$2:$C$679,0)),"",HYPERLINK(INDEX('Compliance Database'!$P$2:$P$679,MATCH(273,Engine!$C$2:$C$679,0)),"Open PDF"))</f>
        <v/>
      </c>
    </row>
    <row r="287">
      <c r="A287">
        <f>IF(ISNA(MATCH(274,Engine!$C$2:$C$679,0)),"",INDEX('Compliance Database'!$A$2:$A$679,MATCH(274,Engine!$C$2:$C$679,0)))</f>
        <v/>
      </c>
      <c r="B287">
        <f>IF(ISNA(MATCH(274,Engine!$C$2:$C$679,0)),"",INDEX('Compliance Database'!$B$2:$B$679,MATCH(274,Engine!$C$2:$C$679,0)))</f>
        <v/>
      </c>
      <c r="C287">
        <f>IF(ISNA(MATCH(274,Engine!$C$2:$C$679,0)),"",INDEX('Compliance Database'!$C$2:$C$679,MATCH(274,Engine!$C$2:$C$679,0)))</f>
        <v/>
      </c>
      <c r="D287" s="8">
        <f>IF(ISNA(MATCH(274,Engine!$C$2:$C$679,0)),"",INDEX('Compliance Database'!$D$2:$D$679,MATCH(274,Engine!$C$2:$C$679,0)))</f>
        <v/>
      </c>
      <c r="E287">
        <f>IF(ISNA(MATCH(274,Engine!$C$2:$C$679,0)),"",INDEX('Compliance Database'!$E$2:$E$679,MATCH(274,Engine!$C$2:$C$679,0)))</f>
        <v/>
      </c>
      <c r="F287">
        <f>IF(ISNA(MATCH(274,Engine!$C$2:$C$679,0)),"",INDEX('Compliance Database'!$F$2:$F$679,MATCH(274,Engine!$C$2:$C$679,0)))</f>
        <v/>
      </c>
      <c r="G287">
        <f>IF(ISNA(MATCH(274,Engine!$C$2:$C$679,0)),"",INDEX('Compliance Database'!$G$2:$G$679,MATCH(274,Engine!$C$2:$C$679,0)))</f>
        <v/>
      </c>
      <c r="H287">
        <f>IF(ISNA(MATCH(274,Engine!$C$2:$C$679,0)),"",INDEX('Compliance Database'!$H$2:$H$679,MATCH(274,Engine!$C$2:$C$679,0)))</f>
        <v/>
      </c>
      <c r="I287" s="8">
        <f>IF(ISNA(MATCH(274,Engine!$C$2:$C$679,0)),"",INDEX('Compliance Database'!$I$2:$I$679,MATCH(274,Engine!$C$2:$C$679,0)))</f>
        <v/>
      </c>
      <c r="J287" s="8">
        <f>IF(ISNA(MATCH(274,Engine!$C$2:$C$679,0)),"",INDEX('Compliance Database'!$J$2:$J$679,MATCH(274,Engine!$C$2:$C$679,0)))</f>
        <v/>
      </c>
      <c r="K287">
        <f>IF(ISNA(MATCH(274,Engine!$C$2:$C$679,0)),"",INDEX('Compliance Database'!$K$2:$K$679,MATCH(274,Engine!$C$2:$C$679,0)))</f>
        <v/>
      </c>
      <c r="L287" s="8">
        <f>IF(ISNA(MATCH(274,Engine!$C$2:$C$679,0)),"",INDEX('Compliance Database'!$L$2:$L$679,MATCH(274,Engine!$C$2:$C$679,0)))</f>
        <v/>
      </c>
      <c r="M287" s="8">
        <f>IF(ISNA(MATCH(274,Engine!$C$2:$C$679,0)),"",INDEX('Compliance Database'!$M$2:$M$679,MATCH(274,Engine!$C$2:$C$679,0)))</f>
        <v/>
      </c>
      <c r="N287" s="8">
        <f>IF(ISNA(MATCH(274,Engine!$C$2:$C$679,0)),"",INDEX('Compliance Database'!$N$2:$N$679,MATCH(274,Engine!$C$2:$C$679,0)))</f>
        <v/>
      </c>
      <c r="O287" s="8">
        <f>IF(ISNA(MATCH(274,Engine!$C$2:$C$679,0)),"",INDEX('Compliance Database'!$O$2:$O$679,MATCH(274,Engine!$C$2:$C$679,0)))</f>
        <v/>
      </c>
      <c r="P287">
        <f>IF(ISNA(MATCH(274,Engine!$C$2:$C$679,0)),"",HYPERLINK(INDEX('Compliance Database'!$P$2:$P$679,MATCH(274,Engine!$C$2:$C$679,0)),"Open PDF"))</f>
        <v/>
      </c>
    </row>
    <row r="288">
      <c r="A288">
        <f>IF(ISNA(MATCH(275,Engine!$C$2:$C$679,0)),"",INDEX('Compliance Database'!$A$2:$A$679,MATCH(275,Engine!$C$2:$C$679,0)))</f>
        <v/>
      </c>
      <c r="B288">
        <f>IF(ISNA(MATCH(275,Engine!$C$2:$C$679,0)),"",INDEX('Compliance Database'!$B$2:$B$679,MATCH(275,Engine!$C$2:$C$679,0)))</f>
        <v/>
      </c>
      <c r="C288">
        <f>IF(ISNA(MATCH(275,Engine!$C$2:$C$679,0)),"",INDEX('Compliance Database'!$C$2:$C$679,MATCH(275,Engine!$C$2:$C$679,0)))</f>
        <v/>
      </c>
      <c r="D288" s="8">
        <f>IF(ISNA(MATCH(275,Engine!$C$2:$C$679,0)),"",INDEX('Compliance Database'!$D$2:$D$679,MATCH(275,Engine!$C$2:$C$679,0)))</f>
        <v/>
      </c>
      <c r="E288">
        <f>IF(ISNA(MATCH(275,Engine!$C$2:$C$679,0)),"",INDEX('Compliance Database'!$E$2:$E$679,MATCH(275,Engine!$C$2:$C$679,0)))</f>
        <v/>
      </c>
      <c r="F288">
        <f>IF(ISNA(MATCH(275,Engine!$C$2:$C$679,0)),"",INDEX('Compliance Database'!$F$2:$F$679,MATCH(275,Engine!$C$2:$C$679,0)))</f>
        <v/>
      </c>
      <c r="G288">
        <f>IF(ISNA(MATCH(275,Engine!$C$2:$C$679,0)),"",INDEX('Compliance Database'!$G$2:$G$679,MATCH(275,Engine!$C$2:$C$679,0)))</f>
        <v/>
      </c>
      <c r="H288">
        <f>IF(ISNA(MATCH(275,Engine!$C$2:$C$679,0)),"",INDEX('Compliance Database'!$H$2:$H$679,MATCH(275,Engine!$C$2:$C$679,0)))</f>
        <v/>
      </c>
      <c r="I288" s="8">
        <f>IF(ISNA(MATCH(275,Engine!$C$2:$C$679,0)),"",INDEX('Compliance Database'!$I$2:$I$679,MATCH(275,Engine!$C$2:$C$679,0)))</f>
        <v/>
      </c>
      <c r="J288" s="8">
        <f>IF(ISNA(MATCH(275,Engine!$C$2:$C$679,0)),"",INDEX('Compliance Database'!$J$2:$J$679,MATCH(275,Engine!$C$2:$C$679,0)))</f>
        <v/>
      </c>
      <c r="K288">
        <f>IF(ISNA(MATCH(275,Engine!$C$2:$C$679,0)),"",INDEX('Compliance Database'!$K$2:$K$679,MATCH(275,Engine!$C$2:$C$679,0)))</f>
        <v/>
      </c>
      <c r="L288" s="8">
        <f>IF(ISNA(MATCH(275,Engine!$C$2:$C$679,0)),"",INDEX('Compliance Database'!$L$2:$L$679,MATCH(275,Engine!$C$2:$C$679,0)))</f>
        <v/>
      </c>
      <c r="M288" s="8">
        <f>IF(ISNA(MATCH(275,Engine!$C$2:$C$679,0)),"",INDEX('Compliance Database'!$M$2:$M$679,MATCH(275,Engine!$C$2:$C$679,0)))</f>
        <v/>
      </c>
      <c r="N288" s="8">
        <f>IF(ISNA(MATCH(275,Engine!$C$2:$C$679,0)),"",INDEX('Compliance Database'!$N$2:$N$679,MATCH(275,Engine!$C$2:$C$679,0)))</f>
        <v/>
      </c>
      <c r="O288" s="8">
        <f>IF(ISNA(MATCH(275,Engine!$C$2:$C$679,0)),"",INDEX('Compliance Database'!$O$2:$O$679,MATCH(275,Engine!$C$2:$C$679,0)))</f>
        <v/>
      </c>
      <c r="P288">
        <f>IF(ISNA(MATCH(275,Engine!$C$2:$C$679,0)),"",HYPERLINK(INDEX('Compliance Database'!$P$2:$P$679,MATCH(275,Engine!$C$2:$C$679,0)),"Open PDF"))</f>
        <v/>
      </c>
    </row>
    <row r="289">
      <c r="A289">
        <f>IF(ISNA(MATCH(276,Engine!$C$2:$C$679,0)),"",INDEX('Compliance Database'!$A$2:$A$679,MATCH(276,Engine!$C$2:$C$679,0)))</f>
        <v/>
      </c>
      <c r="B289">
        <f>IF(ISNA(MATCH(276,Engine!$C$2:$C$679,0)),"",INDEX('Compliance Database'!$B$2:$B$679,MATCH(276,Engine!$C$2:$C$679,0)))</f>
        <v/>
      </c>
      <c r="C289">
        <f>IF(ISNA(MATCH(276,Engine!$C$2:$C$679,0)),"",INDEX('Compliance Database'!$C$2:$C$679,MATCH(276,Engine!$C$2:$C$679,0)))</f>
        <v/>
      </c>
      <c r="D289" s="8">
        <f>IF(ISNA(MATCH(276,Engine!$C$2:$C$679,0)),"",INDEX('Compliance Database'!$D$2:$D$679,MATCH(276,Engine!$C$2:$C$679,0)))</f>
        <v/>
      </c>
      <c r="E289">
        <f>IF(ISNA(MATCH(276,Engine!$C$2:$C$679,0)),"",INDEX('Compliance Database'!$E$2:$E$679,MATCH(276,Engine!$C$2:$C$679,0)))</f>
        <v/>
      </c>
      <c r="F289">
        <f>IF(ISNA(MATCH(276,Engine!$C$2:$C$679,0)),"",INDEX('Compliance Database'!$F$2:$F$679,MATCH(276,Engine!$C$2:$C$679,0)))</f>
        <v/>
      </c>
      <c r="G289">
        <f>IF(ISNA(MATCH(276,Engine!$C$2:$C$679,0)),"",INDEX('Compliance Database'!$G$2:$G$679,MATCH(276,Engine!$C$2:$C$679,0)))</f>
        <v/>
      </c>
      <c r="H289">
        <f>IF(ISNA(MATCH(276,Engine!$C$2:$C$679,0)),"",INDEX('Compliance Database'!$H$2:$H$679,MATCH(276,Engine!$C$2:$C$679,0)))</f>
        <v/>
      </c>
      <c r="I289" s="8">
        <f>IF(ISNA(MATCH(276,Engine!$C$2:$C$679,0)),"",INDEX('Compliance Database'!$I$2:$I$679,MATCH(276,Engine!$C$2:$C$679,0)))</f>
        <v/>
      </c>
      <c r="J289" s="8">
        <f>IF(ISNA(MATCH(276,Engine!$C$2:$C$679,0)),"",INDEX('Compliance Database'!$J$2:$J$679,MATCH(276,Engine!$C$2:$C$679,0)))</f>
        <v/>
      </c>
      <c r="K289">
        <f>IF(ISNA(MATCH(276,Engine!$C$2:$C$679,0)),"",INDEX('Compliance Database'!$K$2:$K$679,MATCH(276,Engine!$C$2:$C$679,0)))</f>
        <v/>
      </c>
      <c r="L289" s="8">
        <f>IF(ISNA(MATCH(276,Engine!$C$2:$C$679,0)),"",INDEX('Compliance Database'!$L$2:$L$679,MATCH(276,Engine!$C$2:$C$679,0)))</f>
        <v/>
      </c>
      <c r="M289" s="8">
        <f>IF(ISNA(MATCH(276,Engine!$C$2:$C$679,0)),"",INDEX('Compliance Database'!$M$2:$M$679,MATCH(276,Engine!$C$2:$C$679,0)))</f>
        <v/>
      </c>
      <c r="N289" s="8">
        <f>IF(ISNA(MATCH(276,Engine!$C$2:$C$679,0)),"",INDEX('Compliance Database'!$N$2:$N$679,MATCH(276,Engine!$C$2:$C$679,0)))</f>
        <v/>
      </c>
      <c r="O289" s="8">
        <f>IF(ISNA(MATCH(276,Engine!$C$2:$C$679,0)),"",INDEX('Compliance Database'!$O$2:$O$679,MATCH(276,Engine!$C$2:$C$679,0)))</f>
        <v/>
      </c>
      <c r="P289">
        <f>IF(ISNA(MATCH(276,Engine!$C$2:$C$679,0)),"",HYPERLINK(INDEX('Compliance Database'!$P$2:$P$679,MATCH(276,Engine!$C$2:$C$679,0)),"Open PDF"))</f>
        <v/>
      </c>
    </row>
    <row r="290">
      <c r="A290">
        <f>IF(ISNA(MATCH(277,Engine!$C$2:$C$679,0)),"",INDEX('Compliance Database'!$A$2:$A$679,MATCH(277,Engine!$C$2:$C$679,0)))</f>
        <v/>
      </c>
      <c r="B290">
        <f>IF(ISNA(MATCH(277,Engine!$C$2:$C$679,0)),"",INDEX('Compliance Database'!$B$2:$B$679,MATCH(277,Engine!$C$2:$C$679,0)))</f>
        <v/>
      </c>
      <c r="C290">
        <f>IF(ISNA(MATCH(277,Engine!$C$2:$C$679,0)),"",INDEX('Compliance Database'!$C$2:$C$679,MATCH(277,Engine!$C$2:$C$679,0)))</f>
        <v/>
      </c>
      <c r="D290" s="8">
        <f>IF(ISNA(MATCH(277,Engine!$C$2:$C$679,0)),"",INDEX('Compliance Database'!$D$2:$D$679,MATCH(277,Engine!$C$2:$C$679,0)))</f>
        <v/>
      </c>
      <c r="E290">
        <f>IF(ISNA(MATCH(277,Engine!$C$2:$C$679,0)),"",INDEX('Compliance Database'!$E$2:$E$679,MATCH(277,Engine!$C$2:$C$679,0)))</f>
        <v/>
      </c>
      <c r="F290">
        <f>IF(ISNA(MATCH(277,Engine!$C$2:$C$679,0)),"",INDEX('Compliance Database'!$F$2:$F$679,MATCH(277,Engine!$C$2:$C$679,0)))</f>
        <v/>
      </c>
      <c r="G290">
        <f>IF(ISNA(MATCH(277,Engine!$C$2:$C$679,0)),"",INDEX('Compliance Database'!$G$2:$G$679,MATCH(277,Engine!$C$2:$C$679,0)))</f>
        <v/>
      </c>
      <c r="H290">
        <f>IF(ISNA(MATCH(277,Engine!$C$2:$C$679,0)),"",INDEX('Compliance Database'!$H$2:$H$679,MATCH(277,Engine!$C$2:$C$679,0)))</f>
        <v/>
      </c>
      <c r="I290" s="8">
        <f>IF(ISNA(MATCH(277,Engine!$C$2:$C$679,0)),"",INDEX('Compliance Database'!$I$2:$I$679,MATCH(277,Engine!$C$2:$C$679,0)))</f>
        <v/>
      </c>
      <c r="J290" s="8">
        <f>IF(ISNA(MATCH(277,Engine!$C$2:$C$679,0)),"",INDEX('Compliance Database'!$J$2:$J$679,MATCH(277,Engine!$C$2:$C$679,0)))</f>
        <v/>
      </c>
      <c r="K290">
        <f>IF(ISNA(MATCH(277,Engine!$C$2:$C$679,0)),"",INDEX('Compliance Database'!$K$2:$K$679,MATCH(277,Engine!$C$2:$C$679,0)))</f>
        <v/>
      </c>
      <c r="L290" s="8">
        <f>IF(ISNA(MATCH(277,Engine!$C$2:$C$679,0)),"",INDEX('Compliance Database'!$L$2:$L$679,MATCH(277,Engine!$C$2:$C$679,0)))</f>
        <v/>
      </c>
      <c r="M290" s="8">
        <f>IF(ISNA(MATCH(277,Engine!$C$2:$C$679,0)),"",INDEX('Compliance Database'!$M$2:$M$679,MATCH(277,Engine!$C$2:$C$679,0)))</f>
        <v/>
      </c>
      <c r="N290" s="8">
        <f>IF(ISNA(MATCH(277,Engine!$C$2:$C$679,0)),"",INDEX('Compliance Database'!$N$2:$N$679,MATCH(277,Engine!$C$2:$C$679,0)))</f>
        <v/>
      </c>
      <c r="O290" s="8">
        <f>IF(ISNA(MATCH(277,Engine!$C$2:$C$679,0)),"",INDEX('Compliance Database'!$O$2:$O$679,MATCH(277,Engine!$C$2:$C$679,0)))</f>
        <v/>
      </c>
      <c r="P290">
        <f>IF(ISNA(MATCH(277,Engine!$C$2:$C$679,0)),"",HYPERLINK(INDEX('Compliance Database'!$P$2:$P$679,MATCH(277,Engine!$C$2:$C$679,0)),"Open PDF"))</f>
        <v/>
      </c>
    </row>
    <row r="291">
      <c r="A291">
        <f>IF(ISNA(MATCH(278,Engine!$C$2:$C$679,0)),"",INDEX('Compliance Database'!$A$2:$A$679,MATCH(278,Engine!$C$2:$C$679,0)))</f>
        <v/>
      </c>
      <c r="B291">
        <f>IF(ISNA(MATCH(278,Engine!$C$2:$C$679,0)),"",INDEX('Compliance Database'!$B$2:$B$679,MATCH(278,Engine!$C$2:$C$679,0)))</f>
        <v/>
      </c>
      <c r="C291">
        <f>IF(ISNA(MATCH(278,Engine!$C$2:$C$679,0)),"",INDEX('Compliance Database'!$C$2:$C$679,MATCH(278,Engine!$C$2:$C$679,0)))</f>
        <v/>
      </c>
      <c r="D291" s="8">
        <f>IF(ISNA(MATCH(278,Engine!$C$2:$C$679,0)),"",INDEX('Compliance Database'!$D$2:$D$679,MATCH(278,Engine!$C$2:$C$679,0)))</f>
        <v/>
      </c>
      <c r="E291">
        <f>IF(ISNA(MATCH(278,Engine!$C$2:$C$679,0)),"",INDEX('Compliance Database'!$E$2:$E$679,MATCH(278,Engine!$C$2:$C$679,0)))</f>
        <v/>
      </c>
      <c r="F291">
        <f>IF(ISNA(MATCH(278,Engine!$C$2:$C$679,0)),"",INDEX('Compliance Database'!$F$2:$F$679,MATCH(278,Engine!$C$2:$C$679,0)))</f>
        <v/>
      </c>
      <c r="G291">
        <f>IF(ISNA(MATCH(278,Engine!$C$2:$C$679,0)),"",INDEX('Compliance Database'!$G$2:$G$679,MATCH(278,Engine!$C$2:$C$679,0)))</f>
        <v/>
      </c>
      <c r="H291">
        <f>IF(ISNA(MATCH(278,Engine!$C$2:$C$679,0)),"",INDEX('Compliance Database'!$H$2:$H$679,MATCH(278,Engine!$C$2:$C$679,0)))</f>
        <v/>
      </c>
      <c r="I291" s="8">
        <f>IF(ISNA(MATCH(278,Engine!$C$2:$C$679,0)),"",INDEX('Compliance Database'!$I$2:$I$679,MATCH(278,Engine!$C$2:$C$679,0)))</f>
        <v/>
      </c>
      <c r="J291" s="8">
        <f>IF(ISNA(MATCH(278,Engine!$C$2:$C$679,0)),"",INDEX('Compliance Database'!$J$2:$J$679,MATCH(278,Engine!$C$2:$C$679,0)))</f>
        <v/>
      </c>
      <c r="K291">
        <f>IF(ISNA(MATCH(278,Engine!$C$2:$C$679,0)),"",INDEX('Compliance Database'!$K$2:$K$679,MATCH(278,Engine!$C$2:$C$679,0)))</f>
        <v/>
      </c>
      <c r="L291" s="8">
        <f>IF(ISNA(MATCH(278,Engine!$C$2:$C$679,0)),"",INDEX('Compliance Database'!$L$2:$L$679,MATCH(278,Engine!$C$2:$C$679,0)))</f>
        <v/>
      </c>
      <c r="M291" s="8">
        <f>IF(ISNA(MATCH(278,Engine!$C$2:$C$679,0)),"",INDEX('Compliance Database'!$M$2:$M$679,MATCH(278,Engine!$C$2:$C$679,0)))</f>
        <v/>
      </c>
      <c r="N291" s="8">
        <f>IF(ISNA(MATCH(278,Engine!$C$2:$C$679,0)),"",INDEX('Compliance Database'!$N$2:$N$679,MATCH(278,Engine!$C$2:$C$679,0)))</f>
        <v/>
      </c>
      <c r="O291" s="8">
        <f>IF(ISNA(MATCH(278,Engine!$C$2:$C$679,0)),"",INDEX('Compliance Database'!$O$2:$O$679,MATCH(278,Engine!$C$2:$C$679,0)))</f>
        <v/>
      </c>
      <c r="P291">
        <f>IF(ISNA(MATCH(278,Engine!$C$2:$C$679,0)),"",HYPERLINK(INDEX('Compliance Database'!$P$2:$P$679,MATCH(278,Engine!$C$2:$C$679,0)),"Open PDF"))</f>
        <v/>
      </c>
    </row>
    <row r="292">
      <c r="A292">
        <f>IF(ISNA(MATCH(279,Engine!$C$2:$C$679,0)),"",INDEX('Compliance Database'!$A$2:$A$679,MATCH(279,Engine!$C$2:$C$679,0)))</f>
        <v/>
      </c>
      <c r="B292">
        <f>IF(ISNA(MATCH(279,Engine!$C$2:$C$679,0)),"",INDEX('Compliance Database'!$B$2:$B$679,MATCH(279,Engine!$C$2:$C$679,0)))</f>
        <v/>
      </c>
      <c r="C292">
        <f>IF(ISNA(MATCH(279,Engine!$C$2:$C$679,0)),"",INDEX('Compliance Database'!$C$2:$C$679,MATCH(279,Engine!$C$2:$C$679,0)))</f>
        <v/>
      </c>
      <c r="D292" s="8">
        <f>IF(ISNA(MATCH(279,Engine!$C$2:$C$679,0)),"",INDEX('Compliance Database'!$D$2:$D$679,MATCH(279,Engine!$C$2:$C$679,0)))</f>
        <v/>
      </c>
      <c r="E292">
        <f>IF(ISNA(MATCH(279,Engine!$C$2:$C$679,0)),"",INDEX('Compliance Database'!$E$2:$E$679,MATCH(279,Engine!$C$2:$C$679,0)))</f>
        <v/>
      </c>
      <c r="F292">
        <f>IF(ISNA(MATCH(279,Engine!$C$2:$C$679,0)),"",INDEX('Compliance Database'!$F$2:$F$679,MATCH(279,Engine!$C$2:$C$679,0)))</f>
        <v/>
      </c>
      <c r="G292">
        <f>IF(ISNA(MATCH(279,Engine!$C$2:$C$679,0)),"",INDEX('Compliance Database'!$G$2:$G$679,MATCH(279,Engine!$C$2:$C$679,0)))</f>
        <v/>
      </c>
      <c r="H292">
        <f>IF(ISNA(MATCH(279,Engine!$C$2:$C$679,0)),"",INDEX('Compliance Database'!$H$2:$H$679,MATCH(279,Engine!$C$2:$C$679,0)))</f>
        <v/>
      </c>
      <c r="I292" s="8">
        <f>IF(ISNA(MATCH(279,Engine!$C$2:$C$679,0)),"",INDEX('Compliance Database'!$I$2:$I$679,MATCH(279,Engine!$C$2:$C$679,0)))</f>
        <v/>
      </c>
      <c r="J292" s="8">
        <f>IF(ISNA(MATCH(279,Engine!$C$2:$C$679,0)),"",INDEX('Compliance Database'!$J$2:$J$679,MATCH(279,Engine!$C$2:$C$679,0)))</f>
        <v/>
      </c>
      <c r="K292">
        <f>IF(ISNA(MATCH(279,Engine!$C$2:$C$679,0)),"",INDEX('Compliance Database'!$K$2:$K$679,MATCH(279,Engine!$C$2:$C$679,0)))</f>
        <v/>
      </c>
      <c r="L292" s="8">
        <f>IF(ISNA(MATCH(279,Engine!$C$2:$C$679,0)),"",INDEX('Compliance Database'!$L$2:$L$679,MATCH(279,Engine!$C$2:$C$679,0)))</f>
        <v/>
      </c>
      <c r="M292" s="8">
        <f>IF(ISNA(MATCH(279,Engine!$C$2:$C$679,0)),"",INDEX('Compliance Database'!$M$2:$M$679,MATCH(279,Engine!$C$2:$C$679,0)))</f>
        <v/>
      </c>
      <c r="N292" s="8">
        <f>IF(ISNA(MATCH(279,Engine!$C$2:$C$679,0)),"",INDEX('Compliance Database'!$N$2:$N$679,MATCH(279,Engine!$C$2:$C$679,0)))</f>
        <v/>
      </c>
      <c r="O292" s="8">
        <f>IF(ISNA(MATCH(279,Engine!$C$2:$C$679,0)),"",INDEX('Compliance Database'!$O$2:$O$679,MATCH(279,Engine!$C$2:$C$679,0)))</f>
        <v/>
      </c>
      <c r="P292">
        <f>IF(ISNA(MATCH(279,Engine!$C$2:$C$679,0)),"",HYPERLINK(INDEX('Compliance Database'!$P$2:$P$679,MATCH(279,Engine!$C$2:$C$679,0)),"Open PDF"))</f>
        <v/>
      </c>
    </row>
    <row r="293">
      <c r="A293">
        <f>IF(ISNA(MATCH(280,Engine!$C$2:$C$679,0)),"",INDEX('Compliance Database'!$A$2:$A$679,MATCH(280,Engine!$C$2:$C$679,0)))</f>
        <v/>
      </c>
      <c r="B293">
        <f>IF(ISNA(MATCH(280,Engine!$C$2:$C$679,0)),"",INDEX('Compliance Database'!$B$2:$B$679,MATCH(280,Engine!$C$2:$C$679,0)))</f>
        <v/>
      </c>
      <c r="C293">
        <f>IF(ISNA(MATCH(280,Engine!$C$2:$C$679,0)),"",INDEX('Compliance Database'!$C$2:$C$679,MATCH(280,Engine!$C$2:$C$679,0)))</f>
        <v/>
      </c>
      <c r="D293" s="8">
        <f>IF(ISNA(MATCH(280,Engine!$C$2:$C$679,0)),"",INDEX('Compliance Database'!$D$2:$D$679,MATCH(280,Engine!$C$2:$C$679,0)))</f>
        <v/>
      </c>
      <c r="E293">
        <f>IF(ISNA(MATCH(280,Engine!$C$2:$C$679,0)),"",INDEX('Compliance Database'!$E$2:$E$679,MATCH(280,Engine!$C$2:$C$679,0)))</f>
        <v/>
      </c>
      <c r="F293">
        <f>IF(ISNA(MATCH(280,Engine!$C$2:$C$679,0)),"",INDEX('Compliance Database'!$F$2:$F$679,MATCH(280,Engine!$C$2:$C$679,0)))</f>
        <v/>
      </c>
      <c r="G293">
        <f>IF(ISNA(MATCH(280,Engine!$C$2:$C$679,0)),"",INDEX('Compliance Database'!$G$2:$G$679,MATCH(280,Engine!$C$2:$C$679,0)))</f>
        <v/>
      </c>
      <c r="H293">
        <f>IF(ISNA(MATCH(280,Engine!$C$2:$C$679,0)),"",INDEX('Compliance Database'!$H$2:$H$679,MATCH(280,Engine!$C$2:$C$679,0)))</f>
        <v/>
      </c>
      <c r="I293" s="8">
        <f>IF(ISNA(MATCH(280,Engine!$C$2:$C$679,0)),"",INDEX('Compliance Database'!$I$2:$I$679,MATCH(280,Engine!$C$2:$C$679,0)))</f>
        <v/>
      </c>
      <c r="J293" s="8">
        <f>IF(ISNA(MATCH(280,Engine!$C$2:$C$679,0)),"",INDEX('Compliance Database'!$J$2:$J$679,MATCH(280,Engine!$C$2:$C$679,0)))</f>
        <v/>
      </c>
      <c r="K293">
        <f>IF(ISNA(MATCH(280,Engine!$C$2:$C$679,0)),"",INDEX('Compliance Database'!$K$2:$K$679,MATCH(280,Engine!$C$2:$C$679,0)))</f>
        <v/>
      </c>
      <c r="L293" s="8">
        <f>IF(ISNA(MATCH(280,Engine!$C$2:$C$679,0)),"",INDEX('Compliance Database'!$L$2:$L$679,MATCH(280,Engine!$C$2:$C$679,0)))</f>
        <v/>
      </c>
      <c r="M293" s="8">
        <f>IF(ISNA(MATCH(280,Engine!$C$2:$C$679,0)),"",INDEX('Compliance Database'!$M$2:$M$679,MATCH(280,Engine!$C$2:$C$679,0)))</f>
        <v/>
      </c>
      <c r="N293" s="8">
        <f>IF(ISNA(MATCH(280,Engine!$C$2:$C$679,0)),"",INDEX('Compliance Database'!$N$2:$N$679,MATCH(280,Engine!$C$2:$C$679,0)))</f>
        <v/>
      </c>
      <c r="O293" s="8">
        <f>IF(ISNA(MATCH(280,Engine!$C$2:$C$679,0)),"",INDEX('Compliance Database'!$O$2:$O$679,MATCH(280,Engine!$C$2:$C$679,0)))</f>
        <v/>
      </c>
      <c r="P293">
        <f>IF(ISNA(MATCH(280,Engine!$C$2:$C$679,0)),"",HYPERLINK(INDEX('Compliance Database'!$P$2:$P$679,MATCH(280,Engine!$C$2:$C$679,0)),"Open PDF"))</f>
        <v/>
      </c>
    </row>
    <row r="294">
      <c r="A294">
        <f>IF(ISNA(MATCH(281,Engine!$C$2:$C$679,0)),"",INDEX('Compliance Database'!$A$2:$A$679,MATCH(281,Engine!$C$2:$C$679,0)))</f>
        <v/>
      </c>
      <c r="B294">
        <f>IF(ISNA(MATCH(281,Engine!$C$2:$C$679,0)),"",INDEX('Compliance Database'!$B$2:$B$679,MATCH(281,Engine!$C$2:$C$679,0)))</f>
        <v/>
      </c>
      <c r="C294">
        <f>IF(ISNA(MATCH(281,Engine!$C$2:$C$679,0)),"",INDEX('Compliance Database'!$C$2:$C$679,MATCH(281,Engine!$C$2:$C$679,0)))</f>
        <v/>
      </c>
      <c r="D294" s="8">
        <f>IF(ISNA(MATCH(281,Engine!$C$2:$C$679,0)),"",INDEX('Compliance Database'!$D$2:$D$679,MATCH(281,Engine!$C$2:$C$679,0)))</f>
        <v/>
      </c>
      <c r="E294">
        <f>IF(ISNA(MATCH(281,Engine!$C$2:$C$679,0)),"",INDEX('Compliance Database'!$E$2:$E$679,MATCH(281,Engine!$C$2:$C$679,0)))</f>
        <v/>
      </c>
      <c r="F294">
        <f>IF(ISNA(MATCH(281,Engine!$C$2:$C$679,0)),"",INDEX('Compliance Database'!$F$2:$F$679,MATCH(281,Engine!$C$2:$C$679,0)))</f>
        <v/>
      </c>
      <c r="G294">
        <f>IF(ISNA(MATCH(281,Engine!$C$2:$C$679,0)),"",INDEX('Compliance Database'!$G$2:$G$679,MATCH(281,Engine!$C$2:$C$679,0)))</f>
        <v/>
      </c>
      <c r="H294">
        <f>IF(ISNA(MATCH(281,Engine!$C$2:$C$679,0)),"",INDEX('Compliance Database'!$H$2:$H$679,MATCH(281,Engine!$C$2:$C$679,0)))</f>
        <v/>
      </c>
      <c r="I294" s="8">
        <f>IF(ISNA(MATCH(281,Engine!$C$2:$C$679,0)),"",INDEX('Compliance Database'!$I$2:$I$679,MATCH(281,Engine!$C$2:$C$679,0)))</f>
        <v/>
      </c>
      <c r="J294" s="8">
        <f>IF(ISNA(MATCH(281,Engine!$C$2:$C$679,0)),"",INDEX('Compliance Database'!$J$2:$J$679,MATCH(281,Engine!$C$2:$C$679,0)))</f>
        <v/>
      </c>
      <c r="K294">
        <f>IF(ISNA(MATCH(281,Engine!$C$2:$C$679,0)),"",INDEX('Compliance Database'!$K$2:$K$679,MATCH(281,Engine!$C$2:$C$679,0)))</f>
        <v/>
      </c>
      <c r="L294" s="8">
        <f>IF(ISNA(MATCH(281,Engine!$C$2:$C$679,0)),"",INDEX('Compliance Database'!$L$2:$L$679,MATCH(281,Engine!$C$2:$C$679,0)))</f>
        <v/>
      </c>
      <c r="M294" s="8">
        <f>IF(ISNA(MATCH(281,Engine!$C$2:$C$679,0)),"",INDEX('Compliance Database'!$M$2:$M$679,MATCH(281,Engine!$C$2:$C$679,0)))</f>
        <v/>
      </c>
      <c r="N294" s="8">
        <f>IF(ISNA(MATCH(281,Engine!$C$2:$C$679,0)),"",INDEX('Compliance Database'!$N$2:$N$679,MATCH(281,Engine!$C$2:$C$679,0)))</f>
        <v/>
      </c>
      <c r="O294" s="8">
        <f>IF(ISNA(MATCH(281,Engine!$C$2:$C$679,0)),"",INDEX('Compliance Database'!$O$2:$O$679,MATCH(281,Engine!$C$2:$C$679,0)))</f>
        <v/>
      </c>
      <c r="P294">
        <f>IF(ISNA(MATCH(281,Engine!$C$2:$C$679,0)),"",HYPERLINK(INDEX('Compliance Database'!$P$2:$P$679,MATCH(281,Engine!$C$2:$C$679,0)),"Open PDF"))</f>
        <v/>
      </c>
    </row>
    <row r="295">
      <c r="A295">
        <f>IF(ISNA(MATCH(282,Engine!$C$2:$C$679,0)),"",INDEX('Compliance Database'!$A$2:$A$679,MATCH(282,Engine!$C$2:$C$679,0)))</f>
        <v/>
      </c>
      <c r="B295">
        <f>IF(ISNA(MATCH(282,Engine!$C$2:$C$679,0)),"",INDEX('Compliance Database'!$B$2:$B$679,MATCH(282,Engine!$C$2:$C$679,0)))</f>
        <v/>
      </c>
      <c r="C295">
        <f>IF(ISNA(MATCH(282,Engine!$C$2:$C$679,0)),"",INDEX('Compliance Database'!$C$2:$C$679,MATCH(282,Engine!$C$2:$C$679,0)))</f>
        <v/>
      </c>
      <c r="D295" s="8">
        <f>IF(ISNA(MATCH(282,Engine!$C$2:$C$679,0)),"",INDEX('Compliance Database'!$D$2:$D$679,MATCH(282,Engine!$C$2:$C$679,0)))</f>
        <v/>
      </c>
      <c r="E295">
        <f>IF(ISNA(MATCH(282,Engine!$C$2:$C$679,0)),"",INDEX('Compliance Database'!$E$2:$E$679,MATCH(282,Engine!$C$2:$C$679,0)))</f>
        <v/>
      </c>
      <c r="F295">
        <f>IF(ISNA(MATCH(282,Engine!$C$2:$C$679,0)),"",INDEX('Compliance Database'!$F$2:$F$679,MATCH(282,Engine!$C$2:$C$679,0)))</f>
        <v/>
      </c>
      <c r="G295">
        <f>IF(ISNA(MATCH(282,Engine!$C$2:$C$679,0)),"",INDEX('Compliance Database'!$G$2:$G$679,MATCH(282,Engine!$C$2:$C$679,0)))</f>
        <v/>
      </c>
      <c r="H295">
        <f>IF(ISNA(MATCH(282,Engine!$C$2:$C$679,0)),"",INDEX('Compliance Database'!$H$2:$H$679,MATCH(282,Engine!$C$2:$C$679,0)))</f>
        <v/>
      </c>
      <c r="I295" s="8">
        <f>IF(ISNA(MATCH(282,Engine!$C$2:$C$679,0)),"",INDEX('Compliance Database'!$I$2:$I$679,MATCH(282,Engine!$C$2:$C$679,0)))</f>
        <v/>
      </c>
      <c r="J295" s="8">
        <f>IF(ISNA(MATCH(282,Engine!$C$2:$C$679,0)),"",INDEX('Compliance Database'!$J$2:$J$679,MATCH(282,Engine!$C$2:$C$679,0)))</f>
        <v/>
      </c>
      <c r="K295">
        <f>IF(ISNA(MATCH(282,Engine!$C$2:$C$679,0)),"",INDEX('Compliance Database'!$K$2:$K$679,MATCH(282,Engine!$C$2:$C$679,0)))</f>
        <v/>
      </c>
      <c r="L295" s="8">
        <f>IF(ISNA(MATCH(282,Engine!$C$2:$C$679,0)),"",INDEX('Compliance Database'!$L$2:$L$679,MATCH(282,Engine!$C$2:$C$679,0)))</f>
        <v/>
      </c>
      <c r="M295" s="8">
        <f>IF(ISNA(MATCH(282,Engine!$C$2:$C$679,0)),"",INDEX('Compliance Database'!$M$2:$M$679,MATCH(282,Engine!$C$2:$C$679,0)))</f>
        <v/>
      </c>
      <c r="N295" s="8">
        <f>IF(ISNA(MATCH(282,Engine!$C$2:$C$679,0)),"",INDEX('Compliance Database'!$N$2:$N$679,MATCH(282,Engine!$C$2:$C$679,0)))</f>
        <v/>
      </c>
      <c r="O295" s="8">
        <f>IF(ISNA(MATCH(282,Engine!$C$2:$C$679,0)),"",INDEX('Compliance Database'!$O$2:$O$679,MATCH(282,Engine!$C$2:$C$679,0)))</f>
        <v/>
      </c>
      <c r="P295">
        <f>IF(ISNA(MATCH(282,Engine!$C$2:$C$679,0)),"",HYPERLINK(INDEX('Compliance Database'!$P$2:$P$679,MATCH(282,Engine!$C$2:$C$679,0)),"Open PDF"))</f>
        <v/>
      </c>
    </row>
    <row r="296">
      <c r="A296">
        <f>IF(ISNA(MATCH(283,Engine!$C$2:$C$679,0)),"",INDEX('Compliance Database'!$A$2:$A$679,MATCH(283,Engine!$C$2:$C$679,0)))</f>
        <v/>
      </c>
      <c r="B296">
        <f>IF(ISNA(MATCH(283,Engine!$C$2:$C$679,0)),"",INDEX('Compliance Database'!$B$2:$B$679,MATCH(283,Engine!$C$2:$C$679,0)))</f>
        <v/>
      </c>
      <c r="C296">
        <f>IF(ISNA(MATCH(283,Engine!$C$2:$C$679,0)),"",INDEX('Compliance Database'!$C$2:$C$679,MATCH(283,Engine!$C$2:$C$679,0)))</f>
        <v/>
      </c>
      <c r="D296" s="8">
        <f>IF(ISNA(MATCH(283,Engine!$C$2:$C$679,0)),"",INDEX('Compliance Database'!$D$2:$D$679,MATCH(283,Engine!$C$2:$C$679,0)))</f>
        <v/>
      </c>
      <c r="E296">
        <f>IF(ISNA(MATCH(283,Engine!$C$2:$C$679,0)),"",INDEX('Compliance Database'!$E$2:$E$679,MATCH(283,Engine!$C$2:$C$679,0)))</f>
        <v/>
      </c>
      <c r="F296">
        <f>IF(ISNA(MATCH(283,Engine!$C$2:$C$679,0)),"",INDEX('Compliance Database'!$F$2:$F$679,MATCH(283,Engine!$C$2:$C$679,0)))</f>
        <v/>
      </c>
      <c r="G296">
        <f>IF(ISNA(MATCH(283,Engine!$C$2:$C$679,0)),"",INDEX('Compliance Database'!$G$2:$G$679,MATCH(283,Engine!$C$2:$C$679,0)))</f>
        <v/>
      </c>
      <c r="H296">
        <f>IF(ISNA(MATCH(283,Engine!$C$2:$C$679,0)),"",INDEX('Compliance Database'!$H$2:$H$679,MATCH(283,Engine!$C$2:$C$679,0)))</f>
        <v/>
      </c>
      <c r="I296" s="8">
        <f>IF(ISNA(MATCH(283,Engine!$C$2:$C$679,0)),"",INDEX('Compliance Database'!$I$2:$I$679,MATCH(283,Engine!$C$2:$C$679,0)))</f>
        <v/>
      </c>
      <c r="J296" s="8">
        <f>IF(ISNA(MATCH(283,Engine!$C$2:$C$679,0)),"",INDEX('Compliance Database'!$J$2:$J$679,MATCH(283,Engine!$C$2:$C$679,0)))</f>
        <v/>
      </c>
      <c r="K296">
        <f>IF(ISNA(MATCH(283,Engine!$C$2:$C$679,0)),"",INDEX('Compliance Database'!$K$2:$K$679,MATCH(283,Engine!$C$2:$C$679,0)))</f>
        <v/>
      </c>
      <c r="L296" s="8">
        <f>IF(ISNA(MATCH(283,Engine!$C$2:$C$679,0)),"",INDEX('Compliance Database'!$L$2:$L$679,MATCH(283,Engine!$C$2:$C$679,0)))</f>
        <v/>
      </c>
      <c r="M296" s="8">
        <f>IF(ISNA(MATCH(283,Engine!$C$2:$C$679,0)),"",INDEX('Compliance Database'!$M$2:$M$679,MATCH(283,Engine!$C$2:$C$679,0)))</f>
        <v/>
      </c>
      <c r="N296" s="8">
        <f>IF(ISNA(MATCH(283,Engine!$C$2:$C$679,0)),"",INDEX('Compliance Database'!$N$2:$N$679,MATCH(283,Engine!$C$2:$C$679,0)))</f>
        <v/>
      </c>
      <c r="O296" s="8">
        <f>IF(ISNA(MATCH(283,Engine!$C$2:$C$679,0)),"",INDEX('Compliance Database'!$O$2:$O$679,MATCH(283,Engine!$C$2:$C$679,0)))</f>
        <v/>
      </c>
      <c r="P296">
        <f>IF(ISNA(MATCH(283,Engine!$C$2:$C$679,0)),"",HYPERLINK(INDEX('Compliance Database'!$P$2:$P$679,MATCH(283,Engine!$C$2:$C$679,0)),"Open PDF"))</f>
        <v/>
      </c>
    </row>
    <row r="297">
      <c r="A297">
        <f>IF(ISNA(MATCH(284,Engine!$C$2:$C$679,0)),"",INDEX('Compliance Database'!$A$2:$A$679,MATCH(284,Engine!$C$2:$C$679,0)))</f>
        <v/>
      </c>
      <c r="B297">
        <f>IF(ISNA(MATCH(284,Engine!$C$2:$C$679,0)),"",INDEX('Compliance Database'!$B$2:$B$679,MATCH(284,Engine!$C$2:$C$679,0)))</f>
        <v/>
      </c>
      <c r="C297">
        <f>IF(ISNA(MATCH(284,Engine!$C$2:$C$679,0)),"",INDEX('Compliance Database'!$C$2:$C$679,MATCH(284,Engine!$C$2:$C$679,0)))</f>
        <v/>
      </c>
      <c r="D297" s="8">
        <f>IF(ISNA(MATCH(284,Engine!$C$2:$C$679,0)),"",INDEX('Compliance Database'!$D$2:$D$679,MATCH(284,Engine!$C$2:$C$679,0)))</f>
        <v/>
      </c>
      <c r="E297">
        <f>IF(ISNA(MATCH(284,Engine!$C$2:$C$679,0)),"",INDEX('Compliance Database'!$E$2:$E$679,MATCH(284,Engine!$C$2:$C$679,0)))</f>
        <v/>
      </c>
      <c r="F297">
        <f>IF(ISNA(MATCH(284,Engine!$C$2:$C$679,0)),"",INDEX('Compliance Database'!$F$2:$F$679,MATCH(284,Engine!$C$2:$C$679,0)))</f>
        <v/>
      </c>
      <c r="G297">
        <f>IF(ISNA(MATCH(284,Engine!$C$2:$C$679,0)),"",INDEX('Compliance Database'!$G$2:$G$679,MATCH(284,Engine!$C$2:$C$679,0)))</f>
        <v/>
      </c>
      <c r="H297">
        <f>IF(ISNA(MATCH(284,Engine!$C$2:$C$679,0)),"",INDEX('Compliance Database'!$H$2:$H$679,MATCH(284,Engine!$C$2:$C$679,0)))</f>
        <v/>
      </c>
      <c r="I297" s="8">
        <f>IF(ISNA(MATCH(284,Engine!$C$2:$C$679,0)),"",INDEX('Compliance Database'!$I$2:$I$679,MATCH(284,Engine!$C$2:$C$679,0)))</f>
        <v/>
      </c>
      <c r="J297" s="8">
        <f>IF(ISNA(MATCH(284,Engine!$C$2:$C$679,0)),"",INDEX('Compliance Database'!$J$2:$J$679,MATCH(284,Engine!$C$2:$C$679,0)))</f>
        <v/>
      </c>
      <c r="K297">
        <f>IF(ISNA(MATCH(284,Engine!$C$2:$C$679,0)),"",INDEX('Compliance Database'!$K$2:$K$679,MATCH(284,Engine!$C$2:$C$679,0)))</f>
        <v/>
      </c>
      <c r="L297" s="8">
        <f>IF(ISNA(MATCH(284,Engine!$C$2:$C$679,0)),"",INDEX('Compliance Database'!$L$2:$L$679,MATCH(284,Engine!$C$2:$C$679,0)))</f>
        <v/>
      </c>
      <c r="M297" s="8">
        <f>IF(ISNA(MATCH(284,Engine!$C$2:$C$679,0)),"",INDEX('Compliance Database'!$M$2:$M$679,MATCH(284,Engine!$C$2:$C$679,0)))</f>
        <v/>
      </c>
      <c r="N297" s="8">
        <f>IF(ISNA(MATCH(284,Engine!$C$2:$C$679,0)),"",INDEX('Compliance Database'!$N$2:$N$679,MATCH(284,Engine!$C$2:$C$679,0)))</f>
        <v/>
      </c>
      <c r="O297" s="8">
        <f>IF(ISNA(MATCH(284,Engine!$C$2:$C$679,0)),"",INDEX('Compliance Database'!$O$2:$O$679,MATCH(284,Engine!$C$2:$C$679,0)))</f>
        <v/>
      </c>
      <c r="P297">
        <f>IF(ISNA(MATCH(284,Engine!$C$2:$C$679,0)),"",HYPERLINK(INDEX('Compliance Database'!$P$2:$P$679,MATCH(284,Engine!$C$2:$C$679,0)),"Open PDF"))</f>
        <v/>
      </c>
    </row>
    <row r="298">
      <c r="A298">
        <f>IF(ISNA(MATCH(285,Engine!$C$2:$C$679,0)),"",INDEX('Compliance Database'!$A$2:$A$679,MATCH(285,Engine!$C$2:$C$679,0)))</f>
        <v/>
      </c>
      <c r="B298">
        <f>IF(ISNA(MATCH(285,Engine!$C$2:$C$679,0)),"",INDEX('Compliance Database'!$B$2:$B$679,MATCH(285,Engine!$C$2:$C$679,0)))</f>
        <v/>
      </c>
      <c r="C298">
        <f>IF(ISNA(MATCH(285,Engine!$C$2:$C$679,0)),"",INDEX('Compliance Database'!$C$2:$C$679,MATCH(285,Engine!$C$2:$C$679,0)))</f>
        <v/>
      </c>
      <c r="D298" s="8">
        <f>IF(ISNA(MATCH(285,Engine!$C$2:$C$679,0)),"",INDEX('Compliance Database'!$D$2:$D$679,MATCH(285,Engine!$C$2:$C$679,0)))</f>
        <v/>
      </c>
      <c r="E298">
        <f>IF(ISNA(MATCH(285,Engine!$C$2:$C$679,0)),"",INDEX('Compliance Database'!$E$2:$E$679,MATCH(285,Engine!$C$2:$C$679,0)))</f>
        <v/>
      </c>
      <c r="F298">
        <f>IF(ISNA(MATCH(285,Engine!$C$2:$C$679,0)),"",INDEX('Compliance Database'!$F$2:$F$679,MATCH(285,Engine!$C$2:$C$679,0)))</f>
        <v/>
      </c>
      <c r="G298">
        <f>IF(ISNA(MATCH(285,Engine!$C$2:$C$679,0)),"",INDEX('Compliance Database'!$G$2:$G$679,MATCH(285,Engine!$C$2:$C$679,0)))</f>
        <v/>
      </c>
      <c r="H298">
        <f>IF(ISNA(MATCH(285,Engine!$C$2:$C$679,0)),"",INDEX('Compliance Database'!$H$2:$H$679,MATCH(285,Engine!$C$2:$C$679,0)))</f>
        <v/>
      </c>
      <c r="I298" s="8">
        <f>IF(ISNA(MATCH(285,Engine!$C$2:$C$679,0)),"",INDEX('Compliance Database'!$I$2:$I$679,MATCH(285,Engine!$C$2:$C$679,0)))</f>
        <v/>
      </c>
      <c r="J298" s="8">
        <f>IF(ISNA(MATCH(285,Engine!$C$2:$C$679,0)),"",INDEX('Compliance Database'!$J$2:$J$679,MATCH(285,Engine!$C$2:$C$679,0)))</f>
        <v/>
      </c>
      <c r="K298">
        <f>IF(ISNA(MATCH(285,Engine!$C$2:$C$679,0)),"",INDEX('Compliance Database'!$K$2:$K$679,MATCH(285,Engine!$C$2:$C$679,0)))</f>
        <v/>
      </c>
      <c r="L298" s="8">
        <f>IF(ISNA(MATCH(285,Engine!$C$2:$C$679,0)),"",INDEX('Compliance Database'!$L$2:$L$679,MATCH(285,Engine!$C$2:$C$679,0)))</f>
        <v/>
      </c>
      <c r="M298" s="8">
        <f>IF(ISNA(MATCH(285,Engine!$C$2:$C$679,0)),"",INDEX('Compliance Database'!$M$2:$M$679,MATCH(285,Engine!$C$2:$C$679,0)))</f>
        <v/>
      </c>
      <c r="N298" s="8">
        <f>IF(ISNA(MATCH(285,Engine!$C$2:$C$679,0)),"",INDEX('Compliance Database'!$N$2:$N$679,MATCH(285,Engine!$C$2:$C$679,0)))</f>
        <v/>
      </c>
      <c r="O298" s="8">
        <f>IF(ISNA(MATCH(285,Engine!$C$2:$C$679,0)),"",INDEX('Compliance Database'!$O$2:$O$679,MATCH(285,Engine!$C$2:$C$679,0)))</f>
        <v/>
      </c>
      <c r="P298">
        <f>IF(ISNA(MATCH(285,Engine!$C$2:$C$679,0)),"",HYPERLINK(INDEX('Compliance Database'!$P$2:$P$679,MATCH(285,Engine!$C$2:$C$679,0)),"Open PDF"))</f>
        <v/>
      </c>
    </row>
    <row r="299">
      <c r="A299">
        <f>IF(ISNA(MATCH(286,Engine!$C$2:$C$679,0)),"",INDEX('Compliance Database'!$A$2:$A$679,MATCH(286,Engine!$C$2:$C$679,0)))</f>
        <v/>
      </c>
      <c r="B299">
        <f>IF(ISNA(MATCH(286,Engine!$C$2:$C$679,0)),"",INDEX('Compliance Database'!$B$2:$B$679,MATCH(286,Engine!$C$2:$C$679,0)))</f>
        <v/>
      </c>
      <c r="C299">
        <f>IF(ISNA(MATCH(286,Engine!$C$2:$C$679,0)),"",INDEX('Compliance Database'!$C$2:$C$679,MATCH(286,Engine!$C$2:$C$679,0)))</f>
        <v/>
      </c>
      <c r="D299" s="8">
        <f>IF(ISNA(MATCH(286,Engine!$C$2:$C$679,0)),"",INDEX('Compliance Database'!$D$2:$D$679,MATCH(286,Engine!$C$2:$C$679,0)))</f>
        <v/>
      </c>
      <c r="E299">
        <f>IF(ISNA(MATCH(286,Engine!$C$2:$C$679,0)),"",INDEX('Compliance Database'!$E$2:$E$679,MATCH(286,Engine!$C$2:$C$679,0)))</f>
        <v/>
      </c>
      <c r="F299">
        <f>IF(ISNA(MATCH(286,Engine!$C$2:$C$679,0)),"",INDEX('Compliance Database'!$F$2:$F$679,MATCH(286,Engine!$C$2:$C$679,0)))</f>
        <v/>
      </c>
      <c r="G299">
        <f>IF(ISNA(MATCH(286,Engine!$C$2:$C$679,0)),"",INDEX('Compliance Database'!$G$2:$G$679,MATCH(286,Engine!$C$2:$C$679,0)))</f>
        <v/>
      </c>
      <c r="H299">
        <f>IF(ISNA(MATCH(286,Engine!$C$2:$C$679,0)),"",INDEX('Compliance Database'!$H$2:$H$679,MATCH(286,Engine!$C$2:$C$679,0)))</f>
        <v/>
      </c>
      <c r="I299" s="8">
        <f>IF(ISNA(MATCH(286,Engine!$C$2:$C$679,0)),"",INDEX('Compliance Database'!$I$2:$I$679,MATCH(286,Engine!$C$2:$C$679,0)))</f>
        <v/>
      </c>
      <c r="J299" s="8">
        <f>IF(ISNA(MATCH(286,Engine!$C$2:$C$679,0)),"",INDEX('Compliance Database'!$J$2:$J$679,MATCH(286,Engine!$C$2:$C$679,0)))</f>
        <v/>
      </c>
      <c r="K299">
        <f>IF(ISNA(MATCH(286,Engine!$C$2:$C$679,0)),"",INDEX('Compliance Database'!$K$2:$K$679,MATCH(286,Engine!$C$2:$C$679,0)))</f>
        <v/>
      </c>
      <c r="L299" s="8">
        <f>IF(ISNA(MATCH(286,Engine!$C$2:$C$679,0)),"",INDEX('Compliance Database'!$L$2:$L$679,MATCH(286,Engine!$C$2:$C$679,0)))</f>
        <v/>
      </c>
      <c r="M299" s="8">
        <f>IF(ISNA(MATCH(286,Engine!$C$2:$C$679,0)),"",INDEX('Compliance Database'!$M$2:$M$679,MATCH(286,Engine!$C$2:$C$679,0)))</f>
        <v/>
      </c>
      <c r="N299" s="8">
        <f>IF(ISNA(MATCH(286,Engine!$C$2:$C$679,0)),"",INDEX('Compliance Database'!$N$2:$N$679,MATCH(286,Engine!$C$2:$C$679,0)))</f>
        <v/>
      </c>
      <c r="O299" s="8">
        <f>IF(ISNA(MATCH(286,Engine!$C$2:$C$679,0)),"",INDEX('Compliance Database'!$O$2:$O$679,MATCH(286,Engine!$C$2:$C$679,0)))</f>
        <v/>
      </c>
      <c r="P299">
        <f>IF(ISNA(MATCH(286,Engine!$C$2:$C$679,0)),"",HYPERLINK(INDEX('Compliance Database'!$P$2:$P$679,MATCH(286,Engine!$C$2:$C$679,0)),"Open PDF"))</f>
        <v/>
      </c>
    </row>
    <row r="300">
      <c r="A300">
        <f>IF(ISNA(MATCH(287,Engine!$C$2:$C$679,0)),"",INDEX('Compliance Database'!$A$2:$A$679,MATCH(287,Engine!$C$2:$C$679,0)))</f>
        <v/>
      </c>
      <c r="B300">
        <f>IF(ISNA(MATCH(287,Engine!$C$2:$C$679,0)),"",INDEX('Compliance Database'!$B$2:$B$679,MATCH(287,Engine!$C$2:$C$679,0)))</f>
        <v/>
      </c>
      <c r="C300">
        <f>IF(ISNA(MATCH(287,Engine!$C$2:$C$679,0)),"",INDEX('Compliance Database'!$C$2:$C$679,MATCH(287,Engine!$C$2:$C$679,0)))</f>
        <v/>
      </c>
      <c r="D300" s="8">
        <f>IF(ISNA(MATCH(287,Engine!$C$2:$C$679,0)),"",INDEX('Compliance Database'!$D$2:$D$679,MATCH(287,Engine!$C$2:$C$679,0)))</f>
        <v/>
      </c>
      <c r="E300">
        <f>IF(ISNA(MATCH(287,Engine!$C$2:$C$679,0)),"",INDEX('Compliance Database'!$E$2:$E$679,MATCH(287,Engine!$C$2:$C$679,0)))</f>
        <v/>
      </c>
      <c r="F300">
        <f>IF(ISNA(MATCH(287,Engine!$C$2:$C$679,0)),"",INDEX('Compliance Database'!$F$2:$F$679,MATCH(287,Engine!$C$2:$C$679,0)))</f>
        <v/>
      </c>
      <c r="G300">
        <f>IF(ISNA(MATCH(287,Engine!$C$2:$C$679,0)),"",INDEX('Compliance Database'!$G$2:$G$679,MATCH(287,Engine!$C$2:$C$679,0)))</f>
        <v/>
      </c>
      <c r="H300">
        <f>IF(ISNA(MATCH(287,Engine!$C$2:$C$679,0)),"",INDEX('Compliance Database'!$H$2:$H$679,MATCH(287,Engine!$C$2:$C$679,0)))</f>
        <v/>
      </c>
      <c r="I300" s="8">
        <f>IF(ISNA(MATCH(287,Engine!$C$2:$C$679,0)),"",INDEX('Compliance Database'!$I$2:$I$679,MATCH(287,Engine!$C$2:$C$679,0)))</f>
        <v/>
      </c>
      <c r="J300" s="8">
        <f>IF(ISNA(MATCH(287,Engine!$C$2:$C$679,0)),"",INDEX('Compliance Database'!$J$2:$J$679,MATCH(287,Engine!$C$2:$C$679,0)))</f>
        <v/>
      </c>
      <c r="K300">
        <f>IF(ISNA(MATCH(287,Engine!$C$2:$C$679,0)),"",INDEX('Compliance Database'!$K$2:$K$679,MATCH(287,Engine!$C$2:$C$679,0)))</f>
        <v/>
      </c>
      <c r="L300" s="8">
        <f>IF(ISNA(MATCH(287,Engine!$C$2:$C$679,0)),"",INDEX('Compliance Database'!$L$2:$L$679,MATCH(287,Engine!$C$2:$C$679,0)))</f>
        <v/>
      </c>
      <c r="M300" s="8">
        <f>IF(ISNA(MATCH(287,Engine!$C$2:$C$679,0)),"",INDEX('Compliance Database'!$M$2:$M$679,MATCH(287,Engine!$C$2:$C$679,0)))</f>
        <v/>
      </c>
      <c r="N300" s="8">
        <f>IF(ISNA(MATCH(287,Engine!$C$2:$C$679,0)),"",INDEX('Compliance Database'!$N$2:$N$679,MATCH(287,Engine!$C$2:$C$679,0)))</f>
        <v/>
      </c>
      <c r="O300" s="8">
        <f>IF(ISNA(MATCH(287,Engine!$C$2:$C$679,0)),"",INDEX('Compliance Database'!$O$2:$O$679,MATCH(287,Engine!$C$2:$C$679,0)))</f>
        <v/>
      </c>
      <c r="P300">
        <f>IF(ISNA(MATCH(287,Engine!$C$2:$C$679,0)),"",HYPERLINK(INDEX('Compliance Database'!$P$2:$P$679,MATCH(287,Engine!$C$2:$C$679,0)),"Open PDF"))</f>
        <v/>
      </c>
    </row>
    <row r="301">
      <c r="A301">
        <f>IF(ISNA(MATCH(288,Engine!$C$2:$C$679,0)),"",INDEX('Compliance Database'!$A$2:$A$679,MATCH(288,Engine!$C$2:$C$679,0)))</f>
        <v/>
      </c>
      <c r="B301">
        <f>IF(ISNA(MATCH(288,Engine!$C$2:$C$679,0)),"",INDEX('Compliance Database'!$B$2:$B$679,MATCH(288,Engine!$C$2:$C$679,0)))</f>
        <v/>
      </c>
      <c r="C301">
        <f>IF(ISNA(MATCH(288,Engine!$C$2:$C$679,0)),"",INDEX('Compliance Database'!$C$2:$C$679,MATCH(288,Engine!$C$2:$C$679,0)))</f>
        <v/>
      </c>
      <c r="D301" s="8">
        <f>IF(ISNA(MATCH(288,Engine!$C$2:$C$679,0)),"",INDEX('Compliance Database'!$D$2:$D$679,MATCH(288,Engine!$C$2:$C$679,0)))</f>
        <v/>
      </c>
      <c r="E301">
        <f>IF(ISNA(MATCH(288,Engine!$C$2:$C$679,0)),"",INDEX('Compliance Database'!$E$2:$E$679,MATCH(288,Engine!$C$2:$C$679,0)))</f>
        <v/>
      </c>
      <c r="F301">
        <f>IF(ISNA(MATCH(288,Engine!$C$2:$C$679,0)),"",INDEX('Compliance Database'!$F$2:$F$679,MATCH(288,Engine!$C$2:$C$679,0)))</f>
        <v/>
      </c>
      <c r="G301">
        <f>IF(ISNA(MATCH(288,Engine!$C$2:$C$679,0)),"",INDEX('Compliance Database'!$G$2:$G$679,MATCH(288,Engine!$C$2:$C$679,0)))</f>
        <v/>
      </c>
      <c r="H301">
        <f>IF(ISNA(MATCH(288,Engine!$C$2:$C$679,0)),"",INDEX('Compliance Database'!$H$2:$H$679,MATCH(288,Engine!$C$2:$C$679,0)))</f>
        <v/>
      </c>
      <c r="I301" s="8">
        <f>IF(ISNA(MATCH(288,Engine!$C$2:$C$679,0)),"",INDEX('Compliance Database'!$I$2:$I$679,MATCH(288,Engine!$C$2:$C$679,0)))</f>
        <v/>
      </c>
      <c r="J301" s="8">
        <f>IF(ISNA(MATCH(288,Engine!$C$2:$C$679,0)),"",INDEX('Compliance Database'!$J$2:$J$679,MATCH(288,Engine!$C$2:$C$679,0)))</f>
        <v/>
      </c>
      <c r="K301">
        <f>IF(ISNA(MATCH(288,Engine!$C$2:$C$679,0)),"",INDEX('Compliance Database'!$K$2:$K$679,MATCH(288,Engine!$C$2:$C$679,0)))</f>
        <v/>
      </c>
      <c r="L301" s="8">
        <f>IF(ISNA(MATCH(288,Engine!$C$2:$C$679,0)),"",INDEX('Compliance Database'!$L$2:$L$679,MATCH(288,Engine!$C$2:$C$679,0)))</f>
        <v/>
      </c>
      <c r="M301" s="8">
        <f>IF(ISNA(MATCH(288,Engine!$C$2:$C$679,0)),"",INDEX('Compliance Database'!$M$2:$M$679,MATCH(288,Engine!$C$2:$C$679,0)))</f>
        <v/>
      </c>
      <c r="N301" s="8">
        <f>IF(ISNA(MATCH(288,Engine!$C$2:$C$679,0)),"",INDEX('Compliance Database'!$N$2:$N$679,MATCH(288,Engine!$C$2:$C$679,0)))</f>
        <v/>
      </c>
      <c r="O301" s="8">
        <f>IF(ISNA(MATCH(288,Engine!$C$2:$C$679,0)),"",INDEX('Compliance Database'!$O$2:$O$679,MATCH(288,Engine!$C$2:$C$679,0)))</f>
        <v/>
      </c>
      <c r="P301">
        <f>IF(ISNA(MATCH(288,Engine!$C$2:$C$679,0)),"",HYPERLINK(INDEX('Compliance Database'!$P$2:$P$679,MATCH(288,Engine!$C$2:$C$679,0)),"Open PDF"))</f>
        <v/>
      </c>
    </row>
    <row r="302">
      <c r="A302">
        <f>IF(ISNA(MATCH(289,Engine!$C$2:$C$679,0)),"",INDEX('Compliance Database'!$A$2:$A$679,MATCH(289,Engine!$C$2:$C$679,0)))</f>
        <v/>
      </c>
      <c r="B302">
        <f>IF(ISNA(MATCH(289,Engine!$C$2:$C$679,0)),"",INDEX('Compliance Database'!$B$2:$B$679,MATCH(289,Engine!$C$2:$C$679,0)))</f>
        <v/>
      </c>
      <c r="C302">
        <f>IF(ISNA(MATCH(289,Engine!$C$2:$C$679,0)),"",INDEX('Compliance Database'!$C$2:$C$679,MATCH(289,Engine!$C$2:$C$679,0)))</f>
        <v/>
      </c>
      <c r="D302" s="8">
        <f>IF(ISNA(MATCH(289,Engine!$C$2:$C$679,0)),"",INDEX('Compliance Database'!$D$2:$D$679,MATCH(289,Engine!$C$2:$C$679,0)))</f>
        <v/>
      </c>
      <c r="E302">
        <f>IF(ISNA(MATCH(289,Engine!$C$2:$C$679,0)),"",INDEX('Compliance Database'!$E$2:$E$679,MATCH(289,Engine!$C$2:$C$679,0)))</f>
        <v/>
      </c>
      <c r="F302">
        <f>IF(ISNA(MATCH(289,Engine!$C$2:$C$679,0)),"",INDEX('Compliance Database'!$F$2:$F$679,MATCH(289,Engine!$C$2:$C$679,0)))</f>
        <v/>
      </c>
      <c r="G302">
        <f>IF(ISNA(MATCH(289,Engine!$C$2:$C$679,0)),"",INDEX('Compliance Database'!$G$2:$G$679,MATCH(289,Engine!$C$2:$C$679,0)))</f>
        <v/>
      </c>
      <c r="H302">
        <f>IF(ISNA(MATCH(289,Engine!$C$2:$C$679,0)),"",INDEX('Compliance Database'!$H$2:$H$679,MATCH(289,Engine!$C$2:$C$679,0)))</f>
        <v/>
      </c>
      <c r="I302" s="8">
        <f>IF(ISNA(MATCH(289,Engine!$C$2:$C$679,0)),"",INDEX('Compliance Database'!$I$2:$I$679,MATCH(289,Engine!$C$2:$C$679,0)))</f>
        <v/>
      </c>
      <c r="J302" s="8">
        <f>IF(ISNA(MATCH(289,Engine!$C$2:$C$679,0)),"",INDEX('Compliance Database'!$J$2:$J$679,MATCH(289,Engine!$C$2:$C$679,0)))</f>
        <v/>
      </c>
      <c r="K302">
        <f>IF(ISNA(MATCH(289,Engine!$C$2:$C$679,0)),"",INDEX('Compliance Database'!$K$2:$K$679,MATCH(289,Engine!$C$2:$C$679,0)))</f>
        <v/>
      </c>
      <c r="L302" s="8">
        <f>IF(ISNA(MATCH(289,Engine!$C$2:$C$679,0)),"",INDEX('Compliance Database'!$L$2:$L$679,MATCH(289,Engine!$C$2:$C$679,0)))</f>
        <v/>
      </c>
      <c r="M302" s="8">
        <f>IF(ISNA(MATCH(289,Engine!$C$2:$C$679,0)),"",INDEX('Compliance Database'!$M$2:$M$679,MATCH(289,Engine!$C$2:$C$679,0)))</f>
        <v/>
      </c>
      <c r="N302" s="8">
        <f>IF(ISNA(MATCH(289,Engine!$C$2:$C$679,0)),"",INDEX('Compliance Database'!$N$2:$N$679,MATCH(289,Engine!$C$2:$C$679,0)))</f>
        <v/>
      </c>
      <c r="O302" s="8">
        <f>IF(ISNA(MATCH(289,Engine!$C$2:$C$679,0)),"",INDEX('Compliance Database'!$O$2:$O$679,MATCH(289,Engine!$C$2:$C$679,0)))</f>
        <v/>
      </c>
      <c r="P302">
        <f>IF(ISNA(MATCH(289,Engine!$C$2:$C$679,0)),"",HYPERLINK(INDEX('Compliance Database'!$P$2:$P$679,MATCH(289,Engine!$C$2:$C$679,0)),"Open PDF"))</f>
        <v/>
      </c>
    </row>
    <row r="303">
      <c r="A303">
        <f>IF(ISNA(MATCH(290,Engine!$C$2:$C$679,0)),"",INDEX('Compliance Database'!$A$2:$A$679,MATCH(290,Engine!$C$2:$C$679,0)))</f>
        <v/>
      </c>
      <c r="B303">
        <f>IF(ISNA(MATCH(290,Engine!$C$2:$C$679,0)),"",INDEX('Compliance Database'!$B$2:$B$679,MATCH(290,Engine!$C$2:$C$679,0)))</f>
        <v/>
      </c>
      <c r="C303">
        <f>IF(ISNA(MATCH(290,Engine!$C$2:$C$679,0)),"",INDEX('Compliance Database'!$C$2:$C$679,MATCH(290,Engine!$C$2:$C$679,0)))</f>
        <v/>
      </c>
      <c r="D303" s="8">
        <f>IF(ISNA(MATCH(290,Engine!$C$2:$C$679,0)),"",INDEX('Compliance Database'!$D$2:$D$679,MATCH(290,Engine!$C$2:$C$679,0)))</f>
        <v/>
      </c>
      <c r="E303">
        <f>IF(ISNA(MATCH(290,Engine!$C$2:$C$679,0)),"",INDEX('Compliance Database'!$E$2:$E$679,MATCH(290,Engine!$C$2:$C$679,0)))</f>
        <v/>
      </c>
      <c r="F303">
        <f>IF(ISNA(MATCH(290,Engine!$C$2:$C$679,0)),"",INDEX('Compliance Database'!$F$2:$F$679,MATCH(290,Engine!$C$2:$C$679,0)))</f>
        <v/>
      </c>
      <c r="G303">
        <f>IF(ISNA(MATCH(290,Engine!$C$2:$C$679,0)),"",INDEX('Compliance Database'!$G$2:$G$679,MATCH(290,Engine!$C$2:$C$679,0)))</f>
        <v/>
      </c>
      <c r="H303">
        <f>IF(ISNA(MATCH(290,Engine!$C$2:$C$679,0)),"",INDEX('Compliance Database'!$H$2:$H$679,MATCH(290,Engine!$C$2:$C$679,0)))</f>
        <v/>
      </c>
      <c r="I303" s="8">
        <f>IF(ISNA(MATCH(290,Engine!$C$2:$C$679,0)),"",INDEX('Compliance Database'!$I$2:$I$679,MATCH(290,Engine!$C$2:$C$679,0)))</f>
        <v/>
      </c>
      <c r="J303" s="8">
        <f>IF(ISNA(MATCH(290,Engine!$C$2:$C$679,0)),"",INDEX('Compliance Database'!$J$2:$J$679,MATCH(290,Engine!$C$2:$C$679,0)))</f>
        <v/>
      </c>
      <c r="K303">
        <f>IF(ISNA(MATCH(290,Engine!$C$2:$C$679,0)),"",INDEX('Compliance Database'!$K$2:$K$679,MATCH(290,Engine!$C$2:$C$679,0)))</f>
        <v/>
      </c>
      <c r="L303" s="8">
        <f>IF(ISNA(MATCH(290,Engine!$C$2:$C$679,0)),"",INDEX('Compliance Database'!$L$2:$L$679,MATCH(290,Engine!$C$2:$C$679,0)))</f>
        <v/>
      </c>
      <c r="M303" s="8">
        <f>IF(ISNA(MATCH(290,Engine!$C$2:$C$679,0)),"",INDEX('Compliance Database'!$M$2:$M$679,MATCH(290,Engine!$C$2:$C$679,0)))</f>
        <v/>
      </c>
      <c r="N303" s="8">
        <f>IF(ISNA(MATCH(290,Engine!$C$2:$C$679,0)),"",INDEX('Compliance Database'!$N$2:$N$679,MATCH(290,Engine!$C$2:$C$679,0)))</f>
        <v/>
      </c>
      <c r="O303" s="8">
        <f>IF(ISNA(MATCH(290,Engine!$C$2:$C$679,0)),"",INDEX('Compliance Database'!$O$2:$O$679,MATCH(290,Engine!$C$2:$C$679,0)))</f>
        <v/>
      </c>
      <c r="P303">
        <f>IF(ISNA(MATCH(290,Engine!$C$2:$C$679,0)),"",HYPERLINK(INDEX('Compliance Database'!$P$2:$P$679,MATCH(290,Engine!$C$2:$C$679,0)),"Open PDF"))</f>
        <v/>
      </c>
    </row>
    <row r="304">
      <c r="A304">
        <f>IF(ISNA(MATCH(291,Engine!$C$2:$C$679,0)),"",INDEX('Compliance Database'!$A$2:$A$679,MATCH(291,Engine!$C$2:$C$679,0)))</f>
        <v/>
      </c>
      <c r="B304">
        <f>IF(ISNA(MATCH(291,Engine!$C$2:$C$679,0)),"",INDEX('Compliance Database'!$B$2:$B$679,MATCH(291,Engine!$C$2:$C$679,0)))</f>
        <v/>
      </c>
      <c r="C304">
        <f>IF(ISNA(MATCH(291,Engine!$C$2:$C$679,0)),"",INDEX('Compliance Database'!$C$2:$C$679,MATCH(291,Engine!$C$2:$C$679,0)))</f>
        <v/>
      </c>
      <c r="D304" s="8">
        <f>IF(ISNA(MATCH(291,Engine!$C$2:$C$679,0)),"",INDEX('Compliance Database'!$D$2:$D$679,MATCH(291,Engine!$C$2:$C$679,0)))</f>
        <v/>
      </c>
      <c r="E304">
        <f>IF(ISNA(MATCH(291,Engine!$C$2:$C$679,0)),"",INDEX('Compliance Database'!$E$2:$E$679,MATCH(291,Engine!$C$2:$C$679,0)))</f>
        <v/>
      </c>
      <c r="F304">
        <f>IF(ISNA(MATCH(291,Engine!$C$2:$C$679,0)),"",INDEX('Compliance Database'!$F$2:$F$679,MATCH(291,Engine!$C$2:$C$679,0)))</f>
        <v/>
      </c>
      <c r="G304">
        <f>IF(ISNA(MATCH(291,Engine!$C$2:$C$679,0)),"",INDEX('Compliance Database'!$G$2:$G$679,MATCH(291,Engine!$C$2:$C$679,0)))</f>
        <v/>
      </c>
      <c r="H304">
        <f>IF(ISNA(MATCH(291,Engine!$C$2:$C$679,0)),"",INDEX('Compliance Database'!$H$2:$H$679,MATCH(291,Engine!$C$2:$C$679,0)))</f>
        <v/>
      </c>
      <c r="I304" s="8">
        <f>IF(ISNA(MATCH(291,Engine!$C$2:$C$679,0)),"",INDEX('Compliance Database'!$I$2:$I$679,MATCH(291,Engine!$C$2:$C$679,0)))</f>
        <v/>
      </c>
      <c r="J304" s="8">
        <f>IF(ISNA(MATCH(291,Engine!$C$2:$C$679,0)),"",INDEX('Compliance Database'!$J$2:$J$679,MATCH(291,Engine!$C$2:$C$679,0)))</f>
        <v/>
      </c>
      <c r="K304">
        <f>IF(ISNA(MATCH(291,Engine!$C$2:$C$679,0)),"",INDEX('Compliance Database'!$K$2:$K$679,MATCH(291,Engine!$C$2:$C$679,0)))</f>
        <v/>
      </c>
      <c r="L304" s="8">
        <f>IF(ISNA(MATCH(291,Engine!$C$2:$C$679,0)),"",INDEX('Compliance Database'!$L$2:$L$679,MATCH(291,Engine!$C$2:$C$679,0)))</f>
        <v/>
      </c>
      <c r="M304" s="8">
        <f>IF(ISNA(MATCH(291,Engine!$C$2:$C$679,0)),"",INDEX('Compliance Database'!$M$2:$M$679,MATCH(291,Engine!$C$2:$C$679,0)))</f>
        <v/>
      </c>
      <c r="N304" s="8">
        <f>IF(ISNA(MATCH(291,Engine!$C$2:$C$679,0)),"",INDEX('Compliance Database'!$N$2:$N$679,MATCH(291,Engine!$C$2:$C$679,0)))</f>
        <v/>
      </c>
      <c r="O304" s="8">
        <f>IF(ISNA(MATCH(291,Engine!$C$2:$C$679,0)),"",INDEX('Compliance Database'!$O$2:$O$679,MATCH(291,Engine!$C$2:$C$679,0)))</f>
        <v/>
      </c>
      <c r="P304">
        <f>IF(ISNA(MATCH(291,Engine!$C$2:$C$679,0)),"",HYPERLINK(INDEX('Compliance Database'!$P$2:$P$679,MATCH(291,Engine!$C$2:$C$679,0)),"Open PDF"))</f>
        <v/>
      </c>
    </row>
    <row r="305">
      <c r="A305">
        <f>IF(ISNA(MATCH(292,Engine!$C$2:$C$679,0)),"",INDEX('Compliance Database'!$A$2:$A$679,MATCH(292,Engine!$C$2:$C$679,0)))</f>
        <v/>
      </c>
      <c r="B305">
        <f>IF(ISNA(MATCH(292,Engine!$C$2:$C$679,0)),"",INDEX('Compliance Database'!$B$2:$B$679,MATCH(292,Engine!$C$2:$C$679,0)))</f>
        <v/>
      </c>
      <c r="C305">
        <f>IF(ISNA(MATCH(292,Engine!$C$2:$C$679,0)),"",INDEX('Compliance Database'!$C$2:$C$679,MATCH(292,Engine!$C$2:$C$679,0)))</f>
        <v/>
      </c>
      <c r="D305" s="8">
        <f>IF(ISNA(MATCH(292,Engine!$C$2:$C$679,0)),"",INDEX('Compliance Database'!$D$2:$D$679,MATCH(292,Engine!$C$2:$C$679,0)))</f>
        <v/>
      </c>
      <c r="E305">
        <f>IF(ISNA(MATCH(292,Engine!$C$2:$C$679,0)),"",INDEX('Compliance Database'!$E$2:$E$679,MATCH(292,Engine!$C$2:$C$679,0)))</f>
        <v/>
      </c>
      <c r="F305">
        <f>IF(ISNA(MATCH(292,Engine!$C$2:$C$679,0)),"",INDEX('Compliance Database'!$F$2:$F$679,MATCH(292,Engine!$C$2:$C$679,0)))</f>
        <v/>
      </c>
      <c r="G305">
        <f>IF(ISNA(MATCH(292,Engine!$C$2:$C$679,0)),"",INDEX('Compliance Database'!$G$2:$G$679,MATCH(292,Engine!$C$2:$C$679,0)))</f>
        <v/>
      </c>
      <c r="H305">
        <f>IF(ISNA(MATCH(292,Engine!$C$2:$C$679,0)),"",INDEX('Compliance Database'!$H$2:$H$679,MATCH(292,Engine!$C$2:$C$679,0)))</f>
        <v/>
      </c>
      <c r="I305" s="8">
        <f>IF(ISNA(MATCH(292,Engine!$C$2:$C$679,0)),"",INDEX('Compliance Database'!$I$2:$I$679,MATCH(292,Engine!$C$2:$C$679,0)))</f>
        <v/>
      </c>
      <c r="J305" s="8">
        <f>IF(ISNA(MATCH(292,Engine!$C$2:$C$679,0)),"",INDEX('Compliance Database'!$J$2:$J$679,MATCH(292,Engine!$C$2:$C$679,0)))</f>
        <v/>
      </c>
      <c r="K305">
        <f>IF(ISNA(MATCH(292,Engine!$C$2:$C$679,0)),"",INDEX('Compliance Database'!$K$2:$K$679,MATCH(292,Engine!$C$2:$C$679,0)))</f>
        <v/>
      </c>
      <c r="L305" s="8">
        <f>IF(ISNA(MATCH(292,Engine!$C$2:$C$679,0)),"",INDEX('Compliance Database'!$L$2:$L$679,MATCH(292,Engine!$C$2:$C$679,0)))</f>
        <v/>
      </c>
      <c r="M305" s="8">
        <f>IF(ISNA(MATCH(292,Engine!$C$2:$C$679,0)),"",INDEX('Compliance Database'!$M$2:$M$679,MATCH(292,Engine!$C$2:$C$679,0)))</f>
        <v/>
      </c>
      <c r="N305" s="8">
        <f>IF(ISNA(MATCH(292,Engine!$C$2:$C$679,0)),"",INDEX('Compliance Database'!$N$2:$N$679,MATCH(292,Engine!$C$2:$C$679,0)))</f>
        <v/>
      </c>
      <c r="O305" s="8">
        <f>IF(ISNA(MATCH(292,Engine!$C$2:$C$679,0)),"",INDEX('Compliance Database'!$O$2:$O$679,MATCH(292,Engine!$C$2:$C$679,0)))</f>
        <v/>
      </c>
      <c r="P305">
        <f>IF(ISNA(MATCH(292,Engine!$C$2:$C$679,0)),"",HYPERLINK(INDEX('Compliance Database'!$P$2:$P$679,MATCH(292,Engine!$C$2:$C$679,0)),"Open PDF"))</f>
        <v/>
      </c>
    </row>
    <row r="306">
      <c r="A306">
        <f>IF(ISNA(MATCH(293,Engine!$C$2:$C$679,0)),"",INDEX('Compliance Database'!$A$2:$A$679,MATCH(293,Engine!$C$2:$C$679,0)))</f>
        <v/>
      </c>
      <c r="B306">
        <f>IF(ISNA(MATCH(293,Engine!$C$2:$C$679,0)),"",INDEX('Compliance Database'!$B$2:$B$679,MATCH(293,Engine!$C$2:$C$679,0)))</f>
        <v/>
      </c>
      <c r="C306">
        <f>IF(ISNA(MATCH(293,Engine!$C$2:$C$679,0)),"",INDEX('Compliance Database'!$C$2:$C$679,MATCH(293,Engine!$C$2:$C$679,0)))</f>
        <v/>
      </c>
      <c r="D306" s="8">
        <f>IF(ISNA(MATCH(293,Engine!$C$2:$C$679,0)),"",INDEX('Compliance Database'!$D$2:$D$679,MATCH(293,Engine!$C$2:$C$679,0)))</f>
        <v/>
      </c>
      <c r="E306">
        <f>IF(ISNA(MATCH(293,Engine!$C$2:$C$679,0)),"",INDEX('Compliance Database'!$E$2:$E$679,MATCH(293,Engine!$C$2:$C$679,0)))</f>
        <v/>
      </c>
      <c r="F306">
        <f>IF(ISNA(MATCH(293,Engine!$C$2:$C$679,0)),"",INDEX('Compliance Database'!$F$2:$F$679,MATCH(293,Engine!$C$2:$C$679,0)))</f>
        <v/>
      </c>
      <c r="G306">
        <f>IF(ISNA(MATCH(293,Engine!$C$2:$C$679,0)),"",INDEX('Compliance Database'!$G$2:$G$679,MATCH(293,Engine!$C$2:$C$679,0)))</f>
        <v/>
      </c>
      <c r="H306">
        <f>IF(ISNA(MATCH(293,Engine!$C$2:$C$679,0)),"",INDEX('Compliance Database'!$H$2:$H$679,MATCH(293,Engine!$C$2:$C$679,0)))</f>
        <v/>
      </c>
      <c r="I306" s="8">
        <f>IF(ISNA(MATCH(293,Engine!$C$2:$C$679,0)),"",INDEX('Compliance Database'!$I$2:$I$679,MATCH(293,Engine!$C$2:$C$679,0)))</f>
        <v/>
      </c>
      <c r="J306" s="8">
        <f>IF(ISNA(MATCH(293,Engine!$C$2:$C$679,0)),"",INDEX('Compliance Database'!$J$2:$J$679,MATCH(293,Engine!$C$2:$C$679,0)))</f>
        <v/>
      </c>
      <c r="K306">
        <f>IF(ISNA(MATCH(293,Engine!$C$2:$C$679,0)),"",INDEX('Compliance Database'!$K$2:$K$679,MATCH(293,Engine!$C$2:$C$679,0)))</f>
        <v/>
      </c>
      <c r="L306" s="8">
        <f>IF(ISNA(MATCH(293,Engine!$C$2:$C$679,0)),"",INDEX('Compliance Database'!$L$2:$L$679,MATCH(293,Engine!$C$2:$C$679,0)))</f>
        <v/>
      </c>
      <c r="M306" s="8">
        <f>IF(ISNA(MATCH(293,Engine!$C$2:$C$679,0)),"",INDEX('Compliance Database'!$M$2:$M$679,MATCH(293,Engine!$C$2:$C$679,0)))</f>
        <v/>
      </c>
      <c r="N306" s="8">
        <f>IF(ISNA(MATCH(293,Engine!$C$2:$C$679,0)),"",INDEX('Compliance Database'!$N$2:$N$679,MATCH(293,Engine!$C$2:$C$679,0)))</f>
        <v/>
      </c>
      <c r="O306" s="8">
        <f>IF(ISNA(MATCH(293,Engine!$C$2:$C$679,0)),"",INDEX('Compliance Database'!$O$2:$O$679,MATCH(293,Engine!$C$2:$C$679,0)))</f>
        <v/>
      </c>
      <c r="P306">
        <f>IF(ISNA(MATCH(293,Engine!$C$2:$C$679,0)),"",HYPERLINK(INDEX('Compliance Database'!$P$2:$P$679,MATCH(293,Engine!$C$2:$C$679,0)),"Open PDF"))</f>
        <v/>
      </c>
    </row>
    <row r="307">
      <c r="A307">
        <f>IF(ISNA(MATCH(294,Engine!$C$2:$C$679,0)),"",INDEX('Compliance Database'!$A$2:$A$679,MATCH(294,Engine!$C$2:$C$679,0)))</f>
        <v/>
      </c>
      <c r="B307">
        <f>IF(ISNA(MATCH(294,Engine!$C$2:$C$679,0)),"",INDEX('Compliance Database'!$B$2:$B$679,MATCH(294,Engine!$C$2:$C$679,0)))</f>
        <v/>
      </c>
      <c r="C307">
        <f>IF(ISNA(MATCH(294,Engine!$C$2:$C$679,0)),"",INDEX('Compliance Database'!$C$2:$C$679,MATCH(294,Engine!$C$2:$C$679,0)))</f>
        <v/>
      </c>
      <c r="D307" s="8">
        <f>IF(ISNA(MATCH(294,Engine!$C$2:$C$679,0)),"",INDEX('Compliance Database'!$D$2:$D$679,MATCH(294,Engine!$C$2:$C$679,0)))</f>
        <v/>
      </c>
      <c r="E307">
        <f>IF(ISNA(MATCH(294,Engine!$C$2:$C$679,0)),"",INDEX('Compliance Database'!$E$2:$E$679,MATCH(294,Engine!$C$2:$C$679,0)))</f>
        <v/>
      </c>
      <c r="F307">
        <f>IF(ISNA(MATCH(294,Engine!$C$2:$C$679,0)),"",INDEX('Compliance Database'!$F$2:$F$679,MATCH(294,Engine!$C$2:$C$679,0)))</f>
        <v/>
      </c>
      <c r="G307">
        <f>IF(ISNA(MATCH(294,Engine!$C$2:$C$679,0)),"",INDEX('Compliance Database'!$G$2:$G$679,MATCH(294,Engine!$C$2:$C$679,0)))</f>
        <v/>
      </c>
      <c r="H307">
        <f>IF(ISNA(MATCH(294,Engine!$C$2:$C$679,0)),"",INDEX('Compliance Database'!$H$2:$H$679,MATCH(294,Engine!$C$2:$C$679,0)))</f>
        <v/>
      </c>
      <c r="I307" s="8">
        <f>IF(ISNA(MATCH(294,Engine!$C$2:$C$679,0)),"",INDEX('Compliance Database'!$I$2:$I$679,MATCH(294,Engine!$C$2:$C$679,0)))</f>
        <v/>
      </c>
      <c r="J307" s="8">
        <f>IF(ISNA(MATCH(294,Engine!$C$2:$C$679,0)),"",INDEX('Compliance Database'!$J$2:$J$679,MATCH(294,Engine!$C$2:$C$679,0)))</f>
        <v/>
      </c>
      <c r="K307">
        <f>IF(ISNA(MATCH(294,Engine!$C$2:$C$679,0)),"",INDEX('Compliance Database'!$K$2:$K$679,MATCH(294,Engine!$C$2:$C$679,0)))</f>
        <v/>
      </c>
      <c r="L307" s="8">
        <f>IF(ISNA(MATCH(294,Engine!$C$2:$C$679,0)),"",INDEX('Compliance Database'!$L$2:$L$679,MATCH(294,Engine!$C$2:$C$679,0)))</f>
        <v/>
      </c>
      <c r="M307" s="8">
        <f>IF(ISNA(MATCH(294,Engine!$C$2:$C$679,0)),"",INDEX('Compliance Database'!$M$2:$M$679,MATCH(294,Engine!$C$2:$C$679,0)))</f>
        <v/>
      </c>
      <c r="N307" s="8">
        <f>IF(ISNA(MATCH(294,Engine!$C$2:$C$679,0)),"",INDEX('Compliance Database'!$N$2:$N$679,MATCH(294,Engine!$C$2:$C$679,0)))</f>
        <v/>
      </c>
      <c r="O307" s="8">
        <f>IF(ISNA(MATCH(294,Engine!$C$2:$C$679,0)),"",INDEX('Compliance Database'!$O$2:$O$679,MATCH(294,Engine!$C$2:$C$679,0)))</f>
        <v/>
      </c>
      <c r="P307">
        <f>IF(ISNA(MATCH(294,Engine!$C$2:$C$679,0)),"",HYPERLINK(INDEX('Compliance Database'!$P$2:$P$679,MATCH(294,Engine!$C$2:$C$679,0)),"Open PDF"))</f>
        <v/>
      </c>
    </row>
    <row r="308">
      <c r="A308">
        <f>IF(ISNA(MATCH(295,Engine!$C$2:$C$679,0)),"",INDEX('Compliance Database'!$A$2:$A$679,MATCH(295,Engine!$C$2:$C$679,0)))</f>
        <v/>
      </c>
      <c r="B308">
        <f>IF(ISNA(MATCH(295,Engine!$C$2:$C$679,0)),"",INDEX('Compliance Database'!$B$2:$B$679,MATCH(295,Engine!$C$2:$C$679,0)))</f>
        <v/>
      </c>
      <c r="C308">
        <f>IF(ISNA(MATCH(295,Engine!$C$2:$C$679,0)),"",INDEX('Compliance Database'!$C$2:$C$679,MATCH(295,Engine!$C$2:$C$679,0)))</f>
        <v/>
      </c>
      <c r="D308" s="8">
        <f>IF(ISNA(MATCH(295,Engine!$C$2:$C$679,0)),"",INDEX('Compliance Database'!$D$2:$D$679,MATCH(295,Engine!$C$2:$C$679,0)))</f>
        <v/>
      </c>
      <c r="E308">
        <f>IF(ISNA(MATCH(295,Engine!$C$2:$C$679,0)),"",INDEX('Compliance Database'!$E$2:$E$679,MATCH(295,Engine!$C$2:$C$679,0)))</f>
        <v/>
      </c>
      <c r="F308">
        <f>IF(ISNA(MATCH(295,Engine!$C$2:$C$679,0)),"",INDEX('Compliance Database'!$F$2:$F$679,MATCH(295,Engine!$C$2:$C$679,0)))</f>
        <v/>
      </c>
      <c r="G308">
        <f>IF(ISNA(MATCH(295,Engine!$C$2:$C$679,0)),"",INDEX('Compliance Database'!$G$2:$G$679,MATCH(295,Engine!$C$2:$C$679,0)))</f>
        <v/>
      </c>
      <c r="H308">
        <f>IF(ISNA(MATCH(295,Engine!$C$2:$C$679,0)),"",INDEX('Compliance Database'!$H$2:$H$679,MATCH(295,Engine!$C$2:$C$679,0)))</f>
        <v/>
      </c>
      <c r="I308" s="8">
        <f>IF(ISNA(MATCH(295,Engine!$C$2:$C$679,0)),"",INDEX('Compliance Database'!$I$2:$I$679,MATCH(295,Engine!$C$2:$C$679,0)))</f>
        <v/>
      </c>
      <c r="J308" s="8">
        <f>IF(ISNA(MATCH(295,Engine!$C$2:$C$679,0)),"",INDEX('Compliance Database'!$J$2:$J$679,MATCH(295,Engine!$C$2:$C$679,0)))</f>
        <v/>
      </c>
      <c r="K308">
        <f>IF(ISNA(MATCH(295,Engine!$C$2:$C$679,0)),"",INDEX('Compliance Database'!$K$2:$K$679,MATCH(295,Engine!$C$2:$C$679,0)))</f>
        <v/>
      </c>
      <c r="L308" s="8">
        <f>IF(ISNA(MATCH(295,Engine!$C$2:$C$679,0)),"",INDEX('Compliance Database'!$L$2:$L$679,MATCH(295,Engine!$C$2:$C$679,0)))</f>
        <v/>
      </c>
      <c r="M308" s="8">
        <f>IF(ISNA(MATCH(295,Engine!$C$2:$C$679,0)),"",INDEX('Compliance Database'!$M$2:$M$679,MATCH(295,Engine!$C$2:$C$679,0)))</f>
        <v/>
      </c>
      <c r="N308" s="8">
        <f>IF(ISNA(MATCH(295,Engine!$C$2:$C$679,0)),"",INDEX('Compliance Database'!$N$2:$N$679,MATCH(295,Engine!$C$2:$C$679,0)))</f>
        <v/>
      </c>
      <c r="O308" s="8">
        <f>IF(ISNA(MATCH(295,Engine!$C$2:$C$679,0)),"",INDEX('Compliance Database'!$O$2:$O$679,MATCH(295,Engine!$C$2:$C$679,0)))</f>
        <v/>
      </c>
      <c r="P308">
        <f>IF(ISNA(MATCH(295,Engine!$C$2:$C$679,0)),"",HYPERLINK(INDEX('Compliance Database'!$P$2:$P$679,MATCH(295,Engine!$C$2:$C$679,0)),"Open PDF"))</f>
        <v/>
      </c>
    </row>
    <row r="309">
      <c r="A309">
        <f>IF(ISNA(MATCH(296,Engine!$C$2:$C$679,0)),"",INDEX('Compliance Database'!$A$2:$A$679,MATCH(296,Engine!$C$2:$C$679,0)))</f>
        <v/>
      </c>
      <c r="B309">
        <f>IF(ISNA(MATCH(296,Engine!$C$2:$C$679,0)),"",INDEX('Compliance Database'!$B$2:$B$679,MATCH(296,Engine!$C$2:$C$679,0)))</f>
        <v/>
      </c>
      <c r="C309">
        <f>IF(ISNA(MATCH(296,Engine!$C$2:$C$679,0)),"",INDEX('Compliance Database'!$C$2:$C$679,MATCH(296,Engine!$C$2:$C$679,0)))</f>
        <v/>
      </c>
      <c r="D309" s="8">
        <f>IF(ISNA(MATCH(296,Engine!$C$2:$C$679,0)),"",INDEX('Compliance Database'!$D$2:$D$679,MATCH(296,Engine!$C$2:$C$679,0)))</f>
        <v/>
      </c>
      <c r="E309">
        <f>IF(ISNA(MATCH(296,Engine!$C$2:$C$679,0)),"",INDEX('Compliance Database'!$E$2:$E$679,MATCH(296,Engine!$C$2:$C$679,0)))</f>
        <v/>
      </c>
      <c r="F309">
        <f>IF(ISNA(MATCH(296,Engine!$C$2:$C$679,0)),"",INDEX('Compliance Database'!$F$2:$F$679,MATCH(296,Engine!$C$2:$C$679,0)))</f>
        <v/>
      </c>
      <c r="G309">
        <f>IF(ISNA(MATCH(296,Engine!$C$2:$C$679,0)),"",INDEX('Compliance Database'!$G$2:$G$679,MATCH(296,Engine!$C$2:$C$679,0)))</f>
        <v/>
      </c>
      <c r="H309">
        <f>IF(ISNA(MATCH(296,Engine!$C$2:$C$679,0)),"",INDEX('Compliance Database'!$H$2:$H$679,MATCH(296,Engine!$C$2:$C$679,0)))</f>
        <v/>
      </c>
      <c r="I309" s="8">
        <f>IF(ISNA(MATCH(296,Engine!$C$2:$C$679,0)),"",INDEX('Compliance Database'!$I$2:$I$679,MATCH(296,Engine!$C$2:$C$679,0)))</f>
        <v/>
      </c>
      <c r="J309" s="8">
        <f>IF(ISNA(MATCH(296,Engine!$C$2:$C$679,0)),"",INDEX('Compliance Database'!$J$2:$J$679,MATCH(296,Engine!$C$2:$C$679,0)))</f>
        <v/>
      </c>
      <c r="K309">
        <f>IF(ISNA(MATCH(296,Engine!$C$2:$C$679,0)),"",INDEX('Compliance Database'!$K$2:$K$679,MATCH(296,Engine!$C$2:$C$679,0)))</f>
        <v/>
      </c>
      <c r="L309" s="8">
        <f>IF(ISNA(MATCH(296,Engine!$C$2:$C$679,0)),"",INDEX('Compliance Database'!$L$2:$L$679,MATCH(296,Engine!$C$2:$C$679,0)))</f>
        <v/>
      </c>
      <c r="M309" s="8">
        <f>IF(ISNA(MATCH(296,Engine!$C$2:$C$679,0)),"",INDEX('Compliance Database'!$M$2:$M$679,MATCH(296,Engine!$C$2:$C$679,0)))</f>
        <v/>
      </c>
      <c r="N309" s="8">
        <f>IF(ISNA(MATCH(296,Engine!$C$2:$C$679,0)),"",INDEX('Compliance Database'!$N$2:$N$679,MATCH(296,Engine!$C$2:$C$679,0)))</f>
        <v/>
      </c>
      <c r="O309" s="8">
        <f>IF(ISNA(MATCH(296,Engine!$C$2:$C$679,0)),"",INDEX('Compliance Database'!$O$2:$O$679,MATCH(296,Engine!$C$2:$C$679,0)))</f>
        <v/>
      </c>
      <c r="P309">
        <f>IF(ISNA(MATCH(296,Engine!$C$2:$C$679,0)),"",HYPERLINK(INDEX('Compliance Database'!$P$2:$P$679,MATCH(296,Engine!$C$2:$C$679,0)),"Open PDF"))</f>
        <v/>
      </c>
    </row>
    <row r="310">
      <c r="A310">
        <f>IF(ISNA(MATCH(297,Engine!$C$2:$C$679,0)),"",INDEX('Compliance Database'!$A$2:$A$679,MATCH(297,Engine!$C$2:$C$679,0)))</f>
        <v/>
      </c>
      <c r="B310">
        <f>IF(ISNA(MATCH(297,Engine!$C$2:$C$679,0)),"",INDEX('Compliance Database'!$B$2:$B$679,MATCH(297,Engine!$C$2:$C$679,0)))</f>
        <v/>
      </c>
      <c r="C310">
        <f>IF(ISNA(MATCH(297,Engine!$C$2:$C$679,0)),"",INDEX('Compliance Database'!$C$2:$C$679,MATCH(297,Engine!$C$2:$C$679,0)))</f>
        <v/>
      </c>
      <c r="D310" s="8">
        <f>IF(ISNA(MATCH(297,Engine!$C$2:$C$679,0)),"",INDEX('Compliance Database'!$D$2:$D$679,MATCH(297,Engine!$C$2:$C$679,0)))</f>
        <v/>
      </c>
      <c r="E310">
        <f>IF(ISNA(MATCH(297,Engine!$C$2:$C$679,0)),"",INDEX('Compliance Database'!$E$2:$E$679,MATCH(297,Engine!$C$2:$C$679,0)))</f>
        <v/>
      </c>
      <c r="F310">
        <f>IF(ISNA(MATCH(297,Engine!$C$2:$C$679,0)),"",INDEX('Compliance Database'!$F$2:$F$679,MATCH(297,Engine!$C$2:$C$679,0)))</f>
        <v/>
      </c>
      <c r="G310">
        <f>IF(ISNA(MATCH(297,Engine!$C$2:$C$679,0)),"",INDEX('Compliance Database'!$G$2:$G$679,MATCH(297,Engine!$C$2:$C$679,0)))</f>
        <v/>
      </c>
      <c r="H310">
        <f>IF(ISNA(MATCH(297,Engine!$C$2:$C$679,0)),"",INDEX('Compliance Database'!$H$2:$H$679,MATCH(297,Engine!$C$2:$C$679,0)))</f>
        <v/>
      </c>
      <c r="I310" s="8">
        <f>IF(ISNA(MATCH(297,Engine!$C$2:$C$679,0)),"",INDEX('Compliance Database'!$I$2:$I$679,MATCH(297,Engine!$C$2:$C$679,0)))</f>
        <v/>
      </c>
      <c r="J310" s="8">
        <f>IF(ISNA(MATCH(297,Engine!$C$2:$C$679,0)),"",INDEX('Compliance Database'!$J$2:$J$679,MATCH(297,Engine!$C$2:$C$679,0)))</f>
        <v/>
      </c>
      <c r="K310">
        <f>IF(ISNA(MATCH(297,Engine!$C$2:$C$679,0)),"",INDEX('Compliance Database'!$K$2:$K$679,MATCH(297,Engine!$C$2:$C$679,0)))</f>
        <v/>
      </c>
      <c r="L310" s="8">
        <f>IF(ISNA(MATCH(297,Engine!$C$2:$C$679,0)),"",INDEX('Compliance Database'!$L$2:$L$679,MATCH(297,Engine!$C$2:$C$679,0)))</f>
        <v/>
      </c>
      <c r="M310" s="8">
        <f>IF(ISNA(MATCH(297,Engine!$C$2:$C$679,0)),"",INDEX('Compliance Database'!$M$2:$M$679,MATCH(297,Engine!$C$2:$C$679,0)))</f>
        <v/>
      </c>
      <c r="N310" s="8">
        <f>IF(ISNA(MATCH(297,Engine!$C$2:$C$679,0)),"",INDEX('Compliance Database'!$N$2:$N$679,MATCH(297,Engine!$C$2:$C$679,0)))</f>
        <v/>
      </c>
      <c r="O310" s="8">
        <f>IF(ISNA(MATCH(297,Engine!$C$2:$C$679,0)),"",INDEX('Compliance Database'!$O$2:$O$679,MATCH(297,Engine!$C$2:$C$679,0)))</f>
        <v/>
      </c>
      <c r="P310">
        <f>IF(ISNA(MATCH(297,Engine!$C$2:$C$679,0)),"",HYPERLINK(INDEX('Compliance Database'!$P$2:$P$679,MATCH(297,Engine!$C$2:$C$679,0)),"Open PDF"))</f>
        <v/>
      </c>
    </row>
    <row r="311">
      <c r="A311">
        <f>IF(ISNA(MATCH(298,Engine!$C$2:$C$679,0)),"",INDEX('Compliance Database'!$A$2:$A$679,MATCH(298,Engine!$C$2:$C$679,0)))</f>
        <v/>
      </c>
      <c r="B311">
        <f>IF(ISNA(MATCH(298,Engine!$C$2:$C$679,0)),"",INDEX('Compliance Database'!$B$2:$B$679,MATCH(298,Engine!$C$2:$C$679,0)))</f>
        <v/>
      </c>
      <c r="C311">
        <f>IF(ISNA(MATCH(298,Engine!$C$2:$C$679,0)),"",INDEX('Compliance Database'!$C$2:$C$679,MATCH(298,Engine!$C$2:$C$679,0)))</f>
        <v/>
      </c>
      <c r="D311" s="8">
        <f>IF(ISNA(MATCH(298,Engine!$C$2:$C$679,0)),"",INDEX('Compliance Database'!$D$2:$D$679,MATCH(298,Engine!$C$2:$C$679,0)))</f>
        <v/>
      </c>
      <c r="E311">
        <f>IF(ISNA(MATCH(298,Engine!$C$2:$C$679,0)),"",INDEX('Compliance Database'!$E$2:$E$679,MATCH(298,Engine!$C$2:$C$679,0)))</f>
        <v/>
      </c>
      <c r="F311">
        <f>IF(ISNA(MATCH(298,Engine!$C$2:$C$679,0)),"",INDEX('Compliance Database'!$F$2:$F$679,MATCH(298,Engine!$C$2:$C$679,0)))</f>
        <v/>
      </c>
      <c r="G311">
        <f>IF(ISNA(MATCH(298,Engine!$C$2:$C$679,0)),"",INDEX('Compliance Database'!$G$2:$G$679,MATCH(298,Engine!$C$2:$C$679,0)))</f>
        <v/>
      </c>
      <c r="H311">
        <f>IF(ISNA(MATCH(298,Engine!$C$2:$C$679,0)),"",INDEX('Compliance Database'!$H$2:$H$679,MATCH(298,Engine!$C$2:$C$679,0)))</f>
        <v/>
      </c>
      <c r="I311" s="8">
        <f>IF(ISNA(MATCH(298,Engine!$C$2:$C$679,0)),"",INDEX('Compliance Database'!$I$2:$I$679,MATCH(298,Engine!$C$2:$C$679,0)))</f>
        <v/>
      </c>
      <c r="J311" s="8">
        <f>IF(ISNA(MATCH(298,Engine!$C$2:$C$679,0)),"",INDEX('Compliance Database'!$J$2:$J$679,MATCH(298,Engine!$C$2:$C$679,0)))</f>
        <v/>
      </c>
      <c r="K311">
        <f>IF(ISNA(MATCH(298,Engine!$C$2:$C$679,0)),"",INDEX('Compliance Database'!$K$2:$K$679,MATCH(298,Engine!$C$2:$C$679,0)))</f>
        <v/>
      </c>
      <c r="L311" s="8">
        <f>IF(ISNA(MATCH(298,Engine!$C$2:$C$679,0)),"",INDEX('Compliance Database'!$L$2:$L$679,MATCH(298,Engine!$C$2:$C$679,0)))</f>
        <v/>
      </c>
      <c r="M311" s="8">
        <f>IF(ISNA(MATCH(298,Engine!$C$2:$C$679,0)),"",INDEX('Compliance Database'!$M$2:$M$679,MATCH(298,Engine!$C$2:$C$679,0)))</f>
        <v/>
      </c>
      <c r="N311" s="8">
        <f>IF(ISNA(MATCH(298,Engine!$C$2:$C$679,0)),"",INDEX('Compliance Database'!$N$2:$N$679,MATCH(298,Engine!$C$2:$C$679,0)))</f>
        <v/>
      </c>
      <c r="O311" s="8">
        <f>IF(ISNA(MATCH(298,Engine!$C$2:$C$679,0)),"",INDEX('Compliance Database'!$O$2:$O$679,MATCH(298,Engine!$C$2:$C$679,0)))</f>
        <v/>
      </c>
      <c r="P311">
        <f>IF(ISNA(MATCH(298,Engine!$C$2:$C$679,0)),"",HYPERLINK(INDEX('Compliance Database'!$P$2:$P$679,MATCH(298,Engine!$C$2:$C$679,0)),"Open PDF"))</f>
        <v/>
      </c>
    </row>
    <row r="312">
      <c r="A312">
        <f>IF(ISNA(MATCH(299,Engine!$C$2:$C$679,0)),"",INDEX('Compliance Database'!$A$2:$A$679,MATCH(299,Engine!$C$2:$C$679,0)))</f>
        <v/>
      </c>
      <c r="B312">
        <f>IF(ISNA(MATCH(299,Engine!$C$2:$C$679,0)),"",INDEX('Compliance Database'!$B$2:$B$679,MATCH(299,Engine!$C$2:$C$679,0)))</f>
        <v/>
      </c>
      <c r="C312">
        <f>IF(ISNA(MATCH(299,Engine!$C$2:$C$679,0)),"",INDEX('Compliance Database'!$C$2:$C$679,MATCH(299,Engine!$C$2:$C$679,0)))</f>
        <v/>
      </c>
      <c r="D312" s="8">
        <f>IF(ISNA(MATCH(299,Engine!$C$2:$C$679,0)),"",INDEX('Compliance Database'!$D$2:$D$679,MATCH(299,Engine!$C$2:$C$679,0)))</f>
        <v/>
      </c>
      <c r="E312">
        <f>IF(ISNA(MATCH(299,Engine!$C$2:$C$679,0)),"",INDEX('Compliance Database'!$E$2:$E$679,MATCH(299,Engine!$C$2:$C$679,0)))</f>
        <v/>
      </c>
      <c r="F312">
        <f>IF(ISNA(MATCH(299,Engine!$C$2:$C$679,0)),"",INDEX('Compliance Database'!$F$2:$F$679,MATCH(299,Engine!$C$2:$C$679,0)))</f>
        <v/>
      </c>
      <c r="G312">
        <f>IF(ISNA(MATCH(299,Engine!$C$2:$C$679,0)),"",INDEX('Compliance Database'!$G$2:$G$679,MATCH(299,Engine!$C$2:$C$679,0)))</f>
        <v/>
      </c>
      <c r="H312">
        <f>IF(ISNA(MATCH(299,Engine!$C$2:$C$679,0)),"",INDEX('Compliance Database'!$H$2:$H$679,MATCH(299,Engine!$C$2:$C$679,0)))</f>
        <v/>
      </c>
      <c r="I312" s="8">
        <f>IF(ISNA(MATCH(299,Engine!$C$2:$C$679,0)),"",INDEX('Compliance Database'!$I$2:$I$679,MATCH(299,Engine!$C$2:$C$679,0)))</f>
        <v/>
      </c>
      <c r="J312" s="8">
        <f>IF(ISNA(MATCH(299,Engine!$C$2:$C$679,0)),"",INDEX('Compliance Database'!$J$2:$J$679,MATCH(299,Engine!$C$2:$C$679,0)))</f>
        <v/>
      </c>
      <c r="K312">
        <f>IF(ISNA(MATCH(299,Engine!$C$2:$C$679,0)),"",INDEX('Compliance Database'!$K$2:$K$679,MATCH(299,Engine!$C$2:$C$679,0)))</f>
        <v/>
      </c>
      <c r="L312" s="8">
        <f>IF(ISNA(MATCH(299,Engine!$C$2:$C$679,0)),"",INDEX('Compliance Database'!$L$2:$L$679,MATCH(299,Engine!$C$2:$C$679,0)))</f>
        <v/>
      </c>
      <c r="M312" s="8">
        <f>IF(ISNA(MATCH(299,Engine!$C$2:$C$679,0)),"",INDEX('Compliance Database'!$M$2:$M$679,MATCH(299,Engine!$C$2:$C$679,0)))</f>
        <v/>
      </c>
      <c r="N312" s="8">
        <f>IF(ISNA(MATCH(299,Engine!$C$2:$C$679,0)),"",INDEX('Compliance Database'!$N$2:$N$679,MATCH(299,Engine!$C$2:$C$679,0)))</f>
        <v/>
      </c>
      <c r="O312" s="8">
        <f>IF(ISNA(MATCH(299,Engine!$C$2:$C$679,0)),"",INDEX('Compliance Database'!$O$2:$O$679,MATCH(299,Engine!$C$2:$C$679,0)))</f>
        <v/>
      </c>
      <c r="P312">
        <f>IF(ISNA(MATCH(299,Engine!$C$2:$C$679,0)),"",HYPERLINK(INDEX('Compliance Database'!$P$2:$P$679,MATCH(299,Engine!$C$2:$C$679,0)),"Open PDF"))</f>
        <v/>
      </c>
    </row>
    <row r="313">
      <c r="A313">
        <f>IF(ISNA(MATCH(300,Engine!$C$2:$C$679,0)),"",INDEX('Compliance Database'!$A$2:$A$679,MATCH(300,Engine!$C$2:$C$679,0)))</f>
        <v/>
      </c>
      <c r="B313">
        <f>IF(ISNA(MATCH(300,Engine!$C$2:$C$679,0)),"",INDEX('Compliance Database'!$B$2:$B$679,MATCH(300,Engine!$C$2:$C$679,0)))</f>
        <v/>
      </c>
      <c r="C313">
        <f>IF(ISNA(MATCH(300,Engine!$C$2:$C$679,0)),"",INDEX('Compliance Database'!$C$2:$C$679,MATCH(300,Engine!$C$2:$C$679,0)))</f>
        <v/>
      </c>
      <c r="D313" s="8">
        <f>IF(ISNA(MATCH(300,Engine!$C$2:$C$679,0)),"",INDEX('Compliance Database'!$D$2:$D$679,MATCH(300,Engine!$C$2:$C$679,0)))</f>
        <v/>
      </c>
      <c r="E313">
        <f>IF(ISNA(MATCH(300,Engine!$C$2:$C$679,0)),"",INDEX('Compliance Database'!$E$2:$E$679,MATCH(300,Engine!$C$2:$C$679,0)))</f>
        <v/>
      </c>
      <c r="F313">
        <f>IF(ISNA(MATCH(300,Engine!$C$2:$C$679,0)),"",INDEX('Compliance Database'!$F$2:$F$679,MATCH(300,Engine!$C$2:$C$679,0)))</f>
        <v/>
      </c>
      <c r="G313">
        <f>IF(ISNA(MATCH(300,Engine!$C$2:$C$679,0)),"",INDEX('Compliance Database'!$G$2:$G$679,MATCH(300,Engine!$C$2:$C$679,0)))</f>
        <v/>
      </c>
      <c r="H313">
        <f>IF(ISNA(MATCH(300,Engine!$C$2:$C$679,0)),"",INDEX('Compliance Database'!$H$2:$H$679,MATCH(300,Engine!$C$2:$C$679,0)))</f>
        <v/>
      </c>
      <c r="I313" s="8">
        <f>IF(ISNA(MATCH(300,Engine!$C$2:$C$679,0)),"",INDEX('Compliance Database'!$I$2:$I$679,MATCH(300,Engine!$C$2:$C$679,0)))</f>
        <v/>
      </c>
      <c r="J313" s="8">
        <f>IF(ISNA(MATCH(300,Engine!$C$2:$C$679,0)),"",INDEX('Compliance Database'!$J$2:$J$679,MATCH(300,Engine!$C$2:$C$679,0)))</f>
        <v/>
      </c>
      <c r="K313">
        <f>IF(ISNA(MATCH(300,Engine!$C$2:$C$679,0)),"",INDEX('Compliance Database'!$K$2:$K$679,MATCH(300,Engine!$C$2:$C$679,0)))</f>
        <v/>
      </c>
      <c r="L313" s="8">
        <f>IF(ISNA(MATCH(300,Engine!$C$2:$C$679,0)),"",INDEX('Compliance Database'!$L$2:$L$679,MATCH(300,Engine!$C$2:$C$679,0)))</f>
        <v/>
      </c>
      <c r="M313" s="8">
        <f>IF(ISNA(MATCH(300,Engine!$C$2:$C$679,0)),"",INDEX('Compliance Database'!$M$2:$M$679,MATCH(300,Engine!$C$2:$C$679,0)))</f>
        <v/>
      </c>
      <c r="N313" s="8">
        <f>IF(ISNA(MATCH(300,Engine!$C$2:$C$679,0)),"",INDEX('Compliance Database'!$N$2:$N$679,MATCH(300,Engine!$C$2:$C$679,0)))</f>
        <v/>
      </c>
      <c r="O313" s="8">
        <f>IF(ISNA(MATCH(300,Engine!$C$2:$C$679,0)),"",INDEX('Compliance Database'!$O$2:$O$679,MATCH(300,Engine!$C$2:$C$679,0)))</f>
        <v/>
      </c>
      <c r="P313">
        <f>IF(ISNA(MATCH(300,Engine!$C$2:$C$679,0)),"",HYPERLINK(INDEX('Compliance Database'!$P$2:$P$679,MATCH(300,Engine!$C$2:$C$679,0)),"Open PDF"))</f>
        <v/>
      </c>
    </row>
    <row r="314">
      <c r="A314">
        <f>IF(ISNA(MATCH(301,Engine!$C$2:$C$679,0)),"",INDEX('Compliance Database'!$A$2:$A$679,MATCH(301,Engine!$C$2:$C$679,0)))</f>
        <v/>
      </c>
      <c r="B314">
        <f>IF(ISNA(MATCH(301,Engine!$C$2:$C$679,0)),"",INDEX('Compliance Database'!$B$2:$B$679,MATCH(301,Engine!$C$2:$C$679,0)))</f>
        <v/>
      </c>
      <c r="C314">
        <f>IF(ISNA(MATCH(301,Engine!$C$2:$C$679,0)),"",INDEX('Compliance Database'!$C$2:$C$679,MATCH(301,Engine!$C$2:$C$679,0)))</f>
        <v/>
      </c>
      <c r="D314" s="8">
        <f>IF(ISNA(MATCH(301,Engine!$C$2:$C$679,0)),"",INDEX('Compliance Database'!$D$2:$D$679,MATCH(301,Engine!$C$2:$C$679,0)))</f>
        <v/>
      </c>
      <c r="E314">
        <f>IF(ISNA(MATCH(301,Engine!$C$2:$C$679,0)),"",INDEX('Compliance Database'!$E$2:$E$679,MATCH(301,Engine!$C$2:$C$679,0)))</f>
        <v/>
      </c>
      <c r="F314">
        <f>IF(ISNA(MATCH(301,Engine!$C$2:$C$679,0)),"",INDEX('Compliance Database'!$F$2:$F$679,MATCH(301,Engine!$C$2:$C$679,0)))</f>
        <v/>
      </c>
      <c r="G314">
        <f>IF(ISNA(MATCH(301,Engine!$C$2:$C$679,0)),"",INDEX('Compliance Database'!$G$2:$G$679,MATCH(301,Engine!$C$2:$C$679,0)))</f>
        <v/>
      </c>
      <c r="H314">
        <f>IF(ISNA(MATCH(301,Engine!$C$2:$C$679,0)),"",INDEX('Compliance Database'!$H$2:$H$679,MATCH(301,Engine!$C$2:$C$679,0)))</f>
        <v/>
      </c>
      <c r="I314" s="8">
        <f>IF(ISNA(MATCH(301,Engine!$C$2:$C$679,0)),"",INDEX('Compliance Database'!$I$2:$I$679,MATCH(301,Engine!$C$2:$C$679,0)))</f>
        <v/>
      </c>
      <c r="J314" s="8">
        <f>IF(ISNA(MATCH(301,Engine!$C$2:$C$679,0)),"",INDEX('Compliance Database'!$J$2:$J$679,MATCH(301,Engine!$C$2:$C$679,0)))</f>
        <v/>
      </c>
      <c r="K314">
        <f>IF(ISNA(MATCH(301,Engine!$C$2:$C$679,0)),"",INDEX('Compliance Database'!$K$2:$K$679,MATCH(301,Engine!$C$2:$C$679,0)))</f>
        <v/>
      </c>
      <c r="L314" s="8">
        <f>IF(ISNA(MATCH(301,Engine!$C$2:$C$679,0)),"",INDEX('Compliance Database'!$L$2:$L$679,MATCH(301,Engine!$C$2:$C$679,0)))</f>
        <v/>
      </c>
      <c r="M314" s="8">
        <f>IF(ISNA(MATCH(301,Engine!$C$2:$C$679,0)),"",INDEX('Compliance Database'!$M$2:$M$679,MATCH(301,Engine!$C$2:$C$679,0)))</f>
        <v/>
      </c>
      <c r="N314" s="8">
        <f>IF(ISNA(MATCH(301,Engine!$C$2:$C$679,0)),"",INDEX('Compliance Database'!$N$2:$N$679,MATCH(301,Engine!$C$2:$C$679,0)))</f>
        <v/>
      </c>
      <c r="O314" s="8">
        <f>IF(ISNA(MATCH(301,Engine!$C$2:$C$679,0)),"",INDEX('Compliance Database'!$O$2:$O$679,MATCH(301,Engine!$C$2:$C$679,0)))</f>
        <v/>
      </c>
      <c r="P314">
        <f>IF(ISNA(MATCH(301,Engine!$C$2:$C$679,0)),"",HYPERLINK(INDEX('Compliance Database'!$P$2:$P$679,MATCH(301,Engine!$C$2:$C$679,0)),"Open PDF"))</f>
        <v/>
      </c>
    </row>
    <row r="315">
      <c r="A315">
        <f>IF(ISNA(MATCH(302,Engine!$C$2:$C$679,0)),"",INDEX('Compliance Database'!$A$2:$A$679,MATCH(302,Engine!$C$2:$C$679,0)))</f>
        <v/>
      </c>
      <c r="B315">
        <f>IF(ISNA(MATCH(302,Engine!$C$2:$C$679,0)),"",INDEX('Compliance Database'!$B$2:$B$679,MATCH(302,Engine!$C$2:$C$679,0)))</f>
        <v/>
      </c>
      <c r="C315">
        <f>IF(ISNA(MATCH(302,Engine!$C$2:$C$679,0)),"",INDEX('Compliance Database'!$C$2:$C$679,MATCH(302,Engine!$C$2:$C$679,0)))</f>
        <v/>
      </c>
      <c r="D315" s="8">
        <f>IF(ISNA(MATCH(302,Engine!$C$2:$C$679,0)),"",INDEX('Compliance Database'!$D$2:$D$679,MATCH(302,Engine!$C$2:$C$679,0)))</f>
        <v/>
      </c>
      <c r="E315">
        <f>IF(ISNA(MATCH(302,Engine!$C$2:$C$679,0)),"",INDEX('Compliance Database'!$E$2:$E$679,MATCH(302,Engine!$C$2:$C$679,0)))</f>
        <v/>
      </c>
      <c r="F315">
        <f>IF(ISNA(MATCH(302,Engine!$C$2:$C$679,0)),"",INDEX('Compliance Database'!$F$2:$F$679,MATCH(302,Engine!$C$2:$C$679,0)))</f>
        <v/>
      </c>
      <c r="G315">
        <f>IF(ISNA(MATCH(302,Engine!$C$2:$C$679,0)),"",INDEX('Compliance Database'!$G$2:$G$679,MATCH(302,Engine!$C$2:$C$679,0)))</f>
        <v/>
      </c>
      <c r="H315">
        <f>IF(ISNA(MATCH(302,Engine!$C$2:$C$679,0)),"",INDEX('Compliance Database'!$H$2:$H$679,MATCH(302,Engine!$C$2:$C$679,0)))</f>
        <v/>
      </c>
      <c r="I315" s="8">
        <f>IF(ISNA(MATCH(302,Engine!$C$2:$C$679,0)),"",INDEX('Compliance Database'!$I$2:$I$679,MATCH(302,Engine!$C$2:$C$679,0)))</f>
        <v/>
      </c>
      <c r="J315" s="8">
        <f>IF(ISNA(MATCH(302,Engine!$C$2:$C$679,0)),"",INDEX('Compliance Database'!$J$2:$J$679,MATCH(302,Engine!$C$2:$C$679,0)))</f>
        <v/>
      </c>
      <c r="K315">
        <f>IF(ISNA(MATCH(302,Engine!$C$2:$C$679,0)),"",INDEX('Compliance Database'!$K$2:$K$679,MATCH(302,Engine!$C$2:$C$679,0)))</f>
        <v/>
      </c>
      <c r="L315" s="8">
        <f>IF(ISNA(MATCH(302,Engine!$C$2:$C$679,0)),"",INDEX('Compliance Database'!$L$2:$L$679,MATCH(302,Engine!$C$2:$C$679,0)))</f>
        <v/>
      </c>
      <c r="M315" s="8">
        <f>IF(ISNA(MATCH(302,Engine!$C$2:$C$679,0)),"",INDEX('Compliance Database'!$M$2:$M$679,MATCH(302,Engine!$C$2:$C$679,0)))</f>
        <v/>
      </c>
      <c r="N315" s="8">
        <f>IF(ISNA(MATCH(302,Engine!$C$2:$C$679,0)),"",INDEX('Compliance Database'!$N$2:$N$679,MATCH(302,Engine!$C$2:$C$679,0)))</f>
        <v/>
      </c>
      <c r="O315" s="8">
        <f>IF(ISNA(MATCH(302,Engine!$C$2:$C$679,0)),"",INDEX('Compliance Database'!$O$2:$O$679,MATCH(302,Engine!$C$2:$C$679,0)))</f>
        <v/>
      </c>
      <c r="P315">
        <f>IF(ISNA(MATCH(302,Engine!$C$2:$C$679,0)),"",HYPERLINK(INDEX('Compliance Database'!$P$2:$P$679,MATCH(302,Engine!$C$2:$C$679,0)),"Open PDF"))</f>
        <v/>
      </c>
    </row>
    <row r="316">
      <c r="A316">
        <f>IF(ISNA(MATCH(303,Engine!$C$2:$C$679,0)),"",INDEX('Compliance Database'!$A$2:$A$679,MATCH(303,Engine!$C$2:$C$679,0)))</f>
        <v/>
      </c>
      <c r="B316">
        <f>IF(ISNA(MATCH(303,Engine!$C$2:$C$679,0)),"",INDEX('Compliance Database'!$B$2:$B$679,MATCH(303,Engine!$C$2:$C$679,0)))</f>
        <v/>
      </c>
      <c r="C316">
        <f>IF(ISNA(MATCH(303,Engine!$C$2:$C$679,0)),"",INDEX('Compliance Database'!$C$2:$C$679,MATCH(303,Engine!$C$2:$C$679,0)))</f>
        <v/>
      </c>
      <c r="D316" s="8">
        <f>IF(ISNA(MATCH(303,Engine!$C$2:$C$679,0)),"",INDEX('Compliance Database'!$D$2:$D$679,MATCH(303,Engine!$C$2:$C$679,0)))</f>
        <v/>
      </c>
      <c r="E316">
        <f>IF(ISNA(MATCH(303,Engine!$C$2:$C$679,0)),"",INDEX('Compliance Database'!$E$2:$E$679,MATCH(303,Engine!$C$2:$C$679,0)))</f>
        <v/>
      </c>
      <c r="F316">
        <f>IF(ISNA(MATCH(303,Engine!$C$2:$C$679,0)),"",INDEX('Compliance Database'!$F$2:$F$679,MATCH(303,Engine!$C$2:$C$679,0)))</f>
        <v/>
      </c>
      <c r="G316">
        <f>IF(ISNA(MATCH(303,Engine!$C$2:$C$679,0)),"",INDEX('Compliance Database'!$G$2:$G$679,MATCH(303,Engine!$C$2:$C$679,0)))</f>
        <v/>
      </c>
      <c r="H316">
        <f>IF(ISNA(MATCH(303,Engine!$C$2:$C$679,0)),"",INDEX('Compliance Database'!$H$2:$H$679,MATCH(303,Engine!$C$2:$C$679,0)))</f>
        <v/>
      </c>
      <c r="I316" s="8">
        <f>IF(ISNA(MATCH(303,Engine!$C$2:$C$679,0)),"",INDEX('Compliance Database'!$I$2:$I$679,MATCH(303,Engine!$C$2:$C$679,0)))</f>
        <v/>
      </c>
      <c r="J316" s="8">
        <f>IF(ISNA(MATCH(303,Engine!$C$2:$C$679,0)),"",INDEX('Compliance Database'!$J$2:$J$679,MATCH(303,Engine!$C$2:$C$679,0)))</f>
        <v/>
      </c>
      <c r="K316">
        <f>IF(ISNA(MATCH(303,Engine!$C$2:$C$679,0)),"",INDEX('Compliance Database'!$K$2:$K$679,MATCH(303,Engine!$C$2:$C$679,0)))</f>
        <v/>
      </c>
      <c r="L316" s="8">
        <f>IF(ISNA(MATCH(303,Engine!$C$2:$C$679,0)),"",INDEX('Compliance Database'!$L$2:$L$679,MATCH(303,Engine!$C$2:$C$679,0)))</f>
        <v/>
      </c>
      <c r="M316" s="8">
        <f>IF(ISNA(MATCH(303,Engine!$C$2:$C$679,0)),"",INDEX('Compliance Database'!$M$2:$M$679,MATCH(303,Engine!$C$2:$C$679,0)))</f>
        <v/>
      </c>
      <c r="N316" s="8">
        <f>IF(ISNA(MATCH(303,Engine!$C$2:$C$679,0)),"",INDEX('Compliance Database'!$N$2:$N$679,MATCH(303,Engine!$C$2:$C$679,0)))</f>
        <v/>
      </c>
      <c r="O316" s="8">
        <f>IF(ISNA(MATCH(303,Engine!$C$2:$C$679,0)),"",INDEX('Compliance Database'!$O$2:$O$679,MATCH(303,Engine!$C$2:$C$679,0)))</f>
        <v/>
      </c>
      <c r="P316">
        <f>IF(ISNA(MATCH(303,Engine!$C$2:$C$679,0)),"",HYPERLINK(INDEX('Compliance Database'!$P$2:$P$679,MATCH(303,Engine!$C$2:$C$679,0)),"Open PDF"))</f>
        <v/>
      </c>
    </row>
    <row r="317">
      <c r="A317">
        <f>IF(ISNA(MATCH(304,Engine!$C$2:$C$679,0)),"",INDEX('Compliance Database'!$A$2:$A$679,MATCH(304,Engine!$C$2:$C$679,0)))</f>
        <v/>
      </c>
      <c r="B317">
        <f>IF(ISNA(MATCH(304,Engine!$C$2:$C$679,0)),"",INDEX('Compliance Database'!$B$2:$B$679,MATCH(304,Engine!$C$2:$C$679,0)))</f>
        <v/>
      </c>
      <c r="C317">
        <f>IF(ISNA(MATCH(304,Engine!$C$2:$C$679,0)),"",INDEX('Compliance Database'!$C$2:$C$679,MATCH(304,Engine!$C$2:$C$679,0)))</f>
        <v/>
      </c>
      <c r="D317" s="8">
        <f>IF(ISNA(MATCH(304,Engine!$C$2:$C$679,0)),"",INDEX('Compliance Database'!$D$2:$D$679,MATCH(304,Engine!$C$2:$C$679,0)))</f>
        <v/>
      </c>
      <c r="E317">
        <f>IF(ISNA(MATCH(304,Engine!$C$2:$C$679,0)),"",INDEX('Compliance Database'!$E$2:$E$679,MATCH(304,Engine!$C$2:$C$679,0)))</f>
        <v/>
      </c>
      <c r="F317">
        <f>IF(ISNA(MATCH(304,Engine!$C$2:$C$679,0)),"",INDEX('Compliance Database'!$F$2:$F$679,MATCH(304,Engine!$C$2:$C$679,0)))</f>
        <v/>
      </c>
      <c r="G317">
        <f>IF(ISNA(MATCH(304,Engine!$C$2:$C$679,0)),"",INDEX('Compliance Database'!$G$2:$G$679,MATCH(304,Engine!$C$2:$C$679,0)))</f>
        <v/>
      </c>
      <c r="H317">
        <f>IF(ISNA(MATCH(304,Engine!$C$2:$C$679,0)),"",INDEX('Compliance Database'!$H$2:$H$679,MATCH(304,Engine!$C$2:$C$679,0)))</f>
        <v/>
      </c>
      <c r="I317" s="8">
        <f>IF(ISNA(MATCH(304,Engine!$C$2:$C$679,0)),"",INDEX('Compliance Database'!$I$2:$I$679,MATCH(304,Engine!$C$2:$C$679,0)))</f>
        <v/>
      </c>
      <c r="J317" s="8">
        <f>IF(ISNA(MATCH(304,Engine!$C$2:$C$679,0)),"",INDEX('Compliance Database'!$J$2:$J$679,MATCH(304,Engine!$C$2:$C$679,0)))</f>
        <v/>
      </c>
      <c r="K317">
        <f>IF(ISNA(MATCH(304,Engine!$C$2:$C$679,0)),"",INDEX('Compliance Database'!$K$2:$K$679,MATCH(304,Engine!$C$2:$C$679,0)))</f>
        <v/>
      </c>
      <c r="L317" s="8">
        <f>IF(ISNA(MATCH(304,Engine!$C$2:$C$679,0)),"",INDEX('Compliance Database'!$L$2:$L$679,MATCH(304,Engine!$C$2:$C$679,0)))</f>
        <v/>
      </c>
      <c r="M317" s="8">
        <f>IF(ISNA(MATCH(304,Engine!$C$2:$C$679,0)),"",INDEX('Compliance Database'!$M$2:$M$679,MATCH(304,Engine!$C$2:$C$679,0)))</f>
        <v/>
      </c>
      <c r="N317" s="8">
        <f>IF(ISNA(MATCH(304,Engine!$C$2:$C$679,0)),"",INDEX('Compliance Database'!$N$2:$N$679,MATCH(304,Engine!$C$2:$C$679,0)))</f>
        <v/>
      </c>
      <c r="O317" s="8">
        <f>IF(ISNA(MATCH(304,Engine!$C$2:$C$679,0)),"",INDEX('Compliance Database'!$O$2:$O$679,MATCH(304,Engine!$C$2:$C$679,0)))</f>
        <v/>
      </c>
      <c r="P317">
        <f>IF(ISNA(MATCH(304,Engine!$C$2:$C$679,0)),"",HYPERLINK(INDEX('Compliance Database'!$P$2:$P$679,MATCH(304,Engine!$C$2:$C$679,0)),"Open PDF"))</f>
        <v/>
      </c>
    </row>
    <row r="318">
      <c r="A318">
        <f>IF(ISNA(MATCH(305,Engine!$C$2:$C$679,0)),"",INDEX('Compliance Database'!$A$2:$A$679,MATCH(305,Engine!$C$2:$C$679,0)))</f>
        <v/>
      </c>
      <c r="B318">
        <f>IF(ISNA(MATCH(305,Engine!$C$2:$C$679,0)),"",INDEX('Compliance Database'!$B$2:$B$679,MATCH(305,Engine!$C$2:$C$679,0)))</f>
        <v/>
      </c>
      <c r="C318">
        <f>IF(ISNA(MATCH(305,Engine!$C$2:$C$679,0)),"",INDEX('Compliance Database'!$C$2:$C$679,MATCH(305,Engine!$C$2:$C$679,0)))</f>
        <v/>
      </c>
      <c r="D318" s="8">
        <f>IF(ISNA(MATCH(305,Engine!$C$2:$C$679,0)),"",INDEX('Compliance Database'!$D$2:$D$679,MATCH(305,Engine!$C$2:$C$679,0)))</f>
        <v/>
      </c>
      <c r="E318">
        <f>IF(ISNA(MATCH(305,Engine!$C$2:$C$679,0)),"",INDEX('Compliance Database'!$E$2:$E$679,MATCH(305,Engine!$C$2:$C$679,0)))</f>
        <v/>
      </c>
      <c r="F318">
        <f>IF(ISNA(MATCH(305,Engine!$C$2:$C$679,0)),"",INDEX('Compliance Database'!$F$2:$F$679,MATCH(305,Engine!$C$2:$C$679,0)))</f>
        <v/>
      </c>
      <c r="G318">
        <f>IF(ISNA(MATCH(305,Engine!$C$2:$C$679,0)),"",INDEX('Compliance Database'!$G$2:$G$679,MATCH(305,Engine!$C$2:$C$679,0)))</f>
        <v/>
      </c>
      <c r="H318">
        <f>IF(ISNA(MATCH(305,Engine!$C$2:$C$679,0)),"",INDEX('Compliance Database'!$H$2:$H$679,MATCH(305,Engine!$C$2:$C$679,0)))</f>
        <v/>
      </c>
      <c r="I318" s="8">
        <f>IF(ISNA(MATCH(305,Engine!$C$2:$C$679,0)),"",INDEX('Compliance Database'!$I$2:$I$679,MATCH(305,Engine!$C$2:$C$679,0)))</f>
        <v/>
      </c>
      <c r="J318" s="8">
        <f>IF(ISNA(MATCH(305,Engine!$C$2:$C$679,0)),"",INDEX('Compliance Database'!$J$2:$J$679,MATCH(305,Engine!$C$2:$C$679,0)))</f>
        <v/>
      </c>
      <c r="K318">
        <f>IF(ISNA(MATCH(305,Engine!$C$2:$C$679,0)),"",INDEX('Compliance Database'!$K$2:$K$679,MATCH(305,Engine!$C$2:$C$679,0)))</f>
        <v/>
      </c>
      <c r="L318" s="8">
        <f>IF(ISNA(MATCH(305,Engine!$C$2:$C$679,0)),"",INDEX('Compliance Database'!$L$2:$L$679,MATCH(305,Engine!$C$2:$C$679,0)))</f>
        <v/>
      </c>
      <c r="M318" s="8">
        <f>IF(ISNA(MATCH(305,Engine!$C$2:$C$679,0)),"",INDEX('Compliance Database'!$M$2:$M$679,MATCH(305,Engine!$C$2:$C$679,0)))</f>
        <v/>
      </c>
      <c r="N318" s="8">
        <f>IF(ISNA(MATCH(305,Engine!$C$2:$C$679,0)),"",INDEX('Compliance Database'!$N$2:$N$679,MATCH(305,Engine!$C$2:$C$679,0)))</f>
        <v/>
      </c>
      <c r="O318" s="8">
        <f>IF(ISNA(MATCH(305,Engine!$C$2:$C$679,0)),"",INDEX('Compliance Database'!$O$2:$O$679,MATCH(305,Engine!$C$2:$C$679,0)))</f>
        <v/>
      </c>
      <c r="P318">
        <f>IF(ISNA(MATCH(305,Engine!$C$2:$C$679,0)),"",HYPERLINK(INDEX('Compliance Database'!$P$2:$P$679,MATCH(305,Engine!$C$2:$C$679,0)),"Open PDF"))</f>
        <v/>
      </c>
    </row>
    <row r="319">
      <c r="A319">
        <f>IF(ISNA(MATCH(306,Engine!$C$2:$C$679,0)),"",INDEX('Compliance Database'!$A$2:$A$679,MATCH(306,Engine!$C$2:$C$679,0)))</f>
        <v/>
      </c>
      <c r="B319">
        <f>IF(ISNA(MATCH(306,Engine!$C$2:$C$679,0)),"",INDEX('Compliance Database'!$B$2:$B$679,MATCH(306,Engine!$C$2:$C$679,0)))</f>
        <v/>
      </c>
      <c r="C319">
        <f>IF(ISNA(MATCH(306,Engine!$C$2:$C$679,0)),"",INDEX('Compliance Database'!$C$2:$C$679,MATCH(306,Engine!$C$2:$C$679,0)))</f>
        <v/>
      </c>
      <c r="D319" s="8">
        <f>IF(ISNA(MATCH(306,Engine!$C$2:$C$679,0)),"",INDEX('Compliance Database'!$D$2:$D$679,MATCH(306,Engine!$C$2:$C$679,0)))</f>
        <v/>
      </c>
      <c r="E319">
        <f>IF(ISNA(MATCH(306,Engine!$C$2:$C$679,0)),"",INDEX('Compliance Database'!$E$2:$E$679,MATCH(306,Engine!$C$2:$C$679,0)))</f>
        <v/>
      </c>
      <c r="F319">
        <f>IF(ISNA(MATCH(306,Engine!$C$2:$C$679,0)),"",INDEX('Compliance Database'!$F$2:$F$679,MATCH(306,Engine!$C$2:$C$679,0)))</f>
        <v/>
      </c>
      <c r="G319">
        <f>IF(ISNA(MATCH(306,Engine!$C$2:$C$679,0)),"",INDEX('Compliance Database'!$G$2:$G$679,MATCH(306,Engine!$C$2:$C$679,0)))</f>
        <v/>
      </c>
      <c r="H319">
        <f>IF(ISNA(MATCH(306,Engine!$C$2:$C$679,0)),"",INDEX('Compliance Database'!$H$2:$H$679,MATCH(306,Engine!$C$2:$C$679,0)))</f>
        <v/>
      </c>
      <c r="I319" s="8">
        <f>IF(ISNA(MATCH(306,Engine!$C$2:$C$679,0)),"",INDEX('Compliance Database'!$I$2:$I$679,MATCH(306,Engine!$C$2:$C$679,0)))</f>
        <v/>
      </c>
      <c r="J319" s="8">
        <f>IF(ISNA(MATCH(306,Engine!$C$2:$C$679,0)),"",INDEX('Compliance Database'!$J$2:$J$679,MATCH(306,Engine!$C$2:$C$679,0)))</f>
        <v/>
      </c>
      <c r="K319">
        <f>IF(ISNA(MATCH(306,Engine!$C$2:$C$679,0)),"",INDEX('Compliance Database'!$K$2:$K$679,MATCH(306,Engine!$C$2:$C$679,0)))</f>
        <v/>
      </c>
      <c r="L319" s="8">
        <f>IF(ISNA(MATCH(306,Engine!$C$2:$C$679,0)),"",INDEX('Compliance Database'!$L$2:$L$679,MATCH(306,Engine!$C$2:$C$679,0)))</f>
        <v/>
      </c>
      <c r="M319" s="8">
        <f>IF(ISNA(MATCH(306,Engine!$C$2:$C$679,0)),"",INDEX('Compliance Database'!$M$2:$M$679,MATCH(306,Engine!$C$2:$C$679,0)))</f>
        <v/>
      </c>
      <c r="N319" s="8">
        <f>IF(ISNA(MATCH(306,Engine!$C$2:$C$679,0)),"",INDEX('Compliance Database'!$N$2:$N$679,MATCH(306,Engine!$C$2:$C$679,0)))</f>
        <v/>
      </c>
      <c r="O319" s="8">
        <f>IF(ISNA(MATCH(306,Engine!$C$2:$C$679,0)),"",INDEX('Compliance Database'!$O$2:$O$679,MATCH(306,Engine!$C$2:$C$679,0)))</f>
        <v/>
      </c>
      <c r="P319">
        <f>IF(ISNA(MATCH(306,Engine!$C$2:$C$679,0)),"",HYPERLINK(INDEX('Compliance Database'!$P$2:$P$679,MATCH(306,Engine!$C$2:$C$679,0)),"Open PDF"))</f>
        <v/>
      </c>
    </row>
    <row r="320">
      <c r="A320">
        <f>IF(ISNA(MATCH(307,Engine!$C$2:$C$679,0)),"",INDEX('Compliance Database'!$A$2:$A$679,MATCH(307,Engine!$C$2:$C$679,0)))</f>
        <v/>
      </c>
      <c r="B320">
        <f>IF(ISNA(MATCH(307,Engine!$C$2:$C$679,0)),"",INDEX('Compliance Database'!$B$2:$B$679,MATCH(307,Engine!$C$2:$C$679,0)))</f>
        <v/>
      </c>
      <c r="C320">
        <f>IF(ISNA(MATCH(307,Engine!$C$2:$C$679,0)),"",INDEX('Compliance Database'!$C$2:$C$679,MATCH(307,Engine!$C$2:$C$679,0)))</f>
        <v/>
      </c>
      <c r="D320" s="8">
        <f>IF(ISNA(MATCH(307,Engine!$C$2:$C$679,0)),"",INDEX('Compliance Database'!$D$2:$D$679,MATCH(307,Engine!$C$2:$C$679,0)))</f>
        <v/>
      </c>
      <c r="E320">
        <f>IF(ISNA(MATCH(307,Engine!$C$2:$C$679,0)),"",INDEX('Compliance Database'!$E$2:$E$679,MATCH(307,Engine!$C$2:$C$679,0)))</f>
        <v/>
      </c>
      <c r="F320">
        <f>IF(ISNA(MATCH(307,Engine!$C$2:$C$679,0)),"",INDEX('Compliance Database'!$F$2:$F$679,MATCH(307,Engine!$C$2:$C$679,0)))</f>
        <v/>
      </c>
      <c r="G320">
        <f>IF(ISNA(MATCH(307,Engine!$C$2:$C$679,0)),"",INDEX('Compliance Database'!$G$2:$G$679,MATCH(307,Engine!$C$2:$C$679,0)))</f>
        <v/>
      </c>
      <c r="H320">
        <f>IF(ISNA(MATCH(307,Engine!$C$2:$C$679,0)),"",INDEX('Compliance Database'!$H$2:$H$679,MATCH(307,Engine!$C$2:$C$679,0)))</f>
        <v/>
      </c>
      <c r="I320" s="8">
        <f>IF(ISNA(MATCH(307,Engine!$C$2:$C$679,0)),"",INDEX('Compliance Database'!$I$2:$I$679,MATCH(307,Engine!$C$2:$C$679,0)))</f>
        <v/>
      </c>
      <c r="J320" s="8">
        <f>IF(ISNA(MATCH(307,Engine!$C$2:$C$679,0)),"",INDEX('Compliance Database'!$J$2:$J$679,MATCH(307,Engine!$C$2:$C$679,0)))</f>
        <v/>
      </c>
      <c r="K320">
        <f>IF(ISNA(MATCH(307,Engine!$C$2:$C$679,0)),"",INDEX('Compliance Database'!$K$2:$K$679,MATCH(307,Engine!$C$2:$C$679,0)))</f>
        <v/>
      </c>
      <c r="L320" s="8">
        <f>IF(ISNA(MATCH(307,Engine!$C$2:$C$679,0)),"",INDEX('Compliance Database'!$L$2:$L$679,MATCH(307,Engine!$C$2:$C$679,0)))</f>
        <v/>
      </c>
      <c r="M320" s="8">
        <f>IF(ISNA(MATCH(307,Engine!$C$2:$C$679,0)),"",INDEX('Compliance Database'!$M$2:$M$679,MATCH(307,Engine!$C$2:$C$679,0)))</f>
        <v/>
      </c>
      <c r="N320" s="8">
        <f>IF(ISNA(MATCH(307,Engine!$C$2:$C$679,0)),"",INDEX('Compliance Database'!$N$2:$N$679,MATCH(307,Engine!$C$2:$C$679,0)))</f>
        <v/>
      </c>
      <c r="O320" s="8">
        <f>IF(ISNA(MATCH(307,Engine!$C$2:$C$679,0)),"",INDEX('Compliance Database'!$O$2:$O$679,MATCH(307,Engine!$C$2:$C$679,0)))</f>
        <v/>
      </c>
      <c r="P320">
        <f>IF(ISNA(MATCH(307,Engine!$C$2:$C$679,0)),"",HYPERLINK(INDEX('Compliance Database'!$P$2:$P$679,MATCH(307,Engine!$C$2:$C$679,0)),"Open PDF"))</f>
        <v/>
      </c>
    </row>
    <row r="321">
      <c r="A321">
        <f>IF(ISNA(MATCH(308,Engine!$C$2:$C$679,0)),"",INDEX('Compliance Database'!$A$2:$A$679,MATCH(308,Engine!$C$2:$C$679,0)))</f>
        <v/>
      </c>
      <c r="B321">
        <f>IF(ISNA(MATCH(308,Engine!$C$2:$C$679,0)),"",INDEX('Compliance Database'!$B$2:$B$679,MATCH(308,Engine!$C$2:$C$679,0)))</f>
        <v/>
      </c>
      <c r="C321">
        <f>IF(ISNA(MATCH(308,Engine!$C$2:$C$679,0)),"",INDEX('Compliance Database'!$C$2:$C$679,MATCH(308,Engine!$C$2:$C$679,0)))</f>
        <v/>
      </c>
      <c r="D321" s="8">
        <f>IF(ISNA(MATCH(308,Engine!$C$2:$C$679,0)),"",INDEX('Compliance Database'!$D$2:$D$679,MATCH(308,Engine!$C$2:$C$679,0)))</f>
        <v/>
      </c>
      <c r="E321">
        <f>IF(ISNA(MATCH(308,Engine!$C$2:$C$679,0)),"",INDEX('Compliance Database'!$E$2:$E$679,MATCH(308,Engine!$C$2:$C$679,0)))</f>
        <v/>
      </c>
      <c r="F321">
        <f>IF(ISNA(MATCH(308,Engine!$C$2:$C$679,0)),"",INDEX('Compliance Database'!$F$2:$F$679,MATCH(308,Engine!$C$2:$C$679,0)))</f>
        <v/>
      </c>
      <c r="G321">
        <f>IF(ISNA(MATCH(308,Engine!$C$2:$C$679,0)),"",INDEX('Compliance Database'!$G$2:$G$679,MATCH(308,Engine!$C$2:$C$679,0)))</f>
        <v/>
      </c>
      <c r="H321">
        <f>IF(ISNA(MATCH(308,Engine!$C$2:$C$679,0)),"",INDEX('Compliance Database'!$H$2:$H$679,MATCH(308,Engine!$C$2:$C$679,0)))</f>
        <v/>
      </c>
      <c r="I321" s="8">
        <f>IF(ISNA(MATCH(308,Engine!$C$2:$C$679,0)),"",INDEX('Compliance Database'!$I$2:$I$679,MATCH(308,Engine!$C$2:$C$679,0)))</f>
        <v/>
      </c>
      <c r="J321" s="8">
        <f>IF(ISNA(MATCH(308,Engine!$C$2:$C$679,0)),"",INDEX('Compliance Database'!$J$2:$J$679,MATCH(308,Engine!$C$2:$C$679,0)))</f>
        <v/>
      </c>
      <c r="K321">
        <f>IF(ISNA(MATCH(308,Engine!$C$2:$C$679,0)),"",INDEX('Compliance Database'!$K$2:$K$679,MATCH(308,Engine!$C$2:$C$679,0)))</f>
        <v/>
      </c>
      <c r="L321" s="8">
        <f>IF(ISNA(MATCH(308,Engine!$C$2:$C$679,0)),"",INDEX('Compliance Database'!$L$2:$L$679,MATCH(308,Engine!$C$2:$C$679,0)))</f>
        <v/>
      </c>
      <c r="M321" s="8">
        <f>IF(ISNA(MATCH(308,Engine!$C$2:$C$679,0)),"",INDEX('Compliance Database'!$M$2:$M$679,MATCH(308,Engine!$C$2:$C$679,0)))</f>
        <v/>
      </c>
      <c r="N321" s="8">
        <f>IF(ISNA(MATCH(308,Engine!$C$2:$C$679,0)),"",INDEX('Compliance Database'!$N$2:$N$679,MATCH(308,Engine!$C$2:$C$679,0)))</f>
        <v/>
      </c>
      <c r="O321" s="8">
        <f>IF(ISNA(MATCH(308,Engine!$C$2:$C$679,0)),"",INDEX('Compliance Database'!$O$2:$O$679,MATCH(308,Engine!$C$2:$C$679,0)))</f>
        <v/>
      </c>
      <c r="P321">
        <f>IF(ISNA(MATCH(308,Engine!$C$2:$C$679,0)),"",HYPERLINK(INDEX('Compliance Database'!$P$2:$P$679,MATCH(308,Engine!$C$2:$C$679,0)),"Open PDF"))</f>
        <v/>
      </c>
    </row>
    <row r="322">
      <c r="A322">
        <f>IF(ISNA(MATCH(309,Engine!$C$2:$C$679,0)),"",INDEX('Compliance Database'!$A$2:$A$679,MATCH(309,Engine!$C$2:$C$679,0)))</f>
        <v/>
      </c>
      <c r="B322">
        <f>IF(ISNA(MATCH(309,Engine!$C$2:$C$679,0)),"",INDEX('Compliance Database'!$B$2:$B$679,MATCH(309,Engine!$C$2:$C$679,0)))</f>
        <v/>
      </c>
      <c r="C322">
        <f>IF(ISNA(MATCH(309,Engine!$C$2:$C$679,0)),"",INDEX('Compliance Database'!$C$2:$C$679,MATCH(309,Engine!$C$2:$C$679,0)))</f>
        <v/>
      </c>
      <c r="D322" s="8">
        <f>IF(ISNA(MATCH(309,Engine!$C$2:$C$679,0)),"",INDEX('Compliance Database'!$D$2:$D$679,MATCH(309,Engine!$C$2:$C$679,0)))</f>
        <v/>
      </c>
      <c r="E322">
        <f>IF(ISNA(MATCH(309,Engine!$C$2:$C$679,0)),"",INDEX('Compliance Database'!$E$2:$E$679,MATCH(309,Engine!$C$2:$C$679,0)))</f>
        <v/>
      </c>
      <c r="F322">
        <f>IF(ISNA(MATCH(309,Engine!$C$2:$C$679,0)),"",INDEX('Compliance Database'!$F$2:$F$679,MATCH(309,Engine!$C$2:$C$679,0)))</f>
        <v/>
      </c>
      <c r="G322">
        <f>IF(ISNA(MATCH(309,Engine!$C$2:$C$679,0)),"",INDEX('Compliance Database'!$G$2:$G$679,MATCH(309,Engine!$C$2:$C$679,0)))</f>
        <v/>
      </c>
      <c r="H322">
        <f>IF(ISNA(MATCH(309,Engine!$C$2:$C$679,0)),"",INDEX('Compliance Database'!$H$2:$H$679,MATCH(309,Engine!$C$2:$C$679,0)))</f>
        <v/>
      </c>
      <c r="I322" s="8">
        <f>IF(ISNA(MATCH(309,Engine!$C$2:$C$679,0)),"",INDEX('Compliance Database'!$I$2:$I$679,MATCH(309,Engine!$C$2:$C$679,0)))</f>
        <v/>
      </c>
      <c r="J322" s="8">
        <f>IF(ISNA(MATCH(309,Engine!$C$2:$C$679,0)),"",INDEX('Compliance Database'!$J$2:$J$679,MATCH(309,Engine!$C$2:$C$679,0)))</f>
        <v/>
      </c>
      <c r="K322">
        <f>IF(ISNA(MATCH(309,Engine!$C$2:$C$679,0)),"",INDEX('Compliance Database'!$K$2:$K$679,MATCH(309,Engine!$C$2:$C$679,0)))</f>
        <v/>
      </c>
      <c r="L322" s="8">
        <f>IF(ISNA(MATCH(309,Engine!$C$2:$C$679,0)),"",INDEX('Compliance Database'!$L$2:$L$679,MATCH(309,Engine!$C$2:$C$679,0)))</f>
        <v/>
      </c>
      <c r="M322" s="8">
        <f>IF(ISNA(MATCH(309,Engine!$C$2:$C$679,0)),"",INDEX('Compliance Database'!$M$2:$M$679,MATCH(309,Engine!$C$2:$C$679,0)))</f>
        <v/>
      </c>
      <c r="N322" s="8">
        <f>IF(ISNA(MATCH(309,Engine!$C$2:$C$679,0)),"",INDEX('Compliance Database'!$N$2:$N$679,MATCH(309,Engine!$C$2:$C$679,0)))</f>
        <v/>
      </c>
      <c r="O322" s="8">
        <f>IF(ISNA(MATCH(309,Engine!$C$2:$C$679,0)),"",INDEX('Compliance Database'!$O$2:$O$679,MATCH(309,Engine!$C$2:$C$679,0)))</f>
        <v/>
      </c>
      <c r="P322">
        <f>IF(ISNA(MATCH(309,Engine!$C$2:$C$679,0)),"",HYPERLINK(INDEX('Compliance Database'!$P$2:$P$679,MATCH(309,Engine!$C$2:$C$679,0)),"Open PDF"))</f>
        <v/>
      </c>
    </row>
    <row r="323">
      <c r="A323">
        <f>IF(ISNA(MATCH(310,Engine!$C$2:$C$679,0)),"",INDEX('Compliance Database'!$A$2:$A$679,MATCH(310,Engine!$C$2:$C$679,0)))</f>
        <v/>
      </c>
      <c r="B323">
        <f>IF(ISNA(MATCH(310,Engine!$C$2:$C$679,0)),"",INDEX('Compliance Database'!$B$2:$B$679,MATCH(310,Engine!$C$2:$C$679,0)))</f>
        <v/>
      </c>
      <c r="C323">
        <f>IF(ISNA(MATCH(310,Engine!$C$2:$C$679,0)),"",INDEX('Compliance Database'!$C$2:$C$679,MATCH(310,Engine!$C$2:$C$679,0)))</f>
        <v/>
      </c>
      <c r="D323" s="8">
        <f>IF(ISNA(MATCH(310,Engine!$C$2:$C$679,0)),"",INDEX('Compliance Database'!$D$2:$D$679,MATCH(310,Engine!$C$2:$C$679,0)))</f>
        <v/>
      </c>
      <c r="E323">
        <f>IF(ISNA(MATCH(310,Engine!$C$2:$C$679,0)),"",INDEX('Compliance Database'!$E$2:$E$679,MATCH(310,Engine!$C$2:$C$679,0)))</f>
        <v/>
      </c>
      <c r="F323">
        <f>IF(ISNA(MATCH(310,Engine!$C$2:$C$679,0)),"",INDEX('Compliance Database'!$F$2:$F$679,MATCH(310,Engine!$C$2:$C$679,0)))</f>
        <v/>
      </c>
      <c r="G323">
        <f>IF(ISNA(MATCH(310,Engine!$C$2:$C$679,0)),"",INDEX('Compliance Database'!$G$2:$G$679,MATCH(310,Engine!$C$2:$C$679,0)))</f>
        <v/>
      </c>
      <c r="H323">
        <f>IF(ISNA(MATCH(310,Engine!$C$2:$C$679,0)),"",INDEX('Compliance Database'!$H$2:$H$679,MATCH(310,Engine!$C$2:$C$679,0)))</f>
        <v/>
      </c>
      <c r="I323" s="8">
        <f>IF(ISNA(MATCH(310,Engine!$C$2:$C$679,0)),"",INDEX('Compliance Database'!$I$2:$I$679,MATCH(310,Engine!$C$2:$C$679,0)))</f>
        <v/>
      </c>
      <c r="J323" s="8">
        <f>IF(ISNA(MATCH(310,Engine!$C$2:$C$679,0)),"",INDEX('Compliance Database'!$J$2:$J$679,MATCH(310,Engine!$C$2:$C$679,0)))</f>
        <v/>
      </c>
      <c r="K323">
        <f>IF(ISNA(MATCH(310,Engine!$C$2:$C$679,0)),"",INDEX('Compliance Database'!$K$2:$K$679,MATCH(310,Engine!$C$2:$C$679,0)))</f>
        <v/>
      </c>
      <c r="L323" s="8">
        <f>IF(ISNA(MATCH(310,Engine!$C$2:$C$679,0)),"",INDEX('Compliance Database'!$L$2:$L$679,MATCH(310,Engine!$C$2:$C$679,0)))</f>
        <v/>
      </c>
      <c r="M323" s="8">
        <f>IF(ISNA(MATCH(310,Engine!$C$2:$C$679,0)),"",INDEX('Compliance Database'!$M$2:$M$679,MATCH(310,Engine!$C$2:$C$679,0)))</f>
        <v/>
      </c>
      <c r="N323" s="8">
        <f>IF(ISNA(MATCH(310,Engine!$C$2:$C$679,0)),"",INDEX('Compliance Database'!$N$2:$N$679,MATCH(310,Engine!$C$2:$C$679,0)))</f>
        <v/>
      </c>
      <c r="O323" s="8">
        <f>IF(ISNA(MATCH(310,Engine!$C$2:$C$679,0)),"",INDEX('Compliance Database'!$O$2:$O$679,MATCH(310,Engine!$C$2:$C$679,0)))</f>
        <v/>
      </c>
      <c r="P323">
        <f>IF(ISNA(MATCH(310,Engine!$C$2:$C$679,0)),"",HYPERLINK(INDEX('Compliance Database'!$P$2:$P$679,MATCH(310,Engine!$C$2:$C$679,0)),"Open PDF"))</f>
        <v/>
      </c>
    </row>
    <row r="324">
      <c r="A324">
        <f>IF(ISNA(MATCH(311,Engine!$C$2:$C$679,0)),"",INDEX('Compliance Database'!$A$2:$A$679,MATCH(311,Engine!$C$2:$C$679,0)))</f>
        <v/>
      </c>
      <c r="B324">
        <f>IF(ISNA(MATCH(311,Engine!$C$2:$C$679,0)),"",INDEX('Compliance Database'!$B$2:$B$679,MATCH(311,Engine!$C$2:$C$679,0)))</f>
        <v/>
      </c>
      <c r="C324">
        <f>IF(ISNA(MATCH(311,Engine!$C$2:$C$679,0)),"",INDEX('Compliance Database'!$C$2:$C$679,MATCH(311,Engine!$C$2:$C$679,0)))</f>
        <v/>
      </c>
      <c r="D324" s="8">
        <f>IF(ISNA(MATCH(311,Engine!$C$2:$C$679,0)),"",INDEX('Compliance Database'!$D$2:$D$679,MATCH(311,Engine!$C$2:$C$679,0)))</f>
        <v/>
      </c>
      <c r="E324">
        <f>IF(ISNA(MATCH(311,Engine!$C$2:$C$679,0)),"",INDEX('Compliance Database'!$E$2:$E$679,MATCH(311,Engine!$C$2:$C$679,0)))</f>
        <v/>
      </c>
      <c r="F324">
        <f>IF(ISNA(MATCH(311,Engine!$C$2:$C$679,0)),"",INDEX('Compliance Database'!$F$2:$F$679,MATCH(311,Engine!$C$2:$C$679,0)))</f>
        <v/>
      </c>
      <c r="G324">
        <f>IF(ISNA(MATCH(311,Engine!$C$2:$C$679,0)),"",INDEX('Compliance Database'!$G$2:$G$679,MATCH(311,Engine!$C$2:$C$679,0)))</f>
        <v/>
      </c>
      <c r="H324">
        <f>IF(ISNA(MATCH(311,Engine!$C$2:$C$679,0)),"",INDEX('Compliance Database'!$H$2:$H$679,MATCH(311,Engine!$C$2:$C$679,0)))</f>
        <v/>
      </c>
      <c r="I324" s="8">
        <f>IF(ISNA(MATCH(311,Engine!$C$2:$C$679,0)),"",INDEX('Compliance Database'!$I$2:$I$679,MATCH(311,Engine!$C$2:$C$679,0)))</f>
        <v/>
      </c>
      <c r="J324" s="8">
        <f>IF(ISNA(MATCH(311,Engine!$C$2:$C$679,0)),"",INDEX('Compliance Database'!$J$2:$J$679,MATCH(311,Engine!$C$2:$C$679,0)))</f>
        <v/>
      </c>
      <c r="K324">
        <f>IF(ISNA(MATCH(311,Engine!$C$2:$C$679,0)),"",INDEX('Compliance Database'!$K$2:$K$679,MATCH(311,Engine!$C$2:$C$679,0)))</f>
        <v/>
      </c>
      <c r="L324" s="8">
        <f>IF(ISNA(MATCH(311,Engine!$C$2:$C$679,0)),"",INDEX('Compliance Database'!$L$2:$L$679,MATCH(311,Engine!$C$2:$C$679,0)))</f>
        <v/>
      </c>
      <c r="M324" s="8">
        <f>IF(ISNA(MATCH(311,Engine!$C$2:$C$679,0)),"",INDEX('Compliance Database'!$M$2:$M$679,MATCH(311,Engine!$C$2:$C$679,0)))</f>
        <v/>
      </c>
      <c r="N324" s="8">
        <f>IF(ISNA(MATCH(311,Engine!$C$2:$C$679,0)),"",INDEX('Compliance Database'!$N$2:$N$679,MATCH(311,Engine!$C$2:$C$679,0)))</f>
        <v/>
      </c>
      <c r="O324" s="8">
        <f>IF(ISNA(MATCH(311,Engine!$C$2:$C$679,0)),"",INDEX('Compliance Database'!$O$2:$O$679,MATCH(311,Engine!$C$2:$C$679,0)))</f>
        <v/>
      </c>
      <c r="P324">
        <f>IF(ISNA(MATCH(311,Engine!$C$2:$C$679,0)),"",HYPERLINK(INDEX('Compliance Database'!$P$2:$P$679,MATCH(311,Engine!$C$2:$C$679,0)),"Open PDF"))</f>
        <v/>
      </c>
    </row>
    <row r="325">
      <c r="A325">
        <f>IF(ISNA(MATCH(312,Engine!$C$2:$C$679,0)),"",INDEX('Compliance Database'!$A$2:$A$679,MATCH(312,Engine!$C$2:$C$679,0)))</f>
        <v/>
      </c>
      <c r="B325">
        <f>IF(ISNA(MATCH(312,Engine!$C$2:$C$679,0)),"",INDEX('Compliance Database'!$B$2:$B$679,MATCH(312,Engine!$C$2:$C$679,0)))</f>
        <v/>
      </c>
      <c r="C325">
        <f>IF(ISNA(MATCH(312,Engine!$C$2:$C$679,0)),"",INDEX('Compliance Database'!$C$2:$C$679,MATCH(312,Engine!$C$2:$C$679,0)))</f>
        <v/>
      </c>
      <c r="D325" s="8">
        <f>IF(ISNA(MATCH(312,Engine!$C$2:$C$679,0)),"",INDEX('Compliance Database'!$D$2:$D$679,MATCH(312,Engine!$C$2:$C$679,0)))</f>
        <v/>
      </c>
      <c r="E325">
        <f>IF(ISNA(MATCH(312,Engine!$C$2:$C$679,0)),"",INDEX('Compliance Database'!$E$2:$E$679,MATCH(312,Engine!$C$2:$C$679,0)))</f>
        <v/>
      </c>
      <c r="F325">
        <f>IF(ISNA(MATCH(312,Engine!$C$2:$C$679,0)),"",INDEX('Compliance Database'!$F$2:$F$679,MATCH(312,Engine!$C$2:$C$679,0)))</f>
        <v/>
      </c>
      <c r="G325">
        <f>IF(ISNA(MATCH(312,Engine!$C$2:$C$679,0)),"",INDEX('Compliance Database'!$G$2:$G$679,MATCH(312,Engine!$C$2:$C$679,0)))</f>
        <v/>
      </c>
      <c r="H325">
        <f>IF(ISNA(MATCH(312,Engine!$C$2:$C$679,0)),"",INDEX('Compliance Database'!$H$2:$H$679,MATCH(312,Engine!$C$2:$C$679,0)))</f>
        <v/>
      </c>
      <c r="I325" s="8">
        <f>IF(ISNA(MATCH(312,Engine!$C$2:$C$679,0)),"",INDEX('Compliance Database'!$I$2:$I$679,MATCH(312,Engine!$C$2:$C$679,0)))</f>
        <v/>
      </c>
      <c r="J325" s="8">
        <f>IF(ISNA(MATCH(312,Engine!$C$2:$C$679,0)),"",INDEX('Compliance Database'!$J$2:$J$679,MATCH(312,Engine!$C$2:$C$679,0)))</f>
        <v/>
      </c>
      <c r="K325">
        <f>IF(ISNA(MATCH(312,Engine!$C$2:$C$679,0)),"",INDEX('Compliance Database'!$K$2:$K$679,MATCH(312,Engine!$C$2:$C$679,0)))</f>
        <v/>
      </c>
      <c r="L325" s="8">
        <f>IF(ISNA(MATCH(312,Engine!$C$2:$C$679,0)),"",INDEX('Compliance Database'!$L$2:$L$679,MATCH(312,Engine!$C$2:$C$679,0)))</f>
        <v/>
      </c>
      <c r="M325" s="8">
        <f>IF(ISNA(MATCH(312,Engine!$C$2:$C$679,0)),"",INDEX('Compliance Database'!$M$2:$M$679,MATCH(312,Engine!$C$2:$C$679,0)))</f>
        <v/>
      </c>
      <c r="N325" s="8">
        <f>IF(ISNA(MATCH(312,Engine!$C$2:$C$679,0)),"",INDEX('Compliance Database'!$N$2:$N$679,MATCH(312,Engine!$C$2:$C$679,0)))</f>
        <v/>
      </c>
      <c r="O325" s="8">
        <f>IF(ISNA(MATCH(312,Engine!$C$2:$C$679,0)),"",INDEX('Compliance Database'!$O$2:$O$679,MATCH(312,Engine!$C$2:$C$679,0)))</f>
        <v/>
      </c>
      <c r="P325">
        <f>IF(ISNA(MATCH(312,Engine!$C$2:$C$679,0)),"",HYPERLINK(INDEX('Compliance Database'!$P$2:$P$679,MATCH(312,Engine!$C$2:$C$679,0)),"Open PDF"))</f>
        <v/>
      </c>
    </row>
    <row r="326">
      <c r="A326">
        <f>IF(ISNA(MATCH(313,Engine!$C$2:$C$679,0)),"",INDEX('Compliance Database'!$A$2:$A$679,MATCH(313,Engine!$C$2:$C$679,0)))</f>
        <v/>
      </c>
      <c r="B326">
        <f>IF(ISNA(MATCH(313,Engine!$C$2:$C$679,0)),"",INDEX('Compliance Database'!$B$2:$B$679,MATCH(313,Engine!$C$2:$C$679,0)))</f>
        <v/>
      </c>
      <c r="C326">
        <f>IF(ISNA(MATCH(313,Engine!$C$2:$C$679,0)),"",INDEX('Compliance Database'!$C$2:$C$679,MATCH(313,Engine!$C$2:$C$679,0)))</f>
        <v/>
      </c>
      <c r="D326" s="8">
        <f>IF(ISNA(MATCH(313,Engine!$C$2:$C$679,0)),"",INDEX('Compliance Database'!$D$2:$D$679,MATCH(313,Engine!$C$2:$C$679,0)))</f>
        <v/>
      </c>
      <c r="E326">
        <f>IF(ISNA(MATCH(313,Engine!$C$2:$C$679,0)),"",INDEX('Compliance Database'!$E$2:$E$679,MATCH(313,Engine!$C$2:$C$679,0)))</f>
        <v/>
      </c>
      <c r="F326">
        <f>IF(ISNA(MATCH(313,Engine!$C$2:$C$679,0)),"",INDEX('Compliance Database'!$F$2:$F$679,MATCH(313,Engine!$C$2:$C$679,0)))</f>
        <v/>
      </c>
      <c r="G326">
        <f>IF(ISNA(MATCH(313,Engine!$C$2:$C$679,0)),"",INDEX('Compliance Database'!$G$2:$G$679,MATCH(313,Engine!$C$2:$C$679,0)))</f>
        <v/>
      </c>
      <c r="H326">
        <f>IF(ISNA(MATCH(313,Engine!$C$2:$C$679,0)),"",INDEX('Compliance Database'!$H$2:$H$679,MATCH(313,Engine!$C$2:$C$679,0)))</f>
        <v/>
      </c>
      <c r="I326" s="8">
        <f>IF(ISNA(MATCH(313,Engine!$C$2:$C$679,0)),"",INDEX('Compliance Database'!$I$2:$I$679,MATCH(313,Engine!$C$2:$C$679,0)))</f>
        <v/>
      </c>
      <c r="J326" s="8">
        <f>IF(ISNA(MATCH(313,Engine!$C$2:$C$679,0)),"",INDEX('Compliance Database'!$J$2:$J$679,MATCH(313,Engine!$C$2:$C$679,0)))</f>
        <v/>
      </c>
      <c r="K326">
        <f>IF(ISNA(MATCH(313,Engine!$C$2:$C$679,0)),"",INDEX('Compliance Database'!$K$2:$K$679,MATCH(313,Engine!$C$2:$C$679,0)))</f>
        <v/>
      </c>
      <c r="L326" s="8">
        <f>IF(ISNA(MATCH(313,Engine!$C$2:$C$679,0)),"",INDEX('Compliance Database'!$L$2:$L$679,MATCH(313,Engine!$C$2:$C$679,0)))</f>
        <v/>
      </c>
      <c r="M326" s="8">
        <f>IF(ISNA(MATCH(313,Engine!$C$2:$C$679,0)),"",INDEX('Compliance Database'!$M$2:$M$679,MATCH(313,Engine!$C$2:$C$679,0)))</f>
        <v/>
      </c>
      <c r="N326" s="8">
        <f>IF(ISNA(MATCH(313,Engine!$C$2:$C$679,0)),"",INDEX('Compliance Database'!$N$2:$N$679,MATCH(313,Engine!$C$2:$C$679,0)))</f>
        <v/>
      </c>
      <c r="O326" s="8">
        <f>IF(ISNA(MATCH(313,Engine!$C$2:$C$679,0)),"",INDEX('Compliance Database'!$O$2:$O$679,MATCH(313,Engine!$C$2:$C$679,0)))</f>
        <v/>
      </c>
      <c r="P326">
        <f>IF(ISNA(MATCH(313,Engine!$C$2:$C$679,0)),"",HYPERLINK(INDEX('Compliance Database'!$P$2:$P$679,MATCH(313,Engine!$C$2:$C$679,0)),"Open PDF"))</f>
        <v/>
      </c>
    </row>
    <row r="327">
      <c r="A327">
        <f>IF(ISNA(MATCH(314,Engine!$C$2:$C$679,0)),"",INDEX('Compliance Database'!$A$2:$A$679,MATCH(314,Engine!$C$2:$C$679,0)))</f>
        <v/>
      </c>
      <c r="B327">
        <f>IF(ISNA(MATCH(314,Engine!$C$2:$C$679,0)),"",INDEX('Compliance Database'!$B$2:$B$679,MATCH(314,Engine!$C$2:$C$679,0)))</f>
        <v/>
      </c>
      <c r="C327">
        <f>IF(ISNA(MATCH(314,Engine!$C$2:$C$679,0)),"",INDEX('Compliance Database'!$C$2:$C$679,MATCH(314,Engine!$C$2:$C$679,0)))</f>
        <v/>
      </c>
      <c r="D327" s="8">
        <f>IF(ISNA(MATCH(314,Engine!$C$2:$C$679,0)),"",INDEX('Compliance Database'!$D$2:$D$679,MATCH(314,Engine!$C$2:$C$679,0)))</f>
        <v/>
      </c>
      <c r="E327">
        <f>IF(ISNA(MATCH(314,Engine!$C$2:$C$679,0)),"",INDEX('Compliance Database'!$E$2:$E$679,MATCH(314,Engine!$C$2:$C$679,0)))</f>
        <v/>
      </c>
      <c r="F327">
        <f>IF(ISNA(MATCH(314,Engine!$C$2:$C$679,0)),"",INDEX('Compliance Database'!$F$2:$F$679,MATCH(314,Engine!$C$2:$C$679,0)))</f>
        <v/>
      </c>
      <c r="G327">
        <f>IF(ISNA(MATCH(314,Engine!$C$2:$C$679,0)),"",INDEX('Compliance Database'!$G$2:$G$679,MATCH(314,Engine!$C$2:$C$679,0)))</f>
        <v/>
      </c>
      <c r="H327">
        <f>IF(ISNA(MATCH(314,Engine!$C$2:$C$679,0)),"",INDEX('Compliance Database'!$H$2:$H$679,MATCH(314,Engine!$C$2:$C$679,0)))</f>
        <v/>
      </c>
      <c r="I327" s="8">
        <f>IF(ISNA(MATCH(314,Engine!$C$2:$C$679,0)),"",INDEX('Compliance Database'!$I$2:$I$679,MATCH(314,Engine!$C$2:$C$679,0)))</f>
        <v/>
      </c>
      <c r="J327" s="8">
        <f>IF(ISNA(MATCH(314,Engine!$C$2:$C$679,0)),"",INDEX('Compliance Database'!$J$2:$J$679,MATCH(314,Engine!$C$2:$C$679,0)))</f>
        <v/>
      </c>
      <c r="K327">
        <f>IF(ISNA(MATCH(314,Engine!$C$2:$C$679,0)),"",INDEX('Compliance Database'!$K$2:$K$679,MATCH(314,Engine!$C$2:$C$679,0)))</f>
        <v/>
      </c>
      <c r="L327" s="8">
        <f>IF(ISNA(MATCH(314,Engine!$C$2:$C$679,0)),"",INDEX('Compliance Database'!$L$2:$L$679,MATCH(314,Engine!$C$2:$C$679,0)))</f>
        <v/>
      </c>
      <c r="M327" s="8">
        <f>IF(ISNA(MATCH(314,Engine!$C$2:$C$679,0)),"",INDEX('Compliance Database'!$M$2:$M$679,MATCH(314,Engine!$C$2:$C$679,0)))</f>
        <v/>
      </c>
      <c r="N327" s="8">
        <f>IF(ISNA(MATCH(314,Engine!$C$2:$C$679,0)),"",INDEX('Compliance Database'!$N$2:$N$679,MATCH(314,Engine!$C$2:$C$679,0)))</f>
        <v/>
      </c>
      <c r="O327" s="8">
        <f>IF(ISNA(MATCH(314,Engine!$C$2:$C$679,0)),"",INDEX('Compliance Database'!$O$2:$O$679,MATCH(314,Engine!$C$2:$C$679,0)))</f>
        <v/>
      </c>
      <c r="P327">
        <f>IF(ISNA(MATCH(314,Engine!$C$2:$C$679,0)),"",HYPERLINK(INDEX('Compliance Database'!$P$2:$P$679,MATCH(314,Engine!$C$2:$C$679,0)),"Open PDF"))</f>
        <v/>
      </c>
    </row>
    <row r="328">
      <c r="A328">
        <f>IF(ISNA(MATCH(315,Engine!$C$2:$C$679,0)),"",INDEX('Compliance Database'!$A$2:$A$679,MATCH(315,Engine!$C$2:$C$679,0)))</f>
        <v/>
      </c>
      <c r="B328">
        <f>IF(ISNA(MATCH(315,Engine!$C$2:$C$679,0)),"",INDEX('Compliance Database'!$B$2:$B$679,MATCH(315,Engine!$C$2:$C$679,0)))</f>
        <v/>
      </c>
      <c r="C328">
        <f>IF(ISNA(MATCH(315,Engine!$C$2:$C$679,0)),"",INDEX('Compliance Database'!$C$2:$C$679,MATCH(315,Engine!$C$2:$C$679,0)))</f>
        <v/>
      </c>
      <c r="D328" s="8">
        <f>IF(ISNA(MATCH(315,Engine!$C$2:$C$679,0)),"",INDEX('Compliance Database'!$D$2:$D$679,MATCH(315,Engine!$C$2:$C$679,0)))</f>
        <v/>
      </c>
      <c r="E328">
        <f>IF(ISNA(MATCH(315,Engine!$C$2:$C$679,0)),"",INDEX('Compliance Database'!$E$2:$E$679,MATCH(315,Engine!$C$2:$C$679,0)))</f>
        <v/>
      </c>
      <c r="F328">
        <f>IF(ISNA(MATCH(315,Engine!$C$2:$C$679,0)),"",INDEX('Compliance Database'!$F$2:$F$679,MATCH(315,Engine!$C$2:$C$679,0)))</f>
        <v/>
      </c>
      <c r="G328">
        <f>IF(ISNA(MATCH(315,Engine!$C$2:$C$679,0)),"",INDEX('Compliance Database'!$G$2:$G$679,MATCH(315,Engine!$C$2:$C$679,0)))</f>
        <v/>
      </c>
      <c r="H328">
        <f>IF(ISNA(MATCH(315,Engine!$C$2:$C$679,0)),"",INDEX('Compliance Database'!$H$2:$H$679,MATCH(315,Engine!$C$2:$C$679,0)))</f>
        <v/>
      </c>
      <c r="I328" s="8">
        <f>IF(ISNA(MATCH(315,Engine!$C$2:$C$679,0)),"",INDEX('Compliance Database'!$I$2:$I$679,MATCH(315,Engine!$C$2:$C$679,0)))</f>
        <v/>
      </c>
      <c r="J328" s="8">
        <f>IF(ISNA(MATCH(315,Engine!$C$2:$C$679,0)),"",INDEX('Compliance Database'!$J$2:$J$679,MATCH(315,Engine!$C$2:$C$679,0)))</f>
        <v/>
      </c>
      <c r="K328">
        <f>IF(ISNA(MATCH(315,Engine!$C$2:$C$679,0)),"",INDEX('Compliance Database'!$K$2:$K$679,MATCH(315,Engine!$C$2:$C$679,0)))</f>
        <v/>
      </c>
      <c r="L328" s="8">
        <f>IF(ISNA(MATCH(315,Engine!$C$2:$C$679,0)),"",INDEX('Compliance Database'!$L$2:$L$679,MATCH(315,Engine!$C$2:$C$679,0)))</f>
        <v/>
      </c>
      <c r="M328" s="8">
        <f>IF(ISNA(MATCH(315,Engine!$C$2:$C$679,0)),"",INDEX('Compliance Database'!$M$2:$M$679,MATCH(315,Engine!$C$2:$C$679,0)))</f>
        <v/>
      </c>
      <c r="N328" s="8">
        <f>IF(ISNA(MATCH(315,Engine!$C$2:$C$679,0)),"",INDEX('Compliance Database'!$N$2:$N$679,MATCH(315,Engine!$C$2:$C$679,0)))</f>
        <v/>
      </c>
      <c r="O328" s="8">
        <f>IF(ISNA(MATCH(315,Engine!$C$2:$C$679,0)),"",INDEX('Compliance Database'!$O$2:$O$679,MATCH(315,Engine!$C$2:$C$679,0)))</f>
        <v/>
      </c>
      <c r="P328">
        <f>IF(ISNA(MATCH(315,Engine!$C$2:$C$679,0)),"",HYPERLINK(INDEX('Compliance Database'!$P$2:$P$679,MATCH(315,Engine!$C$2:$C$679,0)),"Open PDF"))</f>
        <v/>
      </c>
    </row>
    <row r="329">
      <c r="A329">
        <f>IF(ISNA(MATCH(316,Engine!$C$2:$C$679,0)),"",INDEX('Compliance Database'!$A$2:$A$679,MATCH(316,Engine!$C$2:$C$679,0)))</f>
        <v/>
      </c>
      <c r="B329">
        <f>IF(ISNA(MATCH(316,Engine!$C$2:$C$679,0)),"",INDEX('Compliance Database'!$B$2:$B$679,MATCH(316,Engine!$C$2:$C$679,0)))</f>
        <v/>
      </c>
      <c r="C329">
        <f>IF(ISNA(MATCH(316,Engine!$C$2:$C$679,0)),"",INDEX('Compliance Database'!$C$2:$C$679,MATCH(316,Engine!$C$2:$C$679,0)))</f>
        <v/>
      </c>
      <c r="D329" s="8">
        <f>IF(ISNA(MATCH(316,Engine!$C$2:$C$679,0)),"",INDEX('Compliance Database'!$D$2:$D$679,MATCH(316,Engine!$C$2:$C$679,0)))</f>
        <v/>
      </c>
      <c r="E329">
        <f>IF(ISNA(MATCH(316,Engine!$C$2:$C$679,0)),"",INDEX('Compliance Database'!$E$2:$E$679,MATCH(316,Engine!$C$2:$C$679,0)))</f>
        <v/>
      </c>
      <c r="F329">
        <f>IF(ISNA(MATCH(316,Engine!$C$2:$C$679,0)),"",INDEX('Compliance Database'!$F$2:$F$679,MATCH(316,Engine!$C$2:$C$679,0)))</f>
        <v/>
      </c>
      <c r="G329">
        <f>IF(ISNA(MATCH(316,Engine!$C$2:$C$679,0)),"",INDEX('Compliance Database'!$G$2:$G$679,MATCH(316,Engine!$C$2:$C$679,0)))</f>
        <v/>
      </c>
      <c r="H329">
        <f>IF(ISNA(MATCH(316,Engine!$C$2:$C$679,0)),"",INDEX('Compliance Database'!$H$2:$H$679,MATCH(316,Engine!$C$2:$C$679,0)))</f>
        <v/>
      </c>
      <c r="I329" s="8">
        <f>IF(ISNA(MATCH(316,Engine!$C$2:$C$679,0)),"",INDEX('Compliance Database'!$I$2:$I$679,MATCH(316,Engine!$C$2:$C$679,0)))</f>
        <v/>
      </c>
      <c r="J329" s="8">
        <f>IF(ISNA(MATCH(316,Engine!$C$2:$C$679,0)),"",INDEX('Compliance Database'!$J$2:$J$679,MATCH(316,Engine!$C$2:$C$679,0)))</f>
        <v/>
      </c>
      <c r="K329">
        <f>IF(ISNA(MATCH(316,Engine!$C$2:$C$679,0)),"",INDEX('Compliance Database'!$K$2:$K$679,MATCH(316,Engine!$C$2:$C$679,0)))</f>
        <v/>
      </c>
      <c r="L329" s="8">
        <f>IF(ISNA(MATCH(316,Engine!$C$2:$C$679,0)),"",INDEX('Compliance Database'!$L$2:$L$679,MATCH(316,Engine!$C$2:$C$679,0)))</f>
        <v/>
      </c>
      <c r="M329" s="8">
        <f>IF(ISNA(MATCH(316,Engine!$C$2:$C$679,0)),"",INDEX('Compliance Database'!$M$2:$M$679,MATCH(316,Engine!$C$2:$C$679,0)))</f>
        <v/>
      </c>
      <c r="N329" s="8">
        <f>IF(ISNA(MATCH(316,Engine!$C$2:$C$679,0)),"",INDEX('Compliance Database'!$N$2:$N$679,MATCH(316,Engine!$C$2:$C$679,0)))</f>
        <v/>
      </c>
      <c r="O329" s="8">
        <f>IF(ISNA(MATCH(316,Engine!$C$2:$C$679,0)),"",INDEX('Compliance Database'!$O$2:$O$679,MATCH(316,Engine!$C$2:$C$679,0)))</f>
        <v/>
      </c>
      <c r="P329">
        <f>IF(ISNA(MATCH(316,Engine!$C$2:$C$679,0)),"",HYPERLINK(INDEX('Compliance Database'!$P$2:$P$679,MATCH(316,Engine!$C$2:$C$679,0)),"Open PDF"))</f>
        <v/>
      </c>
    </row>
    <row r="330">
      <c r="A330">
        <f>IF(ISNA(MATCH(317,Engine!$C$2:$C$679,0)),"",INDEX('Compliance Database'!$A$2:$A$679,MATCH(317,Engine!$C$2:$C$679,0)))</f>
        <v/>
      </c>
      <c r="B330">
        <f>IF(ISNA(MATCH(317,Engine!$C$2:$C$679,0)),"",INDEX('Compliance Database'!$B$2:$B$679,MATCH(317,Engine!$C$2:$C$679,0)))</f>
        <v/>
      </c>
      <c r="C330">
        <f>IF(ISNA(MATCH(317,Engine!$C$2:$C$679,0)),"",INDEX('Compliance Database'!$C$2:$C$679,MATCH(317,Engine!$C$2:$C$679,0)))</f>
        <v/>
      </c>
      <c r="D330" s="8">
        <f>IF(ISNA(MATCH(317,Engine!$C$2:$C$679,0)),"",INDEX('Compliance Database'!$D$2:$D$679,MATCH(317,Engine!$C$2:$C$679,0)))</f>
        <v/>
      </c>
      <c r="E330">
        <f>IF(ISNA(MATCH(317,Engine!$C$2:$C$679,0)),"",INDEX('Compliance Database'!$E$2:$E$679,MATCH(317,Engine!$C$2:$C$679,0)))</f>
        <v/>
      </c>
      <c r="F330">
        <f>IF(ISNA(MATCH(317,Engine!$C$2:$C$679,0)),"",INDEX('Compliance Database'!$F$2:$F$679,MATCH(317,Engine!$C$2:$C$679,0)))</f>
        <v/>
      </c>
      <c r="G330">
        <f>IF(ISNA(MATCH(317,Engine!$C$2:$C$679,0)),"",INDEX('Compliance Database'!$G$2:$G$679,MATCH(317,Engine!$C$2:$C$679,0)))</f>
        <v/>
      </c>
      <c r="H330">
        <f>IF(ISNA(MATCH(317,Engine!$C$2:$C$679,0)),"",INDEX('Compliance Database'!$H$2:$H$679,MATCH(317,Engine!$C$2:$C$679,0)))</f>
        <v/>
      </c>
      <c r="I330" s="8">
        <f>IF(ISNA(MATCH(317,Engine!$C$2:$C$679,0)),"",INDEX('Compliance Database'!$I$2:$I$679,MATCH(317,Engine!$C$2:$C$679,0)))</f>
        <v/>
      </c>
      <c r="J330" s="8">
        <f>IF(ISNA(MATCH(317,Engine!$C$2:$C$679,0)),"",INDEX('Compliance Database'!$J$2:$J$679,MATCH(317,Engine!$C$2:$C$679,0)))</f>
        <v/>
      </c>
      <c r="K330">
        <f>IF(ISNA(MATCH(317,Engine!$C$2:$C$679,0)),"",INDEX('Compliance Database'!$K$2:$K$679,MATCH(317,Engine!$C$2:$C$679,0)))</f>
        <v/>
      </c>
      <c r="L330" s="8">
        <f>IF(ISNA(MATCH(317,Engine!$C$2:$C$679,0)),"",INDEX('Compliance Database'!$L$2:$L$679,MATCH(317,Engine!$C$2:$C$679,0)))</f>
        <v/>
      </c>
      <c r="M330" s="8">
        <f>IF(ISNA(MATCH(317,Engine!$C$2:$C$679,0)),"",INDEX('Compliance Database'!$M$2:$M$679,MATCH(317,Engine!$C$2:$C$679,0)))</f>
        <v/>
      </c>
      <c r="N330" s="8">
        <f>IF(ISNA(MATCH(317,Engine!$C$2:$C$679,0)),"",INDEX('Compliance Database'!$N$2:$N$679,MATCH(317,Engine!$C$2:$C$679,0)))</f>
        <v/>
      </c>
      <c r="O330" s="8">
        <f>IF(ISNA(MATCH(317,Engine!$C$2:$C$679,0)),"",INDEX('Compliance Database'!$O$2:$O$679,MATCH(317,Engine!$C$2:$C$679,0)))</f>
        <v/>
      </c>
      <c r="P330">
        <f>IF(ISNA(MATCH(317,Engine!$C$2:$C$679,0)),"",HYPERLINK(INDEX('Compliance Database'!$P$2:$P$679,MATCH(317,Engine!$C$2:$C$679,0)),"Open PDF"))</f>
        <v/>
      </c>
    </row>
    <row r="331">
      <c r="A331">
        <f>IF(ISNA(MATCH(318,Engine!$C$2:$C$679,0)),"",INDEX('Compliance Database'!$A$2:$A$679,MATCH(318,Engine!$C$2:$C$679,0)))</f>
        <v/>
      </c>
      <c r="B331">
        <f>IF(ISNA(MATCH(318,Engine!$C$2:$C$679,0)),"",INDEX('Compliance Database'!$B$2:$B$679,MATCH(318,Engine!$C$2:$C$679,0)))</f>
        <v/>
      </c>
      <c r="C331">
        <f>IF(ISNA(MATCH(318,Engine!$C$2:$C$679,0)),"",INDEX('Compliance Database'!$C$2:$C$679,MATCH(318,Engine!$C$2:$C$679,0)))</f>
        <v/>
      </c>
      <c r="D331" s="8">
        <f>IF(ISNA(MATCH(318,Engine!$C$2:$C$679,0)),"",INDEX('Compliance Database'!$D$2:$D$679,MATCH(318,Engine!$C$2:$C$679,0)))</f>
        <v/>
      </c>
      <c r="E331">
        <f>IF(ISNA(MATCH(318,Engine!$C$2:$C$679,0)),"",INDEX('Compliance Database'!$E$2:$E$679,MATCH(318,Engine!$C$2:$C$679,0)))</f>
        <v/>
      </c>
      <c r="F331">
        <f>IF(ISNA(MATCH(318,Engine!$C$2:$C$679,0)),"",INDEX('Compliance Database'!$F$2:$F$679,MATCH(318,Engine!$C$2:$C$679,0)))</f>
        <v/>
      </c>
      <c r="G331">
        <f>IF(ISNA(MATCH(318,Engine!$C$2:$C$679,0)),"",INDEX('Compliance Database'!$G$2:$G$679,MATCH(318,Engine!$C$2:$C$679,0)))</f>
        <v/>
      </c>
      <c r="H331">
        <f>IF(ISNA(MATCH(318,Engine!$C$2:$C$679,0)),"",INDEX('Compliance Database'!$H$2:$H$679,MATCH(318,Engine!$C$2:$C$679,0)))</f>
        <v/>
      </c>
      <c r="I331" s="8">
        <f>IF(ISNA(MATCH(318,Engine!$C$2:$C$679,0)),"",INDEX('Compliance Database'!$I$2:$I$679,MATCH(318,Engine!$C$2:$C$679,0)))</f>
        <v/>
      </c>
      <c r="J331" s="8">
        <f>IF(ISNA(MATCH(318,Engine!$C$2:$C$679,0)),"",INDEX('Compliance Database'!$J$2:$J$679,MATCH(318,Engine!$C$2:$C$679,0)))</f>
        <v/>
      </c>
      <c r="K331">
        <f>IF(ISNA(MATCH(318,Engine!$C$2:$C$679,0)),"",INDEX('Compliance Database'!$K$2:$K$679,MATCH(318,Engine!$C$2:$C$679,0)))</f>
        <v/>
      </c>
      <c r="L331" s="8">
        <f>IF(ISNA(MATCH(318,Engine!$C$2:$C$679,0)),"",INDEX('Compliance Database'!$L$2:$L$679,MATCH(318,Engine!$C$2:$C$679,0)))</f>
        <v/>
      </c>
      <c r="M331" s="8">
        <f>IF(ISNA(MATCH(318,Engine!$C$2:$C$679,0)),"",INDEX('Compliance Database'!$M$2:$M$679,MATCH(318,Engine!$C$2:$C$679,0)))</f>
        <v/>
      </c>
      <c r="N331" s="8">
        <f>IF(ISNA(MATCH(318,Engine!$C$2:$C$679,0)),"",INDEX('Compliance Database'!$N$2:$N$679,MATCH(318,Engine!$C$2:$C$679,0)))</f>
        <v/>
      </c>
      <c r="O331" s="8">
        <f>IF(ISNA(MATCH(318,Engine!$C$2:$C$679,0)),"",INDEX('Compliance Database'!$O$2:$O$679,MATCH(318,Engine!$C$2:$C$679,0)))</f>
        <v/>
      </c>
      <c r="P331">
        <f>IF(ISNA(MATCH(318,Engine!$C$2:$C$679,0)),"",HYPERLINK(INDEX('Compliance Database'!$P$2:$P$679,MATCH(318,Engine!$C$2:$C$679,0)),"Open PDF"))</f>
        <v/>
      </c>
    </row>
    <row r="332">
      <c r="A332">
        <f>IF(ISNA(MATCH(319,Engine!$C$2:$C$679,0)),"",INDEX('Compliance Database'!$A$2:$A$679,MATCH(319,Engine!$C$2:$C$679,0)))</f>
        <v/>
      </c>
      <c r="B332">
        <f>IF(ISNA(MATCH(319,Engine!$C$2:$C$679,0)),"",INDEX('Compliance Database'!$B$2:$B$679,MATCH(319,Engine!$C$2:$C$679,0)))</f>
        <v/>
      </c>
      <c r="C332">
        <f>IF(ISNA(MATCH(319,Engine!$C$2:$C$679,0)),"",INDEX('Compliance Database'!$C$2:$C$679,MATCH(319,Engine!$C$2:$C$679,0)))</f>
        <v/>
      </c>
      <c r="D332" s="8">
        <f>IF(ISNA(MATCH(319,Engine!$C$2:$C$679,0)),"",INDEX('Compliance Database'!$D$2:$D$679,MATCH(319,Engine!$C$2:$C$679,0)))</f>
        <v/>
      </c>
      <c r="E332">
        <f>IF(ISNA(MATCH(319,Engine!$C$2:$C$679,0)),"",INDEX('Compliance Database'!$E$2:$E$679,MATCH(319,Engine!$C$2:$C$679,0)))</f>
        <v/>
      </c>
      <c r="F332">
        <f>IF(ISNA(MATCH(319,Engine!$C$2:$C$679,0)),"",INDEX('Compliance Database'!$F$2:$F$679,MATCH(319,Engine!$C$2:$C$679,0)))</f>
        <v/>
      </c>
      <c r="G332">
        <f>IF(ISNA(MATCH(319,Engine!$C$2:$C$679,0)),"",INDEX('Compliance Database'!$G$2:$G$679,MATCH(319,Engine!$C$2:$C$679,0)))</f>
        <v/>
      </c>
      <c r="H332">
        <f>IF(ISNA(MATCH(319,Engine!$C$2:$C$679,0)),"",INDEX('Compliance Database'!$H$2:$H$679,MATCH(319,Engine!$C$2:$C$679,0)))</f>
        <v/>
      </c>
      <c r="I332" s="8">
        <f>IF(ISNA(MATCH(319,Engine!$C$2:$C$679,0)),"",INDEX('Compliance Database'!$I$2:$I$679,MATCH(319,Engine!$C$2:$C$679,0)))</f>
        <v/>
      </c>
      <c r="J332" s="8">
        <f>IF(ISNA(MATCH(319,Engine!$C$2:$C$679,0)),"",INDEX('Compliance Database'!$J$2:$J$679,MATCH(319,Engine!$C$2:$C$679,0)))</f>
        <v/>
      </c>
      <c r="K332">
        <f>IF(ISNA(MATCH(319,Engine!$C$2:$C$679,0)),"",INDEX('Compliance Database'!$K$2:$K$679,MATCH(319,Engine!$C$2:$C$679,0)))</f>
        <v/>
      </c>
      <c r="L332" s="8">
        <f>IF(ISNA(MATCH(319,Engine!$C$2:$C$679,0)),"",INDEX('Compliance Database'!$L$2:$L$679,MATCH(319,Engine!$C$2:$C$679,0)))</f>
        <v/>
      </c>
      <c r="M332" s="8">
        <f>IF(ISNA(MATCH(319,Engine!$C$2:$C$679,0)),"",INDEX('Compliance Database'!$M$2:$M$679,MATCH(319,Engine!$C$2:$C$679,0)))</f>
        <v/>
      </c>
      <c r="N332" s="8">
        <f>IF(ISNA(MATCH(319,Engine!$C$2:$C$679,0)),"",INDEX('Compliance Database'!$N$2:$N$679,MATCH(319,Engine!$C$2:$C$679,0)))</f>
        <v/>
      </c>
      <c r="O332" s="8">
        <f>IF(ISNA(MATCH(319,Engine!$C$2:$C$679,0)),"",INDEX('Compliance Database'!$O$2:$O$679,MATCH(319,Engine!$C$2:$C$679,0)))</f>
        <v/>
      </c>
      <c r="P332">
        <f>IF(ISNA(MATCH(319,Engine!$C$2:$C$679,0)),"",HYPERLINK(INDEX('Compliance Database'!$P$2:$P$679,MATCH(319,Engine!$C$2:$C$679,0)),"Open PDF"))</f>
        <v/>
      </c>
    </row>
    <row r="333">
      <c r="A333">
        <f>IF(ISNA(MATCH(320,Engine!$C$2:$C$679,0)),"",INDEX('Compliance Database'!$A$2:$A$679,MATCH(320,Engine!$C$2:$C$679,0)))</f>
        <v/>
      </c>
      <c r="B333">
        <f>IF(ISNA(MATCH(320,Engine!$C$2:$C$679,0)),"",INDEX('Compliance Database'!$B$2:$B$679,MATCH(320,Engine!$C$2:$C$679,0)))</f>
        <v/>
      </c>
      <c r="C333">
        <f>IF(ISNA(MATCH(320,Engine!$C$2:$C$679,0)),"",INDEX('Compliance Database'!$C$2:$C$679,MATCH(320,Engine!$C$2:$C$679,0)))</f>
        <v/>
      </c>
      <c r="D333" s="8">
        <f>IF(ISNA(MATCH(320,Engine!$C$2:$C$679,0)),"",INDEX('Compliance Database'!$D$2:$D$679,MATCH(320,Engine!$C$2:$C$679,0)))</f>
        <v/>
      </c>
      <c r="E333">
        <f>IF(ISNA(MATCH(320,Engine!$C$2:$C$679,0)),"",INDEX('Compliance Database'!$E$2:$E$679,MATCH(320,Engine!$C$2:$C$679,0)))</f>
        <v/>
      </c>
      <c r="F333">
        <f>IF(ISNA(MATCH(320,Engine!$C$2:$C$679,0)),"",INDEX('Compliance Database'!$F$2:$F$679,MATCH(320,Engine!$C$2:$C$679,0)))</f>
        <v/>
      </c>
      <c r="G333">
        <f>IF(ISNA(MATCH(320,Engine!$C$2:$C$679,0)),"",INDEX('Compliance Database'!$G$2:$G$679,MATCH(320,Engine!$C$2:$C$679,0)))</f>
        <v/>
      </c>
      <c r="H333">
        <f>IF(ISNA(MATCH(320,Engine!$C$2:$C$679,0)),"",INDEX('Compliance Database'!$H$2:$H$679,MATCH(320,Engine!$C$2:$C$679,0)))</f>
        <v/>
      </c>
      <c r="I333" s="8">
        <f>IF(ISNA(MATCH(320,Engine!$C$2:$C$679,0)),"",INDEX('Compliance Database'!$I$2:$I$679,MATCH(320,Engine!$C$2:$C$679,0)))</f>
        <v/>
      </c>
      <c r="J333" s="8">
        <f>IF(ISNA(MATCH(320,Engine!$C$2:$C$679,0)),"",INDEX('Compliance Database'!$J$2:$J$679,MATCH(320,Engine!$C$2:$C$679,0)))</f>
        <v/>
      </c>
      <c r="K333">
        <f>IF(ISNA(MATCH(320,Engine!$C$2:$C$679,0)),"",INDEX('Compliance Database'!$K$2:$K$679,MATCH(320,Engine!$C$2:$C$679,0)))</f>
        <v/>
      </c>
      <c r="L333" s="8">
        <f>IF(ISNA(MATCH(320,Engine!$C$2:$C$679,0)),"",INDEX('Compliance Database'!$L$2:$L$679,MATCH(320,Engine!$C$2:$C$679,0)))</f>
        <v/>
      </c>
      <c r="M333" s="8">
        <f>IF(ISNA(MATCH(320,Engine!$C$2:$C$679,0)),"",INDEX('Compliance Database'!$M$2:$M$679,MATCH(320,Engine!$C$2:$C$679,0)))</f>
        <v/>
      </c>
      <c r="N333" s="8">
        <f>IF(ISNA(MATCH(320,Engine!$C$2:$C$679,0)),"",INDEX('Compliance Database'!$N$2:$N$679,MATCH(320,Engine!$C$2:$C$679,0)))</f>
        <v/>
      </c>
      <c r="O333" s="8">
        <f>IF(ISNA(MATCH(320,Engine!$C$2:$C$679,0)),"",INDEX('Compliance Database'!$O$2:$O$679,MATCH(320,Engine!$C$2:$C$679,0)))</f>
        <v/>
      </c>
      <c r="P333">
        <f>IF(ISNA(MATCH(320,Engine!$C$2:$C$679,0)),"",HYPERLINK(INDEX('Compliance Database'!$P$2:$P$679,MATCH(320,Engine!$C$2:$C$679,0)),"Open PDF"))</f>
        <v/>
      </c>
    </row>
    <row r="334">
      <c r="A334">
        <f>IF(ISNA(MATCH(321,Engine!$C$2:$C$679,0)),"",INDEX('Compliance Database'!$A$2:$A$679,MATCH(321,Engine!$C$2:$C$679,0)))</f>
        <v/>
      </c>
      <c r="B334">
        <f>IF(ISNA(MATCH(321,Engine!$C$2:$C$679,0)),"",INDEX('Compliance Database'!$B$2:$B$679,MATCH(321,Engine!$C$2:$C$679,0)))</f>
        <v/>
      </c>
      <c r="C334">
        <f>IF(ISNA(MATCH(321,Engine!$C$2:$C$679,0)),"",INDEX('Compliance Database'!$C$2:$C$679,MATCH(321,Engine!$C$2:$C$679,0)))</f>
        <v/>
      </c>
      <c r="D334" s="8">
        <f>IF(ISNA(MATCH(321,Engine!$C$2:$C$679,0)),"",INDEX('Compliance Database'!$D$2:$D$679,MATCH(321,Engine!$C$2:$C$679,0)))</f>
        <v/>
      </c>
      <c r="E334">
        <f>IF(ISNA(MATCH(321,Engine!$C$2:$C$679,0)),"",INDEX('Compliance Database'!$E$2:$E$679,MATCH(321,Engine!$C$2:$C$679,0)))</f>
        <v/>
      </c>
      <c r="F334">
        <f>IF(ISNA(MATCH(321,Engine!$C$2:$C$679,0)),"",INDEX('Compliance Database'!$F$2:$F$679,MATCH(321,Engine!$C$2:$C$679,0)))</f>
        <v/>
      </c>
      <c r="G334">
        <f>IF(ISNA(MATCH(321,Engine!$C$2:$C$679,0)),"",INDEX('Compliance Database'!$G$2:$G$679,MATCH(321,Engine!$C$2:$C$679,0)))</f>
        <v/>
      </c>
      <c r="H334">
        <f>IF(ISNA(MATCH(321,Engine!$C$2:$C$679,0)),"",INDEX('Compliance Database'!$H$2:$H$679,MATCH(321,Engine!$C$2:$C$679,0)))</f>
        <v/>
      </c>
      <c r="I334" s="8">
        <f>IF(ISNA(MATCH(321,Engine!$C$2:$C$679,0)),"",INDEX('Compliance Database'!$I$2:$I$679,MATCH(321,Engine!$C$2:$C$679,0)))</f>
        <v/>
      </c>
      <c r="J334" s="8">
        <f>IF(ISNA(MATCH(321,Engine!$C$2:$C$679,0)),"",INDEX('Compliance Database'!$J$2:$J$679,MATCH(321,Engine!$C$2:$C$679,0)))</f>
        <v/>
      </c>
      <c r="K334">
        <f>IF(ISNA(MATCH(321,Engine!$C$2:$C$679,0)),"",INDEX('Compliance Database'!$K$2:$K$679,MATCH(321,Engine!$C$2:$C$679,0)))</f>
        <v/>
      </c>
      <c r="L334" s="8">
        <f>IF(ISNA(MATCH(321,Engine!$C$2:$C$679,0)),"",INDEX('Compliance Database'!$L$2:$L$679,MATCH(321,Engine!$C$2:$C$679,0)))</f>
        <v/>
      </c>
      <c r="M334" s="8">
        <f>IF(ISNA(MATCH(321,Engine!$C$2:$C$679,0)),"",INDEX('Compliance Database'!$M$2:$M$679,MATCH(321,Engine!$C$2:$C$679,0)))</f>
        <v/>
      </c>
      <c r="N334" s="8">
        <f>IF(ISNA(MATCH(321,Engine!$C$2:$C$679,0)),"",INDEX('Compliance Database'!$N$2:$N$679,MATCH(321,Engine!$C$2:$C$679,0)))</f>
        <v/>
      </c>
      <c r="O334" s="8">
        <f>IF(ISNA(MATCH(321,Engine!$C$2:$C$679,0)),"",INDEX('Compliance Database'!$O$2:$O$679,MATCH(321,Engine!$C$2:$C$679,0)))</f>
        <v/>
      </c>
      <c r="P334">
        <f>IF(ISNA(MATCH(321,Engine!$C$2:$C$679,0)),"",HYPERLINK(INDEX('Compliance Database'!$P$2:$P$679,MATCH(321,Engine!$C$2:$C$679,0)),"Open PDF"))</f>
        <v/>
      </c>
    </row>
    <row r="335">
      <c r="A335">
        <f>IF(ISNA(MATCH(322,Engine!$C$2:$C$679,0)),"",INDEX('Compliance Database'!$A$2:$A$679,MATCH(322,Engine!$C$2:$C$679,0)))</f>
        <v/>
      </c>
      <c r="B335">
        <f>IF(ISNA(MATCH(322,Engine!$C$2:$C$679,0)),"",INDEX('Compliance Database'!$B$2:$B$679,MATCH(322,Engine!$C$2:$C$679,0)))</f>
        <v/>
      </c>
      <c r="C335">
        <f>IF(ISNA(MATCH(322,Engine!$C$2:$C$679,0)),"",INDEX('Compliance Database'!$C$2:$C$679,MATCH(322,Engine!$C$2:$C$679,0)))</f>
        <v/>
      </c>
      <c r="D335" s="8">
        <f>IF(ISNA(MATCH(322,Engine!$C$2:$C$679,0)),"",INDEX('Compliance Database'!$D$2:$D$679,MATCH(322,Engine!$C$2:$C$679,0)))</f>
        <v/>
      </c>
      <c r="E335">
        <f>IF(ISNA(MATCH(322,Engine!$C$2:$C$679,0)),"",INDEX('Compliance Database'!$E$2:$E$679,MATCH(322,Engine!$C$2:$C$679,0)))</f>
        <v/>
      </c>
      <c r="F335">
        <f>IF(ISNA(MATCH(322,Engine!$C$2:$C$679,0)),"",INDEX('Compliance Database'!$F$2:$F$679,MATCH(322,Engine!$C$2:$C$679,0)))</f>
        <v/>
      </c>
      <c r="G335">
        <f>IF(ISNA(MATCH(322,Engine!$C$2:$C$679,0)),"",INDEX('Compliance Database'!$G$2:$G$679,MATCH(322,Engine!$C$2:$C$679,0)))</f>
        <v/>
      </c>
      <c r="H335">
        <f>IF(ISNA(MATCH(322,Engine!$C$2:$C$679,0)),"",INDEX('Compliance Database'!$H$2:$H$679,MATCH(322,Engine!$C$2:$C$679,0)))</f>
        <v/>
      </c>
      <c r="I335" s="8">
        <f>IF(ISNA(MATCH(322,Engine!$C$2:$C$679,0)),"",INDEX('Compliance Database'!$I$2:$I$679,MATCH(322,Engine!$C$2:$C$679,0)))</f>
        <v/>
      </c>
      <c r="J335" s="8">
        <f>IF(ISNA(MATCH(322,Engine!$C$2:$C$679,0)),"",INDEX('Compliance Database'!$J$2:$J$679,MATCH(322,Engine!$C$2:$C$679,0)))</f>
        <v/>
      </c>
      <c r="K335">
        <f>IF(ISNA(MATCH(322,Engine!$C$2:$C$679,0)),"",INDEX('Compliance Database'!$K$2:$K$679,MATCH(322,Engine!$C$2:$C$679,0)))</f>
        <v/>
      </c>
      <c r="L335" s="8">
        <f>IF(ISNA(MATCH(322,Engine!$C$2:$C$679,0)),"",INDEX('Compliance Database'!$L$2:$L$679,MATCH(322,Engine!$C$2:$C$679,0)))</f>
        <v/>
      </c>
      <c r="M335" s="8">
        <f>IF(ISNA(MATCH(322,Engine!$C$2:$C$679,0)),"",INDEX('Compliance Database'!$M$2:$M$679,MATCH(322,Engine!$C$2:$C$679,0)))</f>
        <v/>
      </c>
      <c r="N335" s="8">
        <f>IF(ISNA(MATCH(322,Engine!$C$2:$C$679,0)),"",INDEX('Compliance Database'!$N$2:$N$679,MATCH(322,Engine!$C$2:$C$679,0)))</f>
        <v/>
      </c>
      <c r="O335" s="8">
        <f>IF(ISNA(MATCH(322,Engine!$C$2:$C$679,0)),"",INDEX('Compliance Database'!$O$2:$O$679,MATCH(322,Engine!$C$2:$C$679,0)))</f>
        <v/>
      </c>
      <c r="P335">
        <f>IF(ISNA(MATCH(322,Engine!$C$2:$C$679,0)),"",HYPERLINK(INDEX('Compliance Database'!$P$2:$P$679,MATCH(322,Engine!$C$2:$C$679,0)),"Open PDF"))</f>
        <v/>
      </c>
    </row>
    <row r="336">
      <c r="A336">
        <f>IF(ISNA(MATCH(323,Engine!$C$2:$C$679,0)),"",INDEX('Compliance Database'!$A$2:$A$679,MATCH(323,Engine!$C$2:$C$679,0)))</f>
        <v/>
      </c>
      <c r="B336">
        <f>IF(ISNA(MATCH(323,Engine!$C$2:$C$679,0)),"",INDEX('Compliance Database'!$B$2:$B$679,MATCH(323,Engine!$C$2:$C$679,0)))</f>
        <v/>
      </c>
      <c r="C336">
        <f>IF(ISNA(MATCH(323,Engine!$C$2:$C$679,0)),"",INDEX('Compliance Database'!$C$2:$C$679,MATCH(323,Engine!$C$2:$C$679,0)))</f>
        <v/>
      </c>
      <c r="D336" s="8">
        <f>IF(ISNA(MATCH(323,Engine!$C$2:$C$679,0)),"",INDEX('Compliance Database'!$D$2:$D$679,MATCH(323,Engine!$C$2:$C$679,0)))</f>
        <v/>
      </c>
      <c r="E336">
        <f>IF(ISNA(MATCH(323,Engine!$C$2:$C$679,0)),"",INDEX('Compliance Database'!$E$2:$E$679,MATCH(323,Engine!$C$2:$C$679,0)))</f>
        <v/>
      </c>
      <c r="F336">
        <f>IF(ISNA(MATCH(323,Engine!$C$2:$C$679,0)),"",INDEX('Compliance Database'!$F$2:$F$679,MATCH(323,Engine!$C$2:$C$679,0)))</f>
        <v/>
      </c>
      <c r="G336">
        <f>IF(ISNA(MATCH(323,Engine!$C$2:$C$679,0)),"",INDEX('Compliance Database'!$G$2:$G$679,MATCH(323,Engine!$C$2:$C$679,0)))</f>
        <v/>
      </c>
      <c r="H336">
        <f>IF(ISNA(MATCH(323,Engine!$C$2:$C$679,0)),"",INDEX('Compliance Database'!$H$2:$H$679,MATCH(323,Engine!$C$2:$C$679,0)))</f>
        <v/>
      </c>
      <c r="I336" s="8">
        <f>IF(ISNA(MATCH(323,Engine!$C$2:$C$679,0)),"",INDEX('Compliance Database'!$I$2:$I$679,MATCH(323,Engine!$C$2:$C$679,0)))</f>
        <v/>
      </c>
      <c r="J336" s="8">
        <f>IF(ISNA(MATCH(323,Engine!$C$2:$C$679,0)),"",INDEX('Compliance Database'!$J$2:$J$679,MATCH(323,Engine!$C$2:$C$679,0)))</f>
        <v/>
      </c>
      <c r="K336">
        <f>IF(ISNA(MATCH(323,Engine!$C$2:$C$679,0)),"",INDEX('Compliance Database'!$K$2:$K$679,MATCH(323,Engine!$C$2:$C$679,0)))</f>
        <v/>
      </c>
      <c r="L336" s="8">
        <f>IF(ISNA(MATCH(323,Engine!$C$2:$C$679,0)),"",INDEX('Compliance Database'!$L$2:$L$679,MATCH(323,Engine!$C$2:$C$679,0)))</f>
        <v/>
      </c>
      <c r="M336" s="8">
        <f>IF(ISNA(MATCH(323,Engine!$C$2:$C$679,0)),"",INDEX('Compliance Database'!$M$2:$M$679,MATCH(323,Engine!$C$2:$C$679,0)))</f>
        <v/>
      </c>
      <c r="N336" s="8">
        <f>IF(ISNA(MATCH(323,Engine!$C$2:$C$679,0)),"",INDEX('Compliance Database'!$N$2:$N$679,MATCH(323,Engine!$C$2:$C$679,0)))</f>
        <v/>
      </c>
      <c r="O336" s="8">
        <f>IF(ISNA(MATCH(323,Engine!$C$2:$C$679,0)),"",INDEX('Compliance Database'!$O$2:$O$679,MATCH(323,Engine!$C$2:$C$679,0)))</f>
        <v/>
      </c>
      <c r="P336">
        <f>IF(ISNA(MATCH(323,Engine!$C$2:$C$679,0)),"",HYPERLINK(INDEX('Compliance Database'!$P$2:$P$679,MATCH(323,Engine!$C$2:$C$679,0)),"Open PDF"))</f>
        <v/>
      </c>
    </row>
    <row r="337">
      <c r="A337">
        <f>IF(ISNA(MATCH(324,Engine!$C$2:$C$679,0)),"",INDEX('Compliance Database'!$A$2:$A$679,MATCH(324,Engine!$C$2:$C$679,0)))</f>
        <v/>
      </c>
      <c r="B337">
        <f>IF(ISNA(MATCH(324,Engine!$C$2:$C$679,0)),"",INDEX('Compliance Database'!$B$2:$B$679,MATCH(324,Engine!$C$2:$C$679,0)))</f>
        <v/>
      </c>
      <c r="C337">
        <f>IF(ISNA(MATCH(324,Engine!$C$2:$C$679,0)),"",INDEX('Compliance Database'!$C$2:$C$679,MATCH(324,Engine!$C$2:$C$679,0)))</f>
        <v/>
      </c>
      <c r="D337" s="8">
        <f>IF(ISNA(MATCH(324,Engine!$C$2:$C$679,0)),"",INDEX('Compliance Database'!$D$2:$D$679,MATCH(324,Engine!$C$2:$C$679,0)))</f>
        <v/>
      </c>
      <c r="E337">
        <f>IF(ISNA(MATCH(324,Engine!$C$2:$C$679,0)),"",INDEX('Compliance Database'!$E$2:$E$679,MATCH(324,Engine!$C$2:$C$679,0)))</f>
        <v/>
      </c>
      <c r="F337">
        <f>IF(ISNA(MATCH(324,Engine!$C$2:$C$679,0)),"",INDEX('Compliance Database'!$F$2:$F$679,MATCH(324,Engine!$C$2:$C$679,0)))</f>
        <v/>
      </c>
      <c r="G337">
        <f>IF(ISNA(MATCH(324,Engine!$C$2:$C$679,0)),"",INDEX('Compliance Database'!$G$2:$G$679,MATCH(324,Engine!$C$2:$C$679,0)))</f>
        <v/>
      </c>
      <c r="H337">
        <f>IF(ISNA(MATCH(324,Engine!$C$2:$C$679,0)),"",INDEX('Compliance Database'!$H$2:$H$679,MATCH(324,Engine!$C$2:$C$679,0)))</f>
        <v/>
      </c>
      <c r="I337" s="8">
        <f>IF(ISNA(MATCH(324,Engine!$C$2:$C$679,0)),"",INDEX('Compliance Database'!$I$2:$I$679,MATCH(324,Engine!$C$2:$C$679,0)))</f>
        <v/>
      </c>
      <c r="J337" s="8">
        <f>IF(ISNA(MATCH(324,Engine!$C$2:$C$679,0)),"",INDEX('Compliance Database'!$J$2:$J$679,MATCH(324,Engine!$C$2:$C$679,0)))</f>
        <v/>
      </c>
      <c r="K337">
        <f>IF(ISNA(MATCH(324,Engine!$C$2:$C$679,0)),"",INDEX('Compliance Database'!$K$2:$K$679,MATCH(324,Engine!$C$2:$C$679,0)))</f>
        <v/>
      </c>
      <c r="L337" s="8">
        <f>IF(ISNA(MATCH(324,Engine!$C$2:$C$679,0)),"",INDEX('Compliance Database'!$L$2:$L$679,MATCH(324,Engine!$C$2:$C$679,0)))</f>
        <v/>
      </c>
      <c r="M337" s="8">
        <f>IF(ISNA(MATCH(324,Engine!$C$2:$C$679,0)),"",INDEX('Compliance Database'!$M$2:$M$679,MATCH(324,Engine!$C$2:$C$679,0)))</f>
        <v/>
      </c>
      <c r="N337" s="8">
        <f>IF(ISNA(MATCH(324,Engine!$C$2:$C$679,0)),"",INDEX('Compliance Database'!$N$2:$N$679,MATCH(324,Engine!$C$2:$C$679,0)))</f>
        <v/>
      </c>
      <c r="O337" s="8">
        <f>IF(ISNA(MATCH(324,Engine!$C$2:$C$679,0)),"",INDEX('Compliance Database'!$O$2:$O$679,MATCH(324,Engine!$C$2:$C$679,0)))</f>
        <v/>
      </c>
      <c r="P337">
        <f>IF(ISNA(MATCH(324,Engine!$C$2:$C$679,0)),"",HYPERLINK(INDEX('Compliance Database'!$P$2:$P$679,MATCH(324,Engine!$C$2:$C$679,0)),"Open PDF"))</f>
        <v/>
      </c>
    </row>
    <row r="338">
      <c r="A338">
        <f>IF(ISNA(MATCH(325,Engine!$C$2:$C$679,0)),"",INDEX('Compliance Database'!$A$2:$A$679,MATCH(325,Engine!$C$2:$C$679,0)))</f>
        <v/>
      </c>
      <c r="B338">
        <f>IF(ISNA(MATCH(325,Engine!$C$2:$C$679,0)),"",INDEX('Compliance Database'!$B$2:$B$679,MATCH(325,Engine!$C$2:$C$679,0)))</f>
        <v/>
      </c>
      <c r="C338">
        <f>IF(ISNA(MATCH(325,Engine!$C$2:$C$679,0)),"",INDEX('Compliance Database'!$C$2:$C$679,MATCH(325,Engine!$C$2:$C$679,0)))</f>
        <v/>
      </c>
      <c r="D338" s="8">
        <f>IF(ISNA(MATCH(325,Engine!$C$2:$C$679,0)),"",INDEX('Compliance Database'!$D$2:$D$679,MATCH(325,Engine!$C$2:$C$679,0)))</f>
        <v/>
      </c>
      <c r="E338">
        <f>IF(ISNA(MATCH(325,Engine!$C$2:$C$679,0)),"",INDEX('Compliance Database'!$E$2:$E$679,MATCH(325,Engine!$C$2:$C$679,0)))</f>
        <v/>
      </c>
      <c r="F338">
        <f>IF(ISNA(MATCH(325,Engine!$C$2:$C$679,0)),"",INDEX('Compliance Database'!$F$2:$F$679,MATCH(325,Engine!$C$2:$C$679,0)))</f>
        <v/>
      </c>
      <c r="G338">
        <f>IF(ISNA(MATCH(325,Engine!$C$2:$C$679,0)),"",INDEX('Compliance Database'!$G$2:$G$679,MATCH(325,Engine!$C$2:$C$679,0)))</f>
        <v/>
      </c>
      <c r="H338">
        <f>IF(ISNA(MATCH(325,Engine!$C$2:$C$679,0)),"",INDEX('Compliance Database'!$H$2:$H$679,MATCH(325,Engine!$C$2:$C$679,0)))</f>
        <v/>
      </c>
      <c r="I338" s="8">
        <f>IF(ISNA(MATCH(325,Engine!$C$2:$C$679,0)),"",INDEX('Compliance Database'!$I$2:$I$679,MATCH(325,Engine!$C$2:$C$679,0)))</f>
        <v/>
      </c>
      <c r="J338" s="8">
        <f>IF(ISNA(MATCH(325,Engine!$C$2:$C$679,0)),"",INDEX('Compliance Database'!$J$2:$J$679,MATCH(325,Engine!$C$2:$C$679,0)))</f>
        <v/>
      </c>
      <c r="K338">
        <f>IF(ISNA(MATCH(325,Engine!$C$2:$C$679,0)),"",INDEX('Compliance Database'!$K$2:$K$679,MATCH(325,Engine!$C$2:$C$679,0)))</f>
        <v/>
      </c>
      <c r="L338" s="8">
        <f>IF(ISNA(MATCH(325,Engine!$C$2:$C$679,0)),"",INDEX('Compliance Database'!$L$2:$L$679,MATCH(325,Engine!$C$2:$C$679,0)))</f>
        <v/>
      </c>
      <c r="M338" s="8">
        <f>IF(ISNA(MATCH(325,Engine!$C$2:$C$679,0)),"",INDEX('Compliance Database'!$M$2:$M$679,MATCH(325,Engine!$C$2:$C$679,0)))</f>
        <v/>
      </c>
      <c r="N338" s="8">
        <f>IF(ISNA(MATCH(325,Engine!$C$2:$C$679,0)),"",INDEX('Compliance Database'!$N$2:$N$679,MATCH(325,Engine!$C$2:$C$679,0)))</f>
        <v/>
      </c>
      <c r="O338" s="8">
        <f>IF(ISNA(MATCH(325,Engine!$C$2:$C$679,0)),"",INDEX('Compliance Database'!$O$2:$O$679,MATCH(325,Engine!$C$2:$C$679,0)))</f>
        <v/>
      </c>
      <c r="P338">
        <f>IF(ISNA(MATCH(325,Engine!$C$2:$C$679,0)),"",HYPERLINK(INDEX('Compliance Database'!$P$2:$P$679,MATCH(325,Engine!$C$2:$C$679,0)),"Open PDF"))</f>
        <v/>
      </c>
    </row>
    <row r="339">
      <c r="A339">
        <f>IF(ISNA(MATCH(326,Engine!$C$2:$C$679,0)),"",INDEX('Compliance Database'!$A$2:$A$679,MATCH(326,Engine!$C$2:$C$679,0)))</f>
        <v/>
      </c>
      <c r="B339">
        <f>IF(ISNA(MATCH(326,Engine!$C$2:$C$679,0)),"",INDEX('Compliance Database'!$B$2:$B$679,MATCH(326,Engine!$C$2:$C$679,0)))</f>
        <v/>
      </c>
      <c r="C339">
        <f>IF(ISNA(MATCH(326,Engine!$C$2:$C$679,0)),"",INDEX('Compliance Database'!$C$2:$C$679,MATCH(326,Engine!$C$2:$C$679,0)))</f>
        <v/>
      </c>
      <c r="D339" s="8">
        <f>IF(ISNA(MATCH(326,Engine!$C$2:$C$679,0)),"",INDEX('Compliance Database'!$D$2:$D$679,MATCH(326,Engine!$C$2:$C$679,0)))</f>
        <v/>
      </c>
      <c r="E339">
        <f>IF(ISNA(MATCH(326,Engine!$C$2:$C$679,0)),"",INDEX('Compliance Database'!$E$2:$E$679,MATCH(326,Engine!$C$2:$C$679,0)))</f>
        <v/>
      </c>
      <c r="F339">
        <f>IF(ISNA(MATCH(326,Engine!$C$2:$C$679,0)),"",INDEX('Compliance Database'!$F$2:$F$679,MATCH(326,Engine!$C$2:$C$679,0)))</f>
        <v/>
      </c>
      <c r="G339">
        <f>IF(ISNA(MATCH(326,Engine!$C$2:$C$679,0)),"",INDEX('Compliance Database'!$G$2:$G$679,MATCH(326,Engine!$C$2:$C$679,0)))</f>
        <v/>
      </c>
      <c r="H339">
        <f>IF(ISNA(MATCH(326,Engine!$C$2:$C$679,0)),"",INDEX('Compliance Database'!$H$2:$H$679,MATCH(326,Engine!$C$2:$C$679,0)))</f>
        <v/>
      </c>
      <c r="I339" s="8">
        <f>IF(ISNA(MATCH(326,Engine!$C$2:$C$679,0)),"",INDEX('Compliance Database'!$I$2:$I$679,MATCH(326,Engine!$C$2:$C$679,0)))</f>
        <v/>
      </c>
      <c r="J339" s="8">
        <f>IF(ISNA(MATCH(326,Engine!$C$2:$C$679,0)),"",INDEX('Compliance Database'!$J$2:$J$679,MATCH(326,Engine!$C$2:$C$679,0)))</f>
        <v/>
      </c>
      <c r="K339">
        <f>IF(ISNA(MATCH(326,Engine!$C$2:$C$679,0)),"",INDEX('Compliance Database'!$K$2:$K$679,MATCH(326,Engine!$C$2:$C$679,0)))</f>
        <v/>
      </c>
      <c r="L339" s="8">
        <f>IF(ISNA(MATCH(326,Engine!$C$2:$C$679,0)),"",INDEX('Compliance Database'!$L$2:$L$679,MATCH(326,Engine!$C$2:$C$679,0)))</f>
        <v/>
      </c>
      <c r="M339" s="8">
        <f>IF(ISNA(MATCH(326,Engine!$C$2:$C$679,0)),"",INDEX('Compliance Database'!$M$2:$M$679,MATCH(326,Engine!$C$2:$C$679,0)))</f>
        <v/>
      </c>
      <c r="N339" s="8">
        <f>IF(ISNA(MATCH(326,Engine!$C$2:$C$679,0)),"",INDEX('Compliance Database'!$N$2:$N$679,MATCH(326,Engine!$C$2:$C$679,0)))</f>
        <v/>
      </c>
      <c r="O339" s="8">
        <f>IF(ISNA(MATCH(326,Engine!$C$2:$C$679,0)),"",INDEX('Compliance Database'!$O$2:$O$679,MATCH(326,Engine!$C$2:$C$679,0)))</f>
        <v/>
      </c>
      <c r="P339">
        <f>IF(ISNA(MATCH(326,Engine!$C$2:$C$679,0)),"",HYPERLINK(INDEX('Compliance Database'!$P$2:$P$679,MATCH(326,Engine!$C$2:$C$679,0)),"Open PDF"))</f>
        <v/>
      </c>
    </row>
    <row r="340">
      <c r="A340">
        <f>IF(ISNA(MATCH(327,Engine!$C$2:$C$679,0)),"",INDEX('Compliance Database'!$A$2:$A$679,MATCH(327,Engine!$C$2:$C$679,0)))</f>
        <v/>
      </c>
      <c r="B340">
        <f>IF(ISNA(MATCH(327,Engine!$C$2:$C$679,0)),"",INDEX('Compliance Database'!$B$2:$B$679,MATCH(327,Engine!$C$2:$C$679,0)))</f>
        <v/>
      </c>
      <c r="C340">
        <f>IF(ISNA(MATCH(327,Engine!$C$2:$C$679,0)),"",INDEX('Compliance Database'!$C$2:$C$679,MATCH(327,Engine!$C$2:$C$679,0)))</f>
        <v/>
      </c>
      <c r="D340" s="8">
        <f>IF(ISNA(MATCH(327,Engine!$C$2:$C$679,0)),"",INDEX('Compliance Database'!$D$2:$D$679,MATCH(327,Engine!$C$2:$C$679,0)))</f>
        <v/>
      </c>
      <c r="E340">
        <f>IF(ISNA(MATCH(327,Engine!$C$2:$C$679,0)),"",INDEX('Compliance Database'!$E$2:$E$679,MATCH(327,Engine!$C$2:$C$679,0)))</f>
        <v/>
      </c>
      <c r="F340">
        <f>IF(ISNA(MATCH(327,Engine!$C$2:$C$679,0)),"",INDEX('Compliance Database'!$F$2:$F$679,MATCH(327,Engine!$C$2:$C$679,0)))</f>
        <v/>
      </c>
      <c r="G340">
        <f>IF(ISNA(MATCH(327,Engine!$C$2:$C$679,0)),"",INDEX('Compliance Database'!$G$2:$G$679,MATCH(327,Engine!$C$2:$C$679,0)))</f>
        <v/>
      </c>
      <c r="H340">
        <f>IF(ISNA(MATCH(327,Engine!$C$2:$C$679,0)),"",INDEX('Compliance Database'!$H$2:$H$679,MATCH(327,Engine!$C$2:$C$679,0)))</f>
        <v/>
      </c>
      <c r="I340" s="8">
        <f>IF(ISNA(MATCH(327,Engine!$C$2:$C$679,0)),"",INDEX('Compliance Database'!$I$2:$I$679,MATCH(327,Engine!$C$2:$C$679,0)))</f>
        <v/>
      </c>
      <c r="J340" s="8">
        <f>IF(ISNA(MATCH(327,Engine!$C$2:$C$679,0)),"",INDEX('Compliance Database'!$J$2:$J$679,MATCH(327,Engine!$C$2:$C$679,0)))</f>
        <v/>
      </c>
      <c r="K340">
        <f>IF(ISNA(MATCH(327,Engine!$C$2:$C$679,0)),"",INDEX('Compliance Database'!$K$2:$K$679,MATCH(327,Engine!$C$2:$C$679,0)))</f>
        <v/>
      </c>
      <c r="L340" s="8">
        <f>IF(ISNA(MATCH(327,Engine!$C$2:$C$679,0)),"",INDEX('Compliance Database'!$L$2:$L$679,MATCH(327,Engine!$C$2:$C$679,0)))</f>
        <v/>
      </c>
      <c r="M340" s="8">
        <f>IF(ISNA(MATCH(327,Engine!$C$2:$C$679,0)),"",INDEX('Compliance Database'!$M$2:$M$679,MATCH(327,Engine!$C$2:$C$679,0)))</f>
        <v/>
      </c>
      <c r="N340" s="8">
        <f>IF(ISNA(MATCH(327,Engine!$C$2:$C$679,0)),"",INDEX('Compliance Database'!$N$2:$N$679,MATCH(327,Engine!$C$2:$C$679,0)))</f>
        <v/>
      </c>
      <c r="O340" s="8">
        <f>IF(ISNA(MATCH(327,Engine!$C$2:$C$679,0)),"",INDEX('Compliance Database'!$O$2:$O$679,MATCH(327,Engine!$C$2:$C$679,0)))</f>
        <v/>
      </c>
      <c r="P340">
        <f>IF(ISNA(MATCH(327,Engine!$C$2:$C$679,0)),"",HYPERLINK(INDEX('Compliance Database'!$P$2:$P$679,MATCH(327,Engine!$C$2:$C$679,0)),"Open PDF"))</f>
        <v/>
      </c>
    </row>
    <row r="341">
      <c r="A341">
        <f>IF(ISNA(MATCH(328,Engine!$C$2:$C$679,0)),"",INDEX('Compliance Database'!$A$2:$A$679,MATCH(328,Engine!$C$2:$C$679,0)))</f>
        <v/>
      </c>
      <c r="B341">
        <f>IF(ISNA(MATCH(328,Engine!$C$2:$C$679,0)),"",INDEX('Compliance Database'!$B$2:$B$679,MATCH(328,Engine!$C$2:$C$679,0)))</f>
        <v/>
      </c>
      <c r="C341">
        <f>IF(ISNA(MATCH(328,Engine!$C$2:$C$679,0)),"",INDEX('Compliance Database'!$C$2:$C$679,MATCH(328,Engine!$C$2:$C$679,0)))</f>
        <v/>
      </c>
      <c r="D341" s="8">
        <f>IF(ISNA(MATCH(328,Engine!$C$2:$C$679,0)),"",INDEX('Compliance Database'!$D$2:$D$679,MATCH(328,Engine!$C$2:$C$679,0)))</f>
        <v/>
      </c>
      <c r="E341">
        <f>IF(ISNA(MATCH(328,Engine!$C$2:$C$679,0)),"",INDEX('Compliance Database'!$E$2:$E$679,MATCH(328,Engine!$C$2:$C$679,0)))</f>
        <v/>
      </c>
      <c r="F341">
        <f>IF(ISNA(MATCH(328,Engine!$C$2:$C$679,0)),"",INDEX('Compliance Database'!$F$2:$F$679,MATCH(328,Engine!$C$2:$C$679,0)))</f>
        <v/>
      </c>
      <c r="G341">
        <f>IF(ISNA(MATCH(328,Engine!$C$2:$C$679,0)),"",INDEX('Compliance Database'!$G$2:$G$679,MATCH(328,Engine!$C$2:$C$679,0)))</f>
        <v/>
      </c>
      <c r="H341">
        <f>IF(ISNA(MATCH(328,Engine!$C$2:$C$679,0)),"",INDEX('Compliance Database'!$H$2:$H$679,MATCH(328,Engine!$C$2:$C$679,0)))</f>
        <v/>
      </c>
      <c r="I341" s="8">
        <f>IF(ISNA(MATCH(328,Engine!$C$2:$C$679,0)),"",INDEX('Compliance Database'!$I$2:$I$679,MATCH(328,Engine!$C$2:$C$679,0)))</f>
        <v/>
      </c>
      <c r="J341" s="8">
        <f>IF(ISNA(MATCH(328,Engine!$C$2:$C$679,0)),"",INDEX('Compliance Database'!$J$2:$J$679,MATCH(328,Engine!$C$2:$C$679,0)))</f>
        <v/>
      </c>
      <c r="K341">
        <f>IF(ISNA(MATCH(328,Engine!$C$2:$C$679,0)),"",INDEX('Compliance Database'!$K$2:$K$679,MATCH(328,Engine!$C$2:$C$679,0)))</f>
        <v/>
      </c>
      <c r="L341" s="8">
        <f>IF(ISNA(MATCH(328,Engine!$C$2:$C$679,0)),"",INDEX('Compliance Database'!$L$2:$L$679,MATCH(328,Engine!$C$2:$C$679,0)))</f>
        <v/>
      </c>
      <c r="M341" s="8">
        <f>IF(ISNA(MATCH(328,Engine!$C$2:$C$679,0)),"",INDEX('Compliance Database'!$M$2:$M$679,MATCH(328,Engine!$C$2:$C$679,0)))</f>
        <v/>
      </c>
      <c r="N341" s="8">
        <f>IF(ISNA(MATCH(328,Engine!$C$2:$C$679,0)),"",INDEX('Compliance Database'!$N$2:$N$679,MATCH(328,Engine!$C$2:$C$679,0)))</f>
        <v/>
      </c>
      <c r="O341" s="8">
        <f>IF(ISNA(MATCH(328,Engine!$C$2:$C$679,0)),"",INDEX('Compliance Database'!$O$2:$O$679,MATCH(328,Engine!$C$2:$C$679,0)))</f>
        <v/>
      </c>
      <c r="P341">
        <f>IF(ISNA(MATCH(328,Engine!$C$2:$C$679,0)),"",HYPERLINK(INDEX('Compliance Database'!$P$2:$P$679,MATCH(328,Engine!$C$2:$C$679,0)),"Open PDF"))</f>
        <v/>
      </c>
    </row>
    <row r="342">
      <c r="A342">
        <f>IF(ISNA(MATCH(329,Engine!$C$2:$C$679,0)),"",INDEX('Compliance Database'!$A$2:$A$679,MATCH(329,Engine!$C$2:$C$679,0)))</f>
        <v/>
      </c>
      <c r="B342">
        <f>IF(ISNA(MATCH(329,Engine!$C$2:$C$679,0)),"",INDEX('Compliance Database'!$B$2:$B$679,MATCH(329,Engine!$C$2:$C$679,0)))</f>
        <v/>
      </c>
      <c r="C342">
        <f>IF(ISNA(MATCH(329,Engine!$C$2:$C$679,0)),"",INDEX('Compliance Database'!$C$2:$C$679,MATCH(329,Engine!$C$2:$C$679,0)))</f>
        <v/>
      </c>
      <c r="D342" s="8">
        <f>IF(ISNA(MATCH(329,Engine!$C$2:$C$679,0)),"",INDEX('Compliance Database'!$D$2:$D$679,MATCH(329,Engine!$C$2:$C$679,0)))</f>
        <v/>
      </c>
      <c r="E342">
        <f>IF(ISNA(MATCH(329,Engine!$C$2:$C$679,0)),"",INDEX('Compliance Database'!$E$2:$E$679,MATCH(329,Engine!$C$2:$C$679,0)))</f>
        <v/>
      </c>
      <c r="F342">
        <f>IF(ISNA(MATCH(329,Engine!$C$2:$C$679,0)),"",INDEX('Compliance Database'!$F$2:$F$679,MATCH(329,Engine!$C$2:$C$679,0)))</f>
        <v/>
      </c>
      <c r="G342">
        <f>IF(ISNA(MATCH(329,Engine!$C$2:$C$679,0)),"",INDEX('Compliance Database'!$G$2:$G$679,MATCH(329,Engine!$C$2:$C$679,0)))</f>
        <v/>
      </c>
      <c r="H342">
        <f>IF(ISNA(MATCH(329,Engine!$C$2:$C$679,0)),"",INDEX('Compliance Database'!$H$2:$H$679,MATCH(329,Engine!$C$2:$C$679,0)))</f>
        <v/>
      </c>
      <c r="I342" s="8">
        <f>IF(ISNA(MATCH(329,Engine!$C$2:$C$679,0)),"",INDEX('Compliance Database'!$I$2:$I$679,MATCH(329,Engine!$C$2:$C$679,0)))</f>
        <v/>
      </c>
      <c r="J342" s="8">
        <f>IF(ISNA(MATCH(329,Engine!$C$2:$C$679,0)),"",INDEX('Compliance Database'!$J$2:$J$679,MATCH(329,Engine!$C$2:$C$679,0)))</f>
        <v/>
      </c>
      <c r="K342">
        <f>IF(ISNA(MATCH(329,Engine!$C$2:$C$679,0)),"",INDEX('Compliance Database'!$K$2:$K$679,MATCH(329,Engine!$C$2:$C$679,0)))</f>
        <v/>
      </c>
      <c r="L342" s="8">
        <f>IF(ISNA(MATCH(329,Engine!$C$2:$C$679,0)),"",INDEX('Compliance Database'!$L$2:$L$679,MATCH(329,Engine!$C$2:$C$679,0)))</f>
        <v/>
      </c>
      <c r="M342" s="8">
        <f>IF(ISNA(MATCH(329,Engine!$C$2:$C$679,0)),"",INDEX('Compliance Database'!$M$2:$M$679,MATCH(329,Engine!$C$2:$C$679,0)))</f>
        <v/>
      </c>
      <c r="N342" s="8">
        <f>IF(ISNA(MATCH(329,Engine!$C$2:$C$679,0)),"",INDEX('Compliance Database'!$N$2:$N$679,MATCH(329,Engine!$C$2:$C$679,0)))</f>
        <v/>
      </c>
      <c r="O342" s="8">
        <f>IF(ISNA(MATCH(329,Engine!$C$2:$C$679,0)),"",INDEX('Compliance Database'!$O$2:$O$679,MATCH(329,Engine!$C$2:$C$679,0)))</f>
        <v/>
      </c>
      <c r="P342">
        <f>IF(ISNA(MATCH(329,Engine!$C$2:$C$679,0)),"",HYPERLINK(INDEX('Compliance Database'!$P$2:$P$679,MATCH(329,Engine!$C$2:$C$679,0)),"Open PDF"))</f>
        <v/>
      </c>
    </row>
    <row r="343">
      <c r="A343">
        <f>IF(ISNA(MATCH(330,Engine!$C$2:$C$679,0)),"",INDEX('Compliance Database'!$A$2:$A$679,MATCH(330,Engine!$C$2:$C$679,0)))</f>
        <v/>
      </c>
      <c r="B343">
        <f>IF(ISNA(MATCH(330,Engine!$C$2:$C$679,0)),"",INDEX('Compliance Database'!$B$2:$B$679,MATCH(330,Engine!$C$2:$C$679,0)))</f>
        <v/>
      </c>
      <c r="C343">
        <f>IF(ISNA(MATCH(330,Engine!$C$2:$C$679,0)),"",INDEX('Compliance Database'!$C$2:$C$679,MATCH(330,Engine!$C$2:$C$679,0)))</f>
        <v/>
      </c>
      <c r="D343" s="8">
        <f>IF(ISNA(MATCH(330,Engine!$C$2:$C$679,0)),"",INDEX('Compliance Database'!$D$2:$D$679,MATCH(330,Engine!$C$2:$C$679,0)))</f>
        <v/>
      </c>
      <c r="E343">
        <f>IF(ISNA(MATCH(330,Engine!$C$2:$C$679,0)),"",INDEX('Compliance Database'!$E$2:$E$679,MATCH(330,Engine!$C$2:$C$679,0)))</f>
        <v/>
      </c>
      <c r="F343">
        <f>IF(ISNA(MATCH(330,Engine!$C$2:$C$679,0)),"",INDEX('Compliance Database'!$F$2:$F$679,MATCH(330,Engine!$C$2:$C$679,0)))</f>
        <v/>
      </c>
      <c r="G343">
        <f>IF(ISNA(MATCH(330,Engine!$C$2:$C$679,0)),"",INDEX('Compliance Database'!$G$2:$G$679,MATCH(330,Engine!$C$2:$C$679,0)))</f>
        <v/>
      </c>
      <c r="H343">
        <f>IF(ISNA(MATCH(330,Engine!$C$2:$C$679,0)),"",INDEX('Compliance Database'!$H$2:$H$679,MATCH(330,Engine!$C$2:$C$679,0)))</f>
        <v/>
      </c>
      <c r="I343" s="8">
        <f>IF(ISNA(MATCH(330,Engine!$C$2:$C$679,0)),"",INDEX('Compliance Database'!$I$2:$I$679,MATCH(330,Engine!$C$2:$C$679,0)))</f>
        <v/>
      </c>
      <c r="J343" s="8">
        <f>IF(ISNA(MATCH(330,Engine!$C$2:$C$679,0)),"",INDEX('Compliance Database'!$J$2:$J$679,MATCH(330,Engine!$C$2:$C$679,0)))</f>
        <v/>
      </c>
      <c r="K343">
        <f>IF(ISNA(MATCH(330,Engine!$C$2:$C$679,0)),"",INDEX('Compliance Database'!$K$2:$K$679,MATCH(330,Engine!$C$2:$C$679,0)))</f>
        <v/>
      </c>
      <c r="L343" s="8">
        <f>IF(ISNA(MATCH(330,Engine!$C$2:$C$679,0)),"",INDEX('Compliance Database'!$L$2:$L$679,MATCH(330,Engine!$C$2:$C$679,0)))</f>
        <v/>
      </c>
      <c r="M343" s="8">
        <f>IF(ISNA(MATCH(330,Engine!$C$2:$C$679,0)),"",INDEX('Compliance Database'!$M$2:$M$679,MATCH(330,Engine!$C$2:$C$679,0)))</f>
        <v/>
      </c>
      <c r="N343" s="8">
        <f>IF(ISNA(MATCH(330,Engine!$C$2:$C$679,0)),"",INDEX('Compliance Database'!$N$2:$N$679,MATCH(330,Engine!$C$2:$C$679,0)))</f>
        <v/>
      </c>
      <c r="O343" s="8">
        <f>IF(ISNA(MATCH(330,Engine!$C$2:$C$679,0)),"",INDEX('Compliance Database'!$O$2:$O$679,MATCH(330,Engine!$C$2:$C$679,0)))</f>
        <v/>
      </c>
      <c r="P343">
        <f>IF(ISNA(MATCH(330,Engine!$C$2:$C$679,0)),"",HYPERLINK(INDEX('Compliance Database'!$P$2:$P$679,MATCH(330,Engine!$C$2:$C$679,0)),"Open PDF"))</f>
        <v/>
      </c>
    </row>
    <row r="344">
      <c r="A344">
        <f>IF(ISNA(MATCH(331,Engine!$C$2:$C$679,0)),"",INDEX('Compliance Database'!$A$2:$A$679,MATCH(331,Engine!$C$2:$C$679,0)))</f>
        <v/>
      </c>
      <c r="B344">
        <f>IF(ISNA(MATCH(331,Engine!$C$2:$C$679,0)),"",INDEX('Compliance Database'!$B$2:$B$679,MATCH(331,Engine!$C$2:$C$679,0)))</f>
        <v/>
      </c>
      <c r="C344">
        <f>IF(ISNA(MATCH(331,Engine!$C$2:$C$679,0)),"",INDEX('Compliance Database'!$C$2:$C$679,MATCH(331,Engine!$C$2:$C$679,0)))</f>
        <v/>
      </c>
      <c r="D344" s="8">
        <f>IF(ISNA(MATCH(331,Engine!$C$2:$C$679,0)),"",INDEX('Compliance Database'!$D$2:$D$679,MATCH(331,Engine!$C$2:$C$679,0)))</f>
        <v/>
      </c>
      <c r="E344">
        <f>IF(ISNA(MATCH(331,Engine!$C$2:$C$679,0)),"",INDEX('Compliance Database'!$E$2:$E$679,MATCH(331,Engine!$C$2:$C$679,0)))</f>
        <v/>
      </c>
      <c r="F344">
        <f>IF(ISNA(MATCH(331,Engine!$C$2:$C$679,0)),"",INDEX('Compliance Database'!$F$2:$F$679,MATCH(331,Engine!$C$2:$C$679,0)))</f>
        <v/>
      </c>
      <c r="G344">
        <f>IF(ISNA(MATCH(331,Engine!$C$2:$C$679,0)),"",INDEX('Compliance Database'!$G$2:$G$679,MATCH(331,Engine!$C$2:$C$679,0)))</f>
        <v/>
      </c>
      <c r="H344">
        <f>IF(ISNA(MATCH(331,Engine!$C$2:$C$679,0)),"",INDEX('Compliance Database'!$H$2:$H$679,MATCH(331,Engine!$C$2:$C$679,0)))</f>
        <v/>
      </c>
      <c r="I344" s="8">
        <f>IF(ISNA(MATCH(331,Engine!$C$2:$C$679,0)),"",INDEX('Compliance Database'!$I$2:$I$679,MATCH(331,Engine!$C$2:$C$679,0)))</f>
        <v/>
      </c>
      <c r="J344" s="8">
        <f>IF(ISNA(MATCH(331,Engine!$C$2:$C$679,0)),"",INDEX('Compliance Database'!$J$2:$J$679,MATCH(331,Engine!$C$2:$C$679,0)))</f>
        <v/>
      </c>
      <c r="K344">
        <f>IF(ISNA(MATCH(331,Engine!$C$2:$C$679,0)),"",INDEX('Compliance Database'!$K$2:$K$679,MATCH(331,Engine!$C$2:$C$679,0)))</f>
        <v/>
      </c>
      <c r="L344" s="8">
        <f>IF(ISNA(MATCH(331,Engine!$C$2:$C$679,0)),"",INDEX('Compliance Database'!$L$2:$L$679,MATCH(331,Engine!$C$2:$C$679,0)))</f>
        <v/>
      </c>
      <c r="M344" s="8">
        <f>IF(ISNA(MATCH(331,Engine!$C$2:$C$679,0)),"",INDEX('Compliance Database'!$M$2:$M$679,MATCH(331,Engine!$C$2:$C$679,0)))</f>
        <v/>
      </c>
      <c r="N344" s="8">
        <f>IF(ISNA(MATCH(331,Engine!$C$2:$C$679,0)),"",INDEX('Compliance Database'!$N$2:$N$679,MATCH(331,Engine!$C$2:$C$679,0)))</f>
        <v/>
      </c>
      <c r="O344" s="8">
        <f>IF(ISNA(MATCH(331,Engine!$C$2:$C$679,0)),"",INDEX('Compliance Database'!$O$2:$O$679,MATCH(331,Engine!$C$2:$C$679,0)))</f>
        <v/>
      </c>
      <c r="P344">
        <f>IF(ISNA(MATCH(331,Engine!$C$2:$C$679,0)),"",HYPERLINK(INDEX('Compliance Database'!$P$2:$P$679,MATCH(331,Engine!$C$2:$C$679,0)),"Open PDF"))</f>
        <v/>
      </c>
    </row>
    <row r="345">
      <c r="A345">
        <f>IF(ISNA(MATCH(332,Engine!$C$2:$C$679,0)),"",INDEX('Compliance Database'!$A$2:$A$679,MATCH(332,Engine!$C$2:$C$679,0)))</f>
        <v/>
      </c>
      <c r="B345">
        <f>IF(ISNA(MATCH(332,Engine!$C$2:$C$679,0)),"",INDEX('Compliance Database'!$B$2:$B$679,MATCH(332,Engine!$C$2:$C$679,0)))</f>
        <v/>
      </c>
      <c r="C345">
        <f>IF(ISNA(MATCH(332,Engine!$C$2:$C$679,0)),"",INDEX('Compliance Database'!$C$2:$C$679,MATCH(332,Engine!$C$2:$C$679,0)))</f>
        <v/>
      </c>
      <c r="D345" s="8">
        <f>IF(ISNA(MATCH(332,Engine!$C$2:$C$679,0)),"",INDEX('Compliance Database'!$D$2:$D$679,MATCH(332,Engine!$C$2:$C$679,0)))</f>
        <v/>
      </c>
      <c r="E345">
        <f>IF(ISNA(MATCH(332,Engine!$C$2:$C$679,0)),"",INDEX('Compliance Database'!$E$2:$E$679,MATCH(332,Engine!$C$2:$C$679,0)))</f>
        <v/>
      </c>
      <c r="F345">
        <f>IF(ISNA(MATCH(332,Engine!$C$2:$C$679,0)),"",INDEX('Compliance Database'!$F$2:$F$679,MATCH(332,Engine!$C$2:$C$679,0)))</f>
        <v/>
      </c>
      <c r="G345">
        <f>IF(ISNA(MATCH(332,Engine!$C$2:$C$679,0)),"",INDEX('Compliance Database'!$G$2:$G$679,MATCH(332,Engine!$C$2:$C$679,0)))</f>
        <v/>
      </c>
      <c r="H345">
        <f>IF(ISNA(MATCH(332,Engine!$C$2:$C$679,0)),"",INDEX('Compliance Database'!$H$2:$H$679,MATCH(332,Engine!$C$2:$C$679,0)))</f>
        <v/>
      </c>
      <c r="I345" s="8">
        <f>IF(ISNA(MATCH(332,Engine!$C$2:$C$679,0)),"",INDEX('Compliance Database'!$I$2:$I$679,MATCH(332,Engine!$C$2:$C$679,0)))</f>
        <v/>
      </c>
      <c r="J345" s="8">
        <f>IF(ISNA(MATCH(332,Engine!$C$2:$C$679,0)),"",INDEX('Compliance Database'!$J$2:$J$679,MATCH(332,Engine!$C$2:$C$679,0)))</f>
        <v/>
      </c>
      <c r="K345">
        <f>IF(ISNA(MATCH(332,Engine!$C$2:$C$679,0)),"",INDEX('Compliance Database'!$K$2:$K$679,MATCH(332,Engine!$C$2:$C$679,0)))</f>
        <v/>
      </c>
      <c r="L345" s="8">
        <f>IF(ISNA(MATCH(332,Engine!$C$2:$C$679,0)),"",INDEX('Compliance Database'!$L$2:$L$679,MATCH(332,Engine!$C$2:$C$679,0)))</f>
        <v/>
      </c>
      <c r="M345" s="8">
        <f>IF(ISNA(MATCH(332,Engine!$C$2:$C$679,0)),"",INDEX('Compliance Database'!$M$2:$M$679,MATCH(332,Engine!$C$2:$C$679,0)))</f>
        <v/>
      </c>
      <c r="N345" s="8">
        <f>IF(ISNA(MATCH(332,Engine!$C$2:$C$679,0)),"",INDEX('Compliance Database'!$N$2:$N$679,MATCH(332,Engine!$C$2:$C$679,0)))</f>
        <v/>
      </c>
      <c r="O345" s="8">
        <f>IF(ISNA(MATCH(332,Engine!$C$2:$C$679,0)),"",INDEX('Compliance Database'!$O$2:$O$679,MATCH(332,Engine!$C$2:$C$679,0)))</f>
        <v/>
      </c>
      <c r="P345">
        <f>IF(ISNA(MATCH(332,Engine!$C$2:$C$679,0)),"",HYPERLINK(INDEX('Compliance Database'!$P$2:$P$679,MATCH(332,Engine!$C$2:$C$679,0)),"Open PDF"))</f>
        <v/>
      </c>
    </row>
    <row r="346">
      <c r="A346">
        <f>IF(ISNA(MATCH(333,Engine!$C$2:$C$679,0)),"",INDEX('Compliance Database'!$A$2:$A$679,MATCH(333,Engine!$C$2:$C$679,0)))</f>
        <v/>
      </c>
      <c r="B346">
        <f>IF(ISNA(MATCH(333,Engine!$C$2:$C$679,0)),"",INDEX('Compliance Database'!$B$2:$B$679,MATCH(333,Engine!$C$2:$C$679,0)))</f>
        <v/>
      </c>
      <c r="C346">
        <f>IF(ISNA(MATCH(333,Engine!$C$2:$C$679,0)),"",INDEX('Compliance Database'!$C$2:$C$679,MATCH(333,Engine!$C$2:$C$679,0)))</f>
        <v/>
      </c>
      <c r="D346" s="8">
        <f>IF(ISNA(MATCH(333,Engine!$C$2:$C$679,0)),"",INDEX('Compliance Database'!$D$2:$D$679,MATCH(333,Engine!$C$2:$C$679,0)))</f>
        <v/>
      </c>
      <c r="E346">
        <f>IF(ISNA(MATCH(333,Engine!$C$2:$C$679,0)),"",INDEX('Compliance Database'!$E$2:$E$679,MATCH(333,Engine!$C$2:$C$679,0)))</f>
        <v/>
      </c>
      <c r="F346">
        <f>IF(ISNA(MATCH(333,Engine!$C$2:$C$679,0)),"",INDEX('Compliance Database'!$F$2:$F$679,MATCH(333,Engine!$C$2:$C$679,0)))</f>
        <v/>
      </c>
      <c r="G346">
        <f>IF(ISNA(MATCH(333,Engine!$C$2:$C$679,0)),"",INDEX('Compliance Database'!$G$2:$G$679,MATCH(333,Engine!$C$2:$C$679,0)))</f>
        <v/>
      </c>
      <c r="H346">
        <f>IF(ISNA(MATCH(333,Engine!$C$2:$C$679,0)),"",INDEX('Compliance Database'!$H$2:$H$679,MATCH(333,Engine!$C$2:$C$679,0)))</f>
        <v/>
      </c>
      <c r="I346" s="8">
        <f>IF(ISNA(MATCH(333,Engine!$C$2:$C$679,0)),"",INDEX('Compliance Database'!$I$2:$I$679,MATCH(333,Engine!$C$2:$C$679,0)))</f>
        <v/>
      </c>
      <c r="J346" s="8">
        <f>IF(ISNA(MATCH(333,Engine!$C$2:$C$679,0)),"",INDEX('Compliance Database'!$J$2:$J$679,MATCH(333,Engine!$C$2:$C$679,0)))</f>
        <v/>
      </c>
      <c r="K346">
        <f>IF(ISNA(MATCH(333,Engine!$C$2:$C$679,0)),"",INDEX('Compliance Database'!$K$2:$K$679,MATCH(333,Engine!$C$2:$C$679,0)))</f>
        <v/>
      </c>
      <c r="L346" s="8">
        <f>IF(ISNA(MATCH(333,Engine!$C$2:$C$679,0)),"",INDEX('Compliance Database'!$L$2:$L$679,MATCH(333,Engine!$C$2:$C$679,0)))</f>
        <v/>
      </c>
      <c r="M346" s="8">
        <f>IF(ISNA(MATCH(333,Engine!$C$2:$C$679,0)),"",INDEX('Compliance Database'!$M$2:$M$679,MATCH(333,Engine!$C$2:$C$679,0)))</f>
        <v/>
      </c>
      <c r="N346" s="8">
        <f>IF(ISNA(MATCH(333,Engine!$C$2:$C$679,0)),"",INDEX('Compliance Database'!$N$2:$N$679,MATCH(333,Engine!$C$2:$C$679,0)))</f>
        <v/>
      </c>
      <c r="O346" s="8">
        <f>IF(ISNA(MATCH(333,Engine!$C$2:$C$679,0)),"",INDEX('Compliance Database'!$O$2:$O$679,MATCH(333,Engine!$C$2:$C$679,0)))</f>
        <v/>
      </c>
      <c r="P346">
        <f>IF(ISNA(MATCH(333,Engine!$C$2:$C$679,0)),"",HYPERLINK(INDEX('Compliance Database'!$P$2:$P$679,MATCH(333,Engine!$C$2:$C$679,0)),"Open PDF"))</f>
        <v/>
      </c>
    </row>
    <row r="347">
      <c r="A347">
        <f>IF(ISNA(MATCH(334,Engine!$C$2:$C$679,0)),"",INDEX('Compliance Database'!$A$2:$A$679,MATCH(334,Engine!$C$2:$C$679,0)))</f>
        <v/>
      </c>
      <c r="B347">
        <f>IF(ISNA(MATCH(334,Engine!$C$2:$C$679,0)),"",INDEX('Compliance Database'!$B$2:$B$679,MATCH(334,Engine!$C$2:$C$679,0)))</f>
        <v/>
      </c>
      <c r="C347">
        <f>IF(ISNA(MATCH(334,Engine!$C$2:$C$679,0)),"",INDEX('Compliance Database'!$C$2:$C$679,MATCH(334,Engine!$C$2:$C$679,0)))</f>
        <v/>
      </c>
      <c r="D347" s="8">
        <f>IF(ISNA(MATCH(334,Engine!$C$2:$C$679,0)),"",INDEX('Compliance Database'!$D$2:$D$679,MATCH(334,Engine!$C$2:$C$679,0)))</f>
        <v/>
      </c>
      <c r="E347">
        <f>IF(ISNA(MATCH(334,Engine!$C$2:$C$679,0)),"",INDEX('Compliance Database'!$E$2:$E$679,MATCH(334,Engine!$C$2:$C$679,0)))</f>
        <v/>
      </c>
      <c r="F347">
        <f>IF(ISNA(MATCH(334,Engine!$C$2:$C$679,0)),"",INDEX('Compliance Database'!$F$2:$F$679,MATCH(334,Engine!$C$2:$C$679,0)))</f>
        <v/>
      </c>
      <c r="G347">
        <f>IF(ISNA(MATCH(334,Engine!$C$2:$C$679,0)),"",INDEX('Compliance Database'!$G$2:$G$679,MATCH(334,Engine!$C$2:$C$679,0)))</f>
        <v/>
      </c>
      <c r="H347">
        <f>IF(ISNA(MATCH(334,Engine!$C$2:$C$679,0)),"",INDEX('Compliance Database'!$H$2:$H$679,MATCH(334,Engine!$C$2:$C$679,0)))</f>
        <v/>
      </c>
      <c r="I347" s="8">
        <f>IF(ISNA(MATCH(334,Engine!$C$2:$C$679,0)),"",INDEX('Compliance Database'!$I$2:$I$679,MATCH(334,Engine!$C$2:$C$679,0)))</f>
        <v/>
      </c>
      <c r="J347" s="8">
        <f>IF(ISNA(MATCH(334,Engine!$C$2:$C$679,0)),"",INDEX('Compliance Database'!$J$2:$J$679,MATCH(334,Engine!$C$2:$C$679,0)))</f>
        <v/>
      </c>
      <c r="K347">
        <f>IF(ISNA(MATCH(334,Engine!$C$2:$C$679,0)),"",INDEX('Compliance Database'!$K$2:$K$679,MATCH(334,Engine!$C$2:$C$679,0)))</f>
        <v/>
      </c>
      <c r="L347" s="8">
        <f>IF(ISNA(MATCH(334,Engine!$C$2:$C$679,0)),"",INDEX('Compliance Database'!$L$2:$L$679,MATCH(334,Engine!$C$2:$C$679,0)))</f>
        <v/>
      </c>
      <c r="M347" s="8">
        <f>IF(ISNA(MATCH(334,Engine!$C$2:$C$679,0)),"",INDEX('Compliance Database'!$M$2:$M$679,MATCH(334,Engine!$C$2:$C$679,0)))</f>
        <v/>
      </c>
      <c r="N347" s="8">
        <f>IF(ISNA(MATCH(334,Engine!$C$2:$C$679,0)),"",INDEX('Compliance Database'!$N$2:$N$679,MATCH(334,Engine!$C$2:$C$679,0)))</f>
        <v/>
      </c>
      <c r="O347" s="8">
        <f>IF(ISNA(MATCH(334,Engine!$C$2:$C$679,0)),"",INDEX('Compliance Database'!$O$2:$O$679,MATCH(334,Engine!$C$2:$C$679,0)))</f>
        <v/>
      </c>
      <c r="P347">
        <f>IF(ISNA(MATCH(334,Engine!$C$2:$C$679,0)),"",HYPERLINK(INDEX('Compliance Database'!$P$2:$P$679,MATCH(334,Engine!$C$2:$C$679,0)),"Open PDF"))</f>
        <v/>
      </c>
    </row>
    <row r="348">
      <c r="A348">
        <f>IF(ISNA(MATCH(335,Engine!$C$2:$C$679,0)),"",INDEX('Compliance Database'!$A$2:$A$679,MATCH(335,Engine!$C$2:$C$679,0)))</f>
        <v/>
      </c>
      <c r="B348">
        <f>IF(ISNA(MATCH(335,Engine!$C$2:$C$679,0)),"",INDEX('Compliance Database'!$B$2:$B$679,MATCH(335,Engine!$C$2:$C$679,0)))</f>
        <v/>
      </c>
      <c r="C348">
        <f>IF(ISNA(MATCH(335,Engine!$C$2:$C$679,0)),"",INDEX('Compliance Database'!$C$2:$C$679,MATCH(335,Engine!$C$2:$C$679,0)))</f>
        <v/>
      </c>
      <c r="D348" s="8">
        <f>IF(ISNA(MATCH(335,Engine!$C$2:$C$679,0)),"",INDEX('Compliance Database'!$D$2:$D$679,MATCH(335,Engine!$C$2:$C$679,0)))</f>
        <v/>
      </c>
      <c r="E348">
        <f>IF(ISNA(MATCH(335,Engine!$C$2:$C$679,0)),"",INDEX('Compliance Database'!$E$2:$E$679,MATCH(335,Engine!$C$2:$C$679,0)))</f>
        <v/>
      </c>
      <c r="F348">
        <f>IF(ISNA(MATCH(335,Engine!$C$2:$C$679,0)),"",INDEX('Compliance Database'!$F$2:$F$679,MATCH(335,Engine!$C$2:$C$679,0)))</f>
        <v/>
      </c>
      <c r="G348">
        <f>IF(ISNA(MATCH(335,Engine!$C$2:$C$679,0)),"",INDEX('Compliance Database'!$G$2:$G$679,MATCH(335,Engine!$C$2:$C$679,0)))</f>
        <v/>
      </c>
      <c r="H348">
        <f>IF(ISNA(MATCH(335,Engine!$C$2:$C$679,0)),"",INDEX('Compliance Database'!$H$2:$H$679,MATCH(335,Engine!$C$2:$C$679,0)))</f>
        <v/>
      </c>
      <c r="I348" s="8">
        <f>IF(ISNA(MATCH(335,Engine!$C$2:$C$679,0)),"",INDEX('Compliance Database'!$I$2:$I$679,MATCH(335,Engine!$C$2:$C$679,0)))</f>
        <v/>
      </c>
      <c r="J348" s="8">
        <f>IF(ISNA(MATCH(335,Engine!$C$2:$C$679,0)),"",INDEX('Compliance Database'!$J$2:$J$679,MATCH(335,Engine!$C$2:$C$679,0)))</f>
        <v/>
      </c>
      <c r="K348">
        <f>IF(ISNA(MATCH(335,Engine!$C$2:$C$679,0)),"",INDEX('Compliance Database'!$K$2:$K$679,MATCH(335,Engine!$C$2:$C$679,0)))</f>
        <v/>
      </c>
      <c r="L348" s="8">
        <f>IF(ISNA(MATCH(335,Engine!$C$2:$C$679,0)),"",INDEX('Compliance Database'!$L$2:$L$679,MATCH(335,Engine!$C$2:$C$679,0)))</f>
        <v/>
      </c>
      <c r="M348" s="8">
        <f>IF(ISNA(MATCH(335,Engine!$C$2:$C$679,0)),"",INDEX('Compliance Database'!$M$2:$M$679,MATCH(335,Engine!$C$2:$C$679,0)))</f>
        <v/>
      </c>
      <c r="N348" s="8">
        <f>IF(ISNA(MATCH(335,Engine!$C$2:$C$679,0)),"",INDEX('Compliance Database'!$N$2:$N$679,MATCH(335,Engine!$C$2:$C$679,0)))</f>
        <v/>
      </c>
      <c r="O348" s="8">
        <f>IF(ISNA(MATCH(335,Engine!$C$2:$C$679,0)),"",INDEX('Compliance Database'!$O$2:$O$679,MATCH(335,Engine!$C$2:$C$679,0)))</f>
        <v/>
      </c>
      <c r="P348">
        <f>IF(ISNA(MATCH(335,Engine!$C$2:$C$679,0)),"",HYPERLINK(INDEX('Compliance Database'!$P$2:$P$679,MATCH(335,Engine!$C$2:$C$679,0)),"Open PDF"))</f>
        <v/>
      </c>
    </row>
    <row r="349">
      <c r="A349">
        <f>IF(ISNA(MATCH(336,Engine!$C$2:$C$679,0)),"",INDEX('Compliance Database'!$A$2:$A$679,MATCH(336,Engine!$C$2:$C$679,0)))</f>
        <v/>
      </c>
      <c r="B349">
        <f>IF(ISNA(MATCH(336,Engine!$C$2:$C$679,0)),"",INDEX('Compliance Database'!$B$2:$B$679,MATCH(336,Engine!$C$2:$C$679,0)))</f>
        <v/>
      </c>
      <c r="C349">
        <f>IF(ISNA(MATCH(336,Engine!$C$2:$C$679,0)),"",INDEX('Compliance Database'!$C$2:$C$679,MATCH(336,Engine!$C$2:$C$679,0)))</f>
        <v/>
      </c>
      <c r="D349" s="8">
        <f>IF(ISNA(MATCH(336,Engine!$C$2:$C$679,0)),"",INDEX('Compliance Database'!$D$2:$D$679,MATCH(336,Engine!$C$2:$C$679,0)))</f>
        <v/>
      </c>
      <c r="E349">
        <f>IF(ISNA(MATCH(336,Engine!$C$2:$C$679,0)),"",INDEX('Compliance Database'!$E$2:$E$679,MATCH(336,Engine!$C$2:$C$679,0)))</f>
        <v/>
      </c>
      <c r="F349">
        <f>IF(ISNA(MATCH(336,Engine!$C$2:$C$679,0)),"",INDEX('Compliance Database'!$F$2:$F$679,MATCH(336,Engine!$C$2:$C$679,0)))</f>
        <v/>
      </c>
      <c r="G349">
        <f>IF(ISNA(MATCH(336,Engine!$C$2:$C$679,0)),"",INDEX('Compliance Database'!$G$2:$G$679,MATCH(336,Engine!$C$2:$C$679,0)))</f>
        <v/>
      </c>
      <c r="H349">
        <f>IF(ISNA(MATCH(336,Engine!$C$2:$C$679,0)),"",INDEX('Compliance Database'!$H$2:$H$679,MATCH(336,Engine!$C$2:$C$679,0)))</f>
        <v/>
      </c>
      <c r="I349" s="8">
        <f>IF(ISNA(MATCH(336,Engine!$C$2:$C$679,0)),"",INDEX('Compliance Database'!$I$2:$I$679,MATCH(336,Engine!$C$2:$C$679,0)))</f>
        <v/>
      </c>
      <c r="J349" s="8">
        <f>IF(ISNA(MATCH(336,Engine!$C$2:$C$679,0)),"",INDEX('Compliance Database'!$J$2:$J$679,MATCH(336,Engine!$C$2:$C$679,0)))</f>
        <v/>
      </c>
      <c r="K349">
        <f>IF(ISNA(MATCH(336,Engine!$C$2:$C$679,0)),"",INDEX('Compliance Database'!$K$2:$K$679,MATCH(336,Engine!$C$2:$C$679,0)))</f>
        <v/>
      </c>
      <c r="L349" s="8">
        <f>IF(ISNA(MATCH(336,Engine!$C$2:$C$679,0)),"",INDEX('Compliance Database'!$L$2:$L$679,MATCH(336,Engine!$C$2:$C$679,0)))</f>
        <v/>
      </c>
      <c r="M349" s="8">
        <f>IF(ISNA(MATCH(336,Engine!$C$2:$C$679,0)),"",INDEX('Compliance Database'!$M$2:$M$679,MATCH(336,Engine!$C$2:$C$679,0)))</f>
        <v/>
      </c>
      <c r="N349" s="8">
        <f>IF(ISNA(MATCH(336,Engine!$C$2:$C$679,0)),"",INDEX('Compliance Database'!$N$2:$N$679,MATCH(336,Engine!$C$2:$C$679,0)))</f>
        <v/>
      </c>
      <c r="O349" s="8">
        <f>IF(ISNA(MATCH(336,Engine!$C$2:$C$679,0)),"",INDEX('Compliance Database'!$O$2:$O$679,MATCH(336,Engine!$C$2:$C$679,0)))</f>
        <v/>
      </c>
      <c r="P349">
        <f>IF(ISNA(MATCH(336,Engine!$C$2:$C$679,0)),"",HYPERLINK(INDEX('Compliance Database'!$P$2:$P$679,MATCH(336,Engine!$C$2:$C$679,0)),"Open PDF"))</f>
        <v/>
      </c>
    </row>
    <row r="350">
      <c r="A350">
        <f>IF(ISNA(MATCH(337,Engine!$C$2:$C$679,0)),"",INDEX('Compliance Database'!$A$2:$A$679,MATCH(337,Engine!$C$2:$C$679,0)))</f>
        <v/>
      </c>
      <c r="B350">
        <f>IF(ISNA(MATCH(337,Engine!$C$2:$C$679,0)),"",INDEX('Compliance Database'!$B$2:$B$679,MATCH(337,Engine!$C$2:$C$679,0)))</f>
        <v/>
      </c>
      <c r="C350">
        <f>IF(ISNA(MATCH(337,Engine!$C$2:$C$679,0)),"",INDEX('Compliance Database'!$C$2:$C$679,MATCH(337,Engine!$C$2:$C$679,0)))</f>
        <v/>
      </c>
      <c r="D350" s="8">
        <f>IF(ISNA(MATCH(337,Engine!$C$2:$C$679,0)),"",INDEX('Compliance Database'!$D$2:$D$679,MATCH(337,Engine!$C$2:$C$679,0)))</f>
        <v/>
      </c>
      <c r="E350">
        <f>IF(ISNA(MATCH(337,Engine!$C$2:$C$679,0)),"",INDEX('Compliance Database'!$E$2:$E$679,MATCH(337,Engine!$C$2:$C$679,0)))</f>
        <v/>
      </c>
      <c r="F350">
        <f>IF(ISNA(MATCH(337,Engine!$C$2:$C$679,0)),"",INDEX('Compliance Database'!$F$2:$F$679,MATCH(337,Engine!$C$2:$C$679,0)))</f>
        <v/>
      </c>
      <c r="G350">
        <f>IF(ISNA(MATCH(337,Engine!$C$2:$C$679,0)),"",INDEX('Compliance Database'!$G$2:$G$679,MATCH(337,Engine!$C$2:$C$679,0)))</f>
        <v/>
      </c>
      <c r="H350">
        <f>IF(ISNA(MATCH(337,Engine!$C$2:$C$679,0)),"",INDEX('Compliance Database'!$H$2:$H$679,MATCH(337,Engine!$C$2:$C$679,0)))</f>
        <v/>
      </c>
      <c r="I350" s="8">
        <f>IF(ISNA(MATCH(337,Engine!$C$2:$C$679,0)),"",INDEX('Compliance Database'!$I$2:$I$679,MATCH(337,Engine!$C$2:$C$679,0)))</f>
        <v/>
      </c>
      <c r="J350" s="8">
        <f>IF(ISNA(MATCH(337,Engine!$C$2:$C$679,0)),"",INDEX('Compliance Database'!$J$2:$J$679,MATCH(337,Engine!$C$2:$C$679,0)))</f>
        <v/>
      </c>
      <c r="K350">
        <f>IF(ISNA(MATCH(337,Engine!$C$2:$C$679,0)),"",INDEX('Compliance Database'!$K$2:$K$679,MATCH(337,Engine!$C$2:$C$679,0)))</f>
        <v/>
      </c>
      <c r="L350" s="8">
        <f>IF(ISNA(MATCH(337,Engine!$C$2:$C$679,0)),"",INDEX('Compliance Database'!$L$2:$L$679,MATCH(337,Engine!$C$2:$C$679,0)))</f>
        <v/>
      </c>
      <c r="M350" s="8">
        <f>IF(ISNA(MATCH(337,Engine!$C$2:$C$679,0)),"",INDEX('Compliance Database'!$M$2:$M$679,MATCH(337,Engine!$C$2:$C$679,0)))</f>
        <v/>
      </c>
      <c r="N350" s="8">
        <f>IF(ISNA(MATCH(337,Engine!$C$2:$C$679,0)),"",INDEX('Compliance Database'!$N$2:$N$679,MATCH(337,Engine!$C$2:$C$679,0)))</f>
        <v/>
      </c>
      <c r="O350" s="8">
        <f>IF(ISNA(MATCH(337,Engine!$C$2:$C$679,0)),"",INDEX('Compliance Database'!$O$2:$O$679,MATCH(337,Engine!$C$2:$C$679,0)))</f>
        <v/>
      </c>
      <c r="P350">
        <f>IF(ISNA(MATCH(337,Engine!$C$2:$C$679,0)),"",HYPERLINK(INDEX('Compliance Database'!$P$2:$P$679,MATCH(337,Engine!$C$2:$C$679,0)),"Open PDF"))</f>
        <v/>
      </c>
    </row>
    <row r="351">
      <c r="A351">
        <f>IF(ISNA(MATCH(338,Engine!$C$2:$C$679,0)),"",INDEX('Compliance Database'!$A$2:$A$679,MATCH(338,Engine!$C$2:$C$679,0)))</f>
        <v/>
      </c>
      <c r="B351">
        <f>IF(ISNA(MATCH(338,Engine!$C$2:$C$679,0)),"",INDEX('Compliance Database'!$B$2:$B$679,MATCH(338,Engine!$C$2:$C$679,0)))</f>
        <v/>
      </c>
      <c r="C351">
        <f>IF(ISNA(MATCH(338,Engine!$C$2:$C$679,0)),"",INDEX('Compliance Database'!$C$2:$C$679,MATCH(338,Engine!$C$2:$C$679,0)))</f>
        <v/>
      </c>
      <c r="D351" s="8">
        <f>IF(ISNA(MATCH(338,Engine!$C$2:$C$679,0)),"",INDEX('Compliance Database'!$D$2:$D$679,MATCH(338,Engine!$C$2:$C$679,0)))</f>
        <v/>
      </c>
      <c r="E351">
        <f>IF(ISNA(MATCH(338,Engine!$C$2:$C$679,0)),"",INDEX('Compliance Database'!$E$2:$E$679,MATCH(338,Engine!$C$2:$C$679,0)))</f>
        <v/>
      </c>
      <c r="F351">
        <f>IF(ISNA(MATCH(338,Engine!$C$2:$C$679,0)),"",INDEX('Compliance Database'!$F$2:$F$679,MATCH(338,Engine!$C$2:$C$679,0)))</f>
        <v/>
      </c>
      <c r="G351">
        <f>IF(ISNA(MATCH(338,Engine!$C$2:$C$679,0)),"",INDEX('Compliance Database'!$G$2:$G$679,MATCH(338,Engine!$C$2:$C$679,0)))</f>
        <v/>
      </c>
      <c r="H351">
        <f>IF(ISNA(MATCH(338,Engine!$C$2:$C$679,0)),"",INDEX('Compliance Database'!$H$2:$H$679,MATCH(338,Engine!$C$2:$C$679,0)))</f>
        <v/>
      </c>
      <c r="I351" s="8">
        <f>IF(ISNA(MATCH(338,Engine!$C$2:$C$679,0)),"",INDEX('Compliance Database'!$I$2:$I$679,MATCH(338,Engine!$C$2:$C$679,0)))</f>
        <v/>
      </c>
      <c r="J351" s="8">
        <f>IF(ISNA(MATCH(338,Engine!$C$2:$C$679,0)),"",INDEX('Compliance Database'!$J$2:$J$679,MATCH(338,Engine!$C$2:$C$679,0)))</f>
        <v/>
      </c>
      <c r="K351">
        <f>IF(ISNA(MATCH(338,Engine!$C$2:$C$679,0)),"",INDEX('Compliance Database'!$K$2:$K$679,MATCH(338,Engine!$C$2:$C$679,0)))</f>
        <v/>
      </c>
      <c r="L351" s="8">
        <f>IF(ISNA(MATCH(338,Engine!$C$2:$C$679,0)),"",INDEX('Compliance Database'!$L$2:$L$679,MATCH(338,Engine!$C$2:$C$679,0)))</f>
        <v/>
      </c>
      <c r="M351" s="8">
        <f>IF(ISNA(MATCH(338,Engine!$C$2:$C$679,0)),"",INDEX('Compliance Database'!$M$2:$M$679,MATCH(338,Engine!$C$2:$C$679,0)))</f>
        <v/>
      </c>
      <c r="N351" s="8">
        <f>IF(ISNA(MATCH(338,Engine!$C$2:$C$679,0)),"",INDEX('Compliance Database'!$N$2:$N$679,MATCH(338,Engine!$C$2:$C$679,0)))</f>
        <v/>
      </c>
      <c r="O351" s="8">
        <f>IF(ISNA(MATCH(338,Engine!$C$2:$C$679,0)),"",INDEX('Compliance Database'!$O$2:$O$679,MATCH(338,Engine!$C$2:$C$679,0)))</f>
        <v/>
      </c>
      <c r="P351">
        <f>IF(ISNA(MATCH(338,Engine!$C$2:$C$679,0)),"",HYPERLINK(INDEX('Compliance Database'!$P$2:$P$679,MATCH(338,Engine!$C$2:$C$679,0)),"Open PDF"))</f>
        <v/>
      </c>
    </row>
    <row r="352">
      <c r="A352">
        <f>IF(ISNA(MATCH(339,Engine!$C$2:$C$679,0)),"",INDEX('Compliance Database'!$A$2:$A$679,MATCH(339,Engine!$C$2:$C$679,0)))</f>
        <v/>
      </c>
      <c r="B352">
        <f>IF(ISNA(MATCH(339,Engine!$C$2:$C$679,0)),"",INDEX('Compliance Database'!$B$2:$B$679,MATCH(339,Engine!$C$2:$C$679,0)))</f>
        <v/>
      </c>
      <c r="C352">
        <f>IF(ISNA(MATCH(339,Engine!$C$2:$C$679,0)),"",INDEX('Compliance Database'!$C$2:$C$679,MATCH(339,Engine!$C$2:$C$679,0)))</f>
        <v/>
      </c>
      <c r="D352" s="8">
        <f>IF(ISNA(MATCH(339,Engine!$C$2:$C$679,0)),"",INDEX('Compliance Database'!$D$2:$D$679,MATCH(339,Engine!$C$2:$C$679,0)))</f>
        <v/>
      </c>
      <c r="E352">
        <f>IF(ISNA(MATCH(339,Engine!$C$2:$C$679,0)),"",INDEX('Compliance Database'!$E$2:$E$679,MATCH(339,Engine!$C$2:$C$679,0)))</f>
        <v/>
      </c>
      <c r="F352">
        <f>IF(ISNA(MATCH(339,Engine!$C$2:$C$679,0)),"",INDEX('Compliance Database'!$F$2:$F$679,MATCH(339,Engine!$C$2:$C$679,0)))</f>
        <v/>
      </c>
      <c r="G352">
        <f>IF(ISNA(MATCH(339,Engine!$C$2:$C$679,0)),"",INDEX('Compliance Database'!$G$2:$G$679,MATCH(339,Engine!$C$2:$C$679,0)))</f>
        <v/>
      </c>
      <c r="H352">
        <f>IF(ISNA(MATCH(339,Engine!$C$2:$C$679,0)),"",INDEX('Compliance Database'!$H$2:$H$679,MATCH(339,Engine!$C$2:$C$679,0)))</f>
        <v/>
      </c>
      <c r="I352" s="8">
        <f>IF(ISNA(MATCH(339,Engine!$C$2:$C$679,0)),"",INDEX('Compliance Database'!$I$2:$I$679,MATCH(339,Engine!$C$2:$C$679,0)))</f>
        <v/>
      </c>
      <c r="J352" s="8">
        <f>IF(ISNA(MATCH(339,Engine!$C$2:$C$679,0)),"",INDEX('Compliance Database'!$J$2:$J$679,MATCH(339,Engine!$C$2:$C$679,0)))</f>
        <v/>
      </c>
      <c r="K352">
        <f>IF(ISNA(MATCH(339,Engine!$C$2:$C$679,0)),"",INDEX('Compliance Database'!$K$2:$K$679,MATCH(339,Engine!$C$2:$C$679,0)))</f>
        <v/>
      </c>
      <c r="L352" s="8">
        <f>IF(ISNA(MATCH(339,Engine!$C$2:$C$679,0)),"",INDEX('Compliance Database'!$L$2:$L$679,MATCH(339,Engine!$C$2:$C$679,0)))</f>
        <v/>
      </c>
      <c r="M352" s="8">
        <f>IF(ISNA(MATCH(339,Engine!$C$2:$C$679,0)),"",INDEX('Compliance Database'!$M$2:$M$679,MATCH(339,Engine!$C$2:$C$679,0)))</f>
        <v/>
      </c>
      <c r="N352" s="8">
        <f>IF(ISNA(MATCH(339,Engine!$C$2:$C$679,0)),"",INDEX('Compliance Database'!$N$2:$N$679,MATCH(339,Engine!$C$2:$C$679,0)))</f>
        <v/>
      </c>
      <c r="O352" s="8">
        <f>IF(ISNA(MATCH(339,Engine!$C$2:$C$679,0)),"",INDEX('Compliance Database'!$O$2:$O$679,MATCH(339,Engine!$C$2:$C$679,0)))</f>
        <v/>
      </c>
      <c r="P352">
        <f>IF(ISNA(MATCH(339,Engine!$C$2:$C$679,0)),"",HYPERLINK(INDEX('Compliance Database'!$P$2:$P$679,MATCH(339,Engine!$C$2:$C$679,0)),"Open PDF"))</f>
        <v/>
      </c>
    </row>
    <row r="353">
      <c r="A353">
        <f>IF(ISNA(MATCH(340,Engine!$C$2:$C$679,0)),"",INDEX('Compliance Database'!$A$2:$A$679,MATCH(340,Engine!$C$2:$C$679,0)))</f>
        <v/>
      </c>
      <c r="B353">
        <f>IF(ISNA(MATCH(340,Engine!$C$2:$C$679,0)),"",INDEX('Compliance Database'!$B$2:$B$679,MATCH(340,Engine!$C$2:$C$679,0)))</f>
        <v/>
      </c>
      <c r="C353">
        <f>IF(ISNA(MATCH(340,Engine!$C$2:$C$679,0)),"",INDEX('Compliance Database'!$C$2:$C$679,MATCH(340,Engine!$C$2:$C$679,0)))</f>
        <v/>
      </c>
      <c r="D353" s="8">
        <f>IF(ISNA(MATCH(340,Engine!$C$2:$C$679,0)),"",INDEX('Compliance Database'!$D$2:$D$679,MATCH(340,Engine!$C$2:$C$679,0)))</f>
        <v/>
      </c>
      <c r="E353">
        <f>IF(ISNA(MATCH(340,Engine!$C$2:$C$679,0)),"",INDEX('Compliance Database'!$E$2:$E$679,MATCH(340,Engine!$C$2:$C$679,0)))</f>
        <v/>
      </c>
      <c r="F353">
        <f>IF(ISNA(MATCH(340,Engine!$C$2:$C$679,0)),"",INDEX('Compliance Database'!$F$2:$F$679,MATCH(340,Engine!$C$2:$C$679,0)))</f>
        <v/>
      </c>
      <c r="G353">
        <f>IF(ISNA(MATCH(340,Engine!$C$2:$C$679,0)),"",INDEX('Compliance Database'!$G$2:$G$679,MATCH(340,Engine!$C$2:$C$679,0)))</f>
        <v/>
      </c>
      <c r="H353">
        <f>IF(ISNA(MATCH(340,Engine!$C$2:$C$679,0)),"",INDEX('Compliance Database'!$H$2:$H$679,MATCH(340,Engine!$C$2:$C$679,0)))</f>
        <v/>
      </c>
      <c r="I353" s="8">
        <f>IF(ISNA(MATCH(340,Engine!$C$2:$C$679,0)),"",INDEX('Compliance Database'!$I$2:$I$679,MATCH(340,Engine!$C$2:$C$679,0)))</f>
        <v/>
      </c>
      <c r="J353" s="8">
        <f>IF(ISNA(MATCH(340,Engine!$C$2:$C$679,0)),"",INDEX('Compliance Database'!$J$2:$J$679,MATCH(340,Engine!$C$2:$C$679,0)))</f>
        <v/>
      </c>
      <c r="K353">
        <f>IF(ISNA(MATCH(340,Engine!$C$2:$C$679,0)),"",INDEX('Compliance Database'!$K$2:$K$679,MATCH(340,Engine!$C$2:$C$679,0)))</f>
        <v/>
      </c>
      <c r="L353" s="8">
        <f>IF(ISNA(MATCH(340,Engine!$C$2:$C$679,0)),"",INDEX('Compliance Database'!$L$2:$L$679,MATCH(340,Engine!$C$2:$C$679,0)))</f>
        <v/>
      </c>
      <c r="M353" s="8">
        <f>IF(ISNA(MATCH(340,Engine!$C$2:$C$679,0)),"",INDEX('Compliance Database'!$M$2:$M$679,MATCH(340,Engine!$C$2:$C$679,0)))</f>
        <v/>
      </c>
      <c r="N353" s="8">
        <f>IF(ISNA(MATCH(340,Engine!$C$2:$C$679,0)),"",INDEX('Compliance Database'!$N$2:$N$679,MATCH(340,Engine!$C$2:$C$679,0)))</f>
        <v/>
      </c>
      <c r="O353" s="8">
        <f>IF(ISNA(MATCH(340,Engine!$C$2:$C$679,0)),"",INDEX('Compliance Database'!$O$2:$O$679,MATCH(340,Engine!$C$2:$C$679,0)))</f>
        <v/>
      </c>
      <c r="P353">
        <f>IF(ISNA(MATCH(340,Engine!$C$2:$C$679,0)),"",HYPERLINK(INDEX('Compliance Database'!$P$2:$P$679,MATCH(340,Engine!$C$2:$C$679,0)),"Open PDF"))</f>
        <v/>
      </c>
    </row>
    <row r="354">
      <c r="A354">
        <f>IF(ISNA(MATCH(341,Engine!$C$2:$C$679,0)),"",INDEX('Compliance Database'!$A$2:$A$679,MATCH(341,Engine!$C$2:$C$679,0)))</f>
        <v/>
      </c>
      <c r="B354">
        <f>IF(ISNA(MATCH(341,Engine!$C$2:$C$679,0)),"",INDEX('Compliance Database'!$B$2:$B$679,MATCH(341,Engine!$C$2:$C$679,0)))</f>
        <v/>
      </c>
      <c r="C354">
        <f>IF(ISNA(MATCH(341,Engine!$C$2:$C$679,0)),"",INDEX('Compliance Database'!$C$2:$C$679,MATCH(341,Engine!$C$2:$C$679,0)))</f>
        <v/>
      </c>
      <c r="D354" s="8">
        <f>IF(ISNA(MATCH(341,Engine!$C$2:$C$679,0)),"",INDEX('Compliance Database'!$D$2:$D$679,MATCH(341,Engine!$C$2:$C$679,0)))</f>
        <v/>
      </c>
      <c r="E354">
        <f>IF(ISNA(MATCH(341,Engine!$C$2:$C$679,0)),"",INDEX('Compliance Database'!$E$2:$E$679,MATCH(341,Engine!$C$2:$C$679,0)))</f>
        <v/>
      </c>
      <c r="F354">
        <f>IF(ISNA(MATCH(341,Engine!$C$2:$C$679,0)),"",INDEX('Compliance Database'!$F$2:$F$679,MATCH(341,Engine!$C$2:$C$679,0)))</f>
        <v/>
      </c>
      <c r="G354">
        <f>IF(ISNA(MATCH(341,Engine!$C$2:$C$679,0)),"",INDEX('Compliance Database'!$G$2:$G$679,MATCH(341,Engine!$C$2:$C$679,0)))</f>
        <v/>
      </c>
      <c r="H354">
        <f>IF(ISNA(MATCH(341,Engine!$C$2:$C$679,0)),"",INDEX('Compliance Database'!$H$2:$H$679,MATCH(341,Engine!$C$2:$C$679,0)))</f>
        <v/>
      </c>
      <c r="I354" s="8">
        <f>IF(ISNA(MATCH(341,Engine!$C$2:$C$679,0)),"",INDEX('Compliance Database'!$I$2:$I$679,MATCH(341,Engine!$C$2:$C$679,0)))</f>
        <v/>
      </c>
      <c r="J354" s="8">
        <f>IF(ISNA(MATCH(341,Engine!$C$2:$C$679,0)),"",INDEX('Compliance Database'!$J$2:$J$679,MATCH(341,Engine!$C$2:$C$679,0)))</f>
        <v/>
      </c>
      <c r="K354">
        <f>IF(ISNA(MATCH(341,Engine!$C$2:$C$679,0)),"",INDEX('Compliance Database'!$K$2:$K$679,MATCH(341,Engine!$C$2:$C$679,0)))</f>
        <v/>
      </c>
      <c r="L354" s="8">
        <f>IF(ISNA(MATCH(341,Engine!$C$2:$C$679,0)),"",INDEX('Compliance Database'!$L$2:$L$679,MATCH(341,Engine!$C$2:$C$679,0)))</f>
        <v/>
      </c>
      <c r="M354" s="8">
        <f>IF(ISNA(MATCH(341,Engine!$C$2:$C$679,0)),"",INDEX('Compliance Database'!$M$2:$M$679,MATCH(341,Engine!$C$2:$C$679,0)))</f>
        <v/>
      </c>
      <c r="N354" s="8">
        <f>IF(ISNA(MATCH(341,Engine!$C$2:$C$679,0)),"",INDEX('Compliance Database'!$N$2:$N$679,MATCH(341,Engine!$C$2:$C$679,0)))</f>
        <v/>
      </c>
      <c r="O354" s="8">
        <f>IF(ISNA(MATCH(341,Engine!$C$2:$C$679,0)),"",INDEX('Compliance Database'!$O$2:$O$679,MATCH(341,Engine!$C$2:$C$679,0)))</f>
        <v/>
      </c>
      <c r="P354">
        <f>IF(ISNA(MATCH(341,Engine!$C$2:$C$679,0)),"",HYPERLINK(INDEX('Compliance Database'!$P$2:$P$679,MATCH(341,Engine!$C$2:$C$679,0)),"Open PDF"))</f>
        <v/>
      </c>
    </row>
    <row r="355">
      <c r="A355">
        <f>IF(ISNA(MATCH(342,Engine!$C$2:$C$679,0)),"",INDEX('Compliance Database'!$A$2:$A$679,MATCH(342,Engine!$C$2:$C$679,0)))</f>
        <v/>
      </c>
      <c r="B355">
        <f>IF(ISNA(MATCH(342,Engine!$C$2:$C$679,0)),"",INDEX('Compliance Database'!$B$2:$B$679,MATCH(342,Engine!$C$2:$C$679,0)))</f>
        <v/>
      </c>
      <c r="C355">
        <f>IF(ISNA(MATCH(342,Engine!$C$2:$C$679,0)),"",INDEX('Compliance Database'!$C$2:$C$679,MATCH(342,Engine!$C$2:$C$679,0)))</f>
        <v/>
      </c>
      <c r="D355" s="8">
        <f>IF(ISNA(MATCH(342,Engine!$C$2:$C$679,0)),"",INDEX('Compliance Database'!$D$2:$D$679,MATCH(342,Engine!$C$2:$C$679,0)))</f>
        <v/>
      </c>
      <c r="E355">
        <f>IF(ISNA(MATCH(342,Engine!$C$2:$C$679,0)),"",INDEX('Compliance Database'!$E$2:$E$679,MATCH(342,Engine!$C$2:$C$679,0)))</f>
        <v/>
      </c>
      <c r="F355">
        <f>IF(ISNA(MATCH(342,Engine!$C$2:$C$679,0)),"",INDEX('Compliance Database'!$F$2:$F$679,MATCH(342,Engine!$C$2:$C$679,0)))</f>
        <v/>
      </c>
      <c r="G355">
        <f>IF(ISNA(MATCH(342,Engine!$C$2:$C$679,0)),"",INDEX('Compliance Database'!$G$2:$G$679,MATCH(342,Engine!$C$2:$C$679,0)))</f>
        <v/>
      </c>
      <c r="H355">
        <f>IF(ISNA(MATCH(342,Engine!$C$2:$C$679,0)),"",INDEX('Compliance Database'!$H$2:$H$679,MATCH(342,Engine!$C$2:$C$679,0)))</f>
        <v/>
      </c>
      <c r="I355" s="8">
        <f>IF(ISNA(MATCH(342,Engine!$C$2:$C$679,0)),"",INDEX('Compliance Database'!$I$2:$I$679,MATCH(342,Engine!$C$2:$C$679,0)))</f>
        <v/>
      </c>
      <c r="J355" s="8">
        <f>IF(ISNA(MATCH(342,Engine!$C$2:$C$679,0)),"",INDEX('Compliance Database'!$J$2:$J$679,MATCH(342,Engine!$C$2:$C$679,0)))</f>
        <v/>
      </c>
      <c r="K355">
        <f>IF(ISNA(MATCH(342,Engine!$C$2:$C$679,0)),"",INDEX('Compliance Database'!$K$2:$K$679,MATCH(342,Engine!$C$2:$C$679,0)))</f>
        <v/>
      </c>
      <c r="L355" s="8">
        <f>IF(ISNA(MATCH(342,Engine!$C$2:$C$679,0)),"",INDEX('Compliance Database'!$L$2:$L$679,MATCH(342,Engine!$C$2:$C$679,0)))</f>
        <v/>
      </c>
      <c r="M355" s="8">
        <f>IF(ISNA(MATCH(342,Engine!$C$2:$C$679,0)),"",INDEX('Compliance Database'!$M$2:$M$679,MATCH(342,Engine!$C$2:$C$679,0)))</f>
        <v/>
      </c>
      <c r="N355" s="8">
        <f>IF(ISNA(MATCH(342,Engine!$C$2:$C$679,0)),"",INDEX('Compliance Database'!$N$2:$N$679,MATCH(342,Engine!$C$2:$C$679,0)))</f>
        <v/>
      </c>
      <c r="O355" s="8">
        <f>IF(ISNA(MATCH(342,Engine!$C$2:$C$679,0)),"",INDEX('Compliance Database'!$O$2:$O$679,MATCH(342,Engine!$C$2:$C$679,0)))</f>
        <v/>
      </c>
      <c r="P355">
        <f>IF(ISNA(MATCH(342,Engine!$C$2:$C$679,0)),"",HYPERLINK(INDEX('Compliance Database'!$P$2:$P$679,MATCH(342,Engine!$C$2:$C$679,0)),"Open PDF"))</f>
        <v/>
      </c>
    </row>
    <row r="356">
      <c r="A356">
        <f>IF(ISNA(MATCH(343,Engine!$C$2:$C$679,0)),"",INDEX('Compliance Database'!$A$2:$A$679,MATCH(343,Engine!$C$2:$C$679,0)))</f>
        <v/>
      </c>
      <c r="B356">
        <f>IF(ISNA(MATCH(343,Engine!$C$2:$C$679,0)),"",INDEX('Compliance Database'!$B$2:$B$679,MATCH(343,Engine!$C$2:$C$679,0)))</f>
        <v/>
      </c>
      <c r="C356">
        <f>IF(ISNA(MATCH(343,Engine!$C$2:$C$679,0)),"",INDEX('Compliance Database'!$C$2:$C$679,MATCH(343,Engine!$C$2:$C$679,0)))</f>
        <v/>
      </c>
      <c r="D356" s="8">
        <f>IF(ISNA(MATCH(343,Engine!$C$2:$C$679,0)),"",INDEX('Compliance Database'!$D$2:$D$679,MATCH(343,Engine!$C$2:$C$679,0)))</f>
        <v/>
      </c>
      <c r="E356">
        <f>IF(ISNA(MATCH(343,Engine!$C$2:$C$679,0)),"",INDEX('Compliance Database'!$E$2:$E$679,MATCH(343,Engine!$C$2:$C$679,0)))</f>
        <v/>
      </c>
      <c r="F356">
        <f>IF(ISNA(MATCH(343,Engine!$C$2:$C$679,0)),"",INDEX('Compliance Database'!$F$2:$F$679,MATCH(343,Engine!$C$2:$C$679,0)))</f>
        <v/>
      </c>
      <c r="G356">
        <f>IF(ISNA(MATCH(343,Engine!$C$2:$C$679,0)),"",INDEX('Compliance Database'!$G$2:$G$679,MATCH(343,Engine!$C$2:$C$679,0)))</f>
        <v/>
      </c>
      <c r="H356">
        <f>IF(ISNA(MATCH(343,Engine!$C$2:$C$679,0)),"",INDEX('Compliance Database'!$H$2:$H$679,MATCH(343,Engine!$C$2:$C$679,0)))</f>
        <v/>
      </c>
      <c r="I356" s="8">
        <f>IF(ISNA(MATCH(343,Engine!$C$2:$C$679,0)),"",INDEX('Compliance Database'!$I$2:$I$679,MATCH(343,Engine!$C$2:$C$679,0)))</f>
        <v/>
      </c>
      <c r="J356" s="8">
        <f>IF(ISNA(MATCH(343,Engine!$C$2:$C$679,0)),"",INDEX('Compliance Database'!$J$2:$J$679,MATCH(343,Engine!$C$2:$C$679,0)))</f>
        <v/>
      </c>
      <c r="K356">
        <f>IF(ISNA(MATCH(343,Engine!$C$2:$C$679,0)),"",INDEX('Compliance Database'!$K$2:$K$679,MATCH(343,Engine!$C$2:$C$679,0)))</f>
        <v/>
      </c>
      <c r="L356" s="8">
        <f>IF(ISNA(MATCH(343,Engine!$C$2:$C$679,0)),"",INDEX('Compliance Database'!$L$2:$L$679,MATCH(343,Engine!$C$2:$C$679,0)))</f>
        <v/>
      </c>
      <c r="M356" s="8">
        <f>IF(ISNA(MATCH(343,Engine!$C$2:$C$679,0)),"",INDEX('Compliance Database'!$M$2:$M$679,MATCH(343,Engine!$C$2:$C$679,0)))</f>
        <v/>
      </c>
      <c r="N356" s="8">
        <f>IF(ISNA(MATCH(343,Engine!$C$2:$C$679,0)),"",INDEX('Compliance Database'!$N$2:$N$679,MATCH(343,Engine!$C$2:$C$679,0)))</f>
        <v/>
      </c>
      <c r="O356" s="8">
        <f>IF(ISNA(MATCH(343,Engine!$C$2:$C$679,0)),"",INDEX('Compliance Database'!$O$2:$O$679,MATCH(343,Engine!$C$2:$C$679,0)))</f>
        <v/>
      </c>
      <c r="P356">
        <f>IF(ISNA(MATCH(343,Engine!$C$2:$C$679,0)),"",HYPERLINK(INDEX('Compliance Database'!$P$2:$P$679,MATCH(343,Engine!$C$2:$C$679,0)),"Open PDF"))</f>
        <v/>
      </c>
    </row>
    <row r="357">
      <c r="A357">
        <f>IF(ISNA(MATCH(344,Engine!$C$2:$C$679,0)),"",INDEX('Compliance Database'!$A$2:$A$679,MATCH(344,Engine!$C$2:$C$679,0)))</f>
        <v/>
      </c>
      <c r="B357">
        <f>IF(ISNA(MATCH(344,Engine!$C$2:$C$679,0)),"",INDEX('Compliance Database'!$B$2:$B$679,MATCH(344,Engine!$C$2:$C$679,0)))</f>
        <v/>
      </c>
      <c r="C357">
        <f>IF(ISNA(MATCH(344,Engine!$C$2:$C$679,0)),"",INDEX('Compliance Database'!$C$2:$C$679,MATCH(344,Engine!$C$2:$C$679,0)))</f>
        <v/>
      </c>
      <c r="D357" s="8">
        <f>IF(ISNA(MATCH(344,Engine!$C$2:$C$679,0)),"",INDEX('Compliance Database'!$D$2:$D$679,MATCH(344,Engine!$C$2:$C$679,0)))</f>
        <v/>
      </c>
      <c r="E357">
        <f>IF(ISNA(MATCH(344,Engine!$C$2:$C$679,0)),"",INDEX('Compliance Database'!$E$2:$E$679,MATCH(344,Engine!$C$2:$C$679,0)))</f>
        <v/>
      </c>
      <c r="F357">
        <f>IF(ISNA(MATCH(344,Engine!$C$2:$C$679,0)),"",INDEX('Compliance Database'!$F$2:$F$679,MATCH(344,Engine!$C$2:$C$679,0)))</f>
        <v/>
      </c>
      <c r="G357">
        <f>IF(ISNA(MATCH(344,Engine!$C$2:$C$679,0)),"",INDEX('Compliance Database'!$G$2:$G$679,MATCH(344,Engine!$C$2:$C$679,0)))</f>
        <v/>
      </c>
      <c r="H357">
        <f>IF(ISNA(MATCH(344,Engine!$C$2:$C$679,0)),"",INDEX('Compliance Database'!$H$2:$H$679,MATCH(344,Engine!$C$2:$C$679,0)))</f>
        <v/>
      </c>
      <c r="I357" s="8">
        <f>IF(ISNA(MATCH(344,Engine!$C$2:$C$679,0)),"",INDEX('Compliance Database'!$I$2:$I$679,MATCH(344,Engine!$C$2:$C$679,0)))</f>
        <v/>
      </c>
      <c r="J357" s="8">
        <f>IF(ISNA(MATCH(344,Engine!$C$2:$C$679,0)),"",INDEX('Compliance Database'!$J$2:$J$679,MATCH(344,Engine!$C$2:$C$679,0)))</f>
        <v/>
      </c>
      <c r="K357">
        <f>IF(ISNA(MATCH(344,Engine!$C$2:$C$679,0)),"",INDEX('Compliance Database'!$K$2:$K$679,MATCH(344,Engine!$C$2:$C$679,0)))</f>
        <v/>
      </c>
      <c r="L357" s="8">
        <f>IF(ISNA(MATCH(344,Engine!$C$2:$C$679,0)),"",INDEX('Compliance Database'!$L$2:$L$679,MATCH(344,Engine!$C$2:$C$679,0)))</f>
        <v/>
      </c>
      <c r="M357" s="8">
        <f>IF(ISNA(MATCH(344,Engine!$C$2:$C$679,0)),"",INDEX('Compliance Database'!$M$2:$M$679,MATCH(344,Engine!$C$2:$C$679,0)))</f>
        <v/>
      </c>
      <c r="N357" s="8">
        <f>IF(ISNA(MATCH(344,Engine!$C$2:$C$679,0)),"",INDEX('Compliance Database'!$N$2:$N$679,MATCH(344,Engine!$C$2:$C$679,0)))</f>
        <v/>
      </c>
      <c r="O357" s="8">
        <f>IF(ISNA(MATCH(344,Engine!$C$2:$C$679,0)),"",INDEX('Compliance Database'!$O$2:$O$679,MATCH(344,Engine!$C$2:$C$679,0)))</f>
        <v/>
      </c>
      <c r="P357">
        <f>IF(ISNA(MATCH(344,Engine!$C$2:$C$679,0)),"",HYPERLINK(INDEX('Compliance Database'!$P$2:$P$679,MATCH(344,Engine!$C$2:$C$679,0)),"Open PDF"))</f>
        <v/>
      </c>
    </row>
    <row r="358">
      <c r="A358">
        <f>IF(ISNA(MATCH(345,Engine!$C$2:$C$679,0)),"",INDEX('Compliance Database'!$A$2:$A$679,MATCH(345,Engine!$C$2:$C$679,0)))</f>
        <v/>
      </c>
      <c r="B358">
        <f>IF(ISNA(MATCH(345,Engine!$C$2:$C$679,0)),"",INDEX('Compliance Database'!$B$2:$B$679,MATCH(345,Engine!$C$2:$C$679,0)))</f>
        <v/>
      </c>
      <c r="C358">
        <f>IF(ISNA(MATCH(345,Engine!$C$2:$C$679,0)),"",INDEX('Compliance Database'!$C$2:$C$679,MATCH(345,Engine!$C$2:$C$679,0)))</f>
        <v/>
      </c>
      <c r="D358" s="8">
        <f>IF(ISNA(MATCH(345,Engine!$C$2:$C$679,0)),"",INDEX('Compliance Database'!$D$2:$D$679,MATCH(345,Engine!$C$2:$C$679,0)))</f>
        <v/>
      </c>
      <c r="E358">
        <f>IF(ISNA(MATCH(345,Engine!$C$2:$C$679,0)),"",INDEX('Compliance Database'!$E$2:$E$679,MATCH(345,Engine!$C$2:$C$679,0)))</f>
        <v/>
      </c>
      <c r="F358">
        <f>IF(ISNA(MATCH(345,Engine!$C$2:$C$679,0)),"",INDEX('Compliance Database'!$F$2:$F$679,MATCH(345,Engine!$C$2:$C$679,0)))</f>
        <v/>
      </c>
      <c r="G358">
        <f>IF(ISNA(MATCH(345,Engine!$C$2:$C$679,0)),"",INDEX('Compliance Database'!$G$2:$G$679,MATCH(345,Engine!$C$2:$C$679,0)))</f>
        <v/>
      </c>
      <c r="H358">
        <f>IF(ISNA(MATCH(345,Engine!$C$2:$C$679,0)),"",INDEX('Compliance Database'!$H$2:$H$679,MATCH(345,Engine!$C$2:$C$679,0)))</f>
        <v/>
      </c>
      <c r="I358" s="8">
        <f>IF(ISNA(MATCH(345,Engine!$C$2:$C$679,0)),"",INDEX('Compliance Database'!$I$2:$I$679,MATCH(345,Engine!$C$2:$C$679,0)))</f>
        <v/>
      </c>
      <c r="J358" s="8">
        <f>IF(ISNA(MATCH(345,Engine!$C$2:$C$679,0)),"",INDEX('Compliance Database'!$J$2:$J$679,MATCH(345,Engine!$C$2:$C$679,0)))</f>
        <v/>
      </c>
      <c r="K358">
        <f>IF(ISNA(MATCH(345,Engine!$C$2:$C$679,0)),"",INDEX('Compliance Database'!$K$2:$K$679,MATCH(345,Engine!$C$2:$C$679,0)))</f>
        <v/>
      </c>
      <c r="L358" s="8">
        <f>IF(ISNA(MATCH(345,Engine!$C$2:$C$679,0)),"",INDEX('Compliance Database'!$L$2:$L$679,MATCH(345,Engine!$C$2:$C$679,0)))</f>
        <v/>
      </c>
      <c r="M358" s="8">
        <f>IF(ISNA(MATCH(345,Engine!$C$2:$C$679,0)),"",INDEX('Compliance Database'!$M$2:$M$679,MATCH(345,Engine!$C$2:$C$679,0)))</f>
        <v/>
      </c>
      <c r="N358" s="8">
        <f>IF(ISNA(MATCH(345,Engine!$C$2:$C$679,0)),"",INDEX('Compliance Database'!$N$2:$N$679,MATCH(345,Engine!$C$2:$C$679,0)))</f>
        <v/>
      </c>
      <c r="O358" s="8">
        <f>IF(ISNA(MATCH(345,Engine!$C$2:$C$679,0)),"",INDEX('Compliance Database'!$O$2:$O$679,MATCH(345,Engine!$C$2:$C$679,0)))</f>
        <v/>
      </c>
      <c r="P358">
        <f>IF(ISNA(MATCH(345,Engine!$C$2:$C$679,0)),"",HYPERLINK(INDEX('Compliance Database'!$P$2:$P$679,MATCH(345,Engine!$C$2:$C$679,0)),"Open PDF"))</f>
        <v/>
      </c>
    </row>
    <row r="359">
      <c r="A359">
        <f>IF(ISNA(MATCH(346,Engine!$C$2:$C$679,0)),"",INDEX('Compliance Database'!$A$2:$A$679,MATCH(346,Engine!$C$2:$C$679,0)))</f>
        <v/>
      </c>
      <c r="B359">
        <f>IF(ISNA(MATCH(346,Engine!$C$2:$C$679,0)),"",INDEX('Compliance Database'!$B$2:$B$679,MATCH(346,Engine!$C$2:$C$679,0)))</f>
        <v/>
      </c>
      <c r="C359">
        <f>IF(ISNA(MATCH(346,Engine!$C$2:$C$679,0)),"",INDEX('Compliance Database'!$C$2:$C$679,MATCH(346,Engine!$C$2:$C$679,0)))</f>
        <v/>
      </c>
      <c r="D359" s="8">
        <f>IF(ISNA(MATCH(346,Engine!$C$2:$C$679,0)),"",INDEX('Compliance Database'!$D$2:$D$679,MATCH(346,Engine!$C$2:$C$679,0)))</f>
        <v/>
      </c>
      <c r="E359">
        <f>IF(ISNA(MATCH(346,Engine!$C$2:$C$679,0)),"",INDEX('Compliance Database'!$E$2:$E$679,MATCH(346,Engine!$C$2:$C$679,0)))</f>
        <v/>
      </c>
      <c r="F359">
        <f>IF(ISNA(MATCH(346,Engine!$C$2:$C$679,0)),"",INDEX('Compliance Database'!$F$2:$F$679,MATCH(346,Engine!$C$2:$C$679,0)))</f>
        <v/>
      </c>
      <c r="G359">
        <f>IF(ISNA(MATCH(346,Engine!$C$2:$C$679,0)),"",INDEX('Compliance Database'!$G$2:$G$679,MATCH(346,Engine!$C$2:$C$679,0)))</f>
        <v/>
      </c>
      <c r="H359">
        <f>IF(ISNA(MATCH(346,Engine!$C$2:$C$679,0)),"",INDEX('Compliance Database'!$H$2:$H$679,MATCH(346,Engine!$C$2:$C$679,0)))</f>
        <v/>
      </c>
      <c r="I359" s="8">
        <f>IF(ISNA(MATCH(346,Engine!$C$2:$C$679,0)),"",INDEX('Compliance Database'!$I$2:$I$679,MATCH(346,Engine!$C$2:$C$679,0)))</f>
        <v/>
      </c>
      <c r="J359" s="8">
        <f>IF(ISNA(MATCH(346,Engine!$C$2:$C$679,0)),"",INDEX('Compliance Database'!$J$2:$J$679,MATCH(346,Engine!$C$2:$C$679,0)))</f>
        <v/>
      </c>
      <c r="K359">
        <f>IF(ISNA(MATCH(346,Engine!$C$2:$C$679,0)),"",INDEX('Compliance Database'!$K$2:$K$679,MATCH(346,Engine!$C$2:$C$679,0)))</f>
        <v/>
      </c>
      <c r="L359" s="8">
        <f>IF(ISNA(MATCH(346,Engine!$C$2:$C$679,0)),"",INDEX('Compliance Database'!$L$2:$L$679,MATCH(346,Engine!$C$2:$C$679,0)))</f>
        <v/>
      </c>
      <c r="M359" s="8">
        <f>IF(ISNA(MATCH(346,Engine!$C$2:$C$679,0)),"",INDEX('Compliance Database'!$M$2:$M$679,MATCH(346,Engine!$C$2:$C$679,0)))</f>
        <v/>
      </c>
      <c r="N359" s="8">
        <f>IF(ISNA(MATCH(346,Engine!$C$2:$C$679,0)),"",INDEX('Compliance Database'!$N$2:$N$679,MATCH(346,Engine!$C$2:$C$679,0)))</f>
        <v/>
      </c>
      <c r="O359" s="8">
        <f>IF(ISNA(MATCH(346,Engine!$C$2:$C$679,0)),"",INDEX('Compliance Database'!$O$2:$O$679,MATCH(346,Engine!$C$2:$C$679,0)))</f>
        <v/>
      </c>
      <c r="P359">
        <f>IF(ISNA(MATCH(346,Engine!$C$2:$C$679,0)),"",HYPERLINK(INDEX('Compliance Database'!$P$2:$P$679,MATCH(346,Engine!$C$2:$C$679,0)),"Open PDF"))</f>
        <v/>
      </c>
    </row>
    <row r="360">
      <c r="A360">
        <f>IF(ISNA(MATCH(347,Engine!$C$2:$C$679,0)),"",INDEX('Compliance Database'!$A$2:$A$679,MATCH(347,Engine!$C$2:$C$679,0)))</f>
        <v/>
      </c>
      <c r="B360">
        <f>IF(ISNA(MATCH(347,Engine!$C$2:$C$679,0)),"",INDEX('Compliance Database'!$B$2:$B$679,MATCH(347,Engine!$C$2:$C$679,0)))</f>
        <v/>
      </c>
      <c r="C360">
        <f>IF(ISNA(MATCH(347,Engine!$C$2:$C$679,0)),"",INDEX('Compliance Database'!$C$2:$C$679,MATCH(347,Engine!$C$2:$C$679,0)))</f>
        <v/>
      </c>
      <c r="D360" s="8">
        <f>IF(ISNA(MATCH(347,Engine!$C$2:$C$679,0)),"",INDEX('Compliance Database'!$D$2:$D$679,MATCH(347,Engine!$C$2:$C$679,0)))</f>
        <v/>
      </c>
      <c r="E360">
        <f>IF(ISNA(MATCH(347,Engine!$C$2:$C$679,0)),"",INDEX('Compliance Database'!$E$2:$E$679,MATCH(347,Engine!$C$2:$C$679,0)))</f>
        <v/>
      </c>
      <c r="F360">
        <f>IF(ISNA(MATCH(347,Engine!$C$2:$C$679,0)),"",INDEX('Compliance Database'!$F$2:$F$679,MATCH(347,Engine!$C$2:$C$679,0)))</f>
        <v/>
      </c>
      <c r="G360">
        <f>IF(ISNA(MATCH(347,Engine!$C$2:$C$679,0)),"",INDEX('Compliance Database'!$G$2:$G$679,MATCH(347,Engine!$C$2:$C$679,0)))</f>
        <v/>
      </c>
      <c r="H360">
        <f>IF(ISNA(MATCH(347,Engine!$C$2:$C$679,0)),"",INDEX('Compliance Database'!$H$2:$H$679,MATCH(347,Engine!$C$2:$C$679,0)))</f>
        <v/>
      </c>
      <c r="I360" s="8">
        <f>IF(ISNA(MATCH(347,Engine!$C$2:$C$679,0)),"",INDEX('Compliance Database'!$I$2:$I$679,MATCH(347,Engine!$C$2:$C$679,0)))</f>
        <v/>
      </c>
      <c r="J360" s="8">
        <f>IF(ISNA(MATCH(347,Engine!$C$2:$C$679,0)),"",INDEX('Compliance Database'!$J$2:$J$679,MATCH(347,Engine!$C$2:$C$679,0)))</f>
        <v/>
      </c>
      <c r="K360">
        <f>IF(ISNA(MATCH(347,Engine!$C$2:$C$679,0)),"",INDEX('Compliance Database'!$K$2:$K$679,MATCH(347,Engine!$C$2:$C$679,0)))</f>
        <v/>
      </c>
      <c r="L360" s="8">
        <f>IF(ISNA(MATCH(347,Engine!$C$2:$C$679,0)),"",INDEX('Compliance Database'!$L$2:$L$679,MATCH(347,Engine!$C$2:$C$679,0)))</f>
        <v/>
      </c>
      <c r="M360" s="8">
        <f>IF(ISNA(MATCH(347,Engine!$C$2:$C$679,0)),"",INDEX('Compliance Database'!$M$2:$M$679,MATCH(347,Engine!$C$2:$C$679,0)))</f>
        <v/>
      </c>
      <c r="N360" s="8">
        <f>IF(ISNA(MATCH(347,Engine!$C$2:$C$679,0)),"",INDEX('Compliance Database'!$N$2:$N$679,MATCH(347,Engine!$C$2:$C$679,0)))</f>
        <v/>
      </c>
      <c r="O360" s="8">
        <f>IF(ISNA(MATCH(347,Engine!$C$2:$C$679,0)),"",INDEX('Compliance Database'!$O$2:$O$679,MATCH(347,Engine!$C$2:$C$679,0)))</f>
        <v/>
      </c>
      <c r="P360">
        <f>IF(ISNA(MATCH(347,Engine!$C$2:$C$679,0)),"",HYPERLINK(INDEX('Compliance Database'!$P$2:$P$679,MATCH(347,Engine!$C$2:$C$679,0)),"Open PDF"))</f>
        <v/>
      </c>
    </row>
    <row r="361">
      <c r="A361">
        <f>IF(ISNA(MATCH(348,Engine!$C$2:$C$679,0)),"",INDEX('Compliance Database'!$A$2:$A$679,MATCH(348,Engine!$C$2:$C$679,0)))</f>
        <v/>
      </c>
      <c r="B361">
        <f>IF(ISNA(MATCH(348,Engine!$C$2:$C$679,0)),"",INDEX('Compliance Database'!$B$2:$B$679,MATCH(348,Engine!$C$2:$C$679,0)))</f>
        <v/>
      </c>
      <c r="C361">
        <f>IF(ISNA(MATCH(348,Engine!$C$2:$C$679,0)),"",INDEX('Compliance Database'!$C$2:$C$679,MATCH(348,Engine!$C$2:$C$679,0)))</f>
        <v/>
      </c>
      <c r="D361" s="8">
        <f>IF(ISNA(MATCH(348,Engine!$C$2:$C$679,0)),"",INDEX('Compliance Database'!$D$2:$D$679,MATCH(348,Engine!$C$2:$C$679,0)))</f>
        <v/>
      </c>
      <c r="E361">
        <f>IF(ISNA(MATCH(348,Engine!$C$2:$C$679,0)),"",INDEX('Compliance Database'!$E$2:$E$679,MATCH(348,Engine!$C$2:$C$679,0)))</f>
        <v/>
      </c>
      <c r="F361">
        <f>IF(ISNA(MATCH(348,Engine!$C$2:$C$679,0)),"",INDEX('Compliance Database'!$F$2:$F$679,MATCH(348,Engine!$C$2:$C$679,0)))</f>
        <v/>
      </c>
      <c r="G361">
        <f>IF(ISNA(MATCH(348,Engine!$C$2:$C$679,0)),"",INDEX('Compliance Database'!$G$2:$G$679,MATCH(348,Engine!$C$2:$C$679,0)))</f>
        <v/>
      </c>
      <c r="H361">
        <f>IF(ISNA(MATCH(348,Engine!$C$2:$C$679,0)),"",INDEX('Compliance Database'!$H$2:$H$679,MATCH(348,Engine!$C$2:$C$679,0)))</f>
        <v/>
      </c>
      <c r="I361" s="8">
        <f>IF(ISNA(MATCH(348,Engine!$C$2:$C$679,0)),"",INDEX('Compliance Database'!$I$2:$I$679,MATCH(348,Engine!$C$2:$C$679,0)))</f>
        <v/>
      </c>
      <c r="J361" s="8">
        <f>IF(ISNA(MATCH(348,Engine!$C$2:$C$679,0)),"",INDEX('Compliance Database'!$J$2:$J$679,MATCH(348,Engine!$C$2:$C$679,0)))</f>
        <v/>
      </c>
      <c r="K361">
        <f>IF(ISNA(MATCH(348,Engine!$C$2:$C$679,0)),"",INDEX('Compliance Database'!$K$2:$K$679,MATCH(348,Engine!$C$2:$C$679,0)))</f>
        <v/>
      </c>
      <c r="L361" s="8">
        <f>IF(ISNA(MATCH(348,Engine!$C$2:$C$679,0)),"",INDEX('Compliance Database'!$L$2:$L$679,MATCH(348,Engine!$C$2:$C$679,0)))</f>
        <v/>
      </c>
      <c r="M361" s="8">
        <f>IF(ISNA(MATCH(348,Engine!$C$2:$C$679,0)),"",INDEX('Compliance Database'!$M$2:$M$679,MATCH(348,Engine!$C$2:$C$679,0)))</f>
        <v/>
      </c>
      <c r="N361" s="8">
        <f>IF(ISNA(MATCH(348,Engine!$C$2:$C$679,0)),"",INDEX('Compliance Database'!$N$2:$N$679,MATCH(348,Engine!$C$2:$C$679,0)))</f>
        <v/>
      </c>
      <c r="O361" s="8">
        <f>IF(ISNA(MATCH(348,Engine!$C$2:$C$679,0)),"",INDEX('Compliance Database'!$O$2:$O$679,MATCH(348,Engine!$C$2:$C$679,0)))</f>
        <v/>
      </c>
      <c r="P361">
        <f>IF(ISNA(MATCH(348,Engine!$C$2:$C$679,0)),"",HYPERLINK(INDEX('Compliance Database'!$P$2:$P$679,MATCH(348,Engine!$C$2:$C$679,0)),"Open PDF"))</f>
        <v/>
      </c>
    </row>
    <row r="362">
      <c r="A362">
        <f>IF(ISNA(MATCH(349,Engine!$C$2:$C$679,0)),"",INDEX('Compliance Database'!$A$2:$A$679,MATCH(349,Engine!$C$2:$C$679,0)))</f>
        <v/>
      </c>
      <c r="B362">
        <f>IF(ISNA(MATCH(349,Engine!$C$2:$C$679,0)),"",INDEX('Compliance Database'!$B$2:$B$679,MATCH(349,Engine!$C$2:$C$679,0)))</f>
        <v/>
      </c>
      <c r="C362">
        <f>IF(ISNA(MATCH(349,Engine!$C$2:$C$679,0)),"",INDEX('Compliance Database'!$C$2:$C$679,MATCH(349,Engine!$C$2:$C$679,0)))</f>
        <v/>
      </c>
      <c r="D362" s="8">
        <f>IF(ISNA(MATCH(349,Engine!$C$2:$C$679,0)),"",INDEX('Compliance Database'!$D$2:$D$679,MATCH(349,Engine!$C$2:$C$679,0)))</f>
        <v/>
      </c>
      <c r="E362">
        <f>IF(ISNA(MATCH(349,Engine!$C$2:$C$679,0)),"",INDEX('Compliance Database'!$E$2:$E$679,MATCH(349,Engine!$C$2:$C$679,0)))</f>
        <v/>
      </c>
      <c r="F362">
        <f>IF(ISNA(MATCH(349,Engine!$C$2:$C$679,0)),"",INDEX('Compliance Database'!$F$2:$F$679,MATCH(349,Engine!$C$2:$C$679,0)))</f>
        <v/>
      </c>
      <c r="G362">
        <f>IF(ISNA(MATCH(349,Engine!$C$2:$C$679,0)),"",INDEX('Compliance Database'!$G$2:$G$679,MATCH(349,Engine!$C$2:$C$679,0)))</f>
        <v/>
      </c>
      <c r="H362">
        <f>IF(ISNA(MATCH(349,Engine!$C$2:$C$679,0)),"",INDEX('Compliance Database'!$H$2:$H$679,MATCH(349,Engine!$C$2:$C$679,0)))</f>
        <v/>
      </c>
      <c r="I362" s="8">
        <f>IF(ISNA(MATCH(349,Engine!$C$2:$C$679,0)),"",INDEX('Compliance Database'!$I$2:$I$679,MATCH(349,Engine!$C$2:$C$679,0)))</f>
        <v/>
      </c>
      <c r="J362" s="8">
        <f>IF(ISNA(MATCH(349,Engine!$C$2:$C$679,0)),"",INDEX('Compliance Database'!$J$2:$J$679,MATCH(349,Engine!$C$2:$C$679,0)))</f>
        <v/>
      </c>
      <c r="K362">
        <f>IF(ISNA(MATCH(349,Engine!$C$2:$C$679,0)),"",INDEX('Compliance Database'!$K$2:$K$679,MATCH(349,Engine!$C$2:$C$679,0)))</f>
        <v/>
      </c>
      <c r="L362" s="8">
        <f>IF(ISNA(MATCH(349,Engine!$C$2:$C$679,0)),"",INDEX('Compliance Database'!$L$2:$L$679,MATCH(349,Engine!$C$2:$C$679,0)))</f>
        <v/>
      </c>
      <c r="M362" s="8">
        <f>IF(ISNA(MATCH(349,Engine!$C$2:$C$679,0)),"",INDEX('Compliance Database'!$M$2:$M$679,MATCH(349,Engine!$C$2:$C$679,0)))</f>
        <v/>
      </c>
      <c r="N362" s="8">
        <f>IF(ISNA(MATCH(349,Engine!$C$2:$C$679,0)),"",INDEX('Compliance Database'!$N$2:$N$679,MATCH(349,Engine!$C$2:$C$679,0)))</f>
        <v/>
      </c>
      <c r="O362" s="8">
        <f>IF(ISNA(MATCH(349,Engine!$C$2:$C$679,0)),"",INDEX('Compliance Database'!$O$2:$O$679,MATCH(349,Engine!$C$2:$C$679,0)))</f>
        <v/>
      </c>
      <c r="P362">
        <f>IF(ISNA(MATCH(349,Engine!$C$2:$C$679,0)),"",HYPERLINK(INDEX('Compliance Database'!$P$2:$P$679,MATCH(349,Engine!$C$2:$C$679,0)),"Open PDF"))</f>
        <v/>
      </c>
    </row>
    <row r="363">
      <c r="A363">
        <f>IF(ISNA(MATCH(350,Engine!$C$2:$C$679,0)),"",INDEX('Compliance Database'!$A$2:$A$679,MATCH(350,Engine!$C$2:$C$679,0)))</f>
        <v/>
      </c>
      <c r="B363">
        <f>IF(ISNA(MATCH(350,Engine!$C$2:$C$679,0)),"",INDEX('Compliance Database'!$B$2:$B$679,MATCH(350,Engine!$C$2:$C$679,0)))</f>
        <v/>
      </c>
      <c r="C363">
        <f>IF(ISNA(MATCH(350,Engine!$C$2:$C$679,0)),"",INDEX('Compliance Database'!$C$2:$C$679,MATCH(350,Engine!$C$2:$C$679,0)))</f>
        <v/>
      </c>
      <c r="D363" s="8">
        <f>IF(ISNA(MATCH(350,Engine!$C$2:$C$679,0)),"",INDEX('Compliance Database'!$D$2:$D$679,MATCH(350,Engine!$C$2:$C$679,0)))</f>
        <v/>
      </c>
      <c r="E363">
        <f>IF(ISNA(MATCH(350,Engine!$C$2:$C$679,0)),"",INDEX('Compliance Database'!$E$2:$E$679,MATCH(350,Engine!$C$2:$C$679,0)))</f>
        <v/>
      </c>
      <c r="F363">
        <f>IF(ISNA(MATCH(350,Engine!$C$2:$C$679,0)),"",INDEX('Compliance Database'!$F$2:$F$679,MATCH(350,Engine!$C$2:$C$679,0)))</f>
        <v/>
      </c>
      <c r="G363">
        <f>IF(ISNA(MATCH(350,Engine!$C$2:$C$679,0)),"",INDEX('Compliance Database'!$G$2:$G$679,MATCH(350,Engine!$C$2:$C$679,0)))</f>
        <v/>
      </c>
      <c r="H363">
        <f>IF(ISNA(MATCH(350,Engine!$C$2:$C$679,0)),"",INDEX('Compliance Database'!$H$2:$H$679,MATCH(350,Engine!$C$2:$C$679,0)))</f>
        <v/>
      </c>
      <c r="I363" s="8">
        <f>IF(ISNA(MATCH(350,Engine!$C$2:$C$679,0)),"",INDEX('Compliance Database'!$I$2:$I$679,MATCH(350,Engine!$C$2:$C$679,0)))</f>
        <v/>
      </c>
      <c r="J363" s="8">
        <f>IF(ISNA(MATCH(350,Engine!$C$2:$C$679,0)),"",INDEX('Compliance Database'!$J$2:$J$679,MATCH(350,Engine!$C$2:$C$679,0)))</f>
        <v/>
      </c>
      <c r="K363">
        <f>IF(ISNA(MATCH(350,Engine!$C$2:$C$679,0)),"",INDEX('Compliance Database'!$K$2:$K$679,MATCH(350,Engine!$C$2:$C$679,0)))</f>
        <v/>
      </c>
      <c r="L363" s="8">
        <f>IF(ISNA(MATCH(350,Engine!$C$2:$C$679,0)),"",INDEX('Compliance Database'!$L$2:$L$679,MATCH(350,Engine!$C$2:$C$679,0)))</f>
        <v/>
      </c>
      <c r="M363" s="8">
        <f>IF(ISNA(MATCH(350,Engine!$C$2:$C$679,0)),"",INDEX('Compliance Database'!$M$2:$M$679,MATCH(350,Engine!$C$2:$C$679,0)))</f>
        <v/>
      </c>
      <c r="N363" s="8">
        <f>IF(ISNA(MATCH(350,Engine!$C$2:$C$679,0)),"",INDEX('Compliance Database'!$N$2:$N$679,MATCH(350,Engine!$C$2:$C$679,0)))</f>
        <v/>
      </c>
      <c r="O363" s="8">
        <f>IF(ISNA(MATCH(350,Engine!$C$2:$C$679,0)),"",INDEX('Compliance Database'!$O$2:$O$679,MATCH(350,Engine!$C$2:$C$679,0)))</f>
        <v/>
      </c>
      <c r="P363">
        <f>IF(ISNA(MATCH(350,Engine!$C$2:$C$679,0)),"",HYPERLINK(INDEX('Compliance Database'!$P$2:$P$679,MATCH(350,Engine!$C$2:$C$679,0)),"Open PDF"))</f>
        <v/>
      </c>
    </row>
    <row r="364">
      <c r="A364">
        <f>IF(ISNA(MATCH(351,Engine!$C$2:$C$679,0)),"",INDEX('Compliance Database'!$A$2:$A$679,MATCH(351,Engine!$C$2:$C$679,0)))</f>
        <v/>
      </c>
      <c r="B364">
        <f>IF(ISNA(MATCH(351,Engine!$C$2:$C$679,0)),"",INDEX('Compliance Database'!$B$2:$B$679,MATCH(351,Engine!$C$2:$C$679,0)))</f>
        <v/>
      </c>
      <c r="C364">
        <f>IF(ISNA(MATCH(351,Engine!$C$2:$C$679,0)),"",INDEX('Compliance Database'!$C$2:$C$679,MATCH(351,Engine!$C$2:$C$679,0)))</f>
        <v/>
      </c>
      <c r="D364" s="8">
        <f>IF(ISNA(MATCH(351,Engine!$C$2:$C$679,0)),"",INDEX('Compliance Database'!$D$2:$D$679,MATCH(351,Engine!$C$2:$C$679,0)))</f>
        <v/>
      </c>
      <c r="E364">
        <f>IF(ISNA(MATCH(351,Engine!$C$2:$C$679,0)),"",INDEX('Compliance Database'!$E$2:$E$679,MATCH(351,Engine!$C$2:$C$679,0)))</f>
        <v/>
      </c>
      <c r="F364">
        <f>IF(ISNA(MATCH(351,Engine!$C$2:$C$679,0)),"",INDEX('Compliance Database'!$F$2:$F$679,MATCH(351,Engine!$C$2:$C$679,0)))</f>
        <v/>
      </c>
      <c r="G364">
        <f>IF(ISNA(MATCH(351,Engine!$C$2:$C$679,0)),"",INDEX('Compliance Database'!$G$2:$G$679,MATCH(351,Engine!$C$2:$C$679,0)))</f>
        <v/>
      </c>
      <c r="H364">
        <f>IF(ISNA(MATCH(351,Engine!$C$2:$C$679,0)),"",INDEX('Compliance Database'!$H$2:$H$679,MATCH(351,Engine!$C$2:$C$679,0)))</f>
        <v/>
      </c>
      <c r="I364" s="8">
        <f>IF(ISNA(MATCH(351,Engine!$C$2:$C$679,0)),"",INDEX('Compliance Database'!$I$2:$I$679,MATCH(351,Engine!$C$2:$C$679,0)))</f>
        <v/>
      </c>
      <c r="J364" s="8">
        <f>IF(ISNA(MATCH(351,Engine!$C$2:$C$679,0)),"",INDEX('Compliance Database'!$J$2:$J$679,MATCH(351,Engine!$C$2:$C$679,0)))</f>
        <v/>
      </c>
      <c r="K364">
        <f>IF(ISNA(MATCH(351,Engine!$C$2:$C$679,0)),"",INDEX('Compliance Database'!$K$2:$K$679,MATCH(351,Engine!$C$2:$C$679,0)))</f>
        <v/>
      </c>
      <c r="L364" s="8">
        <f>IF(ISNA(MATCH(351,Engine!$C$2:$C$679,0)),"",INDEX('Compliance Database'!$L$2:$L$679,MATCH(351,Engine!$C$2:$C$679,0)))</f>
        <v/>
      </c>
      <c r="M364" s="8">
        <f>IF(ISNA(MATCH(351,Engine!$C$2:$C$679,0)),"",INDEX('Compliance Database'!$M$2:$M$679,MATCH(351,Engine!$C$2:$C$679,0)))</f>
        <v/>
      </c>
      <c r="N364" s="8">
        <f>IF(ISNA(MATCH(351,Engine!$C$2:$C$679,0)),"",INDEX('Compliance Database'!$N$2:$N$679,MATCH(351,Engine!$C$2:$C$679,0)))</f>
        <v/>
      </c>
      <c r="O364" s="8">
        <f>IF(ISNA(MATCH(351,Engine!$C$2:$C$679,0)),"",INDEX('Compliance Database'!$O$2:$O$679,MATCH(351,Engine!$C$2:$C$679,0)))</f>
        <v/>
      </c>
      <c r="P364">
        <f>IF(ISNA(MATCH(351,Engine!$C$2:$C$679,0)),"",HYPERLINK(INDEX('Compliance Database'!$P$2:$P$679,MATCH(351,Engine!$C$2:$C$679,0)),"Open PDF"))</f>
        <v/>
      </c>
    </row>
    <row r="365">
      <c r="A365">
        <f>IF(ISNA(MATCH(352,Engine!$C$2:$C$679,0)),"",INDEX('Compliance Database'!$A$2:$A$679,MATCH(352,Engine!$C$2:$C$679,0)))</f>
        <v/>
      </c>
      <c r="B365">
        <f>IF(ISNA(MATCH(352,Engine!$C$2:$C$679,0)),"",INDEX('Compliance Database'!$B$2:$B$679,MATCH(352,Engine!$C$2:$C$679,0)))</f>
        <v/>
      </c>
      <c r="C365">
        <f>IF(ISNA(MATCH(352,Engine!$C$2:$C$679,0)),"",INDEX('Compliance Database'!$C$2:$C$679,MATCH(352,Engine!$C$2:$C$679,0)))</f>
        <v/>
      </c>
      <c r="D365" s="8">
        <f>IF(ISNA(MATCH(352,Engine!$C$2:$C$679,0)),"",INDEX('Compliance Database'!$D$2:$D$679,MATCH(352,Engine!$C$2:$C$679,0)))</f>
        <v/>
      </c>
      <c r="E365">
        <f>IF(ISNA(MATCH(352,Engine!$C$2:$C$679,0)),"",INDEX('Compliance Database'!$E$2:$E$679,MATCH(352,Engine!$C$2:$C$679,0)))</f>
        <v/>
      </c>
      <c r="F365">
        <f>IF(ISNA(MATCH(352,Engine!$C$2:$C$679,0)),"",INDEX('Compliance Database'!$F$2:$F$679,MATCH(352,Engine!$C$2:$C$679,0)))</f>
        <v/>
      </c>
      <c r="G365">
        <f>IF(ISNA(MATCH(352,Engine!$C$2:$C$679,0)),"",INDEX('Compliance Database'!$G$2:$G$679,MATCH(352,Engine!$C$2:$C$679,0)))</f>
        <v/>
      </c>
      <c r="H365">
        <f>IF(ISNA(MATCH(352,Engine!$C$2:$C$679,0)),"",INDEX('Compliance Database'!$H$2:$H$679,MATCH(352,Engine!$C$2:$C$679,0)))</f>
        <v/>
      </c>
      <c r="I365" s="8">
        <f>IF(ISNA(MATCH(352,Engine!$C$2:$C$679,0)),"",INDEX('Compliance Database'!$I$2:$I$679,MATCH(352,Engine!$C$2:$C$679,0)))</f>
        <v/>
      </c>
      <c r="J365" s="8">
        <f>IF(ISNA(MATCH(352,Engine!$C$2:$C$679,0)),"",INDEX('Compliance Database'!$J$2:$J$679,MATCH(352,Engine!$C$2:$C$679,0)))</f>
        <v/>
      </c>
      <c r="K365">
        <f>IF(ISNA(MATCH(352,Engine!$C$2:$C$679,0)),"",INDEX('Compliance Database'!$K$2:$K$679,MATCH(352,Engine!$C$2:$C$679,0)))</f>
        <v/>
      </c>
      <c r="L365" s="8">
        <f>IF(ISNA(MATCH(352,Engine!$C$2:$C$679,0)),"",INDEX('Compliance Database'!$L$2:$L$679,MATCH(352,Engine!$C$2:$C$679,0)))</f>
        <v/>
      </c>
      <c r="M365" s="8">
        <f>IF(ISNA(MATCH(352,Engine!$C$2:$C$679,0)),"",INDEX('Compliance Database'!$M$2:$M$679,MATCH(352,Engine!$C$2:$C$679,0)))</f>
        <v/>
      </c>
      <c r="N365" s="8">
        <f>IF(ISNA(MATCH(352,Engine!$C$2:$C$679,0)),"",INDEX('Compliance Database'!$N$2:$N$679,MATCH(352,Engine!$C$2:$C$679,0)))</f>
        <v/>
      </c>
      <c r="O365" s="8">
        <f>IF(ISNA(MATCH(352,Engine!$C$2:$C$679,0)),"",INDEX('Compliance Database'!$O$2:$O$679,MATCH(352,Engine!$C$2:$C$679,0)))</f>
        <v/>
      </c>
      <c r="P365">
        <f>IF(ISNA(MATCH(352,Engine!$C$2:$C$679,0)),"",HYPERLINK(INDEX('Compliance Database'!$P$2:$P$679,MATCH(352,Engine!$C$2:$C$679,0)),"Open PDF"))</f>
        <v/>
      </c>
    </row>
    <row r="366">
      <c r="A366">
        <f>IF(ISNA(MATCH(353,Engine!$C$2:$C$679,0)),"",INDEX('Compliance Database'!$A$2:$A$679,MATCH(353,Engine!$C$2:$C$679,0)))</f>
        <v/>
      </c>
      <c r="B366">
        <f>IF(ISNA(MATCH(353,Engine!$C$2:$C$679,0)),"",INDEX('Compliance Database'!$B$2:$B$679,MATCH(353,Engine!$C$2:$C$679,0)))</f>
        <v/>
      </c>
      <c r="C366">
        <f>IF(ISNA(MATCH(353,Engine!$C$2:$C$679,0)),"",INDEX('Compliance Database'!$C$2:$C$679,MATCH(353,Engine!$C$2:$C$679,0)))</f>
        <v/>
      </c>
      <c r="D366" s="8">
        <f>IF(ISNA(MATCH(353,Engine!$C$2:$C$679,0)),"",INDEX('Compliance Database'!$D$2:$D$679,MATCH(353,Engine!$C$2:$C$679,0)))</f>
        <v/>
      </c>
      <c r="E366">
        <f>IF(ISNA(MATCH(353,Engine!$C$2:$C$679,0)),"",INDEX('Compliance Database'!$E$2:$E$679,MATCH(353,Engine!$C$2:$C$679,0)))</f>
        <v/>
      </c>
      <c r="F366">
        <f>IF(ISNA(MATCH(353,Engine!$C$2:$C$679,0)),"",INDEX('Compliance Database'!$F$2:$F$679,MATCH(353,Engine!$C$2:$C$679,0)))</f>
        <v/>
      </c>
      <c r="G366">
        <f>IF(ISNA(MATCH(353,Engine!$C$2:$C$679,0)),"",INDEX('Compliance Database'!$G$2:$G$679,MATCH(353,Engine!$C$2:$C$679,0)))</f>
        <v/>
      </c>
      <c r="H366">
        <f>IF(ISNA(MATCH(353,Engine!$C$2:$C$679,0)),"",INDEX('Compliance Database'!$H$2:$H$679,MATCH(353,Engine!$C$2:$C$679,0)))</f>
        <v/>
      </c>
      <c r="I366" s="8">
        <f>IF(ISNA(MATCH(353,Engine!$C$2:$C$679,0)),"",INDEX('Compliance Database'!$I$2:$I$679,MATCH(353,Engine!$C$2:$C$679,0)))</f>
        <v/>
      </c>
      <c r="J366" s="8">
        <f>IF(ISNA(MATCH(353,Engine!$C$2:$C$679,0)),"",INDEX('Compliance Database'!$J$2:$J$679,MATCH(353,Engine!$C$2:$C$679,0)))</f>
        <v/>
      </c>
      <c r="K366">
        <f>IF(ISNA(MATCH(353,Engine!$C$2:$C$679,0)),"",INDEX('Compliance Database'!$K$2:$K$679,MATCH(353,Engine!$C$2:$C$679,0)))</f>
        <v/>
      </c>
      <c r="L366" s="8">
        <f>IF(ISNA(MATCH(353,Engine!$C$2:$C$679,0)),"",INDEX('Compliance Database'!$L$2:$L$679,MATCH(353,Engine!$C$2:$C$679,0)))</f>
        <v/>
      </c>
      <c r="M366" s="8">
        <f>IF(ISNA(MATCH(353,Engine!$C$2:$C$679,0)),"",INDEX('Compliance Database'!$M$2:$M$679,MATCH(353,Engine!$C$2:$C$679,0)))</f>
        <v/>
      </c>
      <c r="N366" s="8">
        <f>IF(ISNA(MATCH(353,Engine!$C$2:$C$679,0)),"",INDEX('Compliance Database'!$N$2:$N$679,MATCH(353,Engine!$C$2:$C$679,0)))</f>
        <v/>
      </c>
      <c r="O366" s="8">
        <f>IF(ISNA(MATCH(353,Engine!$C$2:$C$679,0)),"",INDEX('Compliance Database'!$O$2:$O$679,MATCH(353,Engine!$C$2:$C$679,0)))</f>
        <v/>
      </c>
      <c r="P366">
        <f>IF(ISNA(MATCH(353,Engine!$C$2:$C$679,0)),"",HYPERLINK(INDEX('Compliance Database'!$P$2:$P$679,MATCH(353,Engine!$C$2:$C$679,0)),"Open PDF"))</f>
        <v/>
      </c>
    </row>
    <row r="367">
      <c r="A367">
        <f>IF(ISNA(MATCH(354,Engine!$C$2:$C$679,0)),"",INDEX('Compliance Database'!$A$2:$A$679,MATCH(354,Engine!$C$2:$C$679,0)))</f>
        <v/>
      </c>
      <c r="B367">
        <f>IF(ISNA(MATCH(354,Engine!$C$2:$C$679,0)),"",INDEX('Compliance Database'!$B$2:$B$679,MATCH(354,Engine!$C$2:$C$679,0)))</f>
        <v/>
      </c>
      <c r="C367">
        <f>IF(ISNA(MATCH(354,Engine!$C$2:$C$679,0)),"",INDEX('Compliance Database'!$C$2:$C$679,MATCH(354,Engine!$C$2:$C$679,0)))</f>
        <v/>
      </c>
      <c r="D367" s="8">
        <f>IF(ISNA(MATCH(354,Engine!$C$2:$C$679,0)),"",INDEX('Compliance Database'!$D$2:$D$679,MATCH(354,Engine!$C$2:$C$679,0)))</f>
        <v/>
      </c>
      <c r="E367">
        <f>IF(ISNA(MATCH(354,Engine!$C$2:$C$679,0)),"",INDEX('Compliance Database'!$E$2:$E$679,MATCH(354,Engine!$C$2:$C$679,0)))</f>
        <v/>
      </c>
      <c r="F367">
        <f>IF(ISNA(MATCH(354,Engine!$C$2:$C$679,0)),"",INDEX('Compliance Database'!$F$2:$F$679,MATCH(354,Engine!$C$2:$C$679,0)))</f>
        <v/>
      </c>
      <c r="G367">
        <f>IF(ISNA(MATCH(354,Engine!$C$2:$C$679,0)),"",INDEX('Compliance Database'!$G$2:$G$679,MATCH(354,Engine!$C$2:$C$679,0)))</f>
        <v/>
      </c>
      <c r="H367">
        <f>IF(ISNA(MATCH(354,Engine!$C$2:$C$679,0)),"",INDEX('Compliance Database'!$H$2:$H$679,MATCH(354,Engine!$C$2:$C$679,0)))</f>
        <v/>
      </c>
      <c r="I367" s="8">
        <f>IF(ISNA(MATCH(354,Engine!$C$2:$C$679,0)),"",INDEX('Compliance Database'!$I$2:$I$679,MATCH(354,Engine!$C$2:$C$679,0)))</f>
        <v/>
      </c>
      <c r="J367" s="8">
        <f>IF(ISNA(MATCH(354,Engine!$C$2:$C$679,0)),"",INDEX('Compliance Database'!$J$2:$J$679,MATCH(354,Engine!$C$2:$C$679,0)))</f>
        <v/>
      </c>
      <c r="K367">
        <f>IF(ISNA(MATCH(354,Engine!$C$2:$C$679,0)),"",INDEX('Compliance Database'!$K$2:$K$679,MATCH(354,Engine!$C$2:$C$679,0)))</f>
        <v/>
      </c>
      <c r="L367" s="8">
        <f>IF(ISNA(MATCH(354,Engine!$C$2:$C$679,0)),"",INDEX('Compliance Database'!$L$2:$L$679,MATCH(354,Engine!$C$2:$C$679,0)))</f>
        <v/>
      </c>
      <c r="M367" s="8">
        <f>IF(ISNA(MATCH(354,Engine!$C$2:$C$679,0)),"",INDEX('Compliance Database'!$M$2:$M$679,MATCH(354,Engine!$C$2:$C$679,0)))</f>
        <v/>
      </c>
      <c r="N367" s="8">
        <f>IF(ISNA(MATCH(354,Engine!$C$2:$C$679,0)),"",INDEX('Compliance Database'!$N$2:$N$679,MATCH(354,Engine!$C$2:$C$679,0)))</f>
        <v/>
      </c>
      <c r="O367" s="8">
        <f>IF(ISNA(MATCH(354,Engine!$C$2:$C$679,0)),"",INDEX('Compliance Database'!$O$2:$O$679,MATCH(354,Engine!$C$2:$C$679,0)))</f>
        <v/>
      </c>
      <c r="P367">
        <f>IF(ISNA(MATCH(354,Engine!$C$2:$C$679,0)),"",HYPERLINK(INDEX('Compliance Database'!$P$2:$P$679,MATCH(354,Engine!$C$2:$C$679,0)),"Open PDF"))</f>
        <v/>
      </c>
    </row>
    <row r="368">
      <c r="A368">
        <f>IF(ISNA(MATCH(355,Engine!$C$2:$C$679,0)),"",INDEX('Compliance Database'!$A$2:$A$679,MATCH(355,Engine!$C$2:$C$679,0)))</f>
        <v/>
      </c>
      <c r="B368">
        <f>IF(ISNA(MATCH(355,Engine!$C$2:$C$679,0)),"",INDEX('Compliance Database'!$B$2:$B$679,MATCH(355,Engine!$C$2:$C$679,0)))</f>
        <v/>
      </c>
      <c r="C368">
        <f>IF(ISNA(MATCH(355,Engine!$C$2:$C$679,0)),"",INDEX('Compliance Database'!$C$2:$C$679,MATCH(355,Engine!$C$2:$C$679,0)))</f>
        <v/>
      </c>
      <c r="D368" s="8">
        <f>IF(ISNA(MATCH(355,Engine!$C$2:$C$679,0)),"",INDEX('Compliance Database'!$D$2:$D$679,MATCH(355,Engine!$C$2:$C$679,0)))</f>
        <v/>
      </c>
      <c r="E368">
        <f>IF(ISNA(MATCH(355,Engine!$C$2:$C$679,0)),"",INDEX('Compliance Database'!$E$2:$E$679,MATCH(355,Engine!$C$2:$C$679,0)))</f>
        <v/>
      </c>
      <c r="F368">
        <f>IF(ISNA(MATCH(355,Engine!$C$2:$C$679,0)),"",INDEX('Compliance Database'!$F$2:$F$679,MATCH(355,Engine!$C$2:$C$679,0)))</f>
        <v/>
      </c>
      <c r="G368">
        <f>IF(ISNA(MATCH(355,Engine!$C$2:$C$679,0)),"",INDEX('Compliance Database'!$G$2:$G$679,MATCH(355,Engine!$C$2:$C$679,0)))</f>
        <v/>
      </c>
      <c r="H368">
        <f>IF(ISNA(MATCH(355,Engine!$C$2:$C$679,0)),"",INDEX('Compliance Database'!$H$2:$H$679,MATCH(355,Engine!$C$2:$C$679,0)))</f>
        <v/>
      </c>
      <c r="I368" s="8">
        <f>IF(ISNA(MATCH(355,Engine!$C$2:$C$679,0)),"",INDEX('Compliance Database'!$I$2:$I$679,MATCH(355,Engine!$C$2:$C$679,0)))</f>
        <v/>
      </c>
      <c r="J368" s="8">
        <f>IF(ISNA(MATCH(355,Engine!$C$2:$C$679,0)),"",INDEX('Compliance Database'!$J$2:$J$679,MATCH(355,Engine!$C$2:$C$679,0)))</f>
        <v/>
      </c>
      <c r="K368">
        <f>IF(ISNA(MATCH(355,Engine!$C$2:$C$679,0)),"",INDEX('Compliance Database'!$K$2:$K$679,MATCH(355,Engine!$C$2:$C$679,0)))</f>
        <v/>
      </c>
      <c r="L368" s="8">
        <f>IF(ISNA(MATCH(355,Engine!$C$2:$C$679,0)),"",INDEX('Compliance Database'!$L$2:$L$679,MATCH(355,Engine!$C$2:$C$679,0)))</f>
        <v/>
      </c>
      <c r="M368" s="8">
        <f>IF(ISNA(MATCH(355,Engine!$C$2:$C$679,0)),"",INDEX('Compliance Database'!$M$2:$M$679,MATCH(355,Engine!$C$2:$C$679,0)))</f>
        <v/>
      </c>
      <c r="N368" s="8">
        <f>IF(ISNA(MATCH(355,Engine!$C$2:$C$679,0)),"",INDEX('Compliance Database'!$N$2:$N$679,MATCH(355,Engine!$C$2:$C$679,0)))</f>
        <v/>
      </c>
      <c r="O368" s="8">
        <f>IF(ISNA(MATCH(355,Engine!$C$2:$C$679,0)),"",INDEX('Compliance Database'!$O$2:$O$679,MATCH(355,Engine!$C$2:$C$679,0)))</f>
        <v/>
      </c>
      <c r="P368">
        <f>IF(ISNA(MATCH(355,Engine!$C$2:$C$679,0)),"",HYPERLINK(INDEX('Compliance Database'!$P$2:$P$679,MATCH(355,Engine!$C$2:$C$679,0)),"Open PDF"))</f>
        <v/>
      </c>
    </row>
    <row r="369">
      <c r="A369">
        <f>IF(ISNA(MATCH(356,Engine!$C$2:$C$679,0)),"",INDEX('Compliance Database'!$A$2:$A$679,MATCH(356,Engine!$C$2:$C$679,0)))</f>
        <v/>
      </c>
      <c r="B369">
        <f>IF(ISNA(MATCH(356,Engine!$C$2:$C$679,0)),"",INDEX('Compliance Database'!$B$2:$B$679,MATCH(356,Engine!$C$2:$C$679,0)))</f>
        <v/>
      </c>
      <c r="C369">
        <f>IF(ISNA(MATCH(356,Engine!$C$2:$C$679,0)),"",INDEX('Compliance Database'!$C$2:$C$679,MATCH(356,Engine!$C$2:$C$679,0)))</f>
        <v/>
      </c>
      <c r="D369" s="8">
        <f>IF(ISNA(MATCH(356,Engine!$C$2:$C$679,0)),"",INDEX('Compliance Database'!$D$2:$D$679,MATCH(356,Engine!$C$2:$C$679,0)))</f>
        <v/>
      </c>
      <c r="E369">
        <f>IF(ISNA(MATCH(356,Engine!$C$2:$C$679,0)),"",INDEX('Compliance Database'!$E$2:$E$679,MATCH(356,Engine!$C$2:$C$679,0)))</f>
        <v/>
      </c>
      <c r="F369">
        <f>IF(ISNA(MATCH(356,Engine!$C$2:$C$679,0)),"",INDEX('Compliance Database'!$F$2:$F$679,MATCH(356,Engine!$C$2:$C$679,0)))</f>
        <v/>
      </c>
      <c r="G369">
        <f>IF(ISNA(MATCH(356,Engine!$C$2:$C$679,0)),"",INDEX('Compliance Database'!$G$2:$G$679,MATCH(356,Engine!$C$2:$C$679,0)))</f>
        <v/>
      </c>
      <c r="H369">
        <f>IF(ISNA(MATCH(356,Engine!$C$2:$C$679,0)),"",INDEX('Compliance Database'!$H$2:$H$679,MATCH(356,Engine!$C$2:$C$679,0)))</f>
        <v/>
      </c>
      <c r="I369" s="8">
        <f>IF(ISNA(MATCH(356,Engine!$C$2:$C$679,0)),"",INDEX('Compliance Database'!$I$2:$I$679,MATCH(356,Engine!$C$2:$C$679,0)))</f>
        <v/>
      </c>
      <c r="J369" s="8">
        <f>IF(ISNA(MATCH(356,Engine!$C$2:$C$679,0)),"",INDEX('Compliance Database'!$J$2:$J$679,MATCH(356,Engine!$C$2:$C$679,0)))</f>
        <v/>
      </c>
      <c r="K369">
        <f>IF(ISNA(MATCH(356,Engine!$C$2:$C$679,0)),"",INDEX('Compliance Database'!$K$2:$K$679,MATCH(356,Engine!$C$2:$C$679,0)))</f>
        <v/>
      </c>
      <c r="L369" s="8">
        <f>IF(ISNA(MATCH(356,Engine!$C$2:$C$679,0)),"",INDEX('Compliance Database'!$L$2:$L$679,MATCH(356,Engine!$C$2:$C$679,0)))</f>
        <v/>
      </c>
      <c r="M369" s="8">
        <f>IF(ISNA(MATCH(356,Engine!$C$2:$C$679,0)),"",INDEX('Compliance Database'!$M$2:$M$679,MATCH(356,Engine!$C$2:$C$679,0)))</f>
        <v/>
      </c>
      <c r="N369" s="8">
        <f>IF(ISNA(MATCH(356,Engine!$C$2:$C$679,0)),"",INDEX('Compliance Database'!$N$2:$N$679,MATCH(356,Engine!$C$2:$C$679,0)))</f>
        <v/>
      </c>
      <c r="O369" s="8">
        <f>IF(ISNA(MATCH(356,Engine!$C$2:$C$679,0)),"",INDEX('Compliance Database'!$O$2:$O$679,MATCH(356,Engine!$C$2:$C$679,0)))</f>
        <v/>
      </c>
      <c r="P369">
        <f>IF(ISNA(MATCH(356,Engine!$C$2:$C$679,0)),"",HYPERLINK(INDEX('Compliance Database'!$P$2:$P$679,MATCH(356,Engine!$C$2:$C$679,0)),"Open PDF"))</f>
        <v/>
      </c>
    </row>
    <row r="370">
      <c r="A370">
        <f>IF(ISNA(MATCH(357,Engine!$C$2:$C$679,0)),"",INDEX('Compliance Database'!$A$2:$A$679,MATCH(357,Engine!$C$2:$C$679,0)))</f>
        <v/>
      </c>
      <c r="B370">
        <f>IF(ISNA(MATCH(357,Engine!$C$2:$C$679,0)),"",INDEX('Compliance Database'!$B$2:$B$679,MATCH(357,Engine!$C$2:$C$679,0)))</f>
        <v/>
      </c>
      <c r="C370">
        <f>IF(ISNA(MATCH(357,Engine!$C$2:$C$679,0)),"",INDEX('Compliance Database'!$C$2:$C$679,MATCH(357,Engine!$C$2:$C$679,0)))</f>
        <v/>
      </c>
      <c r="D370" s="8">
        <f>IF(ISNA(MATCH(357,Engine!$C$2:$C$679,0)),"",INDEX('Compliance Database'!$D$2:$D$679,MATCH(357,Engine!$C$2:$C$679,0)))</f>
        <v/>
      </c>
      <c r="E370">
        <f>IF(ISNA(MATCH(357,Engine!$C$2:$C$679,0)),"",INDEX('Compliance Database'!$E$2:$E$679,MATCH(357,Engine!$C$2:$C$679,0)))</f>
        <v/>
      </c>
      <c r="F370">
        <f>IF(ISNA(MATCH(357,Engine!$C$2:$C$679,0)),"",INDEX('Compliance Database'!$F$2:$F$679,MATCH(357,Engine!$C$2:$C$679,0)))</f>
        <v/>
      </c>
      <c r="G370">
        <f>IF(ISNA(MATCH(357,Engine!$C$2:$C$679,0)),"",INDEX('Compliance Database'!$G$2:$G$679,MATCH(357,Engine!$C$2:$C$679,0)))</f>
        <v/>
      </c>
      <c r="H370">
        <f>IF(ISNA(MATCH(357,Engine!$C$2:$C$679,0)),"",INDEX('Compliance Database'!$H$2:$H$679,MATCH(357,Engine!$C$2:$C$679,0)))</f>
        <v/>
      </c>
      <c r="I370" s="8">
        <f>IF(ISNA(MATCH(357,Engine!$C$2:$C$679,0)),"",INDEX('Compliance Database'!$I$2:$I$679,MATCH(357,Engine!$C$2:$C$679,0)))</f>
        <v/>
      </c>
      <c r="J370" s="8">
        <f>IF(ISNA(MATCH(357,Engine!$C$2:$C$679,0)),"",INDEX('Compliance Database'!$J$2:$J$679,MATCH(357,Engine!$C$2:$C$679,0)))</f>
        <v/>
      </c>
      <c r="K370">
        <f>IF(ISNA(MATCH(357,Engine!$C$2:$C$679,0)),"",INDEX('Compliance Database'!$K$2:$K$679,MATCH(357,Engine!$C$2:$C$679,0)))</f>
        <v/>
      </c>
      <c r="L370" s="8">
        <f>IF(ISNA(MATCH(357,Engine!$C$2:$C$679,0)),"",INDEX('Compliance Database'!$L$2:$L$679,MATCH(357,Engine!$C$2:$C$679,0)))</f>
        <v/>
      </c>
      <c r="M370" s="8">
        <f>IF(ISNA(MATCH(357,Engine!$C$2:$C$679,0)),"",INDEX('Compliance Database'!$M$2:$M$679,MATCH(357,Engine!$C$2:$C$679,0)))</f>
        <v/>
      </c>
      <c r="N370" s="8">
        <f>IF(ISNA(MATCH(357,Engine!$C$2:$C$679,0)),"",INDEX('Compliance Database'!$N$2:$N$679,MATCH(357,Engine!$C$2:$C$679,0)))</f>
        <v/>
      </c>
      <c r="O370" s="8">
        <f>IF(ISNA(MATCH(357,Engine!$C$2:$C$679,0)),"",INDEX('Compliance Database'!$O$2:$O$679,MATCH(357,Engine!$C$2:$C$679,0)))</f>
        <v/>
      </c>
      <c r="P370">
        <f>IF(ISNA(MATCH(357,Engine!$C$2:$C$679,0)),"",HYPERLINK(INDEX('Compliance Database'!$P$2:$P$679,MATCH(357,Engine!$C$2:$C$679,0)),"Open PDF"))</f>
        <v/>
      </c>
    </row>
    <row r="371">
      <c r="A371">
        <f>IF(ISNA(MATCH(358,Engine!$C$2:$C$679,0)),"",INDEX('Compliance Database'!$A$2:$A$679,MATCH(358,Engine!$C$2:$C$679,0)))</f>
        <v/>
      </c>
      <c r="B371">
        <f>IF(ISNA(MATCH(358,Engine!$C$2:$C$679,0)),"",INDEX('Compliance Database'!$B$2:$B$679,MATCH(358,Engine!$C$2:$C$679,0)))</f>
        <v/>
      </c>
      <c r="C371">
        <f>IF(ISNA(MATCH(358,Engine!$C$2:$C$679,0)),"",INDEX('Compliance Database'!$C$2:$C$679,MATCH(358,Engine!$C$2:$C$679,0)))</f>
        <v/>
      </c>
      <c r="D371" s="8">
        <f>IF(ISNA(MATCH(358,Engine!$C$2:$C$679,0)),"",INDEX('Compliance Database'!$D$2:$D$679,MATCH(358,Engine!$C$2:$C$679,0)))</f>
        <v/>
      </c>
      <c r="E371">
        <f>IF(ISNA(MATCH(358,Engine!$C$2:$C$679,0)),"",INDEX('Compliance Database'!$E$2:$E$679,MATCH(358,Engine!$C$2:$C$679,0)))</f>
        <v/>
      </c>
      <c r="F371">
        <f>IF(ISNA(MATCH(358,Engine!$C$2:$C$679,0)),"",INDEX('Compliance Database'!$F$2:$F$679,MATCH(358,Engine!$C$2:$C$679,0)))</f>
        <v/>
      </c>
      <c r="G371">
        <f>IF(ISNA(MATCH(358,Engine!$C$2:$C$679,0)),"",INDEX('Compliance Database'!$G$2:$G$679,MATCH(358,Engine!$C$2:$C$679,0)))</f>
        <v/>
      </c>
      <c r="H371">
        <f>IF(ISNA(MATCH(358,Engine!$C$2:$C$679,0)),"",INDEX('Compliance Database'!$H$2:$H$679,MATCH(358,Engine!$C$2:$C$679,0)))</f>
        <v/>
      </c>
      <c r="I371" s="8">
        <f>IF(ISNA(MATCH(358,Engine!$C$2:$C$679,0)),"",INDEX('Compliance Database'!$I$2:$I$679,MATCH(358,Engine!$C$2:$C$679,0)))</f>
        <v/>
      </c>
      <c r="J371" s="8">
        <f>IF(ISNA(MATCH(358,Engine!$C$2:$C$679,0)),"",INDEX('Compliance Database'!$J$2:$J$679,MATCH(358,Engine!$C$2:$C$679,0)))</f>
        <v/>
      </c>
      <c r="K371">
        <f>IF(ISNA(MATCH(358,Engine!$C$2:$C$679,0)),"",INDEX('Compliance Database'!$K$2:$K$679,MATCH(358,Engine!$C$2:$C$679,0)))</f>
        <v/>
      </c>
      <c r="L371" s="8">
        <f>IF(ISNA(MATCH(358,Engine!$C$2:$C$679,0)),"",INDEX('Compliance Database'!$L$2:$L$679,MATCH(358,Engine!$C$2:$C$679,0)))</f>
        <v/>
      </c>
      <c r="M371" s="8">
        <f>IF(ISNA(MATCH(358,Engine!$C$2:$C$679,0)),"",INDEX('Compliance Database'!$M$2:$M$679,MATCH(358,Engine!$C$2:$C$679,0)))</f>
        <v/>
      </c>
      <c r="N371" s="8">
        <f>IF(ISNA(MATCH(358,Engine!$C$2:$C$679,0)),"",INDEX('Compliance Database'!$N$2:$N$679,MATCH(358,Engine!$C$2:$C$679,0)))</f>
        <v/>
      </c>
      <c r="O371" s="8">
        <f>IF(ISNA(MATCH(358,Engine!$C$2:$C$679,0)),"",INDEX('Compliance Database'!$O$2:$O$679,MATCH(358,Engine!$C$2:$C$679,0)))</f>
        <v/>
      </c>
      <c r="P371">
        <f>IF(ISNA(MATCH(358,Engine!$C$2:$C$679,0)),"",HYPERLINK(INDEX('Compliance Database'!$P$2:$P$679,MATCH(358,Engine!$C$2:$C$679,0)),"Open PDF"))</f>
        <v/>
      </c>
    </row>
    <row r="372">
      <c r="A372">
        <f>IF(ISNA(MATCH(359,Engine!$C$2:$C$679,0)),"",INDEX('Compliance Database'!$A$2:$A$679,MATCH(359,Engine!$C$2:$C$679,0)))</f>
        <v/>
      </c>
      <c r="B372">
        <f>IF(ISNA(MATCH(359,Engine!$C$2:$C$679,0)),"",INDEX('Compliance Database'!$B$2:$B$679,MATCH(359,Engine!$C$2:$C$679,0)))</f>
        <v/>
      </c>
      <c r="C372">
        <f>IF(ISNA(MATCH(359,Engine!$C$2:$C$679,0)),"",INDEX('Compliance Database'!$C$2:$C$679,MATCH(359,Engine!$C$2:$C$679,0)))</f>
        <v/>
      </c>
      <c r="D372" s="8">
        <f>IF(ISNA(MATCH(359,Engine!$C$2:$C$679,0)),"",INDEX('Compliance Database'!$D$2:$D$679,MATCH(359,Engine!$C$2:$C$679,0)))</f>
        <v/>
      </c>
      <c r="E372">
        <f>IF(ISNA(MATCH(359,Engine!$C$2:$C$679,0)),"",INDEX('Compliance Database'!$E$2:$E$679,MATCH(359,Engine!$C$2:$C$679,0)))</f>
        <v/>
      </c>
      <c r="F372">
        <f>IF(ISNA(MATCH(359,Engine!$C$2:$C$679,0)),"",INDEX('Compliance Database'!$F$2:$F$679,MATCH(359,Engine!$C$2:$C$679,0)))</f>
        <v/>
      </c>
      <c r="G372">
        <f>IF(ISNA(MATCH(359,Engine!$C$2:$C$679,0)),"",INDEX('Compliance Database'!$G$2:$G$679,MATCH(359,Engine!$C$2:$C$679,0)))</f>
        <v/>
      </c>
      <c r="H372">
        <f>IF(ISNA(MATCH(359,Engine!$C$2:$C$679,0)),"",INDEX('Compliance Database'!$H$2:$H$679,MATCH(359,Engine!$C$2:$C$679,0)))</f>
        <v/>
      </c>
      <c r="I372" s="8">
        <f>IF(ISNA(MATCH(359,Engine!$C$2:$C$679,0)),"",INDEX('Compliance Database'!$I$2:$I$679,MATCH(359,Engine!$C$2:$C$679,0)))</f>
        <v/>
      </c>
      <c r="J372" s="8">
        <f>IF(ISNA(MATCH(359,Engine!$C$2:$C$679,0)),"",INDEX('Compliance Database'!$J$2:$J$679,MATCH(359,Engine!$C$2:$C$679,0)))</f>
        <v/>
      </c>
      <c r="K372">
        <f>IF(ISNA(MATCH(359,Engine!$C$2:$C$679,0)),"",INDEX('Compliance Database'!$K$2:$K$679,MATCH(359,Engine!$C$2:$C$679,0)))</f>
        <v/>
      </c>
      <c r="L372" s="8">
        <f>IF(ISNA(MATCH(359,Engine!$C$2:$C$679,0)),"",INDEX('Compliance Database'!$L$2:$L$679,MATCH(359,Engine!$C$2:$C$679,0)))</f>
        <v/>
      </c>
      <c r="M372" s="8">
        <f>IF(ISNA(MATCH(359,Engine!$C$2:$C$679,0)),"",INDEX('Compliance Database'!$M$2:$M$679,MATCH(359,Engine!$C$2:$C$679,0)))</f>
        <v/>
      </c>
      <c r="N372" s="8">
        <f>IF(ISNA(MATCH(359,Engine!$C$2:$C$679,0)),"",INDEX('Compliance Database'!$N$2:$N$679,MATCH(359,Engine!$C$2:$C$679,0)))</f>
        <v/>
      </c>
      <c r="O372" s="8">
        <f>IF(ISNA(MATCH(359,Engine!$C$2:$C$679,0)),"",INDEX('Compliance Database'!$O$2:$O$679,MATCH(359,Engine!$C$2:$C$679,0)))</f>
        <v/>
      </c>
      <c r="P372">
        <f>IF(ISNA(MATCH(359,Engine!$C$2:$C$679,0)),"",HYPERLINK(INDEX('Compliance Database'!$P$2:$P$679,MATCH(359,Engine!$C$2:$C$679,0)),"Open PDF"))</f>
        <v/>
      </c>
    </row>
    <row r="373">
      <c r="A373">
        <f>IF(ISNA(MATCH(360,Engine!$C$2:$C$679,0)),"",INDEX('Compliance Database'!$A$2:$A$679,MATCH(360,Engine!$C$2:$C$679,0)))</f>
        <v/>
      </c>
      <c r="B373">
        <f>IF(ISNA(MATCH(360,Engine!$C$2:$C$679,0)),"",INDEX('Compliance Database'!$B$2:$B$679,MATCH(360,Engine!$C$2:$C$679,0)))</f>
        <v/>
      </c>
      <c r="C373">
        <f>IF(ISNA(MATCH(360,Engine!$C$2:$C$679,0)),"",INDEX('Compliance Database'!$C$2:$C$679,MATCH(360,Engine!$C$2:$C$679,0)))</f>
        <v/>
      </c>
      <c r="D373" s="8">
        <f>IF(ISNA(MATCH(360,Engine!$C$2:$C$679,0)),"",INDEX('Compliance Database'!$D$2:$D$679,MATCH(360,Engine!$C$2:$C$679,0)))</f>
        <v/>
      </c>
      <c r="E373">
        <f>IF(ISNA(MATCH(360,Engine!$C$2:$C$679,0)),"",INDEX('Compliance Database'!$E$2:$E$679,MATCH(360,Engine!$C$2:$C$679,0)))</f>
        <v/>
      </c>
      <c r="F373">
        <f>IF(ISNA(MATCH(360,Engine!$C$2:$C$679,0)),"",INDEX('Compliance Database'!$F$2:$F$679,MATCH(360,Engine!$C$2:$C$679,0)))</f>
        <v/>
      </c>
      <c r="G373">
        <f>IF(ISNA(MATCH(360,Engine!$C$2:$C$679,0)),"",INDEX('Compliance Database'!$G$2:$G$679,MATCH(360,Engine!$C$2:$C$679,0)))</f>
        <v/>
      </c>
      <c r="H373">
        <f>IF(ISNA(MATCH(360,Engine!$C$2:$C$679,0)),"",INDEX('Compliance Database'!$H$2:$H$679,MATCH(360,Engine!$C$2:$C$679,0)))</f>
        <v/>
      </c>
      <c r="I373" s="8">
        <f>IF(ISNA(MATCH(360,Engine!$C$2:$C$679,0)),"",INDEX('Compliance Database'!$I$2:$I$679,MATCH(360,Engine!$C$2:$C$679,0)))</f>
        <v/>
      </c>
      <c r="J373" s="8">
        <f>IF(ISNA(MATCH(360,Engine!$C$2:$C$679,0)),"",INDEX('Compliance Database'!$J$2:$J$679,MATCH(360,Engine!$C$2:$C$679,0)))</f>
        <v/>
      </c>
      <c r="K373">
        <f>IF(ISNA(MATCH(360,Engine!$C$2:$C$679,0)),"",INDEX('Compliance Database'!$K$2:$K$679,MATCH(360,Engine!$C$2:$C$679,0)))</f>
        <v/>
      </c>
      <c r="L373" s="8">
        <f>IF(ISNA(MATCH(360,Engine!$C$2:$C$679,0)),"",INDEX('Compliance Database'!$L$2:$L$679,MATCH(360,Engine!$C$2:$C$679,0)))</f>
        <v/>
      </c>
      <c r="M373" s="8">
        <f>IF(ISNA(MATCH(360,Engine!$C$2:$C$679,0)),"",INDEX('Compliance Database'!$M$2:$M$679,MATCH(360,Engine!$C$2:$C$679,0)))</f>
        <v/>
      </c>
      <c r="N373" s="8">
        <f>IF(ISNA(MATCH(360,Engine!$C$2:$C$679,0)),"",INDEX('Compliance Database'!$N$2:$N$679,MATCH(360,Engine!$C$2:$C$679,0)))</f>
        <v/>
      </c>
      <c r="O373" s="8">
        <f>IF(ISNA(MATCH(360,Engine!$C$2:$C$679,0)),"",INDEX('Compliance Database'!$O$2:$O$679,MATCH(360,Engine!$C$2:$C$679,0)))</f>
        <v/>
      </c>
      <c r="P373">
        <f>IF(ISNA(MATCH(360,Engine!$C$2:$C$679,0)),"",HYPERLINK(INDEX('Compliance Database'!$P$2:$P$679,MATCH(360,Engine!$C$2:$C$679,0)),"Open PDF"))</f>
        <v/>
      </c>
    </row>
    <row r="374">
      <c r="A374">
        <f>IF(ISNA(MATCH(361,Engine!$C$2:$C$679,0)),"",INDEX('Compliance Database'!$A$2:$A$679,MATCH(361,Engine!$C$2:$C$679,0)))</f>
        <v/>
      </c>
      <c r="B374">
        <f>IF(ISNA(MATCH(361,Engine!$C$2:$C$679,0)),"",INDEX('Compliance Database'!$B$2:$B$679,MATCH(361,Engine!$C$2:$C$679,0)))</f>
        <v/>
      </c>
      <c r="C374">
        <f>IF(ISNA(MATCH(361,Engine!$C$2:$C$679,0)),"",INDEX('Compliance Database'!$C$2:$C$679,MATCH(361,Engine!$C$2:$C$679,0)))</f>
        <v/>
      </c>
      <c r="D374" s="8">
        <f>IF(ISNA(MATCH(361,Engine!$C$2:$C$679,0)),"",INDEX('Compliance Database'!$D$2:$D$679,MATCH(361,Engine!$C$2:$C$679,0)))</f>
        <v/>
      </c>
      <c r="E374">
        <f>IF(ISNA(MATCH(361,Engine!$C$2:$C$679,0)),"",INDEX('Compliance Database'!$E$2:$E$679,MATCH(361,Engine!$C$2:$C$679,0)))</f>
        <v/>
      </c>
      <c r="F374">
        <f>IF(ISNA(MATCH(361,Engine!$C$2:$C$679,0)),"",INDEX('Compliance Database'!$F$2:$F$679,MATCH(361,Engine!$C$2:$C$679,0)))</f>
        <v/>
      </c>
      <c r="G374">
        <f>IF(ISNA(MATCH(361,Engine!$C$2:$C$679,0)),"",INDEX('Compliance Database'!$G$2:$G$679,MATCH(361,Engine!$C$2:$C$679,0)))</f>
        <v/>
      </c>
      <c r="H374">
        <f>IF(ISNA(MATCH(361,Engine!$C$2:$C$679,0)),"",INDEX('Compliance Database'!$H$2:$H$679,MATCH(361,Engine!$C$2:$C$679,0)))</f>
        <v/>
      </c>
      <c r="I374" s="8">
        <f>IF(ISNA(MATCH(361,Engine!$C$2:$C$679,0)),"",INDEX('Compliance Database'!$I$2:$I$679,MATCH(361,Engine!$C$2:$C$679,0)))</f>
        <v/>
      </c>
      <c r="J374" s="8">
        <f>IF(ISNA(MATCH(361,Engine!$C$2:$C$679,0)),"",INDEX('Compliance Database'!$J$2:$J$679,MATCH(361,Engine!$C$2:$C$679,0)))</f>
        <v/>
      </c>
      <c r="K374">
        <f>IF(ISNA(MATCH(361,Engine!$C$2:$C$679,0)),"",INDEX('Compliance Database'!$K$2:$K$679,MATCH(361,Engine!$C$2:$C$679,0)))</f>
        <v/>
      </c>
      <c r="L374" s="8">
        <f>IF(ISNA(MATCH(361,Engine!$C$2:$C$679,0)),"",INDEX('Compliance Database'!$L$2:$L$679,MATCH(361,Engine!$C$2:$C$679,0)))</f>
        <v/>
      </c>
      <c r="M374" s="8">
        <f>IF(ISNA(MATCH(361,Engine!$C$2:$C$679,0)),"",INDEX('Compliance Database'!$M$2:$M$679,MATCH(361,Engine!$C$2:$C$679,0)))</f>
        <v/>
      </c>
      <c r="N374" s="8">
        <f>IF(ISNA(MATCH(361,Engine!$C$2:$C$679,0)),"",INDEX('Compliance Database'!$N$2:$N$679,MATCH(361,Engine!$C$2:$C$679,0)))</f>
        <v/>
      </c>
      <c r="O374" s="8">
        <f>IF(ISNA(MATCH(361,Engine!$C$2:$C$679,0)),"",INDEX('Compliance Database'!$O$2:$O$679,MATCH(361,Engine!$C$2:$C$679,0)))</f>
        <v/>
      </c>
      <c r="P374">
        <f>IF(ISNA(MATCH(361,Engine!$C$2:$C$679,0)),"",HYPERLINK(INDEX('Compliance Database'!$P$2:$P$679,MATCH(361,Engine!$C$2:$C$679,0)),"Open PDF"))</f>
        <v/>
      </c>
    </row>
    <row r="375">
      <c r="A375">
        <f>IF(ISNA(MATCH(362,Engine!$C$2:$C$679,0)),"",INDEX('Compliance Database'!$A$2:$A$679,MATCH(362,Engine!$C$2:$C$679,0)))</f>
        <v/>
      </c>
      <c r="B375">
        <f>IF(ISNA(MATCH(362,Engine!$C$2:$C$679,0)),"",INDEX('Compliance Database'!$B$2:$B$679,MATCH(362,Engine!$C$2:$C$679,0)))</f>
        <v/>
      </c>
      <c r="C375">
        <f>IF(ISNA(MATCH(362,Engine!$C$2:$C$679,0)),"",INDEX('Compliance Database'!$C$2:$C$679,MATCH(362,Engine!$C$2:$C$679,0)))</f>
        <v/>
      </c>
      <c r="D375" s="8">
        <f>IF(ISNA(MATCH(362,Engine!$C$2:$C$679,0)),"",INDEX('Compliance Database'!$D$2:$D$679,MATCH(362,Engine!$C$2:$C$679,0)))</f>
        <v/>
      </c>
      <c r="E375">
        <f>IF(ISNA(MATCH(362,Engine!$C$2:$C$679,0)),"",INDEX('Compliance Database'!$E$2:$E$679,MATCH(362,Engine!$C$2:$C$679,0)))</f>
        <v/>
      </c>
      <c r="F375">
        <f>IF(ISNA(MATCH(362,Engine!$C$2:$C$679,0)),"",INDEX('Compliance Database'!$F$2:$F$679,MATCH(362,Engine!$C$2:$C$679,0)))</f>
        <v/>
      </c>
      <c r="G375">
        <f>IF(ISNA(MATCH(362,Engine!$C$2:$C$679,0)),"",INDEX('Compliance Database'!$G$2:$G$679,MATCH(362,Engine!$C$2:$C$679,0)))</f>
        <v/>
      </c>
      <c r="H375">
        <f>IF(ISNA(MATCH(362,Engine!$C$2:$C$679,0)),"",INDEX('Compliance Database'!$H$2:$H$679,MATCH(362,Engine!$C$2:$C$679,0)))</f>
        <v/>
      </c>
      <c r="I375" s="8">
        <f>IF(ISNA(MATCH(362,Engine!$C$2:$C$679,0)),"",INDEX('Compliance Database'!$I$2:$I$679,MATCH(362,Engine!$C$2:$C$679,0)))</f>
        <v/>
      </c>
      <c r="J375" s="8">
        <f>IF(ISNA(MATCH(362,Engine!$C$2:$C$679,0)),"",INDEX('Compliance Database'!$J$2:$J$679,MATCH(362,Engine!$C$2:$C$679,0)))</f>
        <v/>
      </c>
      <c r="K375">
        <f>IF(ISNA(MATCH(362,Engine!$C$2:$C$679,0)),"",INDEX('Compliance Database'!$K$2:$K$679,MATCH(362,Engine!$C$2:$C$679,0)))</f>
        <v/>
      </c>
      <c r="L375" s="8">
        <f>IF(ISNA(MATCH(362,Engine!$C$2:$C$679,0)),"",INDEX('Compliance Database'!$L$2:$L$679,MATCH(362,Engine!$C$2:$C$679,0)))</f>
        <v/>
      </c>
      <c r="M375" s="8">
        <f>IF(ISNA(MATCH(362,Engine!$C$2:$C$679,0)),"",INDEX('Compliance Database'!$M$2:$M$679,MATCH(362,Engine!$C$2:$C$679,0)))</f>
        <v/>
      </c>
      <c r="N375" s="8">
        <f>IF(ISNA(MATCH(362,Engine!$C$2:$C$679,0)),"",INDEX('Compliance Database'!$N$2:$N$679,MATCH(362,Engine!$C$2:$C$679,0)))</f>
        <v/>
      </c>
      <c r="O375" s="8">
        <f>IF(ISNA(MATCH(362,Engine!$C$2:$C$679,0)),"",INDEX('Compliance Database'!$O$2:$O$679,MATCH(362,Engine!$C$2:$C$679,0)))</f>
        <v/>
      </c>
      <c r="P375">
        <f>IF(ISNA(MATCH(362,Engine!$C$2:$C$679,0)),"",HYPERLINK(INDEX('Compliance Database'!$P$2:$P$679,MATCH(362,Engine!$C$2:$C$679,0)),"Open PDF"))</f>
        <v/>
      </c>
    </row>
    <row r="376">
      <c r="A376">
        <f>IF(ISNA(MATCH(363,Engine!$C$2:$C$679,0)),"",INDEX('Compliance Database'!$A$2:$A$679,MATCH(363,Engine!$C$2:$C$679,0)))</f>
        <v/>
      </c>
      <c r="B376">
        <f>IF(ISNA(MATCH(363,Engine!$C$2:$C$679,0)),"",INDEX('Compliance Database'!$B$2:$B$679,MATCH(363,Engine!$C$2:$C$679,0)))</f>
        <v/>
      </c>
      <c r="C376">
        <f>IF(ISNA(MATCH(363,Engine!$C$2:$C$679,0)),"",INDEX('Compliance Database'!$C$2:$C$679,MATCH(363,Engine!$C$2:$C$679,0)))</f>
        <v/>
      </c>
      <c r="D376" s="8">
        <f>IF(ISNA(MATCH(363,Engine!$C$2:$C$679,0)),"",INDEX('Compliance Database'!$D$2:$D$679,MATCH(363,Engine!$C$2:$C$679,0)))</f>
        <v/>
      </c>
      <c r="E376">
        <f>IF(ISNA(MATCH(363,Engine!$C$2:$C$679,0)),"",INDEX('Compliance Database'!$E$2:$E$679,MATCH(363,Engine!$C$2:$C$679,0)))</f>
        <v/>
      </c>
      <c r="F376">
        <f>IF(ISNA(MATCH(363,Engine!$C$2:$C$679,0)),"",INDEX('Compliance Database'!$F$2:$F$679,MATCH(363,Engine!$C$2:$C$679,0)))</f>
        <v/>
      </c>
      <c r="G376">
        <f>IF(ISNA(MATCH(363,Engine!$C$2:$C$679,0)),"",INDEX('Compliance Database'!$G$2:$G$679,MATCH(363,Engine!$C$2:$C$679,0)))</f>
        <v/>
      </c>
      <c r="H376">
        <f>IF(ISNA(MATCH(363,Engine!$C$2:$C$679,0)),"",INDEX('Compliance Database'!$H$2:$H$679,MATCH(363,Engine!$C$2:$C$679,0)))</f>
        <v/>
      </c>
      <c r="I376" s="8">
        <f>IF(ISNA(MATCH(363,Engine!$C$2:$C$679,0)),"",INDEX('Compliance Database'!$I$2:$I$679,MATCH(363,Engine!$C$2:$C$679,0)))</f>
        <v/>
      </c>
      <c r="J376" s="8">
        <f>IF(ISNA(MATCH(363,Engine!$C$2:$C$679,0)),"",INDEX('Compliance Database'!$J$2:$J$679,MATCH(363,Engine!$C$2:$C$679,0)))</f>
        <v/>
      </c>
      <c r="K376">
        <f>IF(ISNA(MATCH(363,Engine!$C$2:$C$679,0)),"",INDEX('Compliance Database'!$K$2:$K$679,MATCH(363,Engine!$C$2:$C$679,0)))</f>
        <v/>
      </c>
      <c r="L376" s="8">
        <f>IF(ISNA(MATCH(363,Engine!$C$2:$C$679,0)),"",INDEX('Compliance Database'!$L$2:$L$679,MATCH(363,Engine!$C$2:$C$679,0)))</f>
        <v/>
      </c>
      <c r="M376" s="8">
        <f>IF(ISNA(MATCH(363,Engine!$C$2:$C$679,0)),"",INDEX('Compliance Database'!$M$2:$M$679,MATCH(363,Engine!$C$2:$C$679,0)))</f>
        <v/>
      </c>
      <c r="N376" s="8">
        <f>IF(ISNA(MATCH(363,Engine!$C$2:$C$679,0)),"",INDEX('Compliance Database'!$N$2:$N$679,MATCH(363,Engine!$C$2:$C$679,0)))</f>
        <v/>
      </c>
      <c r="O376" s="8">
        <f>IF(ISNA(MATCH(363,Engine!$C$2:$C$679,0)),"",INDEX('Compliance Database'!$O$2:$O$679,MATCH(363,Engine!$C$2:$C$679,0)))</f>
        <v/>
      </c>
      <c r="P376">
        <f>IF(ISNA(MATCH(363,Engine!$C$2:$C$679,0)),"",HYPERLINK(INDEX('Compliance Database'!$P$2:$P$679,MATCH(363,Engine!$C$2:$C$679,0)),"Open PDF"))</f>
        <v/>
      </c>
    </row>
    <row r="377">
      <c r="A377">
        <f>IF(ISNA(MATCH(364,Engine!$C$2:$C$679,0)),"",INDEX('Compliance Database'!$A$2:$A$679,MATCH(364,Engine!$C$2:$C$679,0)))</f>
        <v/>
      </c>
      <c r="B377">
        <f>IF(ISNA(MATCH(364,Engine!$C$2:$C$679,0)),"",INDEX('Compliance Database'!$B$2:$B$679,MATCH(364,Engine!$C$2:$C$679,0)))</f>
        <v/>
      </c>
      <c r="C377">
        <f>IF(ISNA(MATCH(364,Engine!$C$2:$C$679,0)),"",INDEX('Compliance Database'!$C$2:$C$679,MATCH(364,Engine!$C$2:$C$679,0)))</f>
        <v/>
      </c>
      <c r="D377" s="8">
        <f>IF(ISNA(MATCH(364,Engine!$C$2:$C$679,0)),"",INDEX('Compliance Database'!$D$2:$D$679,MATCH(364,Engine!$C$2:$C$679,0)))</f>
        <v/>
      </c>
      <c r="E377">
        <f>IF(ISNA(MATCH(364,Engine!$C$2:$C$679,0)),"",INDEX('Compliance Database'!$E$2:$E$679,MATCH(364,Engine!$C$2:$C$679,0)))</f>
        <v/>
      </c>
      <c r="F377">
        <f>IF(ISNA(MATCH(364,Engine!$C$2:$C$679,0)),"",INDEX('Compliance Database'!$F$2:$F$679,MATCH(364,Engine!$C$2:$C$679,0)))</f>
        <v/>
      </c>
      <c r="G377">
        <f>IF(ISNA(MATCH(364,Engine!$C$2:$C$679,0)),"",INDEX('Compliance Database'!$G$2:$G$679,MATCH(364,Engine!$C$2:$C$679,0)))</f>
        <v/>
      </c>
      <c r="H377">
        <f>IF(ISNA(MATCH(364,Engine!$C$2:$C$679,0)),"",INDEX('Compliance Database'!$H$2:$H$679,MATCH(364,Engine!$C$2:$C$679,0)))</f>
        <v/>
      </c>
      <c r="I377" s="8">
        <f>IF(ISNA(MATCH(364,Engine!$C$2:$C$679,0)),"",INDEX('Compliance Database'!$I$2:$I$679,MATCH(364,Engine!$C$2:$C$679,0)))</f>
        <v/>
      </c>
      <c r="J377" s="8">
        <f>IF(ISNA(MATCH(364,Engine!$C$2:$C$679,0)),"",INDEX('Compliance Database'!$J$2:$J$679,MATCH(364,Engine!$C$2:$C$679,0)))</f>
        <v/>
      </c>
      <c r="K377">
        <f>IF(ISNA(MATCH(364,Engine!$C$2:$C$679,0)),"",INDEX('Compliance Database'!$K$2:$K$679,MATCH(364,Engine!$C$2:$C$679,0)))</f>
        <v/>
      </c>
      <c r="L377" s="8">
        <f>IF(ISNA(MATCH(364,Engine!$C$2:$C$679,0)),"",INDEX('Compliance Database'!$L$2:$L$679,MATCH(364,Engine!$C$2:$C$679,0)))</f>
        <v/>
      </c>
      <c r="M377" s="8">
        <f>IF(ISNA(MATCH(364,Engine!$C$2:$C$679,0)),"",INDEX('Compliance Database'!$M$2:$M$679,MATCH(364,Engine!$C$2:$C$679,0)))</f>
        <v/>
      </c>
      <c r="N377" s="8">
        <f>IF(ISNA(MATCH(364,Engine!$C$2:$C$679,0)),"",INDEX('Compliance Database'!$N$2:$N$679,MATCH(364,Engine!$C$2:$C$679,0)))</f>
        <v/>
      </c>
      <c r="O377" s="8">
        <f>IF(ISNA(MATCH(364,Engine!$C$2:$C$679,0)),"",INDEX('Compliance Database'!$O$2:$O$679,MATCH(364,Engine!$C$2:$C$679,0)))</f>
        <v/>
      </c>
      <c r="P377">
        <f>IF(ISNA(MATCH(364,Engine!$C$2:$C$679,0)),"",HYPERLINK(INDEX('Compliance Database'!$P$2:$P$679,MATCH(364,Engine!$C$2:$C$679,0)),"Open PDF"))</f>
        <v/>
      </c>
    </row>
    <row r="378">
      <c r="A378">
        <f>IF(ISNA(MATCH(365,Engine!$C$2:$C$679,0)),"",INDEX('Compliance Database'!$A$2:$A$679,MATCH(365,Engine!$C$2:$C$679,0)))</f>
        <v/>
      </c>
      <c r="B378">
        <f>IF(ISNA(MATCH(365,Engine!$C$2:$C$679,0)),"",INDEX('Compliance Database'!$B$2:$B$679,MATCH(365,Engine!$C$2:$C$679,0)))</f>
        <v/>
      </c>
      <c r="C378">
        <f>IF(ISNA(MATCH(365,Engine!$C$2:$C$679,0)),"",INDEX('Compliance Database'!$C$2:$C$679,MATCH(365,Engine!$C$2:$C$679,0)))</f>
        <v/>
      </c>
      <c r="D378" s="8">
        <f>IF(ISNA(MATCH(365,Engine!$C$2:$C$679,0)),"",INDEX('Compliance Database'!$D$2:$D$679,MATCH(365,Engine!$C$2:$C$679,0)))</f>
        <v/>
      </c>
      <c r="E378">
        <f>IF(ISNA(MATCH(365,Engine!$C$2:$C$679,0)),"",INDEX('Compliance Database'!$E$2:$E$679,MATCH(365,Engine!$C$2:$C$679,0)))</f>
        <v/>
      </c>
      <c r="F378">
        <f>IF(ISNA(MATCH(365,Engine!$C$2:$C$679,0)),"",INDEX('Compliance Database'!$F$2:$F$679,MATCH(365,Engine!$C$2:$C$679,0)))</f>
        <v/>
      </c>
      <c r="G378">
        <f>IF(ISNA(MATCH(365,Engine!$C$2:$C$679,0)),"",INDEX('Compliance Database'!$G$2:$G$679,MATCH(365,Engine!$C$2:$C$679,0)))</f>
        <v/>
      </c>
      <c r="H378">
        <f>IF(ISNA(MATCH(365,Engine!$C$2:$C$679,0)),"",INDEX('Compliance Database'!$H$2:$H$679,MATCH(365,Engine!$C$2:$C$679,0)))</f>
        <v/>
      </c>
      <c r="I378" s="8">
        <f>IF(ISNA(MATCH(365,Engine!$C$2:$C$679,0)),"",INDEX('Compliance Database'!$I$2:$I$679,MATCH(365,Engine!$C$2:$C$679,0)))</f>
        <v/>
      </c>
      <c r="J378" s="8">
        <f>IF(ISNA(MATCH(365,Engine!$C$2:$C$679,0)),"",INDEX('Compliance Database'!$J$2:$J$679,MATCH(365,Engine!$C$2:$C$679,0)))</f>
        <v/>
      </c>
      <c r="K378">
        <f>IF(ISNA(MATCH(365,Engine!$C$2:$C$679,0)),"",INDEX('Compliance Database'!$K$2:$K$679,MATCH(365,Engine!$C$2:$C$679,0)))</f>
        <v/>
      </c>
      <c r="L378" s="8">
        <f>IF(ISNA(MATCH(365,Engine!$C$2:$C$679,0)),"",INDEX('Compliance Database'!$L$2:$L$679,MATCH(365,Engine!$C$2:$C$679,0)))</f>
        <v/>
      </c>
      <c r="M378" s="8">
        <f>IF(ISNA(MATCH(365,Engine!$C$2:$C$679,0)),"",INDEX('Compliance Database'!$M$2:$M$679,MATCH(365,Engine!$C$2:$C$679,0)))</f>
        <v/>
      </c>
      <c r="N378" s="8">
        <f>IF(ISNA(MATCH(365,Engine!$C$2:$C$679,0)),"",INDEX('Compliance Database'!$N$2:$N$679,MATCH(365,Engine!$C$2:$C$679,0)))</f>
        <v/>
      </c>
      <c r="O378" s="8">
        <f>IF(ISNA(MATCH(365,Engine!$C$2:$C$679,0)),"",INDEX('Compliance Database'!$O$2:$O$679,MATCH(365,Engine!$C$2:$C$679,0)))</f>
        <v/>
      </c>
      <c r="P378">
        <f>IF(ISNA(MATCH(365,Engine!$C$2:$C$679,0)),"",HYPERLINK(INDEX('Compliance Database'!$P$2:$P$679,MATCH(365,Engine!$C$2:$C$679,0)),"Open PDF"))</f>
        <v/>
      </c>
    </row>
    <row r="379">
      <c r="A379">
        <f>IF(ISNA(MATCH(366,Engine!$C$2:$C$679,0)),"",INDEX('Compliance Database'!$A$2:$A$679,MATCH(366,Engine!$C$2:$C$679,0)))</f>
        <v/>
      </c>
      <c r="B379">
        <f>IF(ISNA(MATCH(366,Engine!$C$2:$C$679,0)),"",INDEX('Compliance Database'!$B$2:$B$679,MATCH(366,Engine!$C$2:$C$679,0)))</f>
        <v/>
      </c>
      <c r="C379">
        <f>IF(ISNA(MATCH(366,Engine!$C$2:$C$679,0)),"",INDEX('Compliance Database'!$C$2:$C$679,MATCH(366,Engine!$C$2:$C$679,0)))</f>
        <v/>
      </c>
      <c r="D379" s="8">
        <f>IF(ISNA(MATCH(366,Engine!$C$2:$C$679,0)),"",INDEX('Compliance Database'!$D$2:$D$679,MATCH(366,Engine!$C$2:$C$679,0)))</f>
        <v/>
      </c>
      <c r="E379">
        <f>IF(ISNA(MATCH(366,Engine!$C$2:$C$679,0)),"",INDEX('Compliance Database'!$E$2:$E$679,MATCH(366,Engine!$C$2:$C$679,0)))</f>
        <v/>
      </c>
      <c r="F379">
        <f>IF(ISNA(MATCH(366,Engine!$C$2:$C$679,0)),"",INDEX('Compliance Database'!$F$2:$F$679,MATCH(366,Engine!$C$2:$C$679,0)))</f>
        <v/>
      </c>
      <c r="G379">
        <f>IF(ISNA(MATCH(366,Engine!$C$2:$C$679,0)),"",INDEX('Compliance Database'!$G$2:$G$679,MATCH(366,Engine!$C$2:$C$679,0)))</f>
        <v/>
      </c>
      <c r="H379">
        <f>IF(ISNA(MATCH(366,Engine!$C$2:$C$679,0)),"",INDEX('Compliance Database'!$H$2:$H$679,MATCH(366,Engine!$C$2:$C$679,0)))</f>
        <v/>
      </c>
      <c r="I379" s="8">
        <f>IF(ISNA(MATCH(366,Engine!$C$2:$C$679,0)),"",INDEX('Compliance Database'!$I$2:$I$679,MATCH(366,Engine!$C$2:$C$679,0)))</f>
        <v/>
      </c>
      <c r="J379" s="8">
        <f>IF(ISNA(MATCH(366,Engine!$C$2:$C$679,0)),"",INDEX('Compliance Database'!$J$2:$J$679,MATCH(366,Engine!$C$2:$C$679,0)))</f>
        <v/>
      </c>
      <c r="K379">
        <f>IF(ISNA(MATCH(366,Engine!$C$2:$C$679,0)),"",INDEX('Compliance Database'!$K$2:$K$679,MATCH(366,Engine!$C$2:$C$679,0)))</f>
        <v/>
      </c>
      <c r="L379" s="8">
        <f>IF(ISNA(MATCH(366,Engine!$C$2:$C$679,0)),"",INDEX('Compliance Database'!$L$2:$L$679,MATCH(366,Engine!$C$2:$C$679,0)))</f>
        <v/>
      </c>
      <c r="M379" s="8">
        <f>IF(ISNA(MATCH(366,Engine!$C$2:$C$679,0)),"",INDEX('Compliance Database'!$M$2:$M$679,MATCH(366,Engine!$C$2:$C$679,0)))</f>
        <v/>
      </c>
      <c r="N379" s="8">
        <f>IF(ISNA(MATCH(366,Engine!$C$2:$C$679,0)),"",INDEX('Compliance Database'!$N$2:$N$679,MATCH(366,Engine!$C$2:$C$679,0)))</f>
        <v/>
      </c>
      <c r="O379" s="8">
        <f>IF(ISNA(MATCH(366,Engine!$C$2:$C$679,0)),"",INDEX('Compliance Database'!$O$2:$O$679,MATCH(366,Engine!$C$2:$C$679,0)))</f>
        <v/>
      </c>
      <c r="P379">
        <f>IF(ISNA(MATCH(366,Engine!$C$2:$C$679,0)),"",HYPERLINK(INDEX('Compliance Database'!$P$2:$P$679,MATCH(366,Engine!$C$2:$C$679,0)),"Open PDF"))</f>
        <v/>
      </c>
    </row>
    <row r="380">
      <c r="A380">
        <f>IF(ISNA(MATCH(367,Engine!$C$2:$C$679,0)),"",INDEX('Compliance Database'!$A$2:$A$679,MATCH(367,Engine!$C$2:$C$679,0)))</f>
        <v/>
      </c>
      <c r="B380">
        <f>IF(ISNA(MATCH(367,Engine!$C$2:$C$679,0)),"",INDEX('Compliance Database'!$B$2:$B$679,MATCH(367,Engine!$C$2:$C$679,0)))</f>
        <v/>
      </c>
      <c r="C380">
        <f>IF(ISNA(MATCH(367,Engine!$C$2:$C$679,0)),"",INDEX('Compliance Database'!$C$2:$C$679,MATCH(367,Engine!$C$2:$C$679,0)))</f>
        <v/>
      </c>
      <c r="D380" s="8">
        <f>IF(ISNA(MATCH(367,Engine!$C$2:$C$679,0)),"",INDEX('Compliance Database'!$D$2:$D$679,MATCH(367,Engine!$C$2:$C$679,0)))</f>
        <v/>
      </c>
      <c r="E380">
        <f>IF(ISNA(MATCH(367,Engine!$C$2:$C$679,0)),"",INDEX('Compliance Database'!$E$2:$E$679,MATCH(367,Engine!$C$2:$C$679,0)))</f>
        <v/>
      </c>
      <c r="F380">
        <f>IF(ISNA(MATCH(367,Engine!$C$2:$C$679,0)),"",INDEX('Compliance Database'!$F$2:$F$679,MATCH(367,Engine!$C$2:$C$679,0)))</f>
        <v/>
      </c>
      <c r="G380">
        <f>IF(ISNA(MATCH(367,Engine!$C$2:$C$679,0)),"",INDEX('Compliance Database'!$G$2:$G$679,MATCH(367,Engine!$C$2:$C$679,0)))</f>
        <v/>
      </c>
      <c r="H380">
        <f>IF(ISNA(MATCH(367,Engine!$C$2:$C$679,0)),"",INDEX('Compliance Database'!$H$2:$H$679,MATCH(367,Engine!$C$2:$C$679,0)))</f>
        <v/>
      </c>
      <c r="I380" s="8">
        <f>IF(ISNA(MATCH(367,Engine!$C$2:$C$679,0)),"",INDEX('Compliance Database'!$I$2:$I$679,MATCH(367,Engine!$C$2:$C$679,0)))</f>
        <v/>
      </c>
      <c r="J380" s="8">
        <f>IF(ISNA(MATCH(367,Engine!$C$2:$C$679,0)),"",INDEX('Compliance Database'!$J$2:$J$679,MATCH(367,Engine!$C$2:$C$679,0)))</f>
        <v/>
      </c>
      <c r="K380">
        <f>IF(ISNA(MATCH(367,Engine!$C$2:$C$679,0)),"",INDEX('Compliance Database'!$K$2:$K$679,MATCH(367,Engine!$C$2:$C$679,0)))</f>
        <v/>
      </c>
      <c r="L380" s="8">
        <f>IF(ISNA(MATCH(367,Engine!$C$2:$C$679,0)),"",INDEX('Compliance Database'!$L$2:$L$679,MATCH(367,Engine!$C$2:$C$679,0)))</f>
        <v/>
      </c>
      <c r="M380" s="8">
        <f>IF(ISNA(MATCH(367,Engine!$C$2:$C$679,0)),"",INDEX('Compliance Database'!$M$2:$M$679,MATCH(367,Engine!$C$2:$C$679,0)))</f>
        <v/>
      </c>
      <c r="N380" s="8">
        <f>IF(ISNA(MATCH(367,Engine!$C$2:$C$679,0)),"",INDEX('Compliance Database'!$N$2:$N$679,MATCH(367,Engine!$C$2:$C$679,0)))</f>
        <v/>
      </c>
      <c r="O380" s="8">
        <f>IF(ISNA(MATCH(367,Engine!$C$2:$C$679,0)),"",INDEX('Compliance Database'!$O$2:$O$679,MATCH(367,Engine!$C$2:$C$679,0)))</f>
        <v/>
      </c>
      <c r="P380">
        <f>IF(ISNA(MATCH(367,Engine!$C$2:$C$679,0)),"",HYPERLINK(INDEX('Compliance Database'!$P$2:$P$679,MATCH(367,Engine!$C$2:$C$679,0)),"Open PDF"))</f>
        <v/>
      </c>
    </row>
    <row r="381">
      <c r="A381">
        <f>IF(ISNA(MATCH(368,Engine!$C$2:$C$679,0)),"",INDEX('Compliance Database'!$A$2:$A$679,MATCH(368,Engine!$C$2:$C$679,0)))</f>
        <v/>
      </c>
      <c r="B381">
        <f>IF(ISNA(MATCH(368,Engine!$C$2:$C$679,0)),"",INDEX('Compliance Database'!$B$2:$B$679,MATCH(368,Engine!$C$2:$C$679,0)))</f>
        <v/>
      </c>
      <c r="C381">
        <f>IF(ISNA(MATCH(368,Engine!$C$2:$C$679,0)),"",INDEX('Compliance Database'!$C$2:$C$679,MATCH(368,Engine!$C$2:$C$679,0)))</f>
        <v/>
      </c>
      <c r="D381" s="8">
        <f>IF(ISNA(MATCH(368,Engine!$C$2:$C$679,0)),"",INDEX('Compliance Database'!$D$2:$D$679,MATCH(368,Engine!$C$2:$C$679,0)))</f>
        <v/>
      </c>
      <c r="E381">
        <f>IF(ISNA(MATCH(368,Engine!$C$2:$C$679,0)),"",INDEX('Compliance Database'!$E$2:$E$679,MATCH(368,Engine!$C$2:$C$679,0)))</f>
        <v/>
      </c>
      <c r="F381">
        <f>IF(ISNA(MATCH(368,Engine!$C$2:$C$679,0)),"",INDEX('Compliance Database'!$F$2:$F$679,MATCH(368,Engine!$C$2:$C$679,0)))</f>
        <v/>
      </c>
      <c r="G381">
        <f>IF(ISNA(MATCH(368,Engine!$C$2:$C$679,0)),"",INDEX('Compliance Database'!$G$2:$G$679,MATCH(368,Engine!$C$2:$C$679,0)))</f>
        <v/>
      </c>
      <c r="H381">
        <f>IF(ISNA(MATCH(368,Engine!$C$2:$C$679,0)),"",INDEX('Compliance Database'!$H$2:$H$679,MATCH(368,Engine!$C$2:$C$679,0)))</f>
        <v/>
      </c>
      <c r="I381" s="8">
        <f>IF(ISNA(MATCH(368,Engine!$C$2:$C$679,0)),"",INDEX('Compliance Database'!$I$2:$I$679,MATCH(368,Engine!$C$2:$C$679,0)))</f>
        <v/>
      </c>
      <c r="J381" s="8">
        <f>IF(ISNA(MATCH(368,Engine!$C$2:$C$679,0)),"",INDEX('Compliance Database'!$J$2:$J$679,MATCH(368,Engine!$C$2:$C$679,0)))</f>
        <v/>
      </c>
      <c r="K381">
        <f>IF(ISNA(MATCH(368,Engine!$C$2:$C$679,0)),"",INDEX('Compliance Database'!$K$2:$K$679,MATCH(368,Engine!$C$2:$C$679,0)))</f>
        <v/>
      </c>
      <c r="L381" s="8">
        <f>IF(ISNA(MATCH(368,Engine!$C$2:$C$679,0)),"",INDEX('Compliance Database'!$L$2:$L$679,MATCH(368,Engine!$C$2:$C$679,0)))</f>
        <v/>
      </c>
      <c r="M381" s="8">
        <f>IF(ISNA(MATCH(368,Engine!$C$2:$C$679,0)),"",INDEX('Compliance Database'!$M$2:$M$679,MATCH(368,Engine!$C$2:$C$679,0)))</f>
        <v/>
      </c>
      <c r="N381" s="8">
        <f>IF(ISNA(MATCH(368,Engine!$C$2:$C$679,0)),"",INDEX('Compliance Database'!$N$2:$N$679,MATCH(368,Engine!$C$2:$C$679,0)))</f>
        <v/>
      </c>
      <c r="O381" s="8">
        <f>IF(ISNA(MATCH(368,Engine!$C$2:$C$679,0)),"",INDEX('Compliance Database'!$O$2:$O$679,MATCH(368,Engine!$C$2:$C$679,0)))</f>
        <v/>
      </c>
      <c r="P381">
        <f>IF(ISNA(MATCH(368,Engine!$C$2:$C$679,0)),"",HYPERLINK(INDEX('Compliance Database'!$P$2:$P$679,MATCH(368,Engine!$C$2:$C$679,0)),"Open PDF"))</f>
        <v/>
      </c>
    </row>
    <row r="382">
      <c r="A382">
        <f>IF(ISNA(MATCH(369,Engine!$C$2:$C$679,0)),"",INDEX('Compliance Database'!$A$2:$A$679,MATCH(369,Engine!$C$2:$C$679,0)))</f>
        <v/>
      </c>
      <c r="B382">
        <f>IF(ISNA(MATCH(369,Engine!$C$2:$C$679,0)),"",INDEX('Compliance Database'!$B$2:$B$679,MATCH(369,Engine!$C$2:$C$679,0)))</f>
        <v/>
      </c>
      <c r="C382">
        <f>IF(ISNA(MATCH(369,Engine!$C$2:$C$679,0)),"",INDEX('Compliance Database'!$C$2:$C$679,MATCH(369,Engine!$C$2:$C$679,0)))</f>
        <v/>
      </c>
      <c r="D382" s="8">
        <f>IF(ISNA(MATCH(369,Engine!$C$2:$C$679,0)),"",INDEX('Compliance Database'!$D$2:$D$679,MATCH(369,Engine!$C$2:$C$679,0)))</f>
        <v/>
      </c>
      <c r="E382">
        <f>IF(ISNA(MATCH(369,Engine!$C$2:$C$679,0)),"",INDEX('Compliance Database'!$E$2:$E$679,MATCH(369,Engine!$C$2:$C$679,0)))</f>
        <v/>
      </c>
      <c r="F382">
        <f>IF(ISNA(MATCH(369,Engine!$C$2:$C$679,0)),"",INDEX('Compliance Database'!$F$2:$F$679,MATCH(369,Engine!$C$2:$C$679,0)))</f>
        <v/>
      </c>
      <c r="G382">
        <f>IF(ISNA(MATCH(369,Engine!$C$2:$C$679,0)),"",INDEX('Compliance Database'!$G$2:$G$679,MATCH(369,Engine!$C$2:$C$679,0)))</f>
        <v/>
      </c>
      <c r="H382">
        <f>IF(ISNA(MATCH(369,Engine!$C$2:$C$679,0)),"",INDEX('Compliance Database'!$H$2:$H$679,MATCH(369,Engine!$C$2:$C$679,0)))</f>
        <v/>
      </c>
      <c r="I382" s="8">
        <f>IF(ISNA(MATCH(369,Engine!$C$2:$C$679,0)),"",INDEX('Compliance Database'!$I$2:$I$679,MATCH(369,Engine!$C$2:$C$679,0)))</f>
        <v/>
      </c>
      <c r="J382" s="8">
        <f>IF(ISNA(MATCH(369,Engine!$C$2:$C$679,0)),"",INDEX('Compliance Database'!$J$2:$J$679,MATCH(369,Engine!$C$2:$C$679,0)))</f>
        <v/>
      </c>
      <c r="K382">
        <f>IF(ISNA(MATCH(369,Engine!$C$2:$C$679,0)),"",INDEX('Compliance Database'!$K$2:$K$679,MATCH(369,Engine!$C$2:$C$679,0)))</f>
        <v/>
      </c>
      <c r="L382" s="8">
        <f>IF(ISNA(MATCH(369,Engine!$C$2:$C$679,0)),"",INDEX('Compliance Database'!$L$2:$L$679,MATCH(369,Engine!$C$2:$C$679,0)))</f>
        <v/>
      </c>
      <c r="M382" s="8">
        <f>IF(ISNA(MATCH(369,Engine!$C$2:$C$679,0)),"",INDEX('Compliance Database'!$M$2:$M$679,MATCH(369,Engine!$C$2:$C$679,0)))</f>
        <v/>
      </c>
      <c r="N382" s="8">
        <f>IF(ISNA(MATCH(369,Engine!$C$2:$C$679,0)),"",INDEX('Compliance Database'!$N$2:$N$679,MATCH(369,Engine!$C$2:$C$679,0)))</f>
        <v/>
      </c>
      <c r="O382" s="8">
        <f>IF(ISNA(MATCH(369,Engine!$C$2:$C$679,0)),"",INDEX('Compliance Database'!$O$2:$O$679,MATCH(369,Engine!$C$2:$C$679,0)))</f>
        <v/>
      </c>
      <c r="P382">
        <f>IF(ISNA(MATCH(369,Engine!$C$2:$C$679,0)),"",HYPERLINK(INDEX('Compliance Database'!$P$2:$P$679,MATCH(369,Engine!$C$2:$C$679,0)),"Open PDF"))</f>
        <v/>
      </c>
    </row>
    <row r="383">
      <c r="A383">
        <f>IF(ISNA(MATCH(370,Engine!$C$2:$C$679,0)),"",INDEX('Compliance Database'!$A$2:$A$679,MATCH(370,Engine!$C$2:$C$679,0)))</f>
        <v/>
      </c>
      <c r="B383">
        <f>IF(ISNA(MATCH(370,Engine!$C$2:$C$679,0)),"",INDEX('Compliance Database'!$B$2:$B$679,MATCH(370,Engine!$C$2:$C$679,0)))</f>
        <v/>
      </c>
      <c r="C383">
        <f>IF(ISNA(MATCH(370,Engine!$C$2:$C$679,0)),"",INDEX('Compliance Database'!$C$2:$C$679,MATCH(370,Engine!$C$2:$C$679,0)))</f>
        <v/>
      </c>
      <c r="D383" s="8">
        <f>IF(ISNA(MATCH(370,Engine!$C$2:$C$679,0)),"",INDEX('Compliance Database'!$D$2:$D$679,MATCH(370,Engine!$C$2:$C$679,0)))</f>
        <v/>
      </c>
      <c r="E383">
        <f>IF(ISNA(MATCH(370,Engine!$C$2:$C$679,0)),"",INDEX('Compliance Database'!$E$2:$E$679,MATCH(370,Engine!$C$2:$C$679,0)))</f>
        <v/>
      </c>
      <c r="F383">
        <f>IF(ISNA(MATCH(370,Engine!$C$2:$C$679,0)),"",INDEX('Compliance Database'!$F$2:$F$679,MATCH(370,Engine!$C$2:$C$679,0)))</f>
        <v/>
      </c>
      <c r="G383">
        <f>IF(ISNA(MATCH(370,Engine!$C$2:$C$679,0)),"",INDEX('Compliance Database'!$G$2:$G$679,MATCH(370,Engine!$C$2:$C$679,0)))</f>
        <v/>
      </c>
      <c r="H383">
        <f>IF(ISNA(MATCH(370,Engine!$C$2:$C$679,0)),"",INDEX('Compliance Database'!$H$2:$H$679,MATCH(370,Engine!$C$2:$C$679,0)))</f>
        <v/>
      </c>
      <c r="I383" s="8">
        <f>IF(ISNA(MATCH(370,Engine!$C$2:$C$679,0)),"",INDEX('Compliance Database'!$I$2:$I$679,MATCH(370,Engine!$C$2:$C$679,0)))</f>
        <v/>
      </c>
      <c r="J383" s="8">
        <f>IF(ISNA(MATCH(370,Engine!$C$2:$C$679,0)),"",INDEX('Compliance Database'!$J$2:$J$679,MATCH(370,Engine!$C$2:$C$679,0)))</f>
        <v/>
      </c>
      <c r="K383">
        <f>IF(ISNA(MATCH(370,Engine!$C$2:$C$679,0)),"",INDEX('Compliance Database'!$K$2:$K$679,MATCH(370,Engine!$C$2:$C$679,0)))</f>
        <v/>
      </c>
      <c r="L383" s="8">
        <f>IF(ISNA(MATCH(370,Engine!$C$2:$C$679,0)),"",INDEX('Compliance Database'!$L$2:$L$679,MATCH(370,Engine!$C$2:$C$679,0)))</f>
        <v/>
      </c>
      <c r="M383" s="8">
        <f>IF(ISNA(MATCH(370,Engine!$C$2:$C$679,0)),"",INDEX('Compliance Database'!$M$2:$M$679,MATCH(370,Engine!$C$2:$C$679,0)))</f>
        <v/>
      </c>
      <c r="N383" s="8">
        <f>IF(ISNA(MATCH(370,Engine!$C$2:$C$679,0)),"",INDEX('Compliance Database'!$N$2:$N$679,MATCH(370,Engine!$C$2:$C$679,0)))</f>
        <v/>
      </c>
      <c r="O383" s="8">
        <f>IF(ISNA(MATCH(370,Engine!$C$2:$C$679,0)),"",INDEX('Compliance Database'!$O$2:$O$679,MATCH(370,Engine!$C$2:$C$679,0)))</f>
        <v/>
      </c>
      <c r="P383">
        <f>IF(ISNA(MATCH(370,Engine!$C$2:$C$679,0)),"",HYPERLINK(INDEX('Compliance Database'!$P$2:$P$679,MATCH(370,Engine!$C$2:$C$679,0)),"Open PDF"))</f>
        <v/>
      </c>
    </row>
    <row r="384">
      <c r="A384">
        <f>IF(ISNA(MATCH(371,Engine!$C$2:$C$679,0)),"",INDEX('Compliance Database'!$A$2:$A$679,MATCH(371,Engine!$C$2:$C$679,0)))</f>
        <v/>
      </c>
      <c r="B384">
        <f>IF(ISNA(MATCH(371,Engine!$C$2:$C$679,0)),"",INDEX('Compliance Database'!$B$2:$B$679,MATCH(371,Engine!$C$2:$C$679,0)))</f>
        <v/>
      </c>
      <c r="C384">
        <f>IF(ISNA(MATCH(371,Engine!$C$2:$C$679,0)),"",INDEX('Compliance Database'!$C$2:$C$679,MATCH(371,Engine!$C$2:$C$679,0)))</f>
        <v/>
      </c>
      <c r="D384" s="8">
        <f>IF(ISNA(MATCH(371,Engine!$C$2:$C$679,0)),"",INDEX('Compliance Database'!$D$2:$D$679,MATCH(371,Engine!$C$2:$C$679,0)))</f>
        <v/>
      </c>
      <c r="E384">
        <f>IF(ISNA(MATCH(371,Engine!$C$2:$C$679,0)),"",INDEX('Compliance Database'!$E$2:$E$679,MATCH(371,Engine!$C$2:$C$679,0)))</f>
        <v/>
      </c>
      <c r="F384">
        <f>IF(ISNA(MATCH(371,Engine!$C$2:$C$679,0)),"",INDEX('Compliance Database'!$F$2:$F$679,MATCH(371,Engine!$C$2:$C$679,0)))</f>
        <v/>
      </c>
      <c r="G384">
        <f>IF(ISNA(MATCH(371,Engine!$C$2:$C$679,0)),"",INDEX('Compliance Database'!$G$2:$G$679,MATCH(371,Engine!$C$2:$C$679,0)))</f>
        <v/>
      </c>
      <c r="H384">
        <f>IF(ISNA(MATCH(371,Engine!$C$2:$C$679,0)),"",INDEX('Compliance Database'!$H$2:$H$679,MATCH(371,Engine!$C$2:$C$679,0)))</f>
        <v/>
      </c>
      <c r="I384" s="8">
        <f>IF(ISNA(MATCH(371,Engine!$C$2:$C$679,0)),"",INDEX('Compliance Database'!$I$2:$I$679,MATCH(371,Engine!$C$2:$C$679,0)))</f>
        <v/>
      </c>
      <c r="J384" s="8">
        <f>IF(ISNA(MATCH(371,Engine!$C$2:$C$679,0)),"",INDEX('Compliance Database'!$J$2:$J$679,MATCH(371,Engine!$C$2:$C$679,0)))</f>
        <v/>
      </c>
      <c r="K384">
        <f>IF(ISNA(MATCH(371,Engine!$C$2:$C$679,0)),"",INDEX('Compliance Database'!$K$2:$K$679,MATCH(371,Engine!$C$2:$C$679,0)))</f>
        <v/>
      </c>
      <c r="L384" s="8">
        <f>IF(ISNA(MATCH(371,Engine!$C$2:$C$679,0)),"",INDEX('Compliance Database'!$L$2:$L$679,MATCH(371,Engine!$C$2:$C$679,0)))</f>
        <v/>
      </c>
      <c r="M384" s="8">
        <f>IF(ISNA(MATCH(371,Engine!$C$2:$C$679,0)),"",INDEX('Compliance Database'!$M$2:$M$679,MATCH(371,Engine!$C$2:$C$679,0)))</f>
        <v/>
      </c>
      <c r="N384" s="8">
        <f>IF(ISNA(MATCH(371,Engine!$C$2:$C$679,0)),"",INDEX('Compliance Database'!$N$2:$N$679,MATCH(371,Engine!$C$2:$C$679,0)))</f>
        <v/>
      </c>
      <c r="O384" s="8">
        <f>IF(ISNA(MATCH(371,Engine!$C$2:$C$679,0)),"",INDEX('Compliance Database'!$O$2:$O$679,MATCH(371,Engine!$C$2:$C$679,0)))</f>
        <v/>
      </c>
      <c r="P384">
        <f>IF(ISNA(MATCH(371,Engine!$C$2:$C$679,0)),"",HYPERLINK(INDEX('Compliance Database'!$P$2:$P$679,MATCH(371,Engine!$C$2:$C$679,0)),"Open PDF"))</f>
        <v/>
      </c>
    </row>
    <row r="385">
      <c r="A385">
        <f>IF(ISNA(MATCH(372,Engine!$C$2:$C$679,0)),"",INDEX('Compliance Database'!$A$2:$A$679,MATCH(372,Engine!$C$2:$C$679,0)))</f>
        <v/>
      </c>
      <c r="B385">
        <f>IF(ISNA(MATCH(372,Engine!$C$2:$C$679,0)),"",INDEX('Compliance Database'!$B$2:$B$679,MATCH(372,Engine!$C$2:$C$679,0)))</f>
        <v/>
      </c>
      <c r="C385">
        <f>IF(ISNA(MATCH(372,Engine!$C$2:$C$679,0)),"",INDEX('Compliance Database'!$C$2:$C$679,MATCH(372,Engine!$C$2:$C$679,0)))</f>
        <v/>
      </c>
      <c r="D385" s="8">
        <f>IF(ISNA(MATCH(372,Engine!$C$2:$C$679,0)),"",INDEX('Compliance Database'!$D$2:$D$679,MATCH(372,Engine!$C$2:$C$679,0)))</f>
        <v/>
      </c>
      <c r="E385">
        <f>IF(ISNA(MATCH(372,Engine!$C$2:$C$679,0)),"",INDEX('Compliance Database'!$E$2:$E$679,MATCH(372,Engine!$C$2:$C$679,0)))</f>
        <v/>
      </c>
      <c r="F385">
        <f>IF(ISNA(MATCH(372,Engine!$C$2:$C$679,0)),"",INDEX('Compliance Database'!$F$2:$F$679,MATCH(372,Engine!$C$2:$C$679,0)))</f>
        <v/>
      </c>
      <c r="G385">
        <f>IF(ISNA(MATCH(372,Engine!$C$2:$C$679,0)),"",INDEX('Compliance Database'!$G$2:$G$679,MATCH(372,Engine!$C$2:$C$679,0)))</f>
        <v/>
      </c>
      <c r="H385">
        <f>IF(ISNA(MATCH(372,Engine!$C$2:$C$679,0)),"",INDEX('Compliance Database'!$H$2:$H$679,MATCH(372,Engine!$C$2:$C$679,0)))</f>
        <v/>
      </c>
      <c r="I385" s="8">
        <f>IF(ISNA(MATCH(372,Engine!$C$2:$C$679,0)),"",INDEX('Compliance Database'!$I$2:$I$679,MATCH(372,Engine!$C$2:$C$679,0)))</f>
        <v/>
      </c>
      <c r="J385" s="8">
        <f>IF(ISNA(MATCH(372,Engine!$C$2:$C$679,0)),"",INDEX('Compliance Database'!$J$2:$J$679,MATCH(372,Engine!$C$2:$C$679,0)))</f>
        <v/>
      </c>
      <c r="K385">
        <f>IF(ISNA(MATCH(372,Engine!$C$2:$C$679,0)),"",INDEX('Compliance Database'!$K$2:$K$679,MATCH(372,Engine!$C$2:$C$679,0)))</f>
        <v/>
      </c>
      <c r="L385" s="8">
        <f>IF(ISNA(MATCH(372,Engine!$C$2:$C$679,0)),"",INDEX('Compliance Database'!$L$2:$L$679,MATCH(372,Engine!$C$2:$C$679,0)))</f>
        <v/>
      </c>
      <c r="M385" s="8">
        <f>IF(ISNA(MATCH(372,Engine!$C$2:$C$679,0)),"",INDEX('Compliance Database'!$M$2:$M$679,MATCH(372,Engine!$C$2:$C$679,0)))</f>
        <v/>
      </c>
      <c r="N385" s="8">
        <f>IF(ISNA(MATCH(372,Engine!$C$2:$C$679,0)),"",INDEX('Compliance Database'!$N$2:$N$679,MATCH(372,Engine!$C$2:$C$679,0)))</f>
        <v/>
      </c>
      <c r="O385" s="8">
        <f>IF(ISNA(MATCH(372,Engine!$C$2:$C$679,0)),"",INDEX('Compliance Database'!$O$2:$O$679,MATCH(372,Engine!$C$2:$C$679,0)))</f>
        <v/>
      </c>
      <c r="P385">
        <f>IF(ISNA(MATCH(372,Engine!$C$2:$C$679,0)),"",HYPERLINK(INDEX('Compliance Database'!$P$2:$P$679,MATCH(372,Engine!$C$2:$C$679,0)),"Open PDF"))</f>
        <v/>
      </c>
    </row>
    <row r="386">
      <c r="A386">
        <f>IF(ISNA(MATCH(373,Engine!$C$2:$C$679,0)),"",INDEX('Compliance Database'!$A$2:$A$679,MATCH(373,Engine!$C$2:$C$679,0)))</f>
        <v/>
      </c>
      <c r="B386">
        <f>IF(ISNA(MATCH(373,Engine!$C$2:$C$679,0)),"",INDEX('Compliance Database'!$B$2:$B$679,MATCH(373,Engine!$C$2:$C$679,0)))</f>
        <v/>
      </c>
      <c r="C386">
        <f>IF(ISNA(MATCH(373,Engine!$C$2:$C$679,0)),"",INDEX('Compliance Database'!$C$2:$C$679,MATCH(373,Engine!$C$2:$C$679,0)))</f>
        <v/>
      </c>
      <c r="D386" s="8">
        <f>IF(ISNA(MATCH(373,Engine!$C$2:$C$679,0)),"",INDEX('Compliance Database'!$D$2:$D$679,MATCH(373,Engine!$C$2:$C$679,0)))</f>
        <v/>
      </c>
      <c r="E386">
        <f>IF(ISNA(MATCH(373,Engine!$C$2:$C$679,0)),"",INDEX('Compliance Database'!$E$2:$E$679,MATCH(373,Engine!$C$2:$C$679,0)))</f>
        <v/>
      </c>
      <c r="F386">
        <f>IF(ISNA(MATCH(373,Engine!$C$2:$C$679,0)),"",INDEX('Compliance Database'!$F$2:$F$679,MATCH(373,Engine!$C$2:$C$679,0)))</f>
        <v/>
      </c>
      <c r="G386">
        <f>IF(ISNA(MATCH(373,Engine!$C$2:$C$679,0)),"",INDEX('Compliance Database'!$G$2:$G$679,MATCH(373,Engine!$C$2:$C$679,0)))</f>
        <v/>
      </c>
      <c r="H386">
        <f>IF(ISNA(MATCH(373,Engine!$C$2:$C$679,0)),"",INDEX('Compliance Database'!$H$2:$H$679,MATCH(373,Engine!$C$2:$C$679,0)))</f>
        <v/>
      </c>
      <c r="I386" s="8">
        <f>IF(ISNA(MATCH(373,Engine!$C$2:$C$679,0)),"",INDEX('Compliance Database'!$I$2:$I$679,MATCH(373,Engine!$C$2:$C$679,0)))</f>
        <v/>
      </c>
      <c r="J386" s="8">
        <f>IF(ISNA(MATCH(373,Engine!$C$2:$C$679,0)),"",INDEX('Compliance Database'!$J$2:$J$679,MATCH(373,Engine!$C$2:$C$679,0)))</f>
        <v/>
      </c>
      <c r="K386">
        <f>IF(ISNA(MATCH(373,Engine!$C$2:$C$679,0)),"",INDEX('Compliance Database'!$K$2:$K$679,MATCH(373,Engine!$C$2:$C$679,0)))</f>
        <v/>
      </c>
      <c r="L386" s="8">
        <f>IF(ISNA(MATCH(373,Engine!$C$2:$C$679,0)),"",INDEX('Compliance Database'!$L$2:$L$679,MATCH(373,Engine!$C$2:$C$679,0)))</f>
        <v/>
      </c>
      <c r="M386" s="8">
        <f>IF(ISNA(MATCH(373,Engine!$C$2:$C$679,0)),"",INDEX('Compliance Database'!$M$2:$M$679,MATCH(373,Engine!$C$2:$C$679,0)))</f>
        <v/>
      </c>
      <c r="N386" s="8">
        <f>IF(ISNA(MATCH(373,Engine!$C$2:$C$679,0)),"",INDEX('Compliance Database'!$N$2:$N$679,MATCH(373,Engine!$C$2:$C$679,0)))</f>
        <v/>
      </c>
      <c r="O386" s="8">
        <f>IF(ISNA(MATCH(373,Engine!$C$2:$C$679,0)),"",INDEX('Compliance Database'!$O$2:$O$679,MATCH(373,Engine!$C$2:$C$679,0)))</f>
        <v/>
      </c>
      <c r="P386">
        <f>IF(ISNA(MATCH(373,Engine!$C$2:$C$679,0)),"",HYPERLINK(INDEX('Compliance Database'!$P$2:$P$679,MATCH(373,Engine!$C$2:$C$679,0)),"Open PDF"))</f>
        <v/>
      </c>
    </row>
    <row r="387">
      <c r="A387">
        <f>IF(ISNA(MATCH(374,Engine!$C$2:$C$679,0)),"",INDEX('Compliance Database'!$A$2:$A$679,MATCH(374,Engine!$C$2:$C$679,0)))</f>
        <v/>
      </c>
      <c r="B387">
        <f>IF(ISNA(MATCH(374,Engine!$C$2:$C$679,0)),"",INDEX('Compliance Database'!$B$2:$B$679,MATCH(374,Engine!$C$2:$C$679,0)))</f>
        <v/>
      </c>
      <c r="C387">
        <f>IF(ISNA(MATCH(374,Engine!$C$2:$C$679,0)),"",INDEX('Compliance Database'!$C$2:$C$679,MATCH(374,Engine!$C$2:$C$679,0)))</f>
        <v/>
      </c>
      <c r="D387" s="8">
        <f>IF(ISNA(MATCH(374,Engine!$C$2:$C$679,0)),"",INDEX('Compliance Database'!$D$2:$D$679,MATCH(374,Engine!$C$2:$C$679,0)))</f>
        <v/>
      </c>
      <c r="E387">
        <f>IF(ISNA(MATCH(374,Engine!$C$2:$C$679,0)),"",INDEX('Compliance Database'!$E$2:$E$679,MATCH(374,Engine!$C$2:$C$679,0)))</f>
        <v/>
      </c>
      <c r="F387">
        <f>IF(ISNA(MATCH(374,Engine!$C$2:$C$679,0)),"",INDEX('Compliance Database'!$F$2:$F$679,MATCH(374,Engine!$C$2:$C$679,0)))</f>
        <v/>
      </c>
      <c r="G387">
        <f>IF(ISNA(MATCH(374,Engine!$C$2:$C$679,0)),"",INDEX('Compliance Database'!$G$2:$G$679,MATCH(374,Engine!$C$2:$C$679,0)))</f>
        <v/>
      </c>
      <c r="H387">
        <f>IF(ISNA(MATCH(374,Engine!$C$2:$C$679,0)),"",INDEX('Compliance Database'!$H$2:$H$679,MATCH(374,Engine!$C$2:$C$679,0)))</f>
        <v/>
      </c>
      <c r="I387" s="8">
        <f>IF(ISNA(MATCH(374,Engine!$C$2:$C$679,0)),"",INDEX('Compliance Database'!$I$2:$I$679,MATCH(374,Engine!$C$2:$C$679,0)))</f>
        <v/>
      </c>
      <c r="J387" s="8">
        <f>IF(ISNA(MATCH(374,Engine!$C$2:$C$679,0)),"",INDEX('Compliance Database'!$J$2:$J$679,MATCH(374,Engine!$C$2:$C$679,0)))</f>
        <v/>
      </c>
      <c r="K387">
        <f>IF(ISNA(MATCH(374,Engine!$C$2:$C$679,0)),"",INDEX('Compliance Database'!$K$2:$K$679,MATCH(374,Engine!$C$2:$C$679,0)))</f>
        <v/>
      </c>
      <c r="L387" s="8">
        <f>IF(ISNA(MATCH(374,Engine!$C$2:$C$679,0)),"",INDEX('Compliance Database'!$L$2:$L$679,MATCH(374,Engine!$C$2:$C$679,0)))</f>
        <v/>
      </c>
      <c r="M387" s="8">
        <f>IF(ISNA(MATCH(374,Engine!$C$2:$C$679,0)),"",INDEX('Compliance Database'!$M$2:$M$679,MATCH(374,Engine!$C$2:$C$679,0)))</f>
        <v/>
      </c>
      <c r="N387" s="8">
        <f>IF(ISNA(MATCH(374,Engine!$C$2:$C$679,0)),"",INDEX('Compliance Database'!$N$2:$N$679,MATCH(374,Engine!$C$2:$C$679,0)))</f>
        <v/>
      </c>
      <c r="O387" s="8">
        <f>IF(ISNA(MATCH(374,Engine!$C$2:$C$679,0)),"",INDEX('Compliance Database'!$O$2:$O$679,MATCH(374,Engine!$C$2:$C$679,0)))</f>
        <v/>
      </c>
      <c r="P387">
        <f>IF(ISNA(MATCH(374,Engine!$C$2:$C$679,0)),"",HYPERLINK(INDEX('Compliance Database'!$P$2:$P$679,MATCH(374,Engine!$C$2:$C$679,0)),"Open PDF"))</f>
        <v/>
      </c>
    </row>
    <row r="388">
      <c r="A388">
        <f>IF(ISNA(MATCH(375,Engine!$C$2:$C$679,0)),"",INDEX('Compliance Database'!$A$2:$A$679,MATCH(375,Engine!$C$2:$C$679,0)))</f>
        <v/>
      </c>
      <c r="B388">
        <f>IF(ISNA(MATCH(375,Engine!$C$2:$C$679,0)),"",INDEX('Compliance Database'!$B$2:$B$679,MATCH(375,Engine!$C$2:$C$679,0)))</f>
        <v/>
      </c>
      <c r="C388">
        <f>IF(ISNA(MATCH(375,Engine!$C$2:$C$679,0)),"",INDEX('Compliance Database'!$C$2:$C$679,MATCH(375,Engine!$C$2:$C$679,0)))</f>
        <v/>
      </c>
      <c r="D388" s="8">
        <f>IF(ISNA(MATCH(375,Engine!$C$2:$C$679,0)),"",INDEX('Compliance Database'!$D$2:$D$679,MATCH(375,Engine!$C$2:$C$679,0)))</f>
        <v/>
      </c>
      <c r="E388">
        <f>IF(ISNA(MATCH(375,Engine!$C$2:$C$679,0)),"",INDEX('Compliance Database'!$E$2:$E$679,MATCH(375,Engine!$C$2:$C$679,0)))</f>
        <v/>
      </c>
      <c r="F388">
        <f>IF(ISNA(MATCH(375,Engine!$C$2:$C$679,0)),"",INDEX('Compliance Database'!$F$2:$F$679,MATCH(375,Engine!$C$2:$C$679,0)))</f>
        <v/>
      </c>
      <c r="G388">
        <f>IF(ISNA(MATCH(375,Engine!$C$2:$C$679,0)),"",INDEX('Compliance Database'!$G$2:$G$679,MATCH(375,Engine!$C$2:$C$679,0)))</f>
        <v/>
      </c>
      <c r="H388">
        <f>IF(ISNA(MATCH(375,Engine!$C$2:$C$679,0)),"",INDEX('Compliance Database'!$H$2:$H$679,MATCH(375,Engine!$C$2:$C$679,0)))</f>
        <v/>
      </c>
      <c r="I388" s="8">
        <f>IF(ISNA(MATCH(375,Engine!$C$2:$C$679,0)),"",INDEX('Compliance Database'!$I$2:$I$679,MATCH(375,Engine!$C$2:$C$679,0)))</f>
        <v/>
      </c>
      <c r="J388" s="8">
        <f>IF(ISNA(MATCH(375,Engine!$C$2:$C$679,0)),"",INDEX('Compliance Database'!$J$2:$J$679,MATCH(375,Engine!$C$2:$C$679,0)))</f>
        <v/>
      </c>
      <c r="K388">
        <f>IF(ISNA(MATCH(375,Engine!$C$2:$C$679,0)),"",INDEX('Compliance Database'!$K$2:$K$679,MATCH(375,Engine!$C$2:$C$679,0)))</f>
        <v/>
      </c>
      <c r="L388" s="8">
        <f>IF(ISNA(MATCH(375,Engine!$C$2:$C$679,0)),"",INDEX('Compliance Database'!$L$2:$L$679,MATCH(375,Engine!$C$2:$C$679,0)))</f>
        <v/>
      </c>
      <c r="M388" s="8">
        <f>IF(ISNA(MATCH(375,Engine!$C$2:$C$679,0)),"",INDEX('Compliance Database'!$M$2:$M$679,MATCH(375,Engine!$C$2:$C$679,0)))</f>
        <v/>
      </c>
      <c r="N388" s="8">
        <f>IF(ISNA(MATCH(375,Engine!$C$2:$C$679,0)),"",INDEX('Compliance Database'!$N$2:$N$679,MATCH(375,Engine!$C$2:$C$679,0)))</f>
        <v/>
      </c>
      <c r="O388" s="8">
        <f>IF(ISNA(MATCH(375,Engine!$C$2:$C$679,0)),"",INDEX('Compliance Database'!$O$2:$O$679,MATCH(375,Engine!$C$2:$C$679,0)))</f>
        <v/>
      </c>
      <c r="P388">
        <f>IF(ISNA(MATCH(375,Engine!$C$2:$C$679,0)),"",HYPERLINK(INDEX('Compliance Database'!$P$2:$P$679,MATCH(375,Engine!$C$2:$C$679,0)),"Open PDF"))</f>
        <v/>
      </c>
    </row>
    <row r="389">
      <c r="A389">
        <f>IF(ISNA(MATCH(376,Engine!$C$2:$C$679,0)),"",INDEX('Compliance Database'!$A$2:$A$679,MATCH(376,Engine!$C$2:$C$679,0)))</f>
        <v/>
      </c>
      <c r="B389">
        <f>IF(ISNA(MATCH(376,Engine!$C$2:$C$679,0)),"",INDEX('Compliance Database'!$B$2:$B$679,MATCH(376,Engine!$C$2:$C$679,0)))</f>
        <v/>
      </c>
      <c r="C389">
        <f>IF(ISNA(MATCH(376,Engine!$C$2:$C$679,0)),"",INDEX('Compliance Database'!$C$2:$C$679,MATCH(376,Engine!$C$2:$C$679,0)))</f>
        <v/>
      </c>
      <c r="D389" s="8">
        <f>IF(ISNA(MATCH(376,Engine!$C$2:$C$679,0)),"",INDEX('Compliance Database'!$D$2:$D$679,MATCH(376,Engine!$C$2:$C$679,0)))</f>
        <v/>
      </c>
      <c r="E389">
        <f>IF(ISNA(MATCH(376,Engine!$C$2:$C$679,0)),"",INDEX('Compliance Database'!$E$2:$E$679,MATCH(376,Engine!$C$2:$C$679,0)))</f>
        <v/>
      </c>
      <c r="F389">
        <f>IF(ISNA(MATCH(376,Engine!$C$2:$C$679,0)),"",INDEX('Compliance Database'!$F$2:$F$679,MATCH(376,Engine!$C$2:$C$679,0)))</f>
        <v/>
      </c>
      <c r="G389">
        <f>IF(ISNA(MATCH(376,Engine!$C$2:$C$679,0)),"",INDEX('Compliance Database'!$G$2:$G$679,MATCH(376,Engine!$C$2:$C$679,0)))</f>
        <v/>
      </c>
      <c r="H389">
        <f>IF(ISNA(MATCH(376,Engine!$C$2:$C$679,0)),"",INDEX('Compliance Database'!$H$2:$H$679,MATCH(376,Engine!$C$2:$C$679,0)))</f>
        <v/>
      </c>
      <c r="I389" s="8">
        <f>IF(ISNA(MATCH(376,Engine!$C$2:$C$679,0)),"",INDEX('Compliance Database'!$I$2:$I$679,MATCH(376,Engine!$C$2:$C$679,0)))</f>
        <v/>
      </c>
      <c r="J389" s="8">
        <f>IF(ISNA(MATCH(376,Engine!$C$2:$C$679,0)),"",INDEX('Compliance Database'!$J$2:$J$679,MATCH(376,Engine!$C$2:$C$679,0)))</f>
        <v/>
      </c>
      <c r="K389">
        <f>IF(ISNA(MATCH(376,Engine!$C$2:$C$679,0)),"",INDEX('Compliance Database'!$K$2:$K$679,MATCH(376,Engine!$C$2:$C$679,0)))</f>
        <v/>
      </c>
      <c r="L389" s="8">
        <f>IF(ISNA(MATCH(376,Engine!$C$2:$C$679,0)),"",INDEX('Compliance Database'!$L$2:$L$679,MATCH(376,Engine!$C$2:$C$679,0)))</f>
        <v/>
      </c>
      <c r="M389" s="8">
        <f>IF(ISNA(MATCH(376,Engine!$C$2:$C$679,0)),"",INDEX('Compliance Database'!$M$2:$M$679,MATCH(376,Engine!$C$2:$C$679,0)))</f>
        <v/>
      </c>
      <c r="N389" s="8">
        <f>IF(ISNA(MATCH(376,Engine!$C$2:$C$679,0)),"",INDEX('Compliance Database'!$N$2:$N$679,MATCH(376,Engine!$C$2:$C$679,0)))</f>
        <v/>
      </c>
      <c r="O389" s="8">
        <f>IF(ISNA(MATCH(376,Engine!$C$2:$C$679,0)),"",INDEX('Compliance Database'!$O$2:$O$679,MATCH(376,Engine!$C$2:$C$679,0)))</f>
        <v/>
      </c>
      <c r="P389">
        <f>IF(ISNA(MATCH(376,Engine!$C$2:$C$679,0)),"",HYPERLINK(INDEX('Compliance Database'!$P$2:$P$679,MATCH(376,Engine!$C$2:$C$679,0)),"Open PDF"))</f>
        <v/>
      </c>
    </row>
    <row r="390">
      <c r="A390">
        <f>IF(ISNA(MATCH(377,Engine!$C$2:$C$679,0)),"",INDEX('Compliance Database'!$A$2:$A$679,MATCH(377,Engine!$C$2:$C$679,0)))</f>
        <v/>
      </c>
      <c r="B390">
        <f>IF(ISNA(MATCH(377,Engine!$C$2:$C$679,0)),"",INDEX('Compliance Database'!$B$2:$B$679,MATCH(377,Engine!$C$2:$C$679,0)))</f>
        <v/>
      </c>
      <c r="C390">
        <f>IF(ISNA(MATCH(377,Engine!$C$2:$C$679,0)),"",INDEX('Compliance Database'!$C$2:$C$679,MATCH(377,Engine!$C$2:$C$679,0)))</f>
        <v/>
      </c>
      <c r="D390" s="8">
        <f>IF(ISNA(MATCH(377,Engine!$C$2:$C$679,0)),"",INDEX('Compliance Database'!$D$2:$D$679,MATCH(377,Engine!$C$2:$C$679,0)))</f>
        <v/>
      </c>
      <c r="E390">
        <f>IF(ISNA(MATCH(377,Engine!$C$2:$C$679,0)),"",INDEX('Compliance Database'!$E$2:$E$679,MATCH(377,Engine!$C$2:$C$679,0)))</f>
        <v/>
      </c>
      <c r="F390">
        <f>IF(ISNA(MATCH(377,Engine!$C$2:$C$679,0)),"",INDEX('Compliance Database'!$F$2:$F$679,MATCH(377,Engine!$C$2:$C$679,0)))</f>
        <v/>
      </c>
      <c r="G390">
        <f>IF(ISNA(MATCH(377,Engine!$C$2:$C$679,0)),"",INDEX('Compliance Database'!$G$2:$G$679,MATCH(377,Engine!$C$2:$C$679,0)))</f>
        <v/>
      </c>
      <c r="H390">
        <f>IF(ISNA(MATCH(377,Engine!$C$2:$C$679,0)),"",INDEX('Compliance Database'!$H$2:$H$679,MATCH(377,Engine!$C$2:$C$679,0)))</f>
        <v/>
      </c>
      <c r="I390" s="8">
        <f>IF(ISNA(MATCH(377,Engine!$C$2:$C$679,0)),"",INDEX('Compliance Database'!$I$2:$I$679,MATCH(377,Engine!$C$2:$C$679,0)))</f>
        <v/>
      </c>
      <c r="J390" s="8">
        <f>IF(ISNA(MATCH(377,Engine!$C$2:$C$679,0)),"",INDEX('Compliance Database'!$J$2:$J$679,MATCH(377,Engine!$C$2:$C$679,0)))</f>
        <v/>
      </c>
      <c r="K390">
        <f>IF(ISNA(MATCH(377,Engine!$C$2:$C$679,0)),"",INDEX('Compliance Database'!$K$2:$K$679,MATCH(377,Engine!$C$2:$C$679,0)))</f>
        <v/>
      </c>
      <c r="L390" s="8">
        <f>IF(ISNA(MATCH(377,Engine!$C$2:$C$679,0)),"",INDEX('Compliance Database'!$L$2:$L$679,MATCH(377,Engine!$C$2:$C$679,0)))</f>
        <v/>
      </c>
      <c r="M390" s="8">
        <f>IF(ISNA(MATCH(377,Engine!$C$2:$C$679,0)),"",INDEX('Compliance Database'!$M$2:$M$679,MATCH(377,Engine!$C$2:$C$679,0)))</f>
        <v/>
      </c>
      <c r="N390" s="8">
        <f>IF(ISNA(MATCH(377,Engine!$C$2:$C$679,0)),"",INDEX('Compliance Database'!$N$2:$N$679,MATCH(377,Engine!$C$2:$C$679,0)))</f>
        <v/>
      </c>
      <c r="O390" s="8">
        <f>IF(ISNA(MATCH(377,Engine!$C$2:$C$679,0)),"",INDEX('Compliance Database'!$O$2:$O$679,MATCH(377,Engine!$C$2:$C$679,0)))</f>
        <v/>
      </c>
      <c r="P390">
        <f>IF(ISNA(MATCH(377,Engine!$C$2:$C$679,0)),"",HYPERLINK(INDEX('Compliance Database'!$P$2:$P$679,MATCH(377,Engine!$C$2:$C$679,0)),"Open PDF"))</f>
        <v/>
      </c>
    </row>
    <row r="391">
      <c r="A391">
        <f>IF(ISNA(MATCH(378,Engine!$C$2:$C$679,0)),"",INDEX('Compliance Database'!$A$2:$A$679,MATCH(378,Engine!$C$2:$C$679,0)))</f>
        <v/>
      </c>
      <c r="B391">
        <f>IF(ISNA(MATCH(378,Engine!$C$2:$C$679,0)),"",INDEX('Compliance Database'!$B$2:$B$679,MATCH(378,Engine!$C$2:$C$679,0)))</f>
        <v/>
      </c>
      <c r="C391">
        <f>IF(ISNA(MATCH(378,Engine!$C$2:$C$679,0)),"",INDEX('Compliance Database'!$C$2:$C$679,MATCH(378,Engine!$C$2:$C$679,0)))</f>
        <v/>
      </c>
      <c r="D391" s="8">
        <f>IF(ISNA(MATCH(378,Engine!$C$2:$C$679,0)),"",INDEX('Compliance Database'!$D$2:$D$679,MATCH(378,Engine!$C$2:$C$679,0)))</f>
        <v/>
      </c>
      <c r="E391">
        <f>IF(ISNA(MATCH(378,Engine!$C$2:$C$679,0)),"",INDEX('Compliance Database'!$E$2:$E$679,MATCH(378,Engine!$C$2:$C$679,0)))</f>
        <v/>
      </c>
      <c r="F391">
        <f>IF(ISNA(MATCH(378,Engine!$C$2:$C$679,0)),"",INDEX('Compliance Database'!$F$2:$F$679,MATCH(378,Engine!$C$2:$C$679,0)))</f>
        <v/>
      </c>
      <c r="G391">
        <f>IF(ISNA(MATCH(378,Engine!$C$2:$C$679,0)),"",INDEX('Compliance Database'!$G$2:$G$679,MATCH(378,Engine!$C$2:$C$679,0)))</f>
        <v/>
      </c>
      <c r="H391">
        <f>IF(ISNA(MATCH(378,Engine!$C$2:$C$679,0)),"",INDEX('Compliance Database'!$H$2:$H$679,MATCH(378,Engine!$C$2:$C$679,0)))</f>
        <v/>
      </c>
      <c r="I391" s="8">
        <f>IF(ISNA(MATCH(378,Engine!$C$2:$C$679,0)),"",INDEX('Compliance Database'!$I$2:$I$679,MATCH(378,Engine!$C$2:$C$679,0)))</f>
        <v/>
      </c>
      <c r="J391" s="8">
        <f>IF(ISNA(MATCH(378,Engine!$C$2:$C$679,0)),"",INDEX('Compliance Database'!$J$2:$J$679,MATCH(378,Engine!$C$2:$C$679,0)))</f>
        <v/>
      </c>
      <c r="K391">
        <f>IF(ISNA(MATCH(378,Engine!$C$2:$C$679,0)),"",INDEX('Compliance Database'!$K$2:$K$679,MATCH(378,Engine!$C$2:$C$679,0)))</f>
        <v/>
      </c>
      <c r="L391" s="8">
        <f>IF(ISNA(MATCH(378,Engine!$C$2:$C$679,0)),"",INDEX('Compliance Database'!$L$2:$L$679,MATCH(378,Engine!$C$2:$C$679,0)))</f>
        <v/>
      </c>
      <c r="M391" s="8">
        <f>IF(ISNA(MATCH(378,Engine!$C$2:$C$679,0)),"",INDEX('Compliance Database'!$M$2:$M$679,MATCH(378,Engine!$C$2:$C$679,0)))</f>
        <v/>
      </c>
      <c r="N391" s="8">
        <f>IF(ISNA(MATCH(378,Engine!$C$2:$C$679,0)),"",INDEX('Compliance Database'!$N$2:$N$679,MATCH(378,Engine!$C$2:$C$679,0)))</f>
        <v/>
      </c>
      <c r="O391" s="8">
        <f>IF(ISNA(MATCH(378,Engine!$C$2:$C$679,0)),"",INDEX('Compliance Database'!$O$2:$O$679,MATCH(378,Engine!$C$2:$C$679,0)))</f>
        <v/>
      </c>
      <c r="P391">
        <f>IF(ISNA(MATCH(378,Engine!$C$2:$C$679,0)),"",HYPERLINK(INDEX('Compliance Database'!$P$2:$P$679,MATCH(378,Engine!$C$2:$C$679,0)),"Open PDF"))</f>
        <v/>
      </c>
    </row>
    <row r="392">
      <c r="A392">
        <f>IF(ISNA(MATCH(379,Engine!$C$2:$C$679,0)),"",INDEX('Compliance Database'!$A$2:$A$679,MATCH(379,Engine!$C$2:$C$679,0)))</f>
        <v/>
      </c>
      <c r="B392">
        <f>IF(ISNA(MATCH(379,Engine!$C$2:$C$679,0)),"",INDEX('Compliance Database'!$B$2:$B$679,MATCH(379,Engine!$C$2:$C$679,0)))</f>
        <v/>
      </c>
      <c r="C392">
        <f>IF(ISNA(MATCH(379,Engine!$C$2:$C$679,0)),"",INDEX('Compliance Database'!$C$2:$C$679,MATCH(379,Engine!$C$2:$C$679,0)))</f>
        <v/>
      </c>
      <c r="D392" s="8">
        <f>IF(ISNA(MATCH(379,Engine!$C$2:$C$679,0)),"",INDEX('Compliance Database'!$D$2:$D$679,MATCH(379,Engine!$C$2:$C$679,0)))</f>
        <v/>
      </c>
      <c r="E392">
        <f>IF(ISNA(MATCH(379,Engine!$C$2:$C$679,0)),"",INDEX('Compliance Database'!$E$2:$E$679,MATCH(379,Engine!$C$2:$C$679,0)))</f>
        <v/>
      </c>
      <c r="F392">
        <f>IF(ISNA(MATCH(379,Engine!$C$2:$C$679,0)),"",INDEX('Compliance Database'!$F$2:$F$679,MATCH(379,Engine!$C$2:$C$679,0)))</f>
        <v/>
      </c>
      <c r="G392">
        <f>IF(ISNA(MATCH(379,Engine!$C$2:$C$679,0)),"",INDEX('Compliance Database'!$G$2:$G$679,MATCH(379,Engine!$C$2:$C$679,0)))</f>
        <v/>
      </c>
      <c r="H392">
        <f>IF(ISNA(MATCH(379,Engine!$C$2:$C$679,0)),"",INDEX('Compliance Database'!$H$2:$H$679,MATCH(379,Engine!$C$2:$C$679,0)))</f>
        <v/>
      </c>
      <c r="I392" s="8">
        <f>IF(ISNA(MATCH(379,Engine!$C$2:$C$679,0)),"",INDEX('Compliance Database'!$I$2:$I$679,MATCH(379,Engine!$C$2:$C$679,0)))</f>
        <v/>
      </c>
      <c r="J392" s="8">
        <f>IF(ISNA(MATCH(379,Engine!$C$2:$C$679,0)),"",INDEX('Compliance Database'!$J$2:$J$679,MATCH(379,Engine!$C$2:$C$679,0)))</f>
        <v/>
      </c>
      <c r="K392">
        <f>IF(ISNA(MATCH(379,Engine!$C$2:$C$679,0)),"",INDEX('Compliance Database'!$K$2:$K$679,MATCH(379,Engine!$C$2:$C$679,0)))</f>
        <v/>
      </c>
      <c r="L392" s="8">
        <f>IF(ISNA(MATCH(379,Engine!$C$2:$C$679,0)),"",INDEX('Compliance Database'!$L$2:$L$679,MATCH(379,Engine!$C$2:$C$679,0)))</f>
        <v/>
      </c>
      <c r="M392" s="8">
        <f>IF(ISNA(MATCH(379,Engine!$C$2:$C$679,0)),"",INDEX('Compliance Database'!$M$2:$M$679,MATCH(379,Engine!$C$2:$C$679,0)))</f>
        <v/>
      </c>
      <c r="N392" s="8">
        <f>IF(ISNA(MATCH(379,Engine!$C$2:$C$679,0)),"",INDEX('Compliance Database'!$N$2:$N$679,MATCH(379,Engine!$C$2:$C$679,0)))</f>
        <v/>
      </c>
      <c r="O392" s="8">
        <f>IF(ISNA(MATCH(379,Engine!$C$2:$C$679,0)),"",INDEX('Compliance Database'!$O$2:$O$679,MATCH(379,Engine!$C$2:$C$679,0)))</f>
        <v/>
      </c>
      <c r="P392">
        <f>IF(ISNA(MATCH(379,Engine!$C$2:$C$679,0)),"",HYPERLINK(INDEX('Compliance Database'!$P$2:$P$679,MATCH(379,Engine!$C$2:$C$679,0)),"Open PDF"))</f>
        <v/>
      </c>
    </row>
    <row r="393">
      <c r="A393">
        <f>IF(ISNA(MATCH(380,Engine!$C$2:$C$679,0)),"",INDEX('Compliance Database'!$A$2:$A$679,MATCH(380,Engine!$C$2:$C$679,0)))</f>
        <v/>
      </c>
      <c r="B393">
        <f>IF(ISNA(MATCH(380,Engine!$C$2:$C$679,0)),"",INDEX('Compliance Database'!$B$2:$B$679,MATCH(380,Engine!$C$2:$C$679,0)))</f>
        <v/>
      </c>
      <c r="C393">
        <f>IF(ISNA(MATCH(380,Engine!$C$2:$C$679,0)),"",INDEX('Compliance Database'!$C$2:$C$679,MATCH(380,Engine!$C$2:$C$679,0)))</f>
        <v/>
      </c>
      <c r="D393" s="8">
        <f>IF(ISNA(MATCH(380,Engine!$C$2:$C$679,0)),"",INDEX('Compliance Database'!$D$2:$D$679,MATCH(380,Engine!$C$2:$C$679,0)))</f>
        <v/>
      </c>
      <c r="E393">
        <f>IF(ISNA(MATCH(380,Engine!$C$2:$C$679,0)),"",INDEX('Compliance Database'!$E$2:$E$679,MATCH(380,Engine!$C$2:$C$679,0)))</f>
        <v/>
      </c>
      <c r="F393">
        <f>IF(ISNA(MATCH(380,Engine!$C$2:$C$679,0)),"",INDEX('Compliance Database'!$F$2:$F$679,MATCH(380,Engine!$C$2:$C$679,0)))</f>
        <v/>
      </c>
      <c r="G393">
        <f>IF(ISNA(MATCH(380,Engine!$C$2:$C$679,0)),"",INDEX('Compliance Database'!$G$2:$G$679,MATCH(380,Engine!$C$2:$C$679,0)))</f>
        <v/>
      </c>
      <c r="H393">
        <f>IF(ISNA(MATCH(380,Engine!$C$2:$C$679,0)),"",INDEX('Compliance Database'!$H$2:$H$679,MATCH(380,Engine!$C$2:$C$679,0)))</f>
        <v/>
      </c>
      <c r="I393" s="8">
        <f>IF(ISNA(MATCH(380,Engine!$C$2:$C$679,0)),"",INDEX('Compliance Database'!$I$2:$I$679,MATCH(380,Engine!$C$2:$C$679,0)))</f>
        <v/>
      </c>
      <c r="J393" s="8">
        <f>IF(ISNA(MATCH(380,Engine!$C$2:$C$679,0)),"",INDEX('Compliance Database'!$J$2:$J$679,MATCH(380,Engine!$C$2:$C$679,0)))</f>
        <v/>
      </c>
      <c r="K393">
        <f>IF(ISNA(MATCH(380,Engine!$C$2:$C$679,0)),"",INDEX('Compliance Database'!$K$2:$K$679,MATCH(380,Engine!$C$2:$C$679,0)))</f>
        <v/>
      </c>
      <c r="L393" s="8">
        <f>IF(ISNA(MATCH(380,Engine!$C$2:$C$679,0)),"",INDEX('Compliance Database'!$L$2:$L$679,MATCH(380,Engine!$C$2:$C$679,0)))</f>
        <v/>
      </c>
      <c r="M393" s="8">
        <f>IF(ISNA(MATCH(380,Engine!$C$2:$C$679,0)),"",INDEX('Compliance Database'!$M$2:$M$679,MATCH(380,Engine!$C$2:$C$679,0)))</f>
        <v/>
      </c>
      <c r="N393" s="8">
        <f>IF(ISNA(MATCH(380,Engine!$C$2:$C$679,0)),"",INDEX('Compliance Database'!$N$2:$N$679,MATCH(380,Engine!$C$2:$C$679,0)))</f>
        <v/>
      </c>
      <c r="O393" s="8">
        <f>IF(ISNA(MATCH(380,Engine!$C$2:$C$679,0)),"",INDEX('Compliance Database'!$O$2:$O$679,MATCH(380,Engine!$C$2:$C$679,0)))</f>
        <v/>
      </c>
      <c r="P393">
        <f>IF(ISNA(MATCH(380,Engine!$C$2:$C$679,0)),"",HYPERLINK(INDEX('Compliance Database'!$P$2:$P$679,MATCH(380,Engine!$C$2:$C$679,0)),"Open PDF"))</f>
        <v/>
      </c>
    </row>
    <row r="394">
      <c r="A394">
        <f>IF(ISNA(MATCH(381,Engine!$C$2:$C$679,0)),"",INDEX('Compliance Database'!$A$2:$A$679,MATCH(381,Engine!$C$2:$C$679,0)))</f>
        <v/>
      </c>
      <c r="B394">
        <f>IF(ISNA(MATCH(381,Engine!$C$2:$C$679,0)),"",INDEX('Compliance Database'!$B$2:$B$679,MATCH(381,Engine!$C$2:$C$679,0)))</f>
        <v/>
      </c>
      <c r="C394">
        <f>IF(ISNA(MATCH(381,Engine!$C$2:$C$679,0)),"",INDEX('Compliance Database'!$C$2:$C$679,MATCH(381,Engine!$C$2:$C$679,0)))</f>
        <v/>
      </c>
      <c r="D394" s="8">
        <f>IF(ISNA(MATCH(381,Engine!$C$2:$C$679,0)),"",INDEX('Compliance Database'!$D$2:$D$679,MATCH(381,Engine!$C$2:$C$679,0)))</f>
        <v/>
      </c>
      <c r="E394">
        <f>IF(ISNA(MATCH(381,Engine!$C$2:$C$679,0)),"",INDEX('Compliance Database'!$E$2:$E$679,MATCH(381,Engine!$C$2:$C$679,0)))</f>
        <v/>
      </c>
      <c r="F394">
        <f>IF(ISNA(MATCH(381,Engine!$C$2:$C$679,0)),"",INDEX('Compliance Database'!$F$2:$F$679,MATCH(381,Engine!$C$2:$C$679,0)))</f>
        <v/>
      </c>
      <c r="G394">
        <f>IF(ISNA(MATCH(381,Engine!$C$2:$C$679,0)),"",INDEX('Compliance Database'!$G$2:$G$679,MATCH(381,Engine!$C$2:$C$679,0)))</f>
        <v/>
      </c>
      <c r="H394">
        <f>IF(ISNA(MATCH(381,Engine!$C$2:$C$679,0)),"",INDEX('Compliance Database'!$H$2:$H$679,MATCH(381,Engine!$C$2:$C$679,0)))</f>
        <v/>
      </c>
      <c r="I394" s="8">
        <f>IF(ISNA(MATCH(381,Engine!$C$2:$C$679,0)),"",INDEX('Compliance Database'!$I$2:$I$679,MATCH(381,Engine!$C$2:$C$679,0)))</f>
        <v/>
      </c>
      <c r="J394" s="8">
        <f>IF(ISNA(MATCH(381,Engine!$C$2:$C$679,0)),"",INDEX('Compliance Database'!$J$2:$J$679,MATCH(381,Engine!$C$2:$C$679,0)))</f>
        <v/>
      </c>
      <c r="K394">
        <f>IF(ISNA(MATCH(381,Engine!$C$2:$C$679,0)),"",INDEX('Compliance Database'!$K$2:$K$679,MATCH(381,Engine!$C$2:$C$679,0)))</f>
        <v/>
      </c>
      <c r="L394" s="8">
        <f>IF(ISNA(MATCH(381,Engine!$C$2:$C$679,0)),"",INDEX('Compliance Database'!$L$2:$L$679,MATCH(381,Engine!$C$2:$C$679,0)))</f>
        <v/>
      </c>
      <c r="M394" s="8">
        <f>IF(ISNA(MATCH(381,Engine!$C$2:$C$679,0)),"",INDEX('Compliance Database'!$M$2:$M$679,MATCH(381,Engine!$C$2:$C$679,0)))</f>
        <v/>
      </c>
      <c r="N394" s="8">
        <f>IF(ISNA(MATCH(381,Engine!$C$2:$C$679,0)),"",INDEX('Compliance Database'!$N$2:$N$679,MATCH(381,Engine!$C$2:$C$679,0)))</f>
        <v/>
      </c>
      <c r="O394" s="8">
        <f>IF(ISNA(MATCH(381,Engine!$C$2:$C$679,0)),"",INDEX('Compliance Database'!$O$2:$O$679,MATCH(381,Engine!$C$2:$C$679,0)))</f>
        <v/>
      </c>
      <c r="P394">
        <f>IF(ISNA(MATCH(381,Engine!$C$2:$C$679,0)),"",HYPERLINK(INDEX('Compliance Database'!$P$2:$P$679,MATCH(381,Engine!$C$2:$C$679,0)),"Open PDF"))</f>
        <v/>
      </c>
    </row>
    <row r="395">
      <c r="A395">
        <f>IF(ISNA(MATCH(382,Engine!$C$2:$C$679,0)),"",INDEX('Compliance Database'!$A$2:$A$679,MATCH(382,Engine!$C$2:$C$679,0)))</f>
        <v/>
      </c>
      <c r="B395">
        <f>IF(ISNA(MATCH(382,Engine!$C$2:$C$679,0)),"",INDEX('Compliance Database'!$B$2:$B$679,MATCH(382,Engine!$C$2:$C$679,0)))</f>
        <v/>
      </c>
      <c r="C395">
        <f>IF(ISNA(MATCH(382,Engine!$C$2:$C$679,0)),"",INDEX('Compliance Database'!$C$2:$C$679,MATCH(382,Engine!$C$2:$C$679,0)))</f>
        <v/>
      </c>
      <c r="D395" s="8">
        <f>IF(ISNA(MATCH(382,Engine!$C$2:$C$679,0)),"",INDEX('Compliance Database'!$D$2:$D$679,MATCH(382,Engine!$C$2:$C$679,0)))</f>
        <v/>
      </c>
      <c r="E395">
        <f>IF(ISNA(MATCH(382,Engine!$C$2:$C$679,0)),"",INDEX('Compliance Database'!$E$2:$E$679,MATCH(382,Engine!$C$2:$C$679,0)))</f>
        <v/>
      </c>
      <c r="F395">
        <f>IF(ISNA(MATCH(382,Engine!$C$2:$C$679,0)),"",INDEX('Compliance Database'!$F$2:$F$679,MATCH(382,Engine!$C$2:$C$679,0)))</f>
        <v/>
      </c>
      <c r="G395">
        <f>IF(ISNA(MATCH(382,Engine!$C$2:$C$679,0)),"",INDEX('Compliance Database'!$G$2:$G$679,MATCH(382,Engine!$C$2:$C$679,0)))</f>
        <v/>
      </c>
      <c r="H395">
        <f>IF(ISNA(MATCH(382,Engine!$C$2:$C$679,0)),"",INDEX('Compliance Database'!$H$2:$H$679,MATCH(382,Engine!$C$2:$C$679,0)))</f>
        <v/>
      </c>
      <c r="I395" s="8">
        <f>IF(ISNA(MATCH(382,Engine!$C$2:$C$679,0)),"",INDEX('Compliance Database'!$I$2:$I$679,MATCH(382,Engine!$C$2:$C$679,0)))</f>
        <v/>
      </c>
      <c r="J395" s="8">
        <f>IF(ISNA(MATCH(382,Engine!$C$2:$C$679,0)),"",INDEX('Compliance Database'!$J$2:$J$679,MATCH(382,Engine!$C$2:$C$679,0)))</f>
        <v/>
      </c>
      <c r="K395">
        <f>IF(ISNA(MATCH(382,Engine!$C$2:$C$679,0)),"",INDEX('Compliance Database'!$K$2:$K$679,MATCH(382,Engine!$C$2:$C$679,0)))</f>
        <v/>
      </c>
      <c r="L395" s="8">
        <f>IF(ISNA(MATCH(382,Engine!$C$2:$C$679,0)),"",INDEX('Compliance Database'!$L$2:$L$679,MATCH(382,Engine!$C$2:$C$679,0)))</f>
        <v/>
      </c>
      <c r="M395" s="8">
        <f>IF(ISNA(MATCH(382,Engine!$C$2:$C$679,0)),"",INDEX('Compliance Database'!$M$2:$M$679,MATCH(382,Engine!$C$2:$C$679,0)))</f>
        <v/>
      </c>
      <c r="N395" s="8">
        <f>IF(ISNA(MATCH(382,Engine!$C$2:$C$679,0)),"",INDEX('Compliance Database'!$N$2:$N$679,MATCH(382,Engine!$C$2:$C$679,0)))</f>
        <v/>
      </c>
      <c r="O395" s="8">
        <f>IF(ISNA(MATCH(382,Engine!$C$2:$C$679,0)),"",INDEX('Compliance Database'!$O$2:$O$679,MATCH(382,Engine!$C$2:$C$679,0)))</f>
        <v/>
      </c>
      <c r="P395">
        <f>IF(ISNA(MATCH(382,Engine!$C$2:$C$679,0)),"",HYPERLINK(INDEX('Compliance Database'!$P$2:$P$679,MATCH(382,Engine!$C$2:$C$679,0)),"Open PDF"))</f>
        <v/>
      </c>
    </row>
    <row r="396">
      <c r="A396">
        <f>IF(ISNA(MATCH(383,Engine!$C$2:$C$679,0)),"",INDEX('Compliance Database'!$A$2:$A$679,MATCH(383,Engine!$C$2:$C$679,0)))</f>
        <v/>
      </c>
      <c r="B396">
        <f>IF(ISNA(MATCH(383,Engine!$C$2:$C$679,0)),"",INDEX('Compliance Database'!$B$2:$B$679,MATCH(383,Engine!$C$2:$C$679,0)))</f>
        <v/>
      </c>
      <c r="C396">
        <f>IF(ISNA(MATCH(383,Engine!$C$2:$C$679,0)),"",INDEX('Compliance Database'!$C$2:$C$679,MATCH(383,Engine!$C$2:$C$679,0)))</f>
        <v/>
      </c>
      <c r="D396" s="8">
        <f>IF(ISNA(MATCH(383,Engine!$C$2:$C$679,0)),"",INDEX('Compliance Database'!$D$2:$D$679,MATCH(383,Engine!$C$2:$C$679,0)))</f>
        <v/>
      </c>
      <c r="E396">
        <f>IF(ISNA(MATCH(383,Engine!$C$2:$C$679,0)),"",INDEX('Compliance Database'!$E$2:$E$679,MATCH(383,Engine!$C$2:$C$679,0)))</f>
        <v/>
      </c>
      <c r="F396">
        <f>IF(ISNA(MATCH(383,Engine!$C$2:$C$679,0)),"",INDEX('Compliance Database'!$F$2:$F$679,MATCH(383,Engine!$C$2:$C$679,0)))</f>
        <v/>
      </c>
      <c r="G396">
        <f>IF(ISNA(MATCH(383,Engine!$C$2:$C$679,0)),"",INDEX('Compliance Database'!$G$2:$G$679,MATCH(383,Engine!$C$2:$C$679,0)))</f>
        <v/>
      </c>
      <c r="H396">
        <f>IF(ISNA(MATCH(383,Engine!$C$2:$C$679,0)),"",INDEX('Compliance Database'!$H$2:$H$679,MATCH(383,Engine!$C$2:$C$679,0)))</f>
        <v/>
      </c>
      <c r="I396" s="8">
        <f>IF(ISNA(MATCH(383,Engine!$C$2:$C$679,0)),"",INDEX('Compliance Database'!$I$2:$I$679,MATCH(383,Engine!$C$2:$C$679,0)))</f>
        <v/>
      </c>
      <c r="J396" s="8">
        <f>IF(ISNA(MATCH(383,Engine!$C$2:$C$679,0)),"",INDEX('Compliance Database'!$J$2:$J$679,MATCH(383,Engine!$C$2:$C$679,0)))</f>
        <v/>
      </c>
      <c r="K396">
        <f>IF(ISNA(MATCH(383,Engine!$C$2:$C$679,0)),"",INDEX('Compliance Database'!$K$2:$K$679,MATCH(383,Engine!$C$2:$C$679,0)))</f>
        <v/>
      </c>
      <c r="L396" s="8">
        <f>IF(ISNA(MATCH(383,Engine!$C$2:$C$679,0)),"",INDEX('Compliance Database'!$L$2:$L$679,MATCH(383,Engine!$C$2:$C$679,0)))</f>
        <v/>
      </c>
      <c r="M396" s="8">
        <f>IF(ISNA(MATCH(383,Engine!$C$2:$C$679,0)),"",INDEX('Compliance Database'!$M$2:$M$679,MATCH(383,Engine!$C$2:$C$679,0)))</f>
        <v/>
      </c>
      <c r="N396" s="8">
        <f>IF(ISNA(MATCH(383,Engine!$C$2:$C$679,0)),"",INDEX('Compliance Database'!$N$2:$N$679,MATCH(383,Engine!$C$2:$C$679,0)))</f>
        <v/>
      </c>
      <c r="O396" s="8">
        <f>IF(ISNA(MATCH(383,Engine!$C$2:$C$679,0)),"",INDEX('Compliance Database'!$O$2:$O$679,MATCH(383,Engine!$C$2:$C$679,0)))</f>
        <v/>
      </c>
      <c r="P396">
        <f>IF(ISNA(MATCH(383,Engine!$C$2:$C$679,0)),"",HYPERLINK(INDEX('Compliance Database'!$P$2:$P$679,MATCH(383,Engine!$C$2:$C$679,0)),"Open PDF"))</f>
        <v/>
      </c>
    </row>
    <row r="397">
      <c r="A397">
        <f>IF(ISNA(MATCH(384,Engine!$C$2:$C$679,0)),"",INDEX('Compliance Database'!$A$2:$A$679,MATCH(384,Engine!$C$2:$C$679,0)))</f>
        <v/>
      </c>
      <c r="B397">
        <f>IF(ISNA(MATCH(384,Engine!$C$2:$C$679,0)),"",INDEX('Compliance Database'!$B$2:$B$679,MATCH(384,Engine!$C$2:$C$679,0)))</f>
        <v/>
      </c>
      <c r="C397">
        <f>IF(ISNA(MATCH(384,Engine!$C$2:$C$679,0)),"",INDEX('Compliance Database'!$C$2:$C$679,MATCH(384,Engine!$C$2:$C$679,0)))</f>
        <v/>
      </c>
      <c r="D397" s="8">
        <f>IF(ISNA(MATCH(384,Engine!$C$2:$C$679,0)),"",INDEX('Compliance Database'!$D$2:$D$679,MATCH(384,Engine!$C$2:$C$679,0)))</f>
        <v/>
      </c>
      <c r="E397">
        <f>IF(ISNA(MATCH(384,Engine!$C$2:$C$679,0)),"",INDEX('Compliance Database'!$E$2:$E$679,MATCH(384,Engine!$C$2:$C$679,0)))</f>
        <v/>
      </c>
      <c r="F397">
        <f>IF(ISNA(MATCH(384,Engine!$C$2:$C$679,0)),"",INDEX('Compliance Database'!$F$2:$F$679,MATCH(384,Engine!$C$2:$C$679,0)))</f>
        <v/>
      </c>
      <c r="G397">
        <f>IF(ISNA(MATCH(384,Engine!$C$2:$C$679,0)),"",INDEX('Compliance Database'!$G$2:$G$679,MATCH(384,Engine!$C$2:$C$679,0)))</f>
        <v/>
      </c>
      <c r="H397">
        <f>IF(ISNA(MATCH(384,Engine!$C$2:$C$679,0)),"",INDEX('Compliance Database'!$H$2:$H$679,MATCH(384,Engine!$C$2:$C$679,0)))</f>
        <v/>
      </c>
      <c r="I397" s="8">
        <f>IF(ISNA(MATCH(384,Engine!$C$2:$C$679,0)),"",INDEX('Compliance Database'!$I$2:$I$679,MATCH(384,Engine!$C$2:$C$679,0)))</f>
        <v/>
      </c>
      <c r="J397" s="8">
        <f>IF(ISNA(MATCH(384,Engine!$C$2:$C$679,0)),"",INDEX('Compliance Database'!$J$2:$J$679,MATCH(384,Engine!$C$2:$C$679,0)))</f>
        <v/>
      </c>
      <c r="K397">
        <f>IF(ISNA(MATCH(384,Engine!$C$2:$C$679,0)),"",INDEX('Compliance Database'!$K$2:$K$679,MATCH(384,Engine!$C$2:$C$679,0)))</f>
        <v/>
      </c>
      <c r="L397" s="8">
        <f>IF(ISNA(MATCH(384,Engine!$C$2:$C$679,0)),"",INDEX('Compliance Database'!$L$2:$L$679,MATCH(384,Engine!$C$2:$C$679,0)))</f>
        <v/>
      </c>
      <c r="M397" s="8">
        <f>IF(ISNA(MATCH(384,Engine!$C$2:$C$679,0)),"",INDEX('Compliance Database'!$M$2:$M$679,MATCH(384,Engine!$C$2:$C$679,0)))</f>
        <v/>
      </c>
      <c r="N397" s="8">
        <f>IF(ISNA(MATCH(384,Engine!$C$2:$C$679,0)),"",INDEX('Compliance Database'!$N$2:$N$679,MATCH(384,Engine!$C$2:$C$679,0)))</f>
        <v/>
      </c>
      <c r="O397" s="8">
        <f>IF(ISNA(MATCH(384,Engine!$C$2:$C$679,0)),"",INDEX('Compliance Database'!$O$2:$O$679,MATCH(384,Engine!$C$2:$C$679,0)))</f>
        <v/>
      </c>
      <c r="P397">
        <f>IF(ISNA(MATCH(384,Engine!$C$2:$C$679,0)),"",HYPERLINK(INDEX('Compliance Database'!$P$2:$P$679,MATCH(384,Engine!$C$2:$C$679,0)),"Open PDF"))</f>
        <v/>
      </c>
    </row>
    <row r="398">
      <c r="A398">
        <f>IF(ISNA(MATCH(385,Engine!$C$2:$C$679,0)),"",INDEX('Compliance Database'!$A$2:$A$679,MATCH(385,Engine!$C$2:$C$679,0)))</f>
        <v/>
      </c>
      <c r="B398">
        <f>IF(ISNA(MATCH(385,Engine!$C$2:$C$679,0)),"",INDEX('Compliance Database'!$B$2:$B$679,MATCH(385,Engine!$C$2:$C$679,0)))</f>
        <v/>
      </c>
      <c r="C398">
        <f>IF(ISNA(MATCH(385,Engine!$C$2:$C$679,0)),"",INDEX('Compliance Database'!$C$2:$C$679,MATCH(385,Engine!$C$2:$C$679,0)))</f>
        <v/>
      </c>
      <c r="D398" s="8">
        <f>IF(ISNA(MATCH(385,Engine!$C$2:$C$679,0)),"",INDEX('Compliance Database'!$D$2:$D$679,MATCH(385,Engine!$C$2:$C$679,0)))</f>
        <v/>
      </c>
      <c r="E398">
        <f>IF(ISNA(MATCH(385,Engine!$C$2:$C$679,0)),"",INDEX('Compliance Database'!$E$2:$E$679,MATCH(385,Engine!$C$2:$C$679,0)))</f>
        <v/>
      </c>
      <c r="F398">
        <f>IF(ISNA(MATCH(385,Engine!$C$2:$C$679,0)),"",INDEX('Compliance Database'!$F$2:$F$679,MATCH(385,Engine!$C$2:$C$679,0)))</f>
        <v/>
      </c>
      <c r="G398">
        <f>IF(ISNA(MATCH(385,Engine!$C$2:$C$679,0)),"",INDEX('Compliance Database'!$G$2:$G$679,MATCH(385,Engine!$C$2:$C$679,0)))</f>
        <v/>
      </c>
      <c r="H398">
        <f>IF(ISNA(MATCH(385,Engine!$C$2:$C$679,0)),"",INDEX('Compliance Database'!$H$2:$H$679,MATCH(385,Engine!$C$2:$C$679,0)))</f>
        <v/>
      </c>
      <c r="I398" s="8">
        <f>IF(ISNA(MATCH(385,Engine!$C$2:$C$679,0)),"",INDEX('Compliance Database'!$I$2:$I$679,MATCH(385,Engine!$C$2:$C$679,0)))</f>
        <v/>
      </c>
      <c r="J398" s="8">
        <f>IF(ISNA(MATCH(385,Engine!$C$2:$C$679,0)),"",INDEX('Compliance Database'!$J$2:$J$679,MATCH(385,Engine!$C$2:$C$679,0)))</f>
        <v/>
      </c>
      <c r="K398">
        <f>IF(ISNA(MATCH(385,Engine!$C$2:$C$679,0)),"",INDEX('Compliance Database'!$K$2:$K$679,MATCH(385,Engine!$C$2:$C$679,0)))</f>
        <v/>
      </c>
      <c r="L398" s="8">
        <f>IF(ISNA(MATCH(385,Engine!$C$2:$C$679,0)),"",INDEX('Compliance Database'!$L$2:$L$679,MATCH(385,Engine!$C$2:$C$679,0)))</f>
        <v/>
      </c>
      <c r="M398" s="8">
        <f>IF(ISNA(MATCH(385,Engine!$C$2:$C$679,0)),"",INDEX('Compliance Database'!$M$2:$M$679,MATCH(385,Engine!$C$2:$C$679,0)))</f>
        <v/>
      </c>
      <c r="N398" s="8">
        <f>IF(ISNA(MATCH(385,Engine!$C$2:$C$679,0)),"",INDEX('Compliance Database'!$N$2:$N$679,MATCH(385,Engine!$C$2:$C$679,0)))</f>
        <v/>
      </c>
      <c r="O398" s="8">
        <f>IF(ISNA(MATCH(385,Engine!$C$2:$C$679,0)),"",INDEX('Compliance Database'!$O$2:$O$679,MATCH(385,Engine!$C$2:$C$679,0)))</f>
        <v/>
      </c>
      <c r="P398">
        <f>IF(ISNA(MATCH(385,Engine!$C$2:$C$679,0)),"",HYPERLINK(INDEX('Compliance Database'!$P$2:$P$679,MATCH(385,Engine!$C$2:$C$679,0)),"Open PDF"))</f>
        <v/>
      </c>
    </row>
    <row r="399">
      <c r="A399">
        <f>IF(ISNA(MATCH(386,Engine!$C$2:$C$679,0)),"",INDEX('Compliance Database'!$A$2:$A$679,MATCH(386,Engine!$C$2:$C$679,0)))</f>
        <v/>
      </c>
      <c r="B399">
        <f>IF(ISNA(MATCH(386,Engine!$C$2:$C$679,0)),"",INDEX('Compliance Database'!$B$2:$B$679,MATCH(386,Engine!$C$2:$C$679,0)))</f>
        <v/>
      </c>
      <c r="C399">
        <f>IF(ISNA(MATCH(386,Engine!$C$2:$C$679,0)),"",INDEX('Compliance Database'!$C$2:$C$679,MATCH(386,Engine!$C$2:$C$679,0)))</f>
        <v/>
      </c>
      <c r="D399" s="8">
        <f>IF(ISNA(MATCH(386,Engine!$C$2:$C$679,0)),"",INDEX('Compliance Database'!$D$2:$D$679,MATCH(386,Engine!$C$2:$C$679,0)))</f>
        <v/>
      </c>
      <c r="E399">
        <f>IF(ISNA(MATCH(386,Engine!$C$2:$C$679,0)),"",INDEX('Compliance Database'!$E$2:$E$679,MATCH(386,Engine!$C$2:$C$679,0)))</f>
        <v/>
      </c>
      <c r="F399">
        <f>IF(ISNA(MATCH(386,Engine!$C$2:$C$679,0)),"",INDEX('Compliance Database'!$F$2:$F$679,MATCH(386,Engine!$C$2:$C$679,0)))</f>
        <v/>
      </c>
      <c r="G399">
        <f>IF(ISNA(MATCH(386,Engine!$C$2:$C$679,0)),"",INDEX('Compliance Database'!$G$2:$G$679,MATCH(386,Engine!$C$2:$C$679,0)))</f>
        <v/>
      </c>
      <c r="H399">
        <f>IF(ISNA(MATCH(386,Engine!$C$2:$C$679,0)),"",INDEX('Compliance Database'!$H$2:$H$679,MATCH(386,Engine!$C$2:$C$679,0)))</f>
        <v/>
      </c>
      <c r="I399" s="8">
        <f>IF(ISNA(MATCH(386,Engine!$C$2:$C$679,0)),"",INDEX('Compliance Database'!$I$2:$I$679,MATCH(386,Engine!$C$2:$C$679,0)))</f>
        <v/>
      </c>
      <c r="J399" s="8">
        <f>IF(ISNA(MATCH(386,Engine!$C$2:$C$679,0)),"",INDEX('Compliance Database'!$J$2:$J$679,MATCH(386,Engine!$C$2:$C$679,0)))</f>
        <v/>
      </c>
      <c r="K399">
        <f>IF(ISNA(MATCH(386,Engine!$C$2:$C$679,0)),"",INDEX('Compliance Database'!$K$2:$K$679,MATCH(386,Engine!$C$2:$C$679,0)))</f>
        <v/>
      </c>
      <c r="L399" s="8">
        <f>IF(ISNA(MATCH(386,Engine!$C$2:$C$679,0)),"",INDEX('Compliance Database'!$L$2:$L$679,MATCH(386,Engine!$C$2:$C$679,0)))</f>
        <v/>
      </c>
      <c r="M399" s="8">
        <f>IF(ISNA(MATCH(386,Engine!$C$2:$C$679,0)),"",INDEX('Compliance Database'!$M$2:$M$679,MATCH(386,Engine!$C$2:$C$679,0)))</f>
        <v/>
      </c>
      <c r="N399" s="8">
        <f>IF(ISNA(MATCH(386,Engine!$C$2:$C$679,0)),"",INDEX('Compliance Database'!$N$2:$N$679,MATCH(386,Engine!$C$2:$C$679,0)))</f>
        <v/>
      </c>
      <c r="O399" s="8">
        <f>IF(ISNA(MATCH(386,Engine!$C$2:$C$679,0)),"",INDEX('Compliance Database'!$O$2:$O$679,MATCH(386,Engine!$C$2:$C$679,0)))</f>
        <v/>
      </c>
      <c r="P399">
        <f>IF(ISNA(MATCH(386,Engine!$C$2:$C$679,0)),"",HYPERLINK(INDEX('Compliance Database'!$P$2:$P$679,MATCH(386,Engine!$C$2:$C$679,0)),"Open PDF"))</f>
        <v/>
      </c>
    </row>
    <row r="400">
      <c r="A400">
        <f>IF(ISNA(MATCH(387,Engine!$C$2:$C$679,0)),"",INDEX('Compliance Database'!$A$2:$A$679,MATCH(387,Engine!$C$2:$C$679,0)))</f>
        <v/>
      </c>
      <c r="B400">
        <f>IF(ISNA(MATCH(387,Engine!$C$2:$C$679,0)),"",INDEX('Compliance Database'!$B$2:$B$679,MATCH(387,Engine!$C$2:$C$679,0)))</f>
        <v/>
      </c>
      <c r="C400">
        <f>IF(ISNA(MATCH(387,Engine!$C$2:$C$679,0)),"",INDEX('Compliance Database'!$C$2:$C$679,MATCH(387,Engine!$C$2:$C$679,0)))</f>
        <v/>
      </c>
      <c r="D400" s="8">
        <f>IF(ISNA(MATCH(387,Engine!$C$2:$C$679,0)),"",INDEX('Compliance Database'!$D$2:$D$679,MATCH(387,Engine!$C$2:$C$679,0)))</f>
        <v/>
      </c>
      <c r="E400">
        <f>IF(ISNA(MATCH(387,Engine!$C$2:$C$679,0)),"",INDEX('Compliance Database'!$E$2:$E$679,MATCH(387,Engine!$C$2:$C$679,0)))</f>
        <v/>
      </c>
      <c r="F400">
        <f>IF(ISNA(MATCH(387,Engine!$C$2:$C$679,0)),"",INDEX('Compliance Database'!$F$2:$F$679,MATCH(387,Engine!$C$2:$C$679,0)))</f>
        <v/>
      </c>
      <c r="G400">
        <f>IF(ISNA(MATCH(387,Engine!$C$2:$C$679,0)),"",INDEX('Compliance Database'!$G$2:$G$679,MATCH(387,Engine!$C$2:$C$679,0)))</f>
        <v/>
      </c>
      <c r="H400">
        <f>IF(ISNA(MATCH(387,Engine!$C$2:$C$679,0)),"",INDEX('Compliance Database'!$H$2:$H$679,MATCH(387,Engine!$C$2:$C$679,0)))</f>
        <v/>
      </c>
      <c r="I400" s="8">
        <f>IF(ISNA(MATCH(387,Engine!$C$2:$C$679,0)),"",INDEX('Compliance Database'!$I$2:$I$679,MATCH(387,Engine!$C$2:$C$679,0)))</f>
        <v/>
      </c>
      <c r="J400" s="8">
        <f>IF(ISNA(MATCH(387,Engine!$C$2:$C$679,0)),"",INDEX('Compliance Database'!$J$2:$J$679,MATCH(387,Engine!$C$2:$C$679,0)))</f>
        <v/>
      </c>
      <c r="K400">
        <f>IF(ISNA(MATCH(387,Engine!$C$2:$C$679,0)),"",INDEX('Compliance Database'!$K$2:$K$679,MATCH(387,Engine!$C$2:$C$679,0)))</f>
        <v/>
      </c>
      <c r="L400" s="8">
        <f>IF(ISNA(MATCH(387,Engine!$C$2:$C$679,0)),"",INDEX('Compliance Database'!$L$2:$L$679,MATCH(387,Engine!$C$2:$C$679,0)))</f>
        <v/>
      </c>
      <c r="M400" s="8">
        <f>IF(ISNA(MATCH(387,Engine!$C$2:$C$679,0)),"",INDEX('Compliance Database'!$M$2:$M$679,MATCH(387,Engine!$C$2:$C$679,0)))</f>
        <v/>
      </c>
      <c r="N400" s="8">
        <f>IF(ISNA(MATCH(387,Engine!$C$2:$C$679,0)),"",INDEX('Compliance Database'!$N$2:$N$679,MATCH(387,Engine!$C$2:$C$679,0)))</f>
        <v/>
      </c>
      <c r="O400" s="8">
        <f>IF(ISNA(MATCH(387,Engine!$C$2:$C$679,0)),"",INDEX('Compliance Database'!$O$2:$O$679,MATCH(387,Engine!$C$2:$C$679,0)))</f>
        <v/>
      </c>
      <c r="P400">
        <f>IF(ISNA(MATCH(387,Engine!$C$2:$C$679,0)),"",HYPERLINK(INDEX('Compliance Database'!$P$2:$P$679,MATCH(387,Engine!$C$2:$C$679,0)),"Open PDF"))</f>
        <v/>
      </c>
    </row>
    <row r="401">
      <c r="A401">
        <f>IF(ISNA(MATCH(388,Engine!$C$2:$C$679,0)),"",INDEX('Compliance Database'!$A$2:$A$679,MATCH(388,Engine!$C$2:$C$679,0)))</f>
        <v/>
      </c>
      <c r="B401">
        <f>IF(ISNA(MATCH(388,Engine!$C$2:$C$679,0)),"",INDEX('Compliance Database'!$B$2:$B$679,MATCH(388,Engine!$C$2:$C$679,0)))</f>
        <v/>
      </c>
      <c r="C401">
        <f>IF(ISNA(MATCH(388,Engine!$C$2:$C$679,0)),"",INDEX('Compliance Database'!$C$2:$C$679,MATCH(388,Engine!$C$2:$C$679,0)))</f>
        <v/>
      </c>
      <c r="D401" s="8">
        <f>IF(ISNA(MATCH(388,Engine!$C$2:$C$679,0)),"",INDEX('Compliance Database'!$D$2:$D$679,MATCH(388,Engine!$C$2:$C$679,0)))</f>
        <v/>
      </c>
      <c r="E401">
        <f>IF(ISNA(MATCH(388,Engine!$C$2:$C$679,0)),"",INDEX('Compliance Database'!$E$2:$E$679,MATCH(388,Engine!$C$2:$C$679,0)))</f>
        <v/>
      </c>
      <c r="F401">
        <f>IF(ISNA(MATCH(388,Engine!$C$2:$C$679,0)),"",INDEX('Compliance Database'!$F$2:$F$679,MATCH(388,Engine!$C$2:$C$679,0)))</f>
        <v/>
      </c>
      <c r="G401">
        <f>IF(ISNA(MATCH(388,Engine!$C$2:$C$679,0)),"",INDEX('Compliance Database'!$G$2:$G$679,MATCH(388,Engine!$C$2:$C$679,0)))</f>
        <v/>
      </c>
      <c r="H401">
        <f>IF(ISNA(MATCH(388,Engine!$C$2:$C$679,0)),"",INDEX('Compliance Database'!$H$2:$H$679,MATCH(388,Engine!$C$2:$C$679,0)))</f>
        <v/>
      </c>
      <c r="I401" s="8">
        <f>IF(ISNA(MATCH(388,Engine!$C$2:$C$679,0)),"",INDEX('Compliance Database'!$I$2:$I$679,MATCH(388,Engine!$C$2:$C$679,0)))</f>
        <v/>
      </c>
      <c r="J401" s="8">
        <f>IF(ISNA(MATCH(388,Engine!$C$2:$C$679,0)),"",INDEX('Compliance Database'!$J$2:$J$679,MATCH(388,Engine!$C$2:$C$679,0)))</f>
        <v/>
      </c>
      <c r="K401">
        <f>IF(ISNA(MATCH(388,Engine!$C$2:$C$679,0)),"",INDEX('Compliance Database'!$K$2:$K$679,MATCH(388,Engine!$C$2:$C$679,0)))</f>
        <v/>
      </c>
      <c r="L401" s="8">
        <f>IF(ISNA(MATCH(388,Engine!$C$2:$C$679,0)),"",INDEX('Compliance Database'!$L$2:$L$679,MATCH(388,Engine!$C$2:$C$679,0)))</f>
        <v/>
      </c>
      <c r="M401" s="8">
        <f>IF(ISNA(MATCH(388,Engine!$C$2:$C$679,0)),"",INDEX('Compliance Database'!$M$2:$M$679,MATCH(388,Engine!$C$2:$C$679,0)))</f>
        <v/>
      </c>
      <c r="N401" s="8">
        <f>IF(ISNA(MATCH(388,Engine!$C$2:$C$679,0)),"",INDEX('Compliance Database'!$N$2:$N$679,MATCH(388,Engine!$C$2:$C$679,0)))</f>
        <v/>
      </c>
      <c r="O401" s="8">
        <f>IF(ISNA(MATCH(388,Engine!$C$2:$C$679,0)),"",INDEX('Compliance Database'!$O$2:$O$679,MATCH(388,Engine!$C$2:$C$679,0)))</f>
        <v/>
      </c>
      <c r="P401">
        <f>IF(ISNA(MATCH(388,Engine!$C$2:$C$679,0)),"",HYPERLINK(INDEX('Compliance Database'!$P$2:$P$679,MATCH(388,Engine!$C$2:$C$679,0)),"Open PDF"))</f>
        <v/>
      </c>
    </row>
    <row r="402">
      <c r="A402">
        <f>IF(ISNA(MATCH(389,Engine!$C$2:$C$679,0)),"",INDEX('Compliance Database'!$A$2:$A$679,MATCH(389,Engine!$C$2:$C$679,0)))</f>
        <v/>
      </c>
      <c r="B402">
        <f>IF(ISNA(MATCH(389,Engine!$C$2:$C$679,0)),"",INDEX('Compliance Database'!$B$2:$B$679,MATCH(389,Engine!$C$2:$C$679,0)))</f>
        <v/>
      </c>
      <c r="C402">
        <f>IF(ISNA(MATCH(389,Engine!$C$2:$C$679,0)),"",INDEX('Compliance Database'!$C$2:$C$679,MATCH(389,Engine!$C$2:$C$679,0)))</f>
        <v/>
      </c>
      <c r="D402" s="8">
        <f>IF(ISNA(MATCH(389,Engine!$C$2:$C$679,0)),"",INDEX('Compliance Database'!$D$2:$D$679,MATCH(389,Engine!$C$2:$C$679,0)))</f>
        <v/>
      </c>
      <c r="E402">
        <f>IF(ISNA(MATCH(389,Engine!$C$2:$C$679,0)),"",INDEX('Compliance Database'!$E$2:$E$679,MATCH(389,Engine!$C$2:$C$679,0)))</f>
        <v/>
      </c>
      <c r="F402">
        <f>IF(ISNA(MATCH(389,Engine!$C$2:$C$679,0)),"",INDEX('Compliance Database'!$F$2:$F$679,MATCH(389,Engine!$C$2:$C$679,0)))</f>
        <v/>
      </c>
      <c r="G402">
        <f>IF(ISNA(MATCH(389,Engine!$C$2:$C$679,0)),"",INDEX('Compliance Database'!$G$2:$G$679,MATCH(389,Engine!$C$2:$C$679,0)))</f>
        <v/>
      </c>
      <c r="H402">
        <f>IF(ISNA(MATCH(389,Engine!$C$2:$C$679,0)),"",INDEX('Compliance Database'!$H$2:$H$679,MATCH(389,Engine!$C$2:$C$679,0)))</f>
        <v/>
      </c>
      <c r="I402" s="8">
        <f>IF(ISNA(MATCH(389,Engine!$C$2:$C$679,0)),"",INDEX('Compliance Database'!$I$2:$I$679,MATCH(389,Engine!$C$2:$C$679,0)))</f>
        <v/>
      </c>
      <c r="J402" s="8">
        <f>IF(ISNA(MATCH(389,Engine!$C$2:$C$679,0)),"",INDEX('Compliance Database'!$J$2:$J$679,MATCH(389,Engine!$C$2:$C$679,0)))</f>
        <v/>
      </c>
      <c r="K402">
        <f>IF(ISNA(MATCH(389,Engine!$C$2:$C$679,0)),"",INDEX('Compliance Database'!$K$2:$K$679,MATCH(389,Engine!$C$2:$C$679,0)))</f>
        <v/>
      </c>
      <c r="L402" s="8">
        <f>IF(ISNA(MATCH(389,Engine!$C$2:$C$679,0)),"",INDEX('Compliance Database'!$L$2:$L$679,MATCH(389,Engine!$C$2:$C$679,0)))</f>
        <v/>
      </c>
      <c r="M402" s="8">
        <f>IF(ISNA(MATCH(389,Engine!$C$2:$C$679,0)),"",INDEX('Compliance Database'!$M$2:$M$679,MATCH(389,Engine!$C$2:$C$679,0)))</f>
        <v/>
      </c>
      <c r="N402" s="8">
        <f>IF(ISNA(MATCH(389,Engine!$C$2:$C$679,0)),"",INDEX('Compliance Database'!$N$2:$N$679,MATCH(389,Engine!$C$2:$C$679,0)))</f>
        <v/>
      </c>
      <c r="O402" s="8">
        <f>IF(ISNA(MATCH(389,Engine!$C$2:$C$679,0)),"",INDEX('Compliance Database'!$O$2:$O$679,MATCH(389,Engine!$C$2:$C$679,0)))</f>
        <v/>
      </c>
      <c r="P402">
        <f>IF(ISNA(MATCH(389,Engine!$C$2:$C$679,0)),"",HYPERLINK(INDEX('Compliance Database'!$P$2:$P$679,MATCH(389,Engine!$C$2:$C$679,0)),"Open PDF"))</f>
        <v/>
      </c>
    </row>
    <row r="403">
      <c r="A403">
        <f>IF(ISNA(MATCH(390,Engine!$C$2:$C$679,0)),"",INDEX('Compliance Database'!$A$2:$A$679,MATCH(390,Engine!$C$2:$C$679,0)))</f>
        <v/>
      </c>
      <c r="B403">
        <f>IF(ISNA(MATCH(390,Engine!$C$2:$C$679,0)),"",INDEX('Compliance Database'!$B$2:$B$679,MATCH(390,Engine!$C$2:$C$679,0)))</f>
        <v/>
      </c>
      <c r="C403">
        <f>IF(ISNA(MATCH(390,Engine!$C$2:$C$679,0)),"",INDEX('Compliance Database'!$C$2:$C$679,MATCH(390,Engine!$C$2:$C$679,0)))</f>
        <v/>
      </c>
      <c r="D403" s="8">
        <f>IF(ISNA(MATCH(390,Engine!$C$2:$C$679,0)),"",INDEX('Compliance Database'!$D$2:$D$679,MATCH(390,Engine!$C$2:$C$679,0)))</f>
        <v/>
      </c>
      <c r="E403">
        <f>IF(ISNA(MATCH(390,Engine!$C$2:$C$679,0)),"",INDEX('Compliance Database'!$E$2:$E$679,MATCH(390,Engine!$C$2:$C$679,0)))</f>
        <v/>
      </c>
      <c r="F403">
        <f>IF(ISNA(MATCH(390,Engine!$C$2:$C$679,0)),"",INDEX('Compliance Database'!$F$2:$F$679,MATCH(390,Engine!$C$2:$C$679,0)))</f>
        <v/>
      </c>
      <c r="G403">
        <f>IF(ISNA(MATCH(390,Engine!$C$2:$C$679,0)),"",INDEX('Compliance Database'!$G$2:$G$679,MATCH(390,Engine!$C$2:$C$679,0)))</f>
        <v/>
      </c>
      <c r="H403">
        <f>IF(ISNA(MATCH(390,Engine!$C$2:$C$679,0)),"",INDEX('Compliance Database'!$H$2:$H$679,MATCH(390,Engine!$C$2:$C$679,0)))</f>
        <v/>
      </c>
      <c r="I403" s="8">
        <f>IF(ISNA(MATCH(390,Engine!$C$2:$C$679,0)),"",INDEX('Compliance Database'!$I$2:$I$679,MATCH(390,Engine!$C$2:$C$679,0)))</f>
        <v/>
      </c>
      <c r="J403" s="8">
        <f>IF(ISNA(MATCH(390,Engine!$C$2:$C$679,0)),"",INDEX('Compliance Database'!$J$2:$J$679,MATCH(390,Engine!$C$2:$C$679,0)))</f>
        <v/>
      </c>
      <c r="K403">
        <f>IF(ISNA(MATCH(390,Engine!$C$2:$C$679,0)),"",INDEX('Compliance Database'!$K$2:$K$679,MATCH(390,Engine!$C$2:$C$679,0)))</f>
        <v/>
      </c>
      <c r="L403" s="8">
        <f>IF(ISNA(MATCH(390,Engine!$C$2:$C$679,0)),"",INDEX('Compliance Database'!$L$2:$L$679,MATCH(390,Engine!$C$2:$C$679,0)))</f>
        <v/>
      </c>
      <c r="M403" s="8">
        <f>IF(ISNA(MATCH(390,Engine!$C$2:$C$679,0)),"",INDEX('Compliance Database'!$M$2:$M$679,MATCH(390,Engine!$C$2:$C$679,0)))</f>
        <v/>
      </c>
      <c r="N403" s="8">
        <f>IF(ISNA(MATCH(390,Engine!$C$2:$C$679,0)),"",INDEX('Compliance Database'!$N$2:$N$679,MATCH(390,Engine!$C$2:$C$679,0)))</f>
        <v/>
      </c>
      <c r="O403" s="8">
        <f>IF(ISNA(MATCH(390,Engine!$C$2:$C$679,0)),"",INDEX('Compliance Database'!$O$2:$O$679,MATCH(390,Engine!$C$2:$C$679,0)))</f>
        <v/>
      </c>
      <c r="P403">
        <f>IF(ISNA(MATCH(390,Engine!$C$2:$C$679,0)),"",HYPERLINK(INDEX('Compliance Database'!$P$2:$P$679,MATCH(390,Engine!$C$2:$C$679,0)),"Open PDF"))</f>
        <v/>
      </c>
    </row>
    <row r="404">
      <c r="A404">
        <f>IF(ISNA(MATCH(391,Engine!$C$2:$C$679,0)),"",INDEX('Compliance Database'!$A$2:$A$679,MATCH(391,Engine!$C$2:$C$679,0)))</f>
        <v/>
      </c>
      <c r="B404">
        <f>IF(ISNA(MATCH(391,Engine!$C$2:$C$679,0)),"",INDEX('Compliance Database'!$B$2:$B$679,MATCH(391,Engine!$C$2:$C$679,0)))</f>
        <v/>
      </c>
      <c r="C404">
        <f>IF(ISNA(MATCH(391,Engine!$C$2:$C$679,0)),"",INDEX('Compliance Database'!$C$2:$C$679,MATCH(391,Engine!$C$2:$C$679,0)))</f>
        <v/>
      </c>
      <c r="D404" s="8">
        <f>IF(ISNA(MATCH(391,Engine!$C$2:$C$679,0)),"",INDEX('Compliance Database'!$D$2:$D$679,MATCH(391,Engine!$C$2:$C$679,0)))</f>
        <v/>
      </c>
      <c r="E404">
        <f>IF(ISNA(MATCH(391,Engine!$C$2:$C$679,0)),"",INDEX('Compliance Database'!$E$2:$E$679,MATCH(391,Engine!$C$2:$C$679,0)))</f>
        <v/>
      </c>
      <c r="F404">
        <f>IF(ISNA(MATCH(391,Engine!$C$2:$C$679,0)),"",INDEX('Compliance Database'!$F$2:$F$679,MATCH(391,Engine!$C$2:$C$679,0)))</f>
        <v/>
      </c>
      <c r="G404">
        <f>IF(ISNA(MATCH(391,Engine!$C$2:$C$679,0)),"",INDEX('Compliance Database'!$G$2:$G$679,MATCH(391,Engine!$C$2:$C$679,0)))</f>
        <v/>
      </c>
      <c r="H404">
        <f>IF(ISNA(MATCH(391,Engine!$C$2:$C$679,0)),"",INDEX('Compliance Database'!$H$2:$H$679,MATCH(391,Engine!$C$2:$C$679,0)))</f>
        <v/>
      </c>
      <c r="I404" s="8">
        <f>IF(ISNA(MATCH(391,Engine!$C$2:$C$679,0)),"",INDEX('Compliance Database'!$I$2:$I$679,MATCH(391,Engine!$C$2:$C$679,0)))</f>
        <v/>
      </c>
      <c r="J404" s="8">
        <f>IF(ISNA(MATCH(391,Engine!$C$2:$C$679,0)),"",INDEX('Compliance Database'!$J$2:$J$679,MATCH(391,Engine!$C$2:$C$679,0)))</f>
        <v/>
      </c>
      <c r="K404">
        <f>IF(ISNA(MATCH(391,Engine!$C$2:$C$679,0)),"",INDEX('Compliance Database'!$K$2:$K$679,MATCH(391,Engine!$C$2:$C$679,0)))</f>
        <v/>
      </c>
      <c r="L404" s="8">
        <f>IF(ISNA(MATCH(391,Engine!$C$2:$C$679,0)),"",INDEX('Compliance Database'!$L$2:$L$679,MATCH(391,Engine!$C$2:$C$679,0)))</f>
        <v/>
      </c>
      <c r="M404" s="8">
        <f>IF(ISNA(MATCH(391,Engine!$C$2:$C$679,0)),"",INDEX('Compliance Database'!$M$2:$M$679,MATCH(391,Engine!$C$2:$C$679,0)))</f>
        <v/>
      </c>
      <c r="N404" s="8">
        <f>IF(ISNA(MATCH(391,Engine!$C$2:$C$679,0)),"",INDEX('Compliance Database'!$N$2:$N$679,MATCH(391,Engine!$C$2:$C$679,0)))</f>
        <v/>
      </c>
      <c r="O404" s="8">
        <f>IF(ISNA(MATCH(391,Engine!$C$2:$C$679,0)),"",INDEX('Compliance Database'!$O$2:$O$679,MATCH(391,Engine!$C$2:$C$679,0)))</f>
        <v/>
      </c>
      <c r="P404">
        <f>IF(ISNA(MATCH(391,Engine!$C$2:$C$679,0)),"",HYPERLINK(INDEX('Compliance Database'!$P$2:$P$679,MATCH(391,Engine!$C$2:$C$679,0)),"Open PDF"))</f>
        <v/>
      </c>
    </row>
    <row r="405">
      <c r="A405">
        <f>IF(ISNA(MATCH(392,Engine!$C$2:$C$679,0)),"",INDEX('Compliance Database'!$A$2:$A$679,MATCH(392,Engine!$C$2:$C$679,0)))</f>
        <v/>
      </c>
      <c r="B405">
        <f>IF(ISNA(MATCH(392,Engine!$C$2:$C$679,0)),"",INDEX('Compliance Database'!$B$2:$B$679,MATCH(392,Engine!$C$2:$C$679,0)))</f>
        <v/>
      </c>
      <c r="C405">
        <f>IF(ISNA(MATCH(392,Engine!$C$2:$C$679,0)),"",INDEX('Compliance Database'!$C$2:$C$679,MATCH(392,Engine!$C$2:$C$679,0)))</f>
        <v/>
      </c>
      <c r="D405" s="8">
        <f>IF(ISNA(MATCH(392,Engine!$C$2:$C$679,0)),"",INDEX('Compliance Database'!$D$2:$D$679,MATCH(392,Engine!$C$2:$C$679,0)))</f>
        <v/>
      </c>
      <c r="E405">
        <f>IF(ISNA(MATCH(392,Engine!$C$2:$C$679,0)),"",INDEX('Compliance Database'!$E$2:$E$679,MATCH(392,Engine!$C$2:$C$679,0)))</f>
        <v/>
      </c>
      <c r="F405">
        <f>IF(ISNA(MATCH(392,Engine!$C$2:$C$679,0)),"",INDEX('Compliance Database'!$F$2:$F$679,MATCH(392,Engine!$C$2:$C$679,0)))</f>
        <v/>
      </c>
      <c r="G405">
        <f>IF(ISNA(MATCH(392,Engine!$C$2:$C$679,0)),"",INDEX('Compliance Database'!$G$2:$G$679,MATCH(392,Engine!$C$2:$C$679,0)))</f>
        <v/>
      </c>
      <c r="H405">
        <f>IF(ISNA(MATCH(392,Engine!$C$2:$C$679,0)),"",INDEX('Compliance Database'!$H$2:$H$679,MATCH(392,Engine!$C$2:$C$679,0)))</f>
        <v/>
      </c>
      <c r="I405" s="8">
        <f>IF(ISNA(MATCH(392,Engine!$C$2:$C$679,0)),"",INDEX('Compliance Database'!$I$2:$I$679,MATCH(392,Engine!$C$2:$C$679,0)))</f>
        <v/>
      </c>
      <c r="J405" s="8">
        <f>IF(ISNA(MATCH(392,Engine!$C$2:$C$679,0)),"",INDEX('Compliance Database'!$J$2:$J$679,MATCH(392,Engine!$C$2:$C$679,0)))</f>
        <v/>
      </c>
      <c r="K405">
        <f>IF(ISNA(MATCH(392,Engine!$C$2:$C$679,0)),"",INDEX('Compliance Database'!$K$2:$K$679,MATCH(392,Engine!$C$2:$C$679,0)))</f>
        <v/>
      </c>
      <c r="L405" s="8">
        <f>IF(ISNA(MATCH(392,Engine!$C$2:$C$679,0)),"",INDEX('Compliance Database'!$L$2:$L$679,MATCH(392,Engine!$C$2:$C$679,0)))</f>
        <v/>
      </c>
      <c r="M405" s="8">
        <f>IF(ISNA(MATCH(392,Engine!$C$2:$C$679,0)),"",INDEX('Compliance Database'!$M$2:$M$679,MATCH(392,Engine!$C$2:$C$679,0)))</f>
        <v/>
      </c>
      <c r="N405" s="8">
        <f>IF(ISNA(MATCH(392,Engine!$C$2:$C$679,0)),"",INDEX('Compliance Database'!$N$2:$N$679,MATCH(392,Engine!$C$2:$C$679,0)))</f>
        <v/>
      </c>
      <c r="O405" s="8">
        <f>IF(ISNA(MATCH(392,Engine!$C$2:$C$679,0)),"",INDEX('Compliance Database'!$O$2:$O$679,MATCH(392,Engine!$C$2:$C$679,0)))</f>
        <v/>
      </c>
      <c r="P405">
        <f>IF(ISNA(MATCH(392,Engine!$C$2:$C$679,0)),"",HYPERLINK(INDEX('Compliance Database'!$P$2:$P$679,MATCH(392,Engine!$C$2:$C$679,0)),"Open PDF"))</f>
        <v/>
      </c>
    </row>
    <row r="406">
      <c r="A406">
        <f>IF(ISNA(MATCH(393,Engine!$C$2:$C$679,0)),"",INDEX('Compliance Database'!$A$2:$A$679,MATCH(393,Engine!$C$2:$C$679,0)))</f>
        <v/>
      </c>
      <c r="B406">
        <f>IF(ISNA(MATCH(393,Engine!$C$2:$C$679,0)),"",INDEX('Compliance Database'!$B$2:$B$679,MATCH(393,Engine!$C$2:$C$679,0)))</f>
        <v/>
      </c>
      <c r="C406">
        <f>IF(ISNA(MATCH(393,Engine!$C$2:$C$679,0)),"",INDEX('Compliance Database'!$C$2:$C$679,MATCH(393,Engine!$C$2:$C$679,0)))</f>
        <v/>
      </c>
      <c r="D406" s="8">
        <f>IF(ISNA(MATCH(393,Engine!$C$2:$C$679,0)),"",INDEX('Compliance Database'!$D$2:$D$679,MATCH(393,Engine!$C$2:$C$679,0)))</f>
        <v/>
      </c>
      <c r="E406">
        <f>IF(ISNA(MATCH(393,Engine!$C$2:$C$679,0)),"",INDEX('Compliance Database'!$E$2:$E$679,MATCH(393,Engine!$C$2:$C$679,0)))</f>
        <v/>
      </c>
      <c r="F406">
        <f>IF(ISNA(MATCH(393,Engine!$C$2:$C$679,0)),"",INDEX('Compliance Database'!$F$2:$F$679,MATCH(393,Engine!$C$2:$C$679,0)))</f>
        <v/>
      </c>
      <c r="G406">
        <f>IF(ISNA(MATCH(393,Engine!$C$2:$C$679,0)),"",INDEX('Compliance Database'!$G$2:$G$679,MATCH(393,Engine!$C$2:$C$679,0)))</f>
        <v/>
      </c>
      <c r="H406">
        <f>IF(ISNA(MATCH(393,Engine!$C$2:$C$679,0)),"",INDEX('Compliance Database'!$H$2:$H$679,MATCH(393,Engine!$C$2:$C$679,0)))</f>
        <v/>
      </c>
      <c r="I406" s="8">
        <f>IF(ISNA(MATCH(393,Engine!$C$2:$C$679,0)),"",INDEX('Compliance Database'!$I$2:$I$679,MATCH(393,Engine!$C$2:$C$679,0)))</f>
        <v/>
      </c>
      <c r="J406" s="8">
        <f>IF(ISNA(MATCH(393,Engine!$C$2:$C$679,0)),"",INDEX('Compliance Database'!$J$2:$J$679,MATCH(393,Engine!$C$2:$C$679,0)))</f>
        <v/>
      </c>
      <c r="K406">
        <f>IF(ISNA(MATCH(393,Engine!$C$2:$C$679,0)),"",INDEX('Compliance Database'!$K$2:$K$679,MATCH(393,Engine!$C$2:$C$679,0)))</f>
        <v/>
      </c>
      <c r="L406" s="8">
        <f>IF(ISNA(MATCH(393,Engine!$C$2:$C$679,0)),"",INDEX('Compliance Database'!$L$2:$L$679,MATCH(393,Engine!$C$2:$C$679,0)))</f>
        <v/>
      </c>
      <c r="M406" s="8">
        <f>IF(ISNA(MATCH(393,Engine!$C$2:$C$679,0)),"",INDEX('Compliance Database'!$M$2:$M$679,MATCH(393,Engine!$C$2:$C$679,0)))</f>
        <v/>
      </c>
      <c r="N406" s="8">
        <f>IF(ISNA(MATCH(393,Engine!$C$2:$C$679,0)),"",INDEX('Compliance Database'!$N$2:$N$679,MATCH(393,Engine!$C$2:$C$679,0)))</f>
        <v/>
      </c>
      <c r="O406" s="8">
        <f>IF(ISNA(MATCH(393,Engine!$C$2:$C$679,0)),"",INDEX('Compliance Database'!$O$2:$O$679,MATCH(393,Engine!$C$2:$C$679,0)))</f>
        <v/>
      </c>
      <c r="P406">
        <f>IF(ISNA(MATCH(393,Engine!$C$2:$C$679,0)),"",HYPERLINK(INDEX('Compliance Database'!$P$2:$P$679,MATCH(393,Engine!$C$2:$C$679,0)),"Open PDF"))</f>
        <v/>
      </c>
    </row>
    <row r="407">
      <c r="A407">
        <f>IF(ISNA(MATCH(394,Engine!$C$2:$C$679,0)),"",INDEX('Compliance Database'!$A$2:$A$679,MATCH(394,Engine!$C$2:$C$679,0)))</f>
        <v/>
      </c>
      <c r="B407">
        <f>IF(ISNA(MATCH(394,Engine!$C$2:$C$679,0)),"",INDEX('Compliance Database'!$B$2:$B$679,MATCH(394,Engine!$C$2:$C$679,0)))</f>
        <v/>
      </c>
      <c r="C407">
        <f>IF(ISNA(MATCH(394,Engine!$C$2:$C$679,0)),"",INDEX('Compliance Database'!$C$2:$C$679,MATCH(394,Engine!$C$2:$C$679,0)))</f>
        <v/>
      </c>
      <c r="D407" s="8">
        <f>IF(ISNA(MATCH(394,Engine!$C$2:$C$679,0)),"",INDEX('Compliance Database'!$D$2:$D$679,MATCH(394,Engine!$C$2:$C$679,0)))</f>
        <v/>
      </c>
      <c r="E407">
        <f>IF(ISNA(MATCH(394,Engine!$C$2:$C$679,0)),"",INDEX('Compliance Database'!$E$2:$E$679,MATCH(394,Engine!$C$2:$C$679,0)))</f>
        <v/>
      </c>
      <c r="F407">
        <f>IF(ISNA(MATCH(394,Engine!$C$2:$C$679,0)),"",INDEX('Compliance Database'!$F$2:$F$679,MATCH(394,Engine!$C$2:$C$679,0)))</f>
        <v/>
      </c>
      <c r="G407">
        <f>IF(ISNA(MATCH(394,Engine!$C$2:$C$679,0)),"",INDEX('Compliance Database'!$G$2:$G$679,MATCH(394,Engine!$C$2:$C$679,0)))</f>
        <v/>
      </c>
      <c r="H407">
        <f>IF(ISNA(MATCH(394,Engine!$C$2:$C$679,0)),"",INDEX('Compliance Database'!$H$2:$H$679,MATCH(394,Engine!$C$2:$C$679,0)))</f>
        <v/>
      </c>
      <c r="I407" s="8">
        <f>IF(ISNA(MATCH(394,Engine!$C$2:$C$679,0)),"",INDEX('Compliance Database'!$I$2:$I$679,MATCH(394,Engine!$C$2:$C$679,0)))</f>
        <v/>
      </c>
      <c r="J407" s="8">
        <f>IF(ISNA(MATCH(394,Engine!$C$2:$C$679,0)),"",INDEX('Compliance Database'!$J$2:$J$679,MATCH(394,Engine!$C$2:$C$679,0)))</f>
        <v/>
      </c>
      <c r="K407">
        <f>IF(ISNA(MATCH(394,Engine!$C$2:$C$679,0)),"",INDEX('Compliance Database'!$K$2:$K$679,MATCH(394,Engine!$C$2:$C$679,0)))</f>
        <v/>
      </c>
      <c r="L407" s="8">
        <f>IF(ISNA(MATCH(394,Engine!$C$2:$C$679,0)),"",INDEX('Compliance Database'!$L$2:$L$679,MATCH(394,Engine!$C$2:$C$679,0)))</f>
        <v/>
      </c>
      <c r="M407" s="8">
        <f>IF(ISNA(MATCH(394,Engine!$C$2:$C$679,0)),"",INDEX('Compliance Database'!$M$2:$M$679,MATCH(394,Engine!$C$2:$C$679,0)))</f>
        <v/>
      </c>
      <c r="N407" s="8">
        <f>IF(ISNA(MATCH(394,Engine!$C$2:$C$679,0)),"",INDEX('Compliance Database'!$N$2:$N$679,MATCH(394,Engine!$C$2:$C$679,0)))</f>
        <v/>
      </c>
      <c r="O407" s="8">
        <f>IF(ISNA(MATCH(394,Engine!$C$2:$C$679,0)),"",INDEX('Compliance Database'!$O$2:$O$679,MATCH(394,Engine!$C$2:$C$679,0)))</f>
        <v/>
      </c>
      <c r="P407">
        <f>IF(ISNA(MATCH(394,Engine!$C$2:$C$679,0)),"",HYPERLINK(INDEX('Compliance Database'!$P$2:$P$679,MATCH(394,Engine!$C$2:$C$679,0)),"Open PDF"))</f>
        <v/>
      </c>
    </row>
    <row r="408">
      <c r="A408">
        <f>IF(ISNA(MATCH(395,Engine!$C$2:$C$679,0)),"",INDEX('Compliance Database'!$A$2:$A$679,MATCH(395,Engine!$C$2:$C$679,0)))</f>
        <v/>
      </c>
      <c r="B408">
        <f>IF(ISNA(MATCH(395,Engine!$C$2:$C$679,0)),"",INDEX('Compliance Database'!$B$2:$B$679,MATCH(395,Engine!$C$2:$C$679,0)))</f>
        <v/>
      </c>
      <c r="C408">
        <f>IF(ISNA(MATCH(395,Engine!$C$2:$C$679,0)),"",INDEX('Compliance Database'!$C$2:$C$679,MATCH(395,Engine!$C$2:$C$679,0)))</f>
        <v/>
      </c>
      <c r="D408" s="8">
        <f>IF(ISNA(MATCH(395,Engine!$C$2:$C$679,0)),"",INDEX('Compliance Database'!$D$2:$D$679,MATCH(395,Engine!$C$2:$C$679,0)))</f>
        <v/>
      </c>
      <c r="E408">
        <f>IF(ISNA(MATCH(395,Engine!$C$2:$C$679,0)),"",INDEX('Compliance Database'!$E$2:$E$679,MATCH(395,Engine!$C$2:$C$679,0)))</f>
        <v/>
      </c>
      <c r="F408">
        <f>IF(ISNA(MATCH(395,Engine!$C$2:$C$679,0)),"",INDEX('Compliance Database'!$F$2:$F$679,MATCH(395,Engine!$C$2:$C$679,0)))</f>
        <v/>
      </c>
      <c r="G408">
        <f>IF(ISNA(MATCH(395,Engine!$C$2:$C$679,0)),"",INDEX('Compliance Database'!$G$2:$G$679,MATCH(395,Engine!$C$2:$C$679,0)))</f>
        <v/>
      </c>
      <c r="H408">
        <f>IF(ISNA(MATCH(395,Engine!$C$2:$C$679,0)),"",INDEX('Compliance Database'!$H$2:$H$679,MATCH(395,Engine!$C$2:$C$679,0)))</f>
        <v/>
      </c>
      <c r="I408" s="8">
        <f>IF(ISNA(MATCH(395,Engine!$C$2:$C$679,0)),"",INDEX('Compliance Database'!$I$2:$I$679,MATCH(395,Engine!$C$2:$C$679,0)))</f>
        <v/>
      </c>
      <c r="J408" s="8">
        <f>IF(ISNA(MATCH(395,Engine!$C$2:$C$679,0)),"",INDEX('Compliance Database'!$J$2:$J$679,MATCH(395,Engine!$C$2:$C$679,0)))</f>
        <v/>
      </c>
      <c r="K408">
        <f>IF(ISNA(MATCH(395,Engine!$C$2:$C$679,0)),"",INDEX('Compliance Database'!$K$2:$K$679,MATCH(395,Engine!$C$2:$C$679,0)))</f>
        <v/>
      </c>
      <c r="L408" s="8">
        <f>IF(ISNA(MATCH(395,Engine!$C$2:$C$679,0)),"",INDEX('Compliance Database'!$L$2:$L$679,MATCH(395,Engine!$C$2:$C$679,0)))</f>
        <v/>
      </c>
      <c r="M408" s="8">
        <f>IF(ISNA(MATCH(395,Engine!$C$2:$C$679,0)),"",INDEX('Compliance Database'!$M$2:$M$679,MATCH(395,Engine!$C$2:$C$679,0)))</f>
        <v/>
      </c>
      <c r="N408" s="8">
        <f>IF(ISNA(MATCH(395,Engine!$C$2:$C$679,0)),"",INDEX('Compliance Database'!$N$2:$N$679,MATCH(395,Engine!$C$2:$C$679,0)))</f>
        <v/>
      </c>
      <c r="O408" s="8">
        <f>IF(ISNA(MATCH(395,Engine!$C$2:$C$679,0)),"",INDEX('Compliance Database'!$O$2:$O$679,MATCH(395,Engine!$C$2:$C$679,0)))</f>
        <v/>
      </c>
      <c r="P408">
        <f>IF(ISNA(MATCH(395,Engine!$C$2:$C$679,0)),"",HYPERLINK(INDEX('Compliance Database'!$P$2:$P$679,MATCH(395,Engine!$C$2:$C$679,0)),"Open PDF"))</f>
        <v/>
      </c>
    </row>
    <row r="409">
      <c r="A409">
        <f>IF(ISNA(MATCH(396,Engine!$C$2:$C$679,0)),"",INDEX('Compliance Database'!$A$2:$A$679,MATCH(396,Engine!$C$2:$C$679,0)))</f>
        <v/>
      </c>
      <c r="B409">
        <f>IF(ISNA(MATCH(396,Engine!$C$2:$C$679,0)),"",INDEX('Compliance Database'!$B$2:$B$679,MATCH(396,Engine!$C$2:$C$679,0)))</f>
        <v/>
      </c>
      <c r="C409">
        <f>IF(ISNA(MATCH(396,Engine!$C$2:$C$679,0)),"",INDEX('Compliance Database'!$C$2:$C$679,MATCH(396,Engine!$C$2:$C$679,0)))</f>
        <v/>
      </c>
      <c r="D409" s="8">
        <f>IF(ISNA(MATCH(396,Engine!$C$2:$C$679,0)),"",INDEX('Compliance Database'!$D$2:$D$679,MATCH(396,Engine!$C$2:$C$679,0)))</f>
        <v/>
      </c>
      <c r="E409">
        <f>IF(ISNA(MATCH(396,Engine!$C$2:$C$679,0)),"",INDEX('Compliance Database'!$E$2:$E$679,MATCH(396,Engine!$C$2:$C$679,0)))</f>
        <v/>
      </c>
      <c r="F409">
        <f>IF(ISNA(MATCH(396,Engine!$C$2:$C$679,0)),"",INDEX('Compliance Database'!$F$2:$F$679,MATCH(396,Engine!$C$2:$C$679,0)))</f>
        <v/>
      </c>
      <c r="G409">
        <f>IF(ISNA(MATCH(396,Engine!$C$2:$C$679,0)),"",INDEX('Compliance Database'!$G$2:$G$679,MATCH(396,Engine!$C$2:$C$679,0)))</f>
        <v/>
      </c>
      <c r="H409">
        <f>IF(ISNA(MATCH(396,Engine!$C$2:$C$679,0)),"",INDEX('Compliance Database'!$H$2:$H$679,MATCH(396,Engine!$C$2:$C$679,0)))</f>
        <v/>
      </c>
      <c r="I409" s="8">
        <f>IF(ISNA(MATCH(396,Engine!$C$2:$C$679,0)),"",INDEX('Compliance Database'!$I$2:$I$679,MATCH(396,Engine!$C$2:$C$679,0)))</f>
        <v/>
      </c>
      <c r="J409" s="8">
        <f>IF(ISNA(MATCH(396,Engine!$C$2:$C$679,0)),"",INDEX('Compliance Database'!$J$2:$J$679,MATCH(396,Engine!$C$2:$C$679,0)))</f>
        <v/>
      </c>
      <c r="K409">
        <f>IF(ISNA(MATCH(396,Engine!$C$2:$C$679,0)),"",INDEX('Compliance Database'!$K$2:$K$679,MATCH(396,Engine!$C$2:$C$679,0)))</f>
        <v/>
      </c>
      <c r="L409" s="8">
        <f>IF(ISNA(MATCH(396,Engine!$C$2:$C$679,0)),"",INDEX('Compliance Database'!$L$2:$L$679,MATCH(396,Engine!$C$2:$C$679,0)))</f>
        <v/>
      </c>
      <c r="M409" s="8">
        <f>IF(ISNA(MATCH(396,Engine!$C$2:$C$679,0)),"",INDEX('Compliance Database'!$M$2:$M$679,MATCH(396,Engine!$C$2:$C$679,0)))</f>
        <v/>
      </c>
      <c r="N409" s="8">
        <f>IF(ISNA(MATCH(396,Engine!$C$2:$C$679,0)),"",INDEX('Compliance Database'!$N$2:$N$679,MATCH(396,Engine!$C$2:$C$679,0)))</f>
        <v/>
      </c>
      <c r="O409" s="8">
        <f>IF(ISNA(MATCH(396,Engine!$C$2:$C$679,0)),"",INDEX('Compliance Database'!$O$2:$O$679,MATCH(396,Engine!$C$2:$C$679,0)))</f>
        <v/>
      </c>
      <c r="P409">
        <f>IF(ISNA(MATCH(396,Engine!$C$2:$C$679,0)),"",HYPERLINK(INDEX('Compliance Database'!$P$2:$P$679,MATCH(396,Engine!$C$2:$C$679,0)),"Open PDF"))</f>
        <v/>
      </c>
    </row>
    <row r="410">
      <c r="A410">
        <f>IF(ISNA(MATCH(397,Engine!$C$2:$C$679,0)),"",INDEX('Compliance Database'!$A$2:$A$679,MATCH(397,Engine!$C$2:$C$679,0)))</f>
        <v/>
      </c>
      <c r="B410">
        <f>IF(ISNA(MATCH(397,Engine!$C$2:$C$679,0)),"",INDEX('Compliance Database'!$B$2:$B$679,MATCH(397,Engine!$C$2:$C$679,0)))</f>
        <v/>
      </c>
      <c r="C410">
        <f>IF(ISNA(MATCH(397,Engine!$C$2:$C$679,0)),"",INDEX('Compliance Database'!$C$2:$C$679,MATCH(397,Engine!$C$2:$C$679,0)))</f>
        <v/>
      </c>
      <c r="D410" s="8">
        <f>IF(ISNA(MATCH(397,Engine!$C$2:$C$679,0)),"",INDEX('Compliance Database'!$D$2:$D$679,MATCH(397,Engine!$C$2:$C$679,0)))</f>
        <v/>
      </c>
      <c r="E410">
        <f>IF(ISNA(MATCH(397,Engine!$C$2:$C$679,0)),"",INDEX('Compliance Database'!$E$2:$E$679,MATCH(397,Engine!$C$2:$C$679,0)))</f>
        <v/>
      </c>
      <c r="F410">
        <f>IF(ISNA(MATCH(397,Engine!$C$2:$C$679,0)),"",INDEX('Compliance Database'!$F$2:$F$679,MATCH(397,Engine!$C$2:$C$679,0)))</f>
        <v/>
      </c>
      <c r="G410">
        <f>IF(ISNA(MATCH(397,Engine!$C$2:$C$679,0)),"",INDEX('Compliance Database'!$G$2:$G$679,MATCH(397,Engine!$C$2:$C$679,0)))</f>
        <v/>
      </c>
      <c r="H410">
        <f>IF(ISNA(MATCH(397,Engine!$C$2:$C$679,0)),"",INDEX('Compliance Database'!$H$2:$H$679,MATCH(397,Engine!$C$2:$C$679,0)))</f>
        <v/>
      </c>
      <c r="I410" s="8">
        <f>IF(ISNA(MATCH(397,Engine!$C$2:$C$679,0)),"",INDEX('Compliance Database'!$I$2:$I$679,MATCH(397,Engine!$C$2:$C$679,0)))</f>
        <v/>
      </c>
      <c r="J410" s="8">
        <f>IF(ISNA(MATCH(397,Engine!$C$2:$C$679,0)),"",INDEX('Compliance Database'!$J$2:$J$679,MATCH(397,Engine!$C$2:$C$679,0)))</f>
        <v/>
      </c>
      <c r="K410">
        <f>IF(ISNA(MATCH(397,Engine!$C$2:$C$679,0)),"",INDEX('Compliance Database'!$K$2:$K$679,MATCH(397,Engine!$C$2:$C$679,0)))</f>
        <v/>
      </c>
      <c r="L410" s="8">
        <f>IF(ISNA(MATCH(397,Engine!$C$2:$C$679,0)),"",INDEX('Compliance Database'!$L$2:$L$679,MATCH(397,Engine!$C$2:$C$679,0)))</f>
        <v/>
      </c>
      <c r="M410" s="8">
        <f>IF(ISNA(MATCH(397,Engine!$C$2:$C$679,0)),"",INDEX('Compliance Database'!$M$2:$M$679,MATCH(397,Engine!$C$2:$C$679,0)))</f>
        <v/>
      </c>
      <c r="N410" s="8">
        <f>IF(ISNA(MATCH(397,Engine!$C$2:$C$679,0)),"",INDEX('Compliance Database'!$N$2:$N$679,MATCH(397,Engine!$C$2:$C$679,0)))</f>
        <v/>
      </c>
      <c r="O410" s="8">
        <f>IF(ISNA(MATCH(397,Engine!$C$2:$C$679,0)),"",INDEX('Compliance Database'!$O$2:$O$679,MATCH(397,Engine!$C$2:$C$679,0)))</f>
        <v/>
      </c>
      <c r="P410">
        <f>IF(ISNA(MATCH(397,Engine!$C$2:$C$679,0)),"",HYPERLINK(INDEX('Compliance Database'!$P$2:$P$679,MATCH(397,Engine!$C$2:$C$679,0)),"Open PDF"))</f>
        <v/>
      </c>
    </row>
    <row r="411">
      <c r="A411">
        <f>IF(ISNA(MATCH(398,Engine!$C$2:$C$679,0)),"",INDEX('Compliance Database'!$A$2:$A$679,MATCH(398,Engine!$C$2:$C$679,0)))</f>
        <v/>
      </c>
      <c r="B411">
        <f>IF(ISNA(MATCH(398,Engine!$C$2:$C$679,0)),"",INDEX('Compliance Database'!$B$2:$B$679,MATCH(398,Engine!$C$2:$C$679,0)))</f>
        <v/>
      </c>
      <c r="C411">
        <f>IF(ISNA(MATCH(398,Engine!$C$2:$C$679,0)),"",INDEX('Compliance Database'!$C$2:$C$679,MATCH(398,Engine!$C$2:$C$679,0)))</f>
        <v/>
      </c>
      <c r="D411" s="8">
        <f>IF(ISNA(MATCH(398,Engine!$C$2:$C$679,0)),"",INDEX('Compliance Database'!$D$2:$D$679,MATCH(398,Engine!$C$2:$C$679,0)))</f>
        <v/>
      </c>
      <c r="E411">
        <f>IF(ISNA(MATCH(398,Engine!$C$2:$C$679,0)),"",INDEX('Compliance Database'!$E$2:$E$679,MATCH(398,Engine!$C$2:$C$679,0)))</f>
        <v/>
      </c>
      <c r="F411">
        <f>IF(ISNA(MATCH(398,Engine!$C$2:$C$679,0)),"",INDEX('Compliance Database'!$F$2:$F$679,MATCH(398,Engine!$C$2:$C$679,0)))</f>
        <v/>
      </c>
      <c r="G411">
        <f>IF(ISNA(MATCH(398,Engine!$C$2:$C$679,0)),"",INDEX('Compliance Database'!$G$2:$G$679,MATCH(398,Engine!$C$2:$C$679,0)))</f>
        <v/>
      </c>
      <c r="H411">
        <f>IF(ISNA(MATCH(398,Engine!$C$2:$C$679,0)),"",INDEX('Compliance Database'!$H$2:$H$679,MATCH(398,Engine!$C$2:$C$679,0)))</f>
        <v/>
      </c>
      <c r="I411" s="8">
        <f>IF(ISNA(MATCH(398,Engine!$C$2:$C$679,0)),"",INDEX('Compliance Database'!$I$2:$I$679,MATCH(398,Engine!$C$2:$C$679,0)))</f>
        <v/>
      </c>
      <c r="J411" s="8">
        <f>IF(ISNA(MATCH(398,Engine!$C$2:$C$679,0)),"",INDEX('Compliance Database'!$J$2:$J$679,MATCH(398,Engine!$C$2:$C$679,0)))</f>
        <v/>
      </c>
      <c r="K411">
        <f>IF(ISNA(MATCH(398,Engine!$C$2:$C$679,0)),"",INDEX('Compliance Database'!$K$2:$K$679,MATCH(398,Engine!$C$2:$C$679,0)))</f>
        <v/>
      </c>
      <c r="L411" s="8">
        <f>IF(ISNA(MATCH(398,Engine!$C$2:$C$679,0)),"",INDEX('Compliance Database'!$L$2:$L$679,MATCH(398,Engine!$C$2:$C$679,0)))</f>
        <v/>
      </c>
      <c r="M411" s="8">
        <f>IF(ISNA(MATCH(398,Engine!$C$2:$C$679,0)),"",INDEX('Compliance Database'!$M$2:$M$679,MATCH(398,Engine!$C$2:$C$679,0)))</f>
        <v/>
      </c>
      <c r="N411" s="8">
        <f>IF(ISNA(MATCH(398,Engine!$C$2:$C$679,0)),"",INDEX('Compliance Database'!$N$2:$N$679,MATCH(398,Engine!$C$2:$C$679,0)))</f>
        <v/>
      </c>
      <c r="O411" s="8">
        <f>IF(ISNA(MATCH(398,Engine!$C$2:$C$679,0)),"",INDEX('Compliance Database'!$O$2:$O$679,MATCH(398,Engine!$C$2:$C$679,0)))</f>
        <v/>
      </c>
      <c r="P411">
        <f>IF(ISNA(MATCH(398,Engine!$C$2:$C$679,0)),"",HYPERLINK(INDEX('Compliance Database'!$P$2:$P$679,MATCH(398,Engine!$C$2:$C$679,0)),"Open PDF"))</f>
        <v/>
      </c>
    </row>
    <row r="412">
      <c r="A412">
        <f>IF(ISNA(MATCH(399,Engine!$C$2:$C$679,0)),"",INDEX('Compliance Database'!$A$2:$A$679,MATCH(399,Engine!$C$2:$C$679,0)))</f>
        <v/>
      </c>
      <c r="B412">
        <f>IF(ISNA(MATCH(399,Engine!$C$2:$C$679,0)),"",INDEX('Compliance Database'!$B$2:$B$679,MATCH(399,Engine!$C$2:$C$679,0)))</f>
        <v/>
      </c>
      <c r="C412">
        <f>IF(ISNA(MATCH(399,Engine!$C$2:$C$679,0)),"",INDEX('Compliance Database'!$C$2:$C$679,MATCH(399,Engine!$C$2:$C$679,0)))</f>
        <v/>
      </c>
      <c r="D412" s="8">
        <f>IF(ISNA(MATCH(399,Engine!$C$2:$C$679,0)),"",INDEX('Compliance Database'!$D$2:$D$679,MATCH(399,Engine!$C$2:$C$679,0)))</f>
        <v/>
      </c>
      <c r="E412">
        <f>IF(ISNA(MATCH(399,Engine!$C$2:$C$679,0)),"",INDEX('Compliance Database'!$E$2:$E$679,MATCH(399,Engine!$C$2:$C$679,0)))</f>
        <v/>
      </c>
      <c r="F412">
        <f>IF(ISNA(MATCH(399,Engine!$C$2:$C$679,0)),"",INDEX('Compliance Database'!$F$2:$F$679,MATCH(399,Engine!$C$2:$C$679,0)))</f>
        <v/>
      </c>
      <c r="G412">
        <f>IF(ISNA(MATCH(399,Engine!$C$2:$C$679,0)),"",INDEX('Compliance Database'!$G$2:$G$679,MATCH(399,Engine!$C$2:$C$679,0)))</f>
        <v/>
      </c>
      <c r="H412">
        <f>IF(ISNA(MATCH(399,Engine!$C$2:$C$679,0)),"",INDEX('Compliance Database'!$H$2:$H$679,MATCH(399,Engine!$C$2:$C$679,0)))</f>
        <v/>
      </c>
      <c r="I412" s="8">
        <f>IF(ISNA(MATCH(399,Engine!$C$2:$C$679,0)),"",INDEX('Compliance Database'!$I$2:$I$679,MATCH(399,Engine!$C$2:$C$679,0)))</f>
        <v/>
      </c>
      <c r="J412" s="8">
        <f>IF(ISNA(MATCH(399,Engine!$C$2:$C$679,0)),"",INDEX('Compliance Database'!$J$2:$J$679,MATCH(399,Engine!$C$2:$C$679,0)))</f>
        <v/>
      </c>
      <c r="K412">
        <f>IF(ISNA(MATCH(399,Engine!$C$2:$C$679,0)),"",INDEX('Compliance Database'!$K$2:$K$679,MATCH(399,Engine!$C$2:$C$679,0)))</f>
        <v/>
      </c>
      <c r="L412" s="8">
        <f>IF(ISNA(MATCH(399,Engine!$C$2:$C$679,0)),"",INDEX('Compliance Database'!$L$2:$L$679,MATCH(399,Engine!$C$2:$C$679,0)))</f>
        <v/>
      </c>
      <c r="M412" s="8">
        <f>IF(ISNA(MATCH(399,Engine!$C$2:$C$679,0)),"",INDEX('Compliance Database'!$M$2:$M$679,MATCH(399,Engine!$C$2:$C$679,0)))</f>
        <v/>
      </c>
      <c r="N412" s="8">
        <f>IF(ISNA(MATCH(399,Engine!$C$2:$C$679,0)),"",INDEX('Compliance Database'!$N$2:$N$679,MATCH(399,Engine!$C$2:$C$679,0)))</f>
        <v/>
      </c>
      <c r="O412" s="8">
        <f>IF(ISNA(MATCH(399,Engine!$C$2:$C$679,0)),"",INDEX('Compliance Database'!$O$2:$O$679,MATCH(399,Engine!$C$2:$C$679,0)))</f>
        <v/>
      </c>
      <c r="P412">
        <f>IF(ISNA(MATCH(399,Engine!$C$2:$C$679,0)),"",HYPERLINK(INDEX('Compliance Database'!$P$2:$P$679,MATCH(399,Engine!$C$2:$C$679,0)),"Open PDF"))</f>
        <v/>
      </c>
    </row>
    <row r="413">
      <c r="A413">
        <f>IF(ISNA(MATCH(400,Engine!$C$2:$C$679,0)),"",INDEX('Compliance Database'!$A$2:$A$679,MATCH(400,Engine!$C$2:$C$679,0)))</f>
        <v/>
      </c>
      <c r="B413">
        <f>IF(ISNA(MATCH(400,Engine!$C$2:$C$679,0)),"",INDEX('Compliance Database'!$B$2:$B$679,MATCH(400,Engine!$C$2:$C$679,0)))</f>
        <v/>
      </c>
      <c r="C413">
        <f>IF(ISNA(MATCH(400,Engine!$C$2:$C$679,0)),"",INDEX('Compliance Database'!$C$2:$C$679,MATCH(400,Engine!$C$2:$C$679,0)))</f>
        <v/>
      </c>
      <c r="D413" s="8">
        <f>IF(ISNA(MATCH(400,Engine!$C$2:$C$679,0)),"",INDEX('Compliance Database'!$D$2:$D$679,MATCH(400,Engine!$C$2:$C$679,0)))</f>
        <v/>
      </c>
      <c r="E413">
        <f>IF(ISNA(MATCH(400,Engine!$C$2:$C$679,0)),"",INDEX('Compliance Database'!$E$2:$E$679,MATCH(400,Engine!$C$2:$C$679,0)))</f>
        <v/>
      </c>
      <c r="F413">
        <f>IF(ISNA(MATCH(400,Engine!$C$2:$C$679,0)),"",INDEX('Compliance Database'!$F$2:$F$679,MATCH(400,Engine!$C$2:$C$679,0)))</f>
        <v/>
      </c>
      <c r="G413">
        <f>IF(ISNA(MATCH(400,Engine!$C$2:$C$679,0)),"",INDEX('Compliance Database'!$G$2:$G$679,MATCH(400,Engine!$C$2:$C$679,0)))</f>
        <v/>
      </c>
      <c r="H413">
        <f>IF(ISNA(MATCH(400,Engine!$C$2:$C$679,0)),"",INDEX('Compliance Database'!$H$2:$H$679,MATCH(400,Engine!$C$2:$C$679,0)))</f>
        <v/>
      </c>
      <c r="I413" s="8">
        <f>IF(ISNA(MATCH(400,Engine!$C$2:$C$679,0)),"",INDEX('Compliance Database'!$I$2:$I$679,MATCH(400,Engine!$C$2:$C$679,0)))</f>
        <v/>
      </c>
      <c r="J413" s="8">
        <f>IF(ISNA(MATCH(400,Engine!$C$2:$C$679,0)),"",INDEX('Compliance Database'!$J$2:$J$679,MATCH(400,Engine!$C$2:$C$679,0)))</f>
        <v/>
      </c>
      <c r="K413">
        <f>IF(ISNA(MATCH(400,Engine!$C$2:$C$679,0)),"",INDEX('Compliance Database'!$K$2:$K$679,MATCH(400,Engine!$C$2:$C$679,0)))</f>
        <v/>
      </c>
      <c r="L413" s="8">
        <f>IF(ISNA(MATCH(400,Engine!$C$2:$C$679,0)),"",INDEX('Compliance Database'!$L$2:$L$679,MATCH(400,Engine!$C$2:$C$679,0)))</f>
        <v/>
      </c>
      <c r="M413" s="8">
        <f>IF(ISNA(MATCH(400,Engine!$C$2:$C$679,0)),"",INDEX('Compliance Database'!$M$2:$M$679,MATCH(400,Engine!$C$2:$C$679,0)))</f>
        <v/>
      </c>
      <c r="N413" s="8">
        <f>IF(ISNA(MATCH(400,Engine!$C$2:$C$679,0)),"",INDEX('Compliance Database'!$N$2:$N$679,MATCH(400,Engine!$C$2:$C$679,0)))</f>
        <v/>
      </c>
      <c r="O413" s="8">
        <f>IF(ISNA(MATCH(400,Engine!$C$2:$C$679,0)),"",INDEX('Compliance Database'!$O$2:$O$679,MATCH(400,Engine!$C$2:$C$679,0)))</f>
        <v/>
      </c>
      <c r="P413">
        <f>IF(ISNA(MATCH(400,Engine!$C$2:$C$679,0)),"",HYPERLINK(INDEX('Compliance Database'!$P$2:$P$679,MATCH(400,Engine!$C$2:$C$679,0)),"Open PDF"))</f>
        <v/>
      </c>
    </row>
    <row r="414">
      <c r="A414">
        <f>IF(ISNA(MATCH(401,Engine!$C$2:$C$679,0)),"",INDEX('Compliance Database'!$A$2:$A$679,MATCH(401,Engine!$C$2:$C$679,0)))</f>
        <v/>
      </c>
      <c r="B414">
        <f>IF(ISNA(MATCH(401,Engine!$C$2:$C$679,0)),"",INDEX('Compliance Database'!$B$2:$B$679,MATCH(401,Engine!$C$2:$C$679,0)))</f>
        <v/>
      </c>
      <c r="C414">
        <f>IF(ISNA(MATCH(401,Engine!$C$2:$C$679,0)),"",INDEX('Compliance Database'!$C$2:$C$679,MATCH(401,Engine!$C$2:$C$679,0)))</f>
        <v/>
      </c>
      <c r="D414" s="8">
        <f>IF(ISNA(MATCH(401,Engine!$C$2:$C$679,0)),"",INDEX('Compliance Database'!$D$2:$D$679,MATCH(401,Engine!$C$2:$C$679,0)))</f>
        <v/>
      </c>
      <c r="E414">
        <f>IF(ISNA(MATCH(401,Engine!$C$2:$C$679,0)),"",INDEX('Compliance Database'!$E$2:$E$679,MATCH(401,Engine!$C$2:$C$679,0)))</f>
        <v/>
      </c>
      <c r="F414">
        <f>IF(ISNA(MATCH(401,Engine!$C$2:$C$679,0)),"",INDEX('Compliance Database'!$F$2:$F$679,MATCH(401,Engine!$C$2:$C$679,0)))</f>
        <v/>
      </c>
      <c r="G414">
        <f>IF(ISNA(MATCH(401,Engine!$C$2:$C$679,0)),"",INDEX('Compliance Database'!$G$2:$G$679,MATCH(401,Engine!$C$2:$C$679,0)))</f>
        <v/>
      </c>
      <c r="H414">
        <f>IF(ISNA(MATCH(401,Engine!$C$2:$C$679,0)),"",INDEX('Compliance Database'!$H$2:$H$679,MATCH(401,Engine!$C$2:$C$679,0)))</f>
        <v/>
      </c>
      <c r="I414" s="8">
        <f>IF(ISNA(MATCH(401,Engine!$C$2:$C$679,0)),"",INDEX('Compliance Database'!$I$2:$I$679,MATCH(401,Engine!$C$2:$C$679,0)))</f>
        <v/>
      </c>
      <c r="J414" s="8">
        <f>IF(ISNA(MATCH(401,Engine!$C$2:$C$679,0)),"",INDEX('Compliance Database'!$J$2:$J$679,MATCH(401,Engine!$C$2:$C$679,0)))</f>
        <v/>
      </c>
      <c r="K414">
        <f>IF(ISNA(MATCH(401,Engine!$C$2:$C$679,0)),"",INDEX('Compliance Database'!$K$2:$K$679,MATCH(401,Engine!$C$2:$C$679,0)))</f>
        <v/>
      </c>
      <c r="L414" s="8">
        <f>IF(ISNA(MATCH(401,Engine!$C$2:$C$679,0)),"",INDEX('Compliance Database'!$L$2:$L$679,MATCH(401,Engine!$C$2:$C$679,0)))</f>
        <v/>
      </c>
      <c r="M414" s="8">
        <f>IF(ISNA(MATCH(401,Engine!$C$2:$C$679,0)),"",INDEX('Compliance Database'!$M$2:$M$679,MATCH(401,Engine!$C$2:$C$679,0)))</f>
        <v/>
      </c>
      <c r="N414" s="8">
        <f>IF(ISNA(MATCH(401,Engine!$C$2:$C$679,0)),"",INDEX('Compliance Database'!$N$2:$N$679,MATCH(401,Engine!$C$2:$C$679,0)))</f>
        <v/>
      </c>
      <c r="O414" s="8">
        <f>IF(ISNA(MATCH(401,Engine!$C$2:$C$679,0)),"",INDEX('Compliance Database'!$O$2:$O$679,MATCH(401,Engine!$C$2:$C$679,0)))</f>
        <v/>
      </c>
      <c r="P414">
        <f>IF(ISNA(MATCH(401,Engine!$C$2:$C$679,0)),"",HYPERLINK(INDEX('Compliance Database'!$P$2:$P$679,MATCH(401,Engine!$C$2:$C$679,0)),"Open PDF"))</f>
        <v/>
      </c>
    </row>
    <row r="415">
      <c r="A415">
        <f>IF(ISNA(MATCH(402,Engine!$C$2:$C$679,0)),"",INDEX('Compliance Database'!$A$2:$A$679,MATCH(402,Engine!$C$2:$C$679,0)))</f>
        <v/>
      </c>
      <c r="B415">
        <f>IF(ISNA(MATCH(402,Engine!$C$2:$C$679,0)),"",INDEX('Compliance Database'!$B$2:$B$679,MATCH(402,Engine!$C$2:$C$679,0)))</f>
        <v/>
      </c>
      <c r="C415">
        <f>IF(ISNA(MATCH(402,Engine!$C$2:$C$679,0)),"",INDEX('Compliance Database'!$C$2:$C$679,MATCH(402,Engine!$C$2:$C$679,0)))</f>
        <v/>
      </c>
      <c r="D415" s="8">
        <f>IF(ISNA(MATCH(402,Engine!$C$2:$C$679,0)),"",INDEX('Compliance Database'!$D$2:$D$679,MATCH(402,Engine!$C$2:$C$679,0)))</f>
        <v/>
      </c>
      <c r="E415">
        <f>IF(ISNA(MATCH(402,Engine!$C$2:$C$679,0)),"",INDEX('Compliance Database'!$E$2:$E$679,MATCH(402,Engine!$C$2:$C$679,0)))</f>
        <v/>
      </c>
      <c r="F415">
        <f>IF(ISNA(MATCH(402,Engine!$C$2:$C$679,0)),"",INDEX('Compliance Database'!$F$2:$F$679,MATCH(402,Engine!$C$2:$C$679,0)))</f>
        <v/>
      </c>
      <c r="G415">
        <f>IF(ISNA(MATCH(402,Engine!$C$2:$C$679,0)),"",INDEX('Compliance Database'!$G$2:$G$679,MATCH(402,Engine!$C$2:$C$679,0)))</f>
        <v/>
      </c>
      <c r="H415">
        <f>IF(ISNA(MATCH(402,Engine!$C$2:$C$679,0)),"",INDEX('Compliance Database'!$H$2:$H$679,MATCH(402,Engine!$C$2:$C$679,0)))</f>
        <v/>
      </c>
      <c r="I415" s="8">
        <f>IF(ISNA(MATCH(402,Engine!$C$2:$C$679,0)),"",INDEX('Compliance Database'!$I$2:$I$679,MATCH(402,Engine!$C$2:$C$679,0)))</f>
        <v/>
      </c>
      <c r="J415" s="8">
        <f>IF(ISNA(MATCH(402,Engine!$C$2:$C$679,0)),"",INDEX('Compliance Database'!$J$2:$J$679,MATCH(402,Engine!$C$2:$C$679,0)))</f>
        <v/>
      </c>
      <c r="K415">
        <f>IF(ISNA(MATCH(402,Engine!$C$2:$C$679,0)),"",INDEX('Compliance Database'!$K$2:$K$679,MATCH(402,Engine!$C$2:$C$679,0)))</f>
        <v/>
      </c>
      <c r="L415" s="8">
        <f>IF(ISNA(MATCH(402,Engine!$C$2:$C$679,0)),"",INDEX('Compliance Database'!$L$2:$L$679,MATCH(402,Engine!$C$2:$C$679,0)))</f>
        <v/>
      </c>
      <c r="M415" s="8">
        <f>IF(ISNA(MATCH(402,Engine!$C$2:$C$679,0)),"",INDEX('Compliance Database'!$M$2:$M$679,MATCH(402,Engine!$C$2:$C$679,0)))</f>
        <v/>
      </c>
      <c r="N415" s="8">
        <f>IF(ISNA(MATCH(402,Engine!$C$2:$C$679,0)),"",INDEX('Compliance Database'!$N$2:$N$679,MATCH(402,Engine!$C$2:$C$679,0)))</f>
        <v/>
      </c>
      <c r="O415" s="8">
        <f>IF(ISNA(MATCH(402,Engine!$C$2:$C$679,0)),"",INDEX('Compliance Database'!$O$2:$O$679,MATCH(402,Engine!$C$2:$C$679,0)))</f>
        <v/>
      </c>
      <c r="P415">
        <f>IF(ISNA(MATCH(402,Engine!$C$2:$C$679,0)),"",HYPERLINK(INDEX('Compliance Database'!$P$2:$P$679,MATCH(402,Engine!$C$2:$C$679,0)),"Open PDF"))</f>
        <v/>
      </c>
    </row>
    <row r="416">
      <c r="A416">
        <f>IF(ISNA(MATCH(403,Engine!$C$2:$C$679,0)),"",INDEX('Compliance Database'!$A$2:$A$679,MATCH(403,Engine!$C$2:$C$679,0)))</f>
        <v/>
      </c>
      <c r="B416">
        <f>IF(ISNA(MATCH(403,Engine!$C$2:$C$679,0)),"",INDEX('Compliance Database'!$B$2:$B$679,MATCH(403,Engine!$C$2:$C$679,0)))</f>
        <v/>
      </c>
      <c r="C416">
        <f>IF(ISNA(MATCH(403,Engine!$C$2:$C$679,0)),"",INDEX('Compliance Database'!$C$2:$C$679,MATCH(403,Engine!$C$2:$C$679,0)))</f>
        <v/>
      </c>
      <c r="D416" s="8">
        <f>IF(ISNA(MATCH(403,Engine!$C$2:$C$679,0)),"",INDEX('Compliance Database'!$D$2:$D$679,MATCH(403,Engine!$C$2:$C$679,0)))</f>
        <v/>
      </c>
      <c r="E416">
        <f>IF(ISNA(MATCH(403,Engine!$C$2:$C$679,0)),"",INDEX('Compliance Database'!$E$2:$E$679,MATCH(403,Engine!$C$2:$C$679,0)))</f>
        <v/>
      </c>
      <c r="F416">
        <f>IF(ISNA(MATCH(403,Engine!$C$2:$C$679,0)),"",INDEX('Compliance Database'!$F$2:$F$679,MATCH(403,Engine!$C$2:$C$679,0)))</f>
        <v/>
      </c>
      <c r="G416">
        <f>IF(ISNA(MATCH(403,Engine!$C$2:$C$679,0)),"",INDEX('Compliance Database'!$G$2:$G$679,MATCH(403,Engine!$C$2:$C$679,0)))</f>
        <v/>
      </c>
      <c r="H416">
        <f>IF(ISNA(MATCH(403,Engine!$C$2:$C$679,0)),"",INDEX('Compliance Database'!$H$2:$H$679,MATCH(403,Engine!$C$2:$C$679,0)))</f>
        <v/>
      </c>
      <c r="I416" s="8">
        <f>IF(ISNA(MATCH(403,Engine!$C$2:$C$679,0)),"",INDEX('Compliance Database'!$I$2:$I$679,MATCH(403,Engine!$C$2:$C$679,0)))</f>
        <v/>
      </c>
      <c r="J416" s="8">
        <f>IF(ISNA(MATCH(403,Engine!$C$2:$C$679,0)),"",INDEX('Compliance Database'!$J$2:$J$679,MATCH(403,Engine!$C$2:$C$679,0)))</f>
        <v/>
      </c>
      <c r="K416">
        <f>IF(ISNA(MATCH(403,Engine!$C$2:$C$679,0)),"",INDEX('Compliance Database'!$K$2:$K$679,MATCH(403,Engine!$C$2:$C$679,0)))</f>
        <v/>
      </c>
      <c r="L416" s="8">
        <f>IF(ISNA(MATCH(403,Engine!$C$2:$C$679,0)),"",INDEX('Compliance Database'!$L$2:$L$679,MATCH(403,Engine!$C$2:$C$679,0)))</f>
        <v/>
      </c>
      <c r="M416" s="8">
        <f>IF(ISNA(MATCH(403,Engine!$C$2:$C$679,0)),"",INDEX('Compliance Database'!$M$2:$M$679,MATCH(403,Engine!$C$2:$C$679,0)))</f>
        <v/>
      </c>
      <c r="N416" s="8">
        <f>IF(ISNA(MATCH(403,Engine!$C$2:$C$679,0)),"",INDEX('Compliance Database'!$N$2:$N$679,MATCH(403,Engine!$C$2:$C$679,0)))</f>
        <v/>
      </c>
      <c r="O416" s="8">
        <f>IF(ISNA(MATCH(403,Engine!$C$2:$C$679,0)),"",INDEX('Compliance Database'!$O$2:$O$679,MATCH(403,Engine!$C$2:$C$679,0)))</f>
        <v/>
      </c>
      <c r="P416">
        <f>IF(ISNA(MATCH(403,Engine!$C$2:$C$679,0)),"",HYPERLINK(INDEX('Compliance Database'!$P$2:$P$679,MATCH(403,Engine!$C$2:$C$679,0)),"Open PDF"))</f>
        <v/>
      </c>
    </row>
    <row r="417">
      <c r="A417">
        <f>IF(ISNA(MATCH(404,Engine!$C$2:$C$679,0)),"",INDEX('Compliance Database'!$A$2:$A$679,MATCH(404,Engine!$C$2:$C$679,0)))</f>
        <v/>
      </c>
      <c r="B417">
        <f>IF(ISNA(MATCH(404,Engine!$C$2:$C$679,0)),"",INDEX('Compliance Database'!$B$2:$B$679,MATCH(404,Engine!$C$2:$C$679,0)))</f>
        <v/>
      </c>
      <c r="C417">
        <f>IF(ISNA(MATCH(404,Engine!$C$2:$C$679,0)),"",INDEX('Compliance Database'!$C$2:$C$679,MATCH(404,Engine!$C$2:$C$679,0)))</f>
        <v/>
      </c>
      <c r="D417" s="8">
        <f>IF(ISNA(MATCH(404,Engine!$C$2:$C$679,0)),"",INDEX('Compliance Database'!$D$2:$D$679,MATCH(404,Engine!$C$2:$C$679,0)))</f>
        <v/>
      </c>
      <c r="E417">
        <f>IF(ISNA(MATCH(404,Engine!$C$2:$C$679,0)),"",INDEX('Compliance Database'!$E$2:$E$679,MATCH(404,Engine!$C$2:$C$679,0)))</f>
        <v/>
      </c>
      <c r="F417">
        <f>IF(ISNA(MATCH(404,Engine!$C$2:$C$679,0)),"",INDEX('Compliance Database'!$F$2:$F$679,MATCH(404,Engine!$C$2:$C$679,0)))</f>
        <v/>
      </c>
      <c r="G417">
        <f>IF(ISNA(MATCH(404,Engine!$C$2:$C$679,0)),"",INDEX('Compliance Database'!$G$2:$G$679,MATCH(404,Engine!$C$2:$C$679,0)))</f>
        <v/>
      </c>
      <c r="H417">
        <f>IF(ISNA(MATCH(404,Engine!$C$2:$C$679,0)),"",INDEX('Compliance Database'!$H$2:$H$679,MATCH(404,Engine!$C$2:$C$679,0)))</f>
        <v/>
      </c>
      <c r="I417" s="8">
        <f>IF(ISNA(MATCH(404,Engine!$C$2:$C$679,0)),"",INDEX('Compliance Database'!$I$2:$I$679,MATCH(404,Engine!$C$2:$C$679,0)))</f>
        <v/>
      </c>
      <c r="J417" s="8">
        <f>IF(ISNA(MATCH(404,Engine!$C$2:$C$679,0)),"",INDEX('Compliance Database'!$J$2:$J$679,MATCH(404,Engine!$C$2:$C$679,0)))</f>
        <v/>
      </c>
      <c r="K417">
        <f>IF(ISNA(MATCH(404,Engine!$C$2:$C$679,0)),"",INDEX('Compliance Database'!$K$2:$K$679,MATCH(404,Engine!$C$2:$C$679,0)))</f>
        <v/>
      </c>
      <c r="L417" s="8">
        <f>IF(ISNA(MATCH(404,Engine!$C$2:$C$679,0)),"",INDEX('Compliance Database'!$L$2:$L$679,MATCH(404,Engine!$C$2:$C$679,0)))</f>
        <v/>
      </c>
      <c r="M417" s="8">
        <f>IF(ISNA(MATCH(404,Engine!$C$2:$C$679,0)),"",INDEX('Compliance Database'!$M$2:$M$679,MATCH(404,Engine!$C$2:$C$679,0)))</f>
        <v/>
      </c>
      <c r="N417" s="8">
        <f>IF(ISNA(MATCH(404,Engine!$C$2:$C$679,0)),"",INDEX('Compliance Database'!$N$2:$N$679,MATCH(404,Engine!$C$2:$C$679,0)))</f>
        <v/>
      </c>
      <c r="O417" s="8">
        <f>IF(ISNA(MATCH(404,Engine!$C$2:$C$679,0)),"",INDEX('Compliance Database'!$O$2:$O$679,MATCH(404,Engine!$C$2:$C$679,0)))</f>
        <v/>
      </c>
      <c r="P417">
        <f>IF(ISNA(MATCH(404,Engine!$C$2:$C$679,0)),"",HYPERLINK(INDEX('Compliance Database'!$P$2:$P$679,MATCH(404,Engine!$C$2:$C$679,0)),"Open PDF"))</f>
        <v/>
      </c>
    </row>
    <row r="418">
      <c r="A418">
        <f>IF(ISNA(MATCH(405,Engine!$C$2:$C$679,0)),"",INDEX('Compliance Database'!$A$2:$A$679,MATCH(405,Engine!$C$2:$C$679,0)))</f>
        <v/>
      </c>
      <c r="B418">
        <f>IF(ISNA(MATCH(405,Engine!$C$2:$C$679,0)),"",INDEX('Compliance Database'!$B$2:$B$679,MATCH(405,Engine!$C$2:$C$679,0)))</f>
        <v/>
      </c>
      <c r="C418">
        <f>IF(ISNA(MATCH(405,Engine!$C$2:$C$679,0)),"",INDEX('Compliance Database'!$C$2:$C$679,MATCH(405,Engine!$C$2:$C$679,0)))</f>
        <v/>
      </c>
      <c r="D418" s="8">
        <f>IF(ISNA(MATCH(405,Engine!$C$2:$C$679,0)),"",INDEX('Compliance Database'!$D$2:$D$679,MATCH(405,Engine!$C$2:$C$679,0)))</f>
        <v/>
      </c>
      <c r="E418">
        <f>IF(ISNA(MATCH(405,Engine!$C$2:$C$679,0)),"",INDEX('Compliance Database'!$E$2:$E$679,MATCH(405,Engine!$C$2:$C$679,0)))</f>
        <v/>
      </c>
      <c r="F418">
        <f>IF(ISNA(MATCH(405,Engine!$C$2:$C$679,0)),"",INDEX('Compliance Database'!$F$2:$F$679,MATCH(405,Engine!$C$2:$C$679,0)))</f>
        <v/>
      </c>
      <c r="G418">
        <f>IF(ISNA(MATCH(405,Engine!$C$2:$C$679,0)),"",INDEX('Compliance Database'!$G$2:$G$679,MATCH(405,Engine!$C$2:$C$679,0)))</f>
        <v/>
      </c>
      <c r="H418">
        <f>IF(ISNA(MATCH(405,Engine!$C$2:$C$679,0)),"",INDEX('Compliance Database'!$H$2:$H$679,MATCH(405,Engine!$C$2:$C$679,0)))</f>
        <v/>
      </c>
      <c r="I418" s="8">
        <f>IF(ISNA(MATCH(405,Engine!$C$2:$C$679,0)),"",INDEX('Compliance Database'!$I$2:$I$679,MATCH(405,Engine!$C$2:$C$679,0)))</f>
        <v/>
      </c>
      <c r="J418" s="8">
        <f>IF(ISNA(MATCH(405,Engine!$C$2:$C$679,0)),"",INDEX('Compliance Database'!$J$2:$J$679,MATCH(405,Engine!$C$2:$C$679,0)))</f>
        <v/>
      </c>
      <c r="K418">
        <f>IF(ISNA(MATCH(405,Engine!$C$2:$C$679,0)),"",INDEX('Compliance Database'!$K$2:$K$679,MATCH(405,Engine!$C$2:$C$679,0)))</f>
        <v/>
      </c>
      <c r="L418" s="8">
        <f>IF(ISNA(MATCH(405,Engine!$C$2:$C$679,0)),"",INDEX('Compliance Database'!$L$2:$L$679,MATCH(405,Engine!$C$2:$C$679,0)))</f>
        <v/>
      </c>
      <c r="M418" s="8">
        <f>IF(ISNA(MATCH(405,Engine!$C$2:$C$679,0)),"",INDEX('Compliance Database'!$M$2:$M$679,MATCH(405,Engine!$C$2:$C$679,0)))</f>
        <v/>
      </c>
      <c r="N418" s="8">
        <f>IF(ISNA(MATCH(405,Engine!$C$2:$C$679,0)),"",INDEX('Compliance Database'!$N$2:$N$679,MATCH(405,Engine!$C$2:$C$679,0)))</f>
        <v/>
      </c>
      <c r="O418" s="8">
        <f>IF(ISNA(MATCH(405,Engine!$C$2:$C$679,0)),"",INDEX('Compliance Database'!$O$2:$O$679,MATCH(405,Engine!$C$2:$C$679,0)))</f>
        <v/>
      </c>
      <c r="P418">
        <f>IF(ISNA(MATCH(405,Engine!$C$2:$C$679,0)),"",HYPERLINK(INDEX('Compliance Database'!$P$2:$P$679,MATCH(405,Engine!$C$2:$C$679,0)),"Open PDF"))</f>
        <v/>
      </c>
    </row>
    <row r="419">
      <c r="A419">
        <f>IF(ISNA(MATCH(406,Engine!$C$2:$C$679,0)),"",INDEX('Compliance Database'!$A$2:$A$679,MATCH(406,Engine!$C$2:$C$679,0)))</f>
        <v/>
      </c>
      <c r="B419">
        <f>IF(ISNA(MATCH(406,Engine!$C$2:$C$679,0)),"",INDEX('Compliance Database'!$B$2:$B$679,MATCH(406,Engine!$C$2:$C$679,0)))</f>
        <v/>
      </c>
      <c r="C419">
        <f>IF(ISNA(MATCH(406,Engine!$C$2:$C$679,0)),"",INDEX('Compliance Database'!$C$2:$C$679,MATCH(406,Engine!$C$2:$C$679,0)))</f>
        <v/>
      </c>
      <c r="D419" s="8">
        <f>IF(ISNA(MATCH(406,Engine!$C$2:$C$679,0)),"",INDEX('Compliance Database'!$D$2:$D$679,MATCH(406,Engine!$C$2:$C$679,0)))</f>
        <v/>
      </c>
      <c r="E419">
        <f>IF(ISNA(MATCH(406,Engine!$C$2:$C$679,0)),"",INDEX('Compliance Database'!$E$2:$E$679,MATCH(406,Engine!$C$2:$C$679,0)))</f>
        <v/>
      </c>
      <c r="F419">
        <f>IF(ISNA(MATCH(406,Engine!$C$2:$C$679,0)),"",INDEX('Compliance Database'!$F$2:$F$679,MATCH(406,Engine!$C$2:$C$679,0)))</f>
        <v/>
      </c>
      <c r="G419">
        <f>IF(ISNA(MATCH(406,Engine!$C$2:$C$679,0)),"",INDEX('Compliance Database'!$G$2:$G$679,MATCH(406,Engine!$C$2:$C$679,0)))</f>
        <v/>
      </c>
      <c r="H419">
        <f>IF(ISNA(MATCH(406,Engine!$C$2:$C$679,0)),"",INDEX('Compliance Database'!$H$2:$H$679,MATCH(406,Engine!$C$2:$C$679,0)))</f>
        <v/>
      </c>
      <c r="I419" s="8">
        <f>IF(ISNA(MATCH(406,Engine!$C$2:$C$679,0)),"",INDEX('Compliance Database'!$I$2:$I$679,MATCH(406,Engine!$C$2:$C$679,0)))</f>
        <v/>
      </c>
      <c r="J419" s="8">
        <f>IF(ISNA(MATCH(406,Engine!$C$2:$C$679,0)),"",INDEX('Compliance Database'!$J$2:$J$679,MATCH(406,Engine!$C$2:$C$679,0)))</f>
        <v/>
      </c>
      <c r="K419">
        <f>IF(ISNA(MATCH(406,Engine!$C$2:$C$679,0)),"",INDEX('Compliance Database'!$K$2:$K$679,MATCH(406,Engine!$C$2:$C$679,0)))</f>
        <v/>
      </c>
      <c r="L419" s="8">
        <f>IF(ISNA(MATCH(406,Engine!$C$2:$C$679,0)),"",INDEX('Compliance Database'!$L$2:$L$679,MATCH(406,Engine!$C$2:$C$679,0)))</f>
        <v/>
      </c>
      <c r="M419" s="8">
        <f>IF(ISNA(MATCH(406,Engine!$C$2:$C$679,0)),"",INDEX('Compliance Database'!$M$2:$M$679,MATCH(406,Engine!$C$2:$C$679,0)))</f>
        <v/>
      </c>
      <c r="N419" s="8">
        <f>IF(ISNA(MATCH(406,Engine!$C$2:$C$679,0)),"",INDEX('Compliance Database'!$N$2:$N$679,MATCH(406,Engine!$C$2:$C$679,0)))</f>
        <v/>
      </c>
      <c r="O419" s="8">
        <f>IF(ISNA(MATCH(406,Engine!$C$2:$C$679,0)),"",INDEX('Compliance Database'!$O$2:$O$679,MATCH(406,Engine!$C$2:$C$679,0)))</f>
        <v/>
      </c>
      <c r="P419">
        <f>IF(ISNA(MATCH(406,Engine!$C$2:$C$679,0)),"",HYPERLINK(INDEX('Compliance Database'!$P$2:$P$679,MATCH(406,Engine!$C$2:$C$679,0)),"Open PDF"))</f>
        <v/>
      </c>
    </row>
    <row r="420">
      <c r="A420">
        <f>IF(ISNA(MATCH(407,Engine!$C$2:$C$679,0)),"",INDEX('Compliance Database'!$A$2:$A$679,MATCH(407,Engine!$C$2:$C$679,0)))</f>
        <v/>
      </c>
      <c r="B420">
        <f>IF(ISNA(MATCH(407,Engine!$C$2:$C$679,0)),"",INDEX('Compliance Database'!$B$2:$B$679,MATCH(407,Engine!$C$2:$C$679,0)))</f>
        <v/>
      </c>
      <c r="C420">
        <f>IF(ISNA(MATCH(407,Engine!$C$2:$C$679,0)),"",INDEX('Compliance Database'!$C$2:$C$679,MATCH(407,Engine!$C$2:$C$679,0)))</f>
        <v/>
      </c>
      <c r="D420" s="8">
        <f>IF(ISNA(MATCH(407,Engine!$C$2:$C$679,0)),"",INDEX('Compliance Database'!$D$2:$D$679,MATCH(407,Engine!$C$2:$C$679,0)))</f>
        <v/>
      </c>
      <c r="E420">
        <f>IF(ISNA(MATCH(407,Engine!$C$2:$C$679,0)),"",INDEX('Compliance Database'!$E$2:$E$679,MATCH(407,Engine!$C$2:$C$679,0)))</f>
        <v/>
      </c>
      <c r="F420">
        <f>IF(ISNA(MATCH(407,Engine!$C$2:$C$679,0)),"",INDEX('Compliance Database'!$F$2:$F$679,MATCH(407,Engine!$C$2:$C$679,0)))</f>
        <v/>
      </c>
      <c r="G420">
        <f>IF(ISNA(MATCH(407,Engine!$C$2:$C$679,0)),"",INDEX('Compliance Database'!$G$2:$G$679,MATCH(407,Engine!$C$2:$C$679,0)))</f>
        <v/>
      </c>
      <c r="H420">
        <f>IF(ISNA(MATCH(407,Engine!$C$2:$C$679,0)),"",INDEX('Compliance Database'!$H$2:$H$679,MATCH(407,Engine!$C$2:$C$679,0)))</f>
        <v/>
      </c>
      <c r="I420" s="8">
        <f>IF(ISNA(MATCH(407,Engine!$C$2:$C$679,0)),"",INDEX('Compliance Database'!$I$2:$I$679,MATCH(407,Engine!$C$2:$C$679,0)))</f>
        <v/>
      </c>
      <c r="J420" s="8">
        <f>IF(ISNA(MATCH(407,Engine!$C$2:$C$679,0)),"",INDEX('Compliance Database'!$J$2:$J$679,MATCH(407,Engine!$C$2:$C$679,0)))</f>
        <v/>
      </c>
      <c r="K420">
        <f>IF(ISNA(MATCH(407,Engine!$C$2:$C$679,0)),"",INDEX('Compliance Database'!$K$2:$K$679,MATCH(407,Engine!$C$2:$C$679,0)))</f>
        <v/>
      </c>
      <c r="L420" s="8">
        <f>IF(ISNA(MATCH(407,Engine!$C$2:$C$679,0)),"",INDEX('Compliance Database'!$L$2:$L$679,MATCH(407,Engine!$C$2:$C$679,0)))</f>
        <v/>
      </c>
      <c r="M420" s="8">
        <f>IF(ISNA(MATCH(407,Engine!$C$2:$C$679,0)),"",INDEX('Compliance Database'!$M$2:$M$679,MATCH(407,Engine!$C$2:$C$679,0)))</f>
        <v/>
      </c>
      <c r="N420" s="8">
        <f>IF(ISNA(MATCH(407,Engine!$C$2:$C$679,0)),"",INDEX('Compliance Database'!$N$2:$N$679,MATCH(407,Engine!$C$2:$C$679,0)))</f>
        <v/>
      </c>
      <c r="O420" s="8">
        <f>IF(ISNA(MATCH(407,Engine!$C$2:$C$679,0)),"",INDEX('Compliance Database'!$O$2:$O$679,MATCH(407,Engine!$C$2:$C$679,0)))</f>
        <v/>
      </c>
      <c r="P420">
        <f>IF(ISNA(MATCH(407,Engine!$C$2:$C$679,0)),"",HYPERLINK(INDEX('Compliance Database'!$P$2:$P$679,MATCH(407,Engine!$C$2:$C$679,0)),"Open PDF"))</f>
        <v/>
      </c>
    </row>
    <row r="421">
      <c r="A421">
        <f>IF(ISNA(MATCH(408,Engine!$C$2:$C$679,0)),"",INDEX('Compliance Database'!$A$2:$A$679,MATCH(408,Engine!$C$2:$C$679,0)))</f>
        <v/>
      </c>
      <c r="B421">
        <f>IF(ISNA(MATCH(408,Engine!$C$2:$C$679,0)),"",INDEX('Compliance Database'!$B$2:$B$679,MATCH(408,Engine!$C$2:$C$679,0)))</f>
        <v/>
      </c>
      <c r="C421">
        <f>IF(ISNA(MATCH(408,Engine!$C$2:$C$679,0)),"",INDEX('Compliance Database'!$C$2:$C$679,MATCH(408,Engine!$C$2:$C$679,0)))</f>
        <v/>
      </c>
      <c r="D421" s="8">
        <f>IF(ISNA(MATCH(408,Engine!$C$2:$C$679,0)),"",INDEX('Compliance Database'!$D$2:$D$679,MATCH(408,Engine!$C$2:$C$679,0)))</f>
        <v/>
      </c>
      <c r="E421">
        <f>IF(ISNA(MATCH(408,Engine!$C$2:$C$679,0)),"",INDEX('Compliance Database'!$E$2:$E$679,MATCH(408,Engine!$C$2:$C$679,0)))</f>
        <v/>
      </c>
      <c r="F421">
        <f>IF(ISNA(MATCH(408,Engine!$C$2:$C$679,0)),"",INDEX('Compliance Database'!$F$2:$F$679,MATCH(408,Engine!$C$2:$C$679,0)))</f>
        <v/>
      </c>
      <c r="G421">
        <f>IF(ISNA(MATCH(408,Engine!$C$2:$C$679,0)),"",INDEX('Compliance Database'!$G$2:$G$679,MATCH(408,Engine!$C$2:$C$679,0)))</f>
        <v/>
      </c>
      <c r="H421">
        <f>IF(ISNA(MATCH(408,Engine!$C$2:$C$679,0)),"",INDEX('Compliance Database'!$H$2:$H$679,MATCH(408,Engine!$C$2:$C$679,0)))</f>
        <v/>
      </c>
      <c r="I421" s="8">
        <f>IF(ISNA(MATCH(408,Engine!$C$2:$C$679,0)),"",INDEX('Compliance Database'!$I$2:$I$679,MATCH(408,Engine!$C$2:$C$679,0)))</f>
        <v/>
      </c>
      <c r="J421" s="8">
        <f>IF(ISNA(MATCH(408,Engine!$C$2:$C$679,0)),"",INDEX('Compliance Database'!$J$2:$J$679,MATCH(408,Engine!$C$2:$C$679,0)))</f>
        <v/>
      </c>
      <c r="K421">
        <f>IF(ISNA(MATCH(408,Engine!$C$2:$C$679,0)),"",INDEX('Compliance Database'!$K$2:$K$679,MATCH(408,Engine!$C$2:$C$679,0)))</f>
        <v/>
      </c>
      <c r="L421" s="8">
        <f>IF(ISNA(MATCH(408,Engine!$C$2:$C$679,0)),"",INDEX('Compliance Database'!$L$2:$L$679,MATCH(408,Engine!$C$2:$C$679,0)))</f>
        <v/>
      </c>
      <c r="M421" s="8">
        <f>IF(ISNA(MATCH(408,Engine!$C$2:$C$679,0)),"",INDEX('Compliance Database'!$M$2:$M$679,MATCH(408,Engine!$C$2:$C$679,0)))</f>
        <v/>
      </c>
      <c r="N421" s="8">
        <f>IF(ISNA(MATCH(408,Engine!$C$2:$C$679,0)),"",INDEX('Compliance Database'!$N$2:$N$679,MATCH(408,Engine!$C$2:$C$679,0)))</f>
        <v/>
      </c>
      <c r="O421" s="8">
        <f>IF(ISNA(MATCH(408,Engine!$C$2:$C$679,0)),"",INDEX('Compliance Database'!$O$2:$O$679,MATCH(408,Engine!$C$2:$C$679,0)))</f>
        <v/>
      </c>
      <c r="P421">
        <f>IF(ISNA(MATCH(408,Engine!$C$2:$C$679,0)),"",HYPERLINK(INDEX('Compliance Database'!$P$2:$P$679,MATCH(408,Engine!$C$2:$C$679,0)),"Open PDF"))</f>
        <v/>
      </c>
    </row>
    <row r="422">
      <c r="A422">
        <f>IF(ISNA(MATCH(409,Engine!$C$2:$C$679,0)),"",INDEX('Compliance Database'!$A$2:$A$679,MATCH(409,Engine!$C$2:$C$679,0)))</f>
        <v/>
      </c>
      <c r="B422">
        <f>IF(ISNA(MATCH(409,Engine!$C$2:$C$679,0)),"",INDEX('Compliance Database'!$B$2:$B$679,MATCH(409,Engine!$C$2:$C$679,0)))</f>
        <v/>
      </c>
      <c r="C422">
        <f>IF(ISNA(MATCH(409,Engine!$C$2:$C$679,0)),"",INDEX('Compliance Database'!$C$2:$C$679,MATCH(409,Engine!$C$2:$C$679,0)))</f>
        <v/>
      </c>
      <c r="D422" s="8">
        <f>IF(ISNA(MATCH(409,Engine!$C$2:$C$679,0)),"",INDEX('Compliance Database'!$D$2:$D$679,MATCH(409,Engine!$C$2:$C$679,0)))</f>
        <v/>
      </c>
      <c r="E422">
        <f>IF(ISNA(MATCH(409,Engine!$C$2:$C$679,0)),"",INDEX('Compliance Database'!$E$2:$E$679,MATCH(409,Engine!$C$2:$C$679,0)))</f>
        <v/>
      </c>
      <c r="F422">
        <f>IF(ISNA(MATCH(409,Engine!$C$2:$C$679,0)),"",INDEX('Compliance Database'!$F$2:$F$679,MATCH(409,Engine!$C$2:$C$679,0)))</f>
        <v/>
      </c>
      <c r="G422">
        <f>IF(ISNA(MATCH(409,Engine!$C$2:$C$679,0)),"",INDEX('Compliance Database'!$G$2:$G$679,MATCH(409,Engine!$C$2:$C$679,0)))</f>
        <v/>
      </c>
      <c r="H422">
        <f>IF(ISNA(MATCH(409,Engine!$C$2:$C$679,0)),"",INDEX('Compliance Database'!$H$2:$H$679,MATCH(409,Engine!$C$2:$C$679,0)))</f>
        <v/>
      </c>
      <c r="I422" s="8">
        <f>IF(ISNA(MATCH(409,Engine!$C$2:$C$679,0)),"",INDEX('Compliance Database'!$I$2:$I$679,MATCH(409,Engine!$C$2:$C$679,0)))</f>
        <v/>
      </c>
      <c r="J422" s="8">
        <f>IF(ISNA(MATCH(409,Engine!$C$2:$C$679,0)),"",INDEX('Compliance Database'!$J$2:$J$679,MATCH(409,Engine!$C$2:$C$679,0)))</f>
        <v/>
      </c>
      <c r="K422">
        <f>IF(ISNA(MATCH(409,Engine!$C$2:$C$679,0)),"",INDEX('Compliance Database'!$K$2:$K$679,MATCH(409,Engine!$C$2:$C$679,0)))</f>
        <v/>
      </c>
      <c r="L422" s="8">
        <f>IF(ISNA(MATCH(409,Engine!$C$2:$C$679,0)),"",INDEX('Compliance Database'!$L$2:$L$679,MATCH(409,Engine!$C$2:$C$679,0)))</f>
        <v/>
      </c>
      <c r="M422" s="8">
        <f>IF(ISNA(MATCH(409,Engine!$C$2:$C$679,0)),"",INDEX('Compliance Database'!$M$2:$M$679,MATCH(409,Engine!$C$2:$C$679,0)))</f>
        <v/>
      </c>
      <c r="N422" s="8">
        <f>IF(ISNA(MATCH(409,Engine!$C$2:$C$679,0)),"",INDEX('Compliance Database'!$N$2:$N$679,MATCH(409,Engine!$C$2:$C$679,0)))</f>
        <v/>
      </c>
      <c r="O422" s="8">
        <f>IF(ISNA(MATCH(409,Engine!$C$2:$C$679,0)),"",INDEX('Compliance Database'!$O$2:$O$679,MATCH(409,Engine!$C$2:$C$679,0)))</f>
        <v/>
      </c>
      <c r="P422">
        <f>IF(ISNA(MATCH(409,Engine!$C$2:$C$679,0)),"",HYPERLINK(INDEX('Compliance Database'!$P$2:$P$679,MATCH(409,Engine!$C$2:$C$679,0)),"Open PDF"))</f>
        <v/>
      </c>
    </row>
    <row r="423">
      <c r="A423">
        <f>IF(ISNA(MATCH(410,Engine!$C$2:$C$679,0)),"",INDEX('Compliance Database'!$A$2:$A$679,MATCH(410,Engine!$C$2:$C$679,0)))</f>
        <v/>
      </c>
      <c r="B423">
        <f>IF(ISNA(MATCH(410,Engine!$C$2:$C$679,0)),"",INDEX('Compliance Database'!$B$2:$B$679,MATCH(410,Engine!$C$2:$C$679,0)))</f>
        <v/>
      </c>
      <c r="C423">
        <f>IF(ISNA(MATCH(410,Engine!$C$2:$C$679,0)),"",INDEX('Compliance Database'!$C$2:$C$679,MATCH(410,Engine!$C$2:$C$679,0)))</f>
        <v/>
      </c>
      <c r="D423" s="8">
        <f>IF(ISNA(MATCH(410,Engine!$C$2:$C$679,0)),"",INDEX('Compliance Database'!$D$2:$D$679,MATCH(410,Engine!$C$2:$C$679,0)))</f>
        <v/>
      </c>
      <c r="E423">
        <f>IF(ISNA(MATCH(410,Engine!$C$2:$C$679,0)),"",INDEX('Compliance Database'!$E$2:$E$679,MATCH(410,Engine!$C$2:$C$679,0)))</f>
        <v/>
      </c>
      <c r="F423">
        <f>IF(ISNA(MATCH(410,Engine!$C$2:$C$679,0)),"",INDEX('Compliance Database'!$F$2:$F$679,MATCH(410,Engine!$C$2:$C$679,0)))</f>
        <v/>
      </c>
      <c r="G423">
        <f>IF(ISNA(MATCH(410,Engine!$C$2:$C$679,0)),"",INDEX('Compliance Database'!$G$2:$G$679,MATCH(410,Engine!$C$2:$C$679,0)))</f>
        <v/>
      </c>
      <c r="H423">
        <f>IF(ISNA(MATCH(410,Engine!$C$2:$C$679,0)),"",INDEX('Compliance Database'!$H$2:$H$679,MATCH(410,Engine!$C$2:$C$679,0)))</f>
        <v/>
      </c>
      <c r="I423" s="8">
        <f>IF(ISNA(MATCH(410,Engine!$C$2:$C$679,0)),"",INDEX('Compliance Database'!$I$2:$I$679,MATCH(410,Engine!$C$2:$C$679,0)))</f>
        <v/>
      </c>
      <c r="J423" s="8">
        <f>IF(ISNA(MATCH(410,Engine!$C$2:$C$679,0)),"",INDEX('Compliance Database'!$J$2:$J$679,MATCH(410,Engine!$C$2:$C$679,0)))</f>
        <v/>
      </c>
      <c r="K423">
        <f>IF(ISNA(MATCH(410,Engine!$C$2:$C$679,0)),"",INDEX('Compliance Database'!$K$2:$K$679,MATCH(410,Engine!$C$2:$C$679,0)))</f>
        <v/>
      </c>
      <c r="L423" s="8">
        <f>IF(ISNA(MATCH(410,Engine!$C$2:$C$679,0)),"",INDEX('Compliance Database'!$L$2:$L$679,MATCH(410,Engine!$C$2:$C$679,0)))</f>
        <v/>
      </c>
      <c r="M423" s="8">
        <f>IF(ISNA(MATCH(410,Engine!$C$2:$C$679,0)),"",INDEX('Compliance Database'!$M$2:$M$679,MATCH(410,Engine!$C$2:$C$679,0)))</f>
        <v/>
      </c>
      <c r="N423" s="8">
        <f>IF(ISNA(MATCH(410,Engine!$C$2:$C$679,0)),"",INDEX('Compliance Database'!$N$2:$N$679,MATCH(410,Engine!$C$2:$C$679,0)))</f>
        <v/>
      </c>
      <c r="O423" s="8">
        <f>IF(ISNA(MATCH(410,Engine!$C$2:$C$679,0)),"",INDEX('Compliance Database'!$O$2:$O$679,MATCH(410,Engine!$C$2:$C$679,0)))</f>
        <v/>
      </c>
      <c r="P423">
        <f>IF(ISNA(MATCH(410,Engine!$C$2:$C$679,0)),"",HYPERLINK(INDEX('Compliance Database'!$P$2:$P$679,MATCH(410,Engine!$C$2:$C$679,0)),"Open PDF"))</f>
        <v/>
      </c>
    </row>
    <row r="424">
      <c r="A424">
        <f>IF(ISNA(MATCH(411,Engine!$C$2:$C$679,0)),"",INDEX('Compliance Database'!$A$2:$A$679,MATCH(411,Engine!$C$2:$C$679,0)))</f>
        <v/>
      </c>
      <c r="B424">
        <f>IF(ISNA(MATCH(411,Engine!$C$2:$C$679,0)),"",INDEX('Compliance Database'!$B$2:$B$679,MATCH(411,Engine!$C$2:$C$679,0)))</f>
        <v/>
      </c>
      <c r="C424">
        <f>IF(ISNA(MATCH(411,Engine!$C$2:$C$679,0)),"",INDEX('Compliance Database'!$C$2:$C$679,MATCH(411,Engine!$C$2:$C$679,0)))</f>
        <v/>
      </c>
      <c r="D424" s="8">
        <f>IF(ISNA(MATCH(411,Engine!$C$2:$C$679,0)),"",INDEX('Compliance Database'!$D$2:$D$679,MATCH(411,Engine!$C$2:$C$679,0)))</f>
        <v/>
      </c>
      <c r="E424">
        <f>IF(ISNA(MATCH(411,Engine!$C$2:$C$679,0)),"",INDEX('Compliance Database'!$E$2:$E$679,MATCH(411,Engine!$C$2:$C$679,0)))</f>
        <v/>
      </c>
      <c r="F424">
        <f>IF(ISNA(MATCH(411,Engine!$C$2:$C$679,0)),"",INDEX('Compliance Database'!$F$2:$F$679,MATCH(411,Engine!$C$2:$C$679,0)))</f>
        <v/>
      </c>
      <c r="G424">
        <f>IF(ISNA(MATCH(411,Engine!$C$2:$C$679,0)),"",INDEX('Compliance Database'!$G$2:$G$679,MATCH(411,Engine!$C$2:$C$679,0)))</f>
        <v/>
      </c>
      <c r="H424">
        <f>IF(ISNA(MATCH(411,Engine!$C$2:$C$679,0)),"",INDEX('Compliance Database'!$H$2:$H$679,MATCH(411,Engine!$C$2:$C$679,0)))</f>
        <v/>
      </c>
      <c r="I424" s="8">
        <f>IF(ISNA(MATCH(411,Engine!$C$2:$C$679,0)),"",INDEX('Compliance Database'!$I$2:$I$679,MATCH(411,Engine!$C$2:$C$679,0)))</f>
        <v/>
      </c>
      <c r="J424" s="8">
        <f>IF(ISNA(MATCH(411,Engine!$C$2:$C$679,0)),"",INDEX('Compliance Database'!$J$2:$J$679,MATCH(411,Engine!$C$2:$C$679,0)))</f>
        <v/>
      </c>
      <c r="K424">
        <f>IF(ISNA(MATCH(411,Engine!$C$2:$C$679,0)),"",INDEX('Compliance Database'!$K$2:$K$679,MATCH(411,Engine!$C$2:$C$679,0)))</f>
        <v/>
      </c>
      <c r="L424" s="8">
        <f>IF(ISNA(MATCH(411,Engine!$C$2:$C$679,0)),"",INDEX('Compliance Database'!$L$2:$L$679,MATCH(411,Engine!$C$2:$C$679,0)))</f>
        <v/>
      </c>
      <c r="M424" s="8">
        <f>IF(ISNA(MATCH(411,Engine!$C$2:$C$679,0)),"",INDEX('Compliance Database'!$M$2:$M$679,MATCH(411,Engine!$C$2:$C$679,0)))</f>
        <v/>
      </c>
      <c r="N424" s="8">
        <f>IF(ISNA(MATCH(411,Engine!$C$2:$C$679,0)),"",INDEX('Compliance Database'!$N$2:$N$679,MATCH(411,Engine!$C$2:$C$679,0)))</f>
        <v/>
      </c>
      <c r="O424" s="8">
        <f>IF(ISNA(MATCH(411,Engine!$C$2:$C$679,0)),"",INDEX('Compliance Database'!$O$2:$O$679,MATCH(411,Engine!$C$2:$C$679,0)))</f>
        <v/>
      </c>
      <c r="P424">
        <f>IF(ISNA(MATCH(411,Engine!$C$2:$C$679,0)),"",HYPERLINK(INDEX('Compliance Database'!$P$2:$P$679,MATCH(411,Engine!$C$2:$C$679,0)),"Open PDF"))</f>
        <v/>
      </c>
    </row>
    <row r="425">
      <c r="A425">
        <f>IF(ISNA(MATCH(412,Engine!$C$2:$C$679,0)),"",INDEX('Compliance Database'!$A$2:$A$679,MATCH(412,Engine!$C$2:$C$679,0)))</f>
        <v/>
      </c>
      <c r="B425">
        <f>IF(ISNA(MATCH(412,Engine!$C$2:$C$679,0)),"",INDEX('Compliance Database'!$B$2:$B$679,MATCH(412,Engine!$C$2:$C$679,0)))</f>
        <v/>
      </c>
      <c r="C425">
        <f>IF(ISNA(MATCH(412,Engine!$C$2:$C$679,0)),"",INDEX('Compliance Database'!$C$2:$C$679,MATCH(412,Engine!$C$2:$C$679,0)))</f>
        <v/>
      </c>
      <c r="D425" s="8">
        <f>IF(ISNA(MATCH(412,Engine!$C$2:$C$679,0)),"",INDEX('Compliance Database'!$D$2:$D$679,MATCH(412,Engine!$C$2:$C$679,0)))</f>
        <v/>
      </c>
      <c r="E425">
        <f>IF(ISNA(MATCH(412,Engine!$C$2:$C$679,0)),"",INDEX('Compliance Database'!$E$2:$E$679,MATCH(412,Engine!$C$2:$C$679,0)))</f>
        <v/>
      </c>
      <c r="F425">
        <f>IF(ISNA(MATCH(412,Engine!$C$2:$C$679,0)),"",INDEX('Compliance Database'!$F$2:$F$679,MATCH(412,Engine!$C$2:$C$679,0)))</f>
        <v/>
      </c>
      <c r="G425">
        <f>IF(ISNA(MATCH(412,Engine!$C$2:$C$679,0)),"",INDEX('Compliance Database'!$G$2:$G$679,MATCH(412,Engine!$C$2:$C$679,0)))</f>
        <v/>
      </c>
      <c r="H425">
        <f>IF(ISNA(MATCH(412,Engine!$C$2:$C$679,0)),"",INDEX('Compliance Database'!$H$2:$H$679,MATCH(412,Engine!$C$2:$C$679,0)))</f>
        <v/>
      </c>
      <c r="I425" s="8">
        <f>IF(ISNA(MATCH(412,Engine!$C$2:$C$679,0)),"",INDEX('Compliance Database'!$I$2:$I$679,MATCH(412,Engine!$C$2:$C$679,0)))</f>
        <v/>
      </c>
      <c r="J425" s="8">
        <f>IF(ISNA(MATCH(412,Engine!$C$2:$C$679,0)),"",INDEX('Compliance Database'!$J$2:$J$679,MATCH(412,Engine!$C$2:$C$679,0)))</f>
        <v/>
      </c>
      <c r="K425">
        <f>IF(ISNA(MATCH(412,Engine!$C$2:$C$679,0)),"",INDEX('Compliance Database'!$K$2:$K$679,MATCH(412,Engine!$C$2:$C$679,0)))</f>
        <v/>
      </c>
      <c r="L425" s="8">
        <f>IF(ISNA(MATCH(412,Engine!$C$2:$C$679,0)),"",INDEX('Compliance Database'!$L$2:$L$679,MATCH(412,Engine!$C$2:$C$679,0)))</f>
        <v/>
      </c>
      <c r="M425" s="8">
        <f>IF(ISNA(MATCH(412,Engine!$C$2:$C$679,0)),"",INDEX('Compliance Database'!$M$2:$M$679,MATCH(412,Engine!$C$2:$C$679,0)))</f>
        <v/>
      </c>
      <c r="N425" s="8">
        <f>IF(ISNA(MATCH(412,Engine!$C$2:$C$679,0)),"",INDEX('Compliance Database'!$N$2:$N$679,MATCH(412,Engine!$C$2:$C$679,0)))</f>
        <v/>
      </c>
      <c r="O425" s="8">
        <f>IF(ISNA(MATCH(412,Engine!$C$2:$C$679,0)),"",INDEX('Compliance Database'!$O$2:$O$679,MATCH(412,Engine!$C$2:$C$679,0)))</f>
        <v/>
      </c>
      <c r="P425">
        <f>IF(ISNA(MATCH(412,Engine!$C$2:$C$679,0)),"",HYPERLINK(INDEX('Compliance Database'!$P$2:$P$679,MATCH(412,Engine!$C$2:$C$679,0)),"Open PDF"))</f>
        <v/>
      </c>
    </row>
    <row r="426">
      <c r="A426">
        <f>IF(ISNA(MATCH(413,Engine!$C$2:$C$679,0)),"",INDEX('Compliance Database'!$A$2:$A$679,MATCH(413,Engine!$C$2:$C$679,0)))</f>
        <v/>
      </c>
      <c r="B426">
        <f>IF(ISNA(MATCH(413,Engine!$C$2:$C$679,0)),"",INDEX('Compliance Database'!$B$2:$B$679,MATCH(413,Engine!$C$2:$C$679,0)))</f>
        <v/>
      </c>
      <c r="C426">
        <f>IF(ISNA(MATCH(413,Engine!$C$2:$C$679,0)),"",INDEX('Compliance Database'!$C$2:$C$679,MATCH(413,Engine!$C$2:$C$679,0)))</f>
        <v/>
      </c>
      <c r="D426" s="8">
        <f>IF(ISNA(MATCH(413,Engine!$C$2:$C$679,0)),"",INDEX('Compliance Database'!$D$2:$D$679,MATCH(413,Engine!$C$2:$C$679,0)))</f>
        <v/>
      </c>
      <c r="E426">
        <f>IF(ISNA(MATCH(413,Engine!$C$2:$C$679,0)),"",INDEX('Compliance Database'!$E$2:$E$679,MATCH(413,Engine!$C$2:$C$679,0)))</f>
        <v/>
      </c>
      <c r="F426">
        <f>IF(ISNA(MATCH(413,Engine!$C$2:$C$679,0)),"",INDEX('Compliance Database'!$F$2:$F$679,MATCH(413,Engine!$C$2:$C$679,0)))</f>
        <v/>
      </c>
      <c r="G426">
        <f>IF(ISNA(MATCH(413,Engine!$C$2:$C$679,0)),"",INDEX('Compliance Database'!$G$2:$G$679,MATCH(413,Engine!$C$2:$C$679,0)))</f>
        <v/>
      </c>
      <c r="H426">
        <f>IF(ISNA(MATCH(413,Engine!$C$2:$C$679,0)),"",INDEX('Compliance Database'!$H$2:$H$679,MATCH(413,Engine!$C$2:$C$679,0)))</f>
        <v/>
      </c>
      <c r="I426" s="8">
        <f>IF(ISNA(MATCH(413,Engine!$C$2:$C$679,0)),"",INDEX('Compliance Database'!$I$2:$I$679,MATCH(413,Engine!$C$2:$C$679,0)))</f>
        <v/>
      </c>
      <c r="J426" s="8">
        <f>IF(ISNA(MATCH(413,Engine!$C$2:$C$679,0)),"",INDEX('Compliance Database'!$J$2:$J$679,MATCH(413,Engine!$C$2:$C$679,0)))</f>
        <v/>
      </c>
      <c r="K426">
        <f>IF(ISNA(MATCH(413,Engine!$C$2:$C$679,0)),"",INDEX('Compliance Database'!$K$2:$K$679,MATCH(413,Engine!$C$2:$C$679,0)))</f>
        <v/>
      </c>
      <c r="L426" s="8">
        <f>IF(ISNA(MATCH(413,Engine!$C$2:$C$679,0)),"",INDEX('Compliance Database'!$L$2:$L$679,MATCH(413,Engine!$C$2:$C$679,0)))</f>
        <v/>
      </c>
      <c r="M426" s="8">
        <f>IF(ISNA(MATCH(413,Engine!$C$2:$C$679,0)),"",INDEX('Compliance Database'!$M$2:$M$679,MATCH(413,Engine!$C$2:$C$679,0)))</f>
        <v/>
      </c>
      <c r="N426" s="8">
        <f>IF(ISNA(MATCH(413,Engine!$C$2:$C$679,0)),"",INDEX('Compliance Database'!$N$2:$N$679,MATCH(413,Engine!$C$2:$C$679,0)))</f>
        <v/>
      </c>
      <c r="O426" s="8">
        <f>IF(ISNA(MATCH(413,Engine!$C$2:$C$679,0)),"",INDEX('Compliance Database'!$O$2:$O$679,MATCH(413,Engine!$C$2:$C$679,0)))</f>
        <v/>
      </c>
      <c r="P426">
        <f>IF(ISNA(MATCH(413,Engine!$C$2:$C$679,0)),"",HYPERLINK(INDEX('Compliance Database'!$P$2:$P$679,MATCH(413,Engine!$C$2:$C$679,0)),"Open PDF"))</f>
        <v/>
      </c>
    </row>
    <row r="427">
      <c r="A427">
        <f>IF(ISNA(MATCH(414,Engine!$C$2:$C$679,0)),"",INDEX('Compliance Database'!$A$2:$A$679,MATCH(414,Engine!$C$2:$C$679,0)))</f>
        <v/>
      </c>
      <c r="B427">
        <f>IF(ISNA(MATCH(414,Engine!$C$2:$C$679,0)),"",INDEX('Compliance Database'!$B$2:$B$679,MATCH(414,Engine!$C$2:$C$679,0)))</f>
        <v/>
      </c>
      <c r="C427">
        <f>IF(ISNA(MATCH(414,Engine!$C$2:$C$679,0)),"",INDEX('Compliance Database'!$C$2:$C$679,MATCH(414,Engine!$C$2:$C$679,0)))</f>
        <v/>
      </c>
      <c r="D427" s="8">
        <f>IF(ISNA(MATCH(414,Engine!$C$2:$C$679,0)),"",INDEX('Compliance Database'!$D$2:$D$679,MATCH(414,Engine!$C$2:$C$679,0)))</f>
        <v/>
      </c>
      <c r="E427">
        <f>IF(ISNA(MATCH(414,Engine!$C$2:$C$679,0)),"",INDEX('Compliance Database'!$E$2:$E$679,MATCH(414,Engine!$C$2:$C$679,0)))</f>
        <v/>
      </c>
      <c r="F427">
        <f>IF(ISNA(MATCH(414,Engine!$C$2:$C$679,0)),"",INDEX('Compliance Database'!$F$2:$F$679,MATCH(414,Engine!$C$2:$C$679,0)))</f>
        <v/>
      </c>
      <c r="G427">
        <f>IF(ISNA(MATCH(414,Engine!$C$2:$C$679,0)),"",INDEX('Compliance Database'!$G$2:$G$679,MATCH(414,Engine!$C$2:$C$679,0)))</f>
        <v/>
      </c>
      <c r="H427">
        <f>IF(ISNA(MATCH(414,Engine!$C$2:$C$679,0)),"",INDEX('Compliance Database'!$H$2:$H$679,MATCH(414,Engine!$C$2:$C$679,0)))</f>
        <v/>
      </c>
      <c r="I427" s="8">
        <f>IF(ISNA(MATCH(414,Engine!$C$2:$C$679,0)),"",INDEX('Compliance Database'!$I$2:$I$679,MATCH(414,Engine!$C$2:$C$679,0)))</f>
        <v/>
      </c>
      <c r="J427" s="8">
        <f>IF(ISNA(MATCH(414,Engine!$C$2:$C$679,0)),"",INDEX('Compliance Database'!$J$2:$J$679,MATCH(414,Engine!$C$2:$C$679,0)))</f>
        <v/>
      </c>
      <c r="K427">
        <f>IF(ISNA(MATCH(414,Engine!$C$2:$C$679,0)),"",INDEX('Compliance Database'!$K$2:$K$679,MATCH(414,Engine!$C$2:$C$679,0)))</f>
        <v/>
      </c>
      <c r="L427" s="8">
        <f>IF(ISNA(MATCH(414,Engine!$C$2:$C$679,0)),"",INDEX('Compliance Database'!$L$2:$L$679,MATCH(414,Engine!$C$2:$C$679,0)))</f>
        <v/>
      </c>
      <c r="M427" s="8">
        <f>IF(ISNA(MATCH(414,Engine!$C$2:$C$679,0)),"",INDEX('Compliance Database'!$M$2:$M$679,MATCH(414,Engine!$C$2:$C$679,0)))</f>
        <v/>
      </c>
      <c r="N427" s="8">
        <f>IF(ISNA(MATCH(414,Engine!$C$2:$C$679,0)),"",INDEX('Compliance Database'!$N$2:$N$679,MATCH(414,Engine!$C$2:$C$679,0)))</f>
        <v/>
      </c>
      <c r="O427" s="8">
        <f>IF(ISNA(MATCH(414,Engine!$C$2:$C$679,0)),"",INDEX('Compliance Database'!$O$2:$O$679,MATCH(414,Engine!$C$2:$C$679,0)))</f>
        <v/>
      </c>
      <c r="P427">
        <f>IF(ISNA(MATCH(414,Engine!$C$2:$C$679,0)),"",HYPERLINK(INDEX('Compliance Database'!$P$2:$P$679,MATCH(414,Engine!$C$2:$C$679,0)),"Open PDF"))</f>
        <v/>
      </c>
    </row>
    <row r="428">
      <c r="A428">
        <f>IF(ISNA(MATCH(415,Engine!$C$2:$C$679,0)),"",INDEX('Compliance Database'!$A$2:$A$679,MATCH(415,Engine!$C$2:$C$679,0)))</f>
        <v/>
      </c>
      <c r="B428">
        <f>IF(ISNA(MATCH(415,Engine!$C$2:$C$679,0)),"",INDEX('Compliance Database'!$B$2:$B$679,MATCH(415,Engine!$C$2:$C$679,0)))</f>
        <v/>
      </c>
      <c r="C428">
        <f>IF(ISNA(MATCH(415,Engine!$C$2:$C$679,0)),"",INDEX('Compliance Database'!$C$2:$C$679,MATCH(415,Engine!$C$2:$C$679,0)))</f>
        <v/>
      </c>
      <c r="D428" s="8">
        <f>IF(ISNA(MATCH(415,Engine!$C$2:$C$679,0)),"",INDEX('Compliance Database'!$D$2:$D$679,MATCH(415,Engine!$C$2:$C$679,0)))</f>
        <v/>
      </c>
      <c r="E428">
        <f>IF(ISNA(MATCH(415,Engine!$C$2:$C$679,0)),"",INDEX('Compliance Database'!$E$2:$E$679,MATCH(415,Engine!$C$2:$C$679,0)))</f>
        <v/>
      </c>
      <c r="F428">
        <f>IF(ISNA(MATCH(415,Engine!$C$2:$C$679,0)),"",INDEX('Compliance Database'!$F$2:$F$679,MATCH(415,Engine!$C$2:$C$679,0)))</f>
        <v/>
      </c>
      <c r="G428">
        <f>IF(ISNA(MATCH(415,Engine!$C$2:$C$679,0)),"",INDEX('Compliance Database'!$G$2:$G$679,MATCH(415,Engine!$C$2:$C$679,0)))</f>
        <v/>
      </c>
      <c r="H428">
        <f>IF(ISNA(MATCH(415,Engine!$C$2:$C$679,0)),"",INDEX('Compliance Database'!$H$2:$H$679,MATCH(415,Engine!$C$2:$C$679,0)))</f>
        <v/>
      </c>
      <c r="I428" s="8">
        <f>IF(ISNA(MATCH(415,Engine!$C$2:$C$679,0)),"",INDEX('Compliance Database'!$I$2:$I$679,MATCH(415,Engine!$C$2:$C$679,0)))</f>
        <v/>
      </c>
      <c r="J428" s="8">
        <f>IF(ISNA(MATCH(415,Engine!$C$2:$C$679,0)),"",INDEX('Compliance Database'!$J$2:$J$679,MATCH(415,Engine!$C$2:$C$679,0)))</f>
        <v/>
      </c>
      <c r="K428">
        <f>IF(ISNA(MATCH(415,Engine!$C$2:$C$679,0)),"",INDEX('Compliance Database'!$K$2:$K$679,MATCH(415,Engine!$C$2:$C$679,0)))</f>
        <v/>
      </c>
      <c r="L428" s="8">
        <f>IF(ISNA(MATCH(415,Engine!$C$2:$C$679,0)),"",INDEX('Compliance Database'!$L$2:$L$679,MATCH(415,Engine!$C$2:$C$679,0)))</f>
        <v/>
      </c>
      <c r="M428" s="8">
        <f>IF(ISNA(MATCH(415,Engine!$C$2:$C$679,0)),"",INDEX('Compliance Database'!$M$2:$M$679,MATCH(415,Engine!$C$2:$C$679,0)))</f>
        <v/>
      </c>
      <c r="N428" s="8">
        <f>IF(ISNA(MATCH(415,Engine!$C$2:$C$679,0)),"",INDEX('Compliance Database'!$N$2:$N$679,MATCH(415,Engine!$C$2:$C$679,0)))</f>
        <v/>
      </c>
      <c r="O428" s="8">
        <f>IF(ISNA(MATCH(415,Engine!$C$2:$C$679,0)),"",INDEX('Compliance Database'!$O$2:$O$679,MATCH(415,Engine!$C$2:$C$679,0)))</f>
        <v/>
      </c>
      <c r="P428">
        <f>IF(ISNA(MATCH(415,Engine!$C$2:$C$679,0)),"",HYPERLINK(INDEX('Compliance Database'!$P$2:$P$679,MATCH(415,Engine!$C$2:$C$679,0)),"Open PDF"))</f>
        <v/>
      </c>
    </row>
    <row r="429">
      <c r="A429">
        <f>IF(ISNA(MATCH(416,Engine!$C$2:$C$679,0)),"",INDEX('Compliance Database'!$A$2:$A$679,MATCH(416,Engine!$C$2:$C$679,0)))</f>
        <v/>
      </c>
      <c r="B429">
        <f>IF(ISNA(MATCH(416,Engine!$C$2:$C$679,0)),"",INDEX('Compliance Database'!$B$2:$B$679,MATCH(416,Engine!$C$2:$C$679,0)))</f>
        <v/>
      </c>
      <c r="C429">
        <f>IF(ISNA(MATCH(416,Engine!$C$2:$C$679,0)),"",INDEX('Compliance Database'!$C$2:$C$679,MATCH(416,Engine!$C$2:$C$679,0)))</f>
        <v/>
      </c>
      <c r="D429" s="8">
        <f>IF(ISNA(MATCH(416,Engine!$C$2:$C$679,0)),"",INDEX('Compliance Database'!$D$2:$D$679,MATCH(416,Engine!$C$2:$C$679,0)))</f>
        <v/>
      </c>
      <c r="E429">
        <f>IF(ISNA(MATCH(416,Engine!$C$2:$C$679,0)),"",INDEX('Compliance Database'!$E$2:$E$679,MATCH(416,Engine!$C$2:$C$679,0)))</f>
        <v/>
      </c>
      <c r="F429">
        <f>IF(ISNA(MATCH(416,Engine!$C$2:$C$679,0)),"",INDEX('Compliance Database'!$F$2:$F$679,MATCH(416,Engine!$C$2:$C$679,0)))</f>
        <v/>
      </c>
      <c r="G429">
        <f>IF(ISNA(MATCH(416,Engine!$C$2:$C$679,0)),"",INDEX('Compliance Database'!$G$2:$G$679,MATCH(416,Engine!$C$2:$C$679,0)))</f>
        <v/>
      </c>
      <c r="H429">
        <f>IF(ISNA(MATCH(416,Engine!$C$2:$C$679,0)),"",INDEX('Compliance Database'!$H$2:$H$679,MATCH(416,Engine!$C$2:$C$679,0)))</f>
        <v/>
      </c>
      <c r="I429" s="8">
        <f>IF(ISNA(MATCH(416,Engine!$C$2:$C$679,0)),"",INDEX('Compliance Database'!$I$2:$I$679,MATCH(416,Engine!$C$2:$C$679,0)))</f>
        <v/>
      </c>
      <c r="J429" s="8">
        <f>IF(ISNA(MATCH(416,Engine!$C$2:$C$679,0)),"",INDEX('Compliance Database'!$J$2:$J$679,MATCH(416,Engine!$C$2:$C$679,0)))</f>
        <v/>
      </c>
      <c r="K429">
        <f>IF(ISNA(MATCH(416,Engine!$C$2:$C$679,0)),"",INDEX('Compliance Database'!$K$2:$K$679,MATCH(416,Engine!$C$2:$C$679,0)))</f>
        <v/>
      </c>
      <c r="L429" s="8">
        <f>IF(ISNA(MATCH(416,Engine!$C$2:$C$679,0)),"",INDEX('Compliance Database'!$L$2:$L$679,MATCH(416,Engine!$C$2:$C$679,0)))</f>
        <v/>
      </c>
      <c r="M429" s="8">
        <f>IF(ISNA(MATCH(416,Engine!$C$2:$C$679,0)),"",INDEX('Compliance Database'!$M$2:$M$679,MATCH(416,Engine!$C$2:$C$679,0)))</f>
        <v/>
      </c>
      <c r="N429" s="8">
        <f>IF(ISNA(MATCH(416,Engine!$C$2:$C$679,0)),"",INDEX('Compliance Database'!$N$2:$N$679,MATCH(416,Engine!$C$2:$C$679,0)))</f>
        <v/>
      </c>
      <c r="O429" s="8">
        <f>IF(ISNA(MATCH(416,Engine!$C$2:$C$679,0)),"",INDEX('Compliance Database'!$O$2:$O$679,MATCH(416,Engine!$C$2:$C$679,0)))</f>
        <v/>
      </c>
      <c r="P429">
        <f>IF(ISNA(MATCH(416,Engine!$C$2:$C$679,0)),"",HYPERLINK(INDEX('Compliance Database'!$P$2:$P$679,MATCH(416,Engine!$C$2:$C$679,0)),"Open PDF"))</f>
        <v/>
      </c>
    </row>
    <row r="430">
      <c r="A430">
        <f>IF(ISNA(MATCH(417,Engine!$C$2:$C$679,0)),"",INDEX('Compliance Database'!$A$2:$A$679,MATCH(417,Engine!$C$2:$C$679,0)))</f>
        <v/>
      </c>
      <c r="B430">
        <f>IF(ISNA(MATCH(417,Engine!$C$2:$C$679,0)),"",INDEX('Compliance Database'!$B$2:$B$679,MATCH(417,Engine!$C$2:$C$679,0)))</f>
        <v/>
      </c>
      <c r="C430">
        <f>IF(ISNA(MATCH(417,Engine!$C$2:$C$679,0)),"",INDEX('Compliance Database'!$C$2:$C$679,MATCH(417,Engine!$C$2:$C$679,0)))</f>
        <v/>
      </c>
      <c r="D430" s="8">
        <f>IF(ISNA(MATCH(417,Engine!$C$2:$C$679,0)),"",INDEX('Compliance Database'!$D$2:$D$679,MATCH(417,Engine!$C$2:$C$679,0)))</f>
        <v/>
      </c>
      <c r="E430">
        <f>IF(ISNA(MATCH(417,Engine!$C$2:$C$679,0)),"",INDEX('Compliance Database'!$E$2:$E$679,MATCH(417,Engine!$C$2:$C$679,0)))</f>
        <v/>
      </c>
      <c r="F430">
        <f>IF(ISNA(MATCH(417,Engine!$C$2:$C$679,0)),"",INDEX('Compliance Database'!$F$2:$F$679,MATCH(417,Engine!$C$2:$C$679,0)))</f>
        <v/>
      </c>
      <c r="G430">
        <f>IF(ISNA(MATCH(417,Engine!$C$2:$C$679,0)),"",INDEX('Compliance Database'!$G$2:$G$679,MATCH(417,Engine!$C$2:$C$679,0)))</f>
        <v/>
      </c>
      <c r="H430">
        <f>IF(ISNA(MATCH(417,Engine!$C$2:$C$679,0)),"",INDEX('Compliance Database'!$H$2:$H$679,MATCH(417,Engine!$C$2:$C$679,0)))</f>
        <v/>
      </c>
      <c r="I430" s="8">
        <f>IF(ISNA(MATCH(417,Engine!$C$2:$C$679,0)),"",INDEX('Compliance Database'!$I$2:$I$679,MATCH(417,Engine!$C$2:$C$679,0)))</f>
        <v/>
      </c>
      <c r="J430" s="8">
        <f>IF(ISNA(MATCH(417,Engine!$C$2:$C$679,0)),"",INDEX('Compliance Database'!$J$2:$J$679,MATCH(417,Engine!$C$2:$C$679,0)))</f>
        <v/>
      </c>
      <c r="K430">
        <f>IF(ISNA(MATCH(417,Engine!$C$2:$C$679,0)),"",INDEX('Compliance Database'!$K$2:$K$679,MATCH(417,Engine!$C$2:$C$679,0)))</f>
        <v/>
      </c>
      <c r="L430" s="8">
        <f>IF(ISNA(MATCH(417,Engine!$C$2:$C$679,0)),"",INDEX('Compliance Database'!$L$2:$L$679,MATCH(417,Engine!$C$2:$C$679,0)))</f>
        <v/>
      </c>
      <c r="M430" s="8">
        <f>IF(ISNA(MATCH(417,Engine!$C$2:$C$679,0)),"",INDEX('Compliance Database'!$M$2:$M$679,MATCH(417,Engine!$C$2:$C$679,0)))</f>
        <v/>
      </c>
      <c r="N430" s="8">
        <f>IF(ISNA(MATCH(417,Engine!$C$2:$C$679,0)),"",INDEX('Compliance Database'!$N$2:$N$679,MATCH(417,Engine!$C$2:$C$679,0)))</f>
        <v/>
      </c>
      <c r="O430" s="8">
        <f>IF(ISNA(MATCH(417,Engine!$C$2:$C$679,0)),"",INDEX('Compliance Database'!$O$2:$O$679,MATCH(417,Engine!$C$2:$C$679,0)))</f>
        <v/>
      </c>
      <c r="P430">
        <f>IF(ISNA(MATCH(417,Engine!$C$2:$C$679,0)),"",HYPERLINK(INDEX('Compliance Database'!$P$2:$P$679,MATCH(417,Engine!$C$2:$C$679,0)),"Open PDF"))</f>
        <v/>
      </c>
    </row>
    <row r="431">
      <c r="A431">
        <f>IF(ISNA(MATCH(418,Engine!$C$2:$C$679,0)),"",INDEX('Compliance Database'!$A$2:$A$679,MATCH(418,Engine!$C$2:$C$679,0)))</f>
        <v/>
      </c>
      <c r="B431">
        <f>IF(ISNA(MATCH(418,Engine!$C$2:$C$679,0)),"",INDEX('Compliance Database'!$B$2:$B$679,MATCH(418,Engine!$C$2:$C$679,0)))</f>
        <v/>
      </c>
      <c r="C431">
        <f>IF(ISNA(MATCH(418,Engine!$C$2:$C$679,0)),"",INDEX('Compliance Database'!$C$2:$C$679,MATCH(418,Engine!$C$2:$C$679,0)))</f>
        <v/>
      </c>
      <c r="D431" s="8">
        <f>IF(ISNA(MATCH(418,Engine!$C$2:$C$679,0)),"",INDEX('Compliance Database'!$D$2:$D$679,MATCH(418,Engine!$C$2:$C$679,0)))</f>
        <v/>
      </c>
      <c r="E431">
        <f>IF(ISNA(MATCH(418,Engine!$C$2:$C$679,0)),"",INDEX('Compliance Database'!$E$2:$E$679,MATCH(418,Engine!$C$2:$C$679,0)))</f>
        <v/>
      </c>
      <c r="F431">
        <f>IF(ISNA(MATCH(418,Engine!$C$2:$C$679,0)),"",INDEX('Compliance Database'!$F$2:$F$679,MATCH(418,Engine!$C$2:$C$679,0)))</f>
        <v/>
      </c>
      <c r="G431">
        <f>IF(ISNA(MATCH(418,Engine!$C$2:$C$679,0)),"",INDEX('Compliance Database'!$G$2:$G$679,MATCH(418,Engine!$C$2:$C$679,0)))</f>
        <v/>
      </c>
      <c r="H431">
        <f>IF(ISNA(MATCH(418,Engine!$C$2:$C$679,0)),"",INDEX('Compliance Database'!$H$2:$H$679,MATCH(418,Engine!$C$2:$C$679,0)))</f>
        <v/>
      </c>
      <c r="I431" s="8">
        <f>IF(ISNA(MATCH(418,Engine!$C$2:$C$679,0)),"",INDEX('Compliance Database'!$I$2:$I$679,MATCH(418,Engine!$C$2:$C$679,0)))</f>
        <v/>
      </c>
      <c r="J431" s="8">
        <f>IF(ISNA(MATCH(418,Engine!$C$2:$C$679,0)),"",INDEX('Compliance Database'!$J$2:$J$679,MATCH(418,Engine!$C$2:$C$679,0)))</f>
        <v/>
      </c>
      <c r="K431">
        <f>IF(ISNA(MATCH(418,Engine!$C$2:$C$679,0)),"",INDEX('Compliance Database'!$K$2:$K$679,MATCH(418,Engine!$C$2:$C$679,0)))</f>
        <v/>
      </c>
      <c r="L431" s="8">
        <f>IF(ISNA(MATCH(418,Engine!$C$2:$C$679,0)),"",INDEX('Compliance Database'!$L$2:$L$679,MATCH(418,Engine!$C$2:$C$679,0)))</f>
        <v/>
      </c>
      <c r="M431" s="8">
        <f>IF(ISNA(MATCH(418,Engine!$C$2:$C$679,0)),"",INDEX('Compliance Database'!$M$2:$M$679,MATCH(418,Engine!$C$2:$C$679,0)))</f>
        <v/>
      </c>
      <c r="N431" s="8">
        <f>IF(ISNA(MATCH(418,Engine!$C$2:$C$679,0)),"",INDEX('Compliance Database'!$N$2:$N$679,MATCH(418,Engine!$C$2:$C$679,0)))</f>
        <v/>
      </c>
      <c r="O431" s="8">
        <f>IF(ISNA(MATCH(418,Engine!$C$2:$C$679,0)),"",INDEX('Compliance Database'!$O$2:$O$679,MATCH(418,Engine!$C$2:$C$679,0)))</f>
        <v/>
      </c>
      <c r="P431">
        <f>IF(ISNA(MATCH(418,Engine!$C$2:$C$679,0)),"",HYPERLINK(INDEX('Compliance Database'!$P$2:$P$679,MATCH(418,Engine!$C$2:$C$679,0)),"Open PDF"))</f>
        <v/>
      </c>
    </row>
    <row r="432">
      <c r="A432">
        <f>IF(ISNA(MATCH(419,Engine!$C$2:$C$679,0)),"",INDEX('Compliance Database'!$A$2:$A$679,MATCH(419,Engine!$C$2:$C$679,0)))</f>
        <v/>
      </c>
      <c r="B432">
        <f>IF(ISNA(MATCH(419,Engine!$C$2:$C$679,0)),"",INDEX('Compliance Database'!$B$2:$B$679,MATCH(419,Engine!$C$2:$C$679,0)))</f>
        <v/>
      </c>
      <c r="C432">
        <f>IF(ISNA(MATCH(419,Engine!$C$2:$C$679,0)),"",INDEX('Compliance Database'!$C$2:$C$679,MATCH(419,Engine!$C$2:$C$679,0)))</f>
        <v/>
      </c>
      <c r="D432" s="8">
        <f>IF(ISNA(MATCH(419,Engine!$C$2:$C$679,0)),"",INDEX('Compliance Database'!$D$2:$D$679,MATCH(419,Engine!$C$2:$C$679,0)))</f>
        <v/>
      </c>
      <c r="E432">
        <f>IF(ISNA(MATCH(419,Engine!$C$2:$C$679,0)),"",INDEX('Compliance Database'!$E$2:$E$679,MATCH(419,Engine!$C$2:$C$679,0)))</f>
        <v/>
      </c>
      <c r="F432">
        <f>IF(ISNA(MATCH(419,Engine!$C$2:$C$679,0)),"",INDEX('Compliance Database'!$F$2:$F$679,MATCH(419,Engine!$C$2:$C$679,0)))</f>
        <v/>
      </c>
      <c r="G432">
        <f>IF(ISNA(MATCH(419,Engine!$C$2:$C$679,0)),"",INDEX('Compliance Database'!$G$2:$G$679,MATCH(419,Engine!$C$2:$C$679,0)))</f>
        <v/>
      </c>
      <c r="H432">
        <f>IF(ISNA(MATCH(419,Engine!$C$2:$C$679,0)),"",INDEX('Compliance Database'!$H$2:$H$679,MATCH(419,Engine!$C$2:$C$679,0)))</f>
        <v/>
      </c>
      <c r="I432" s="8">
        <f>IF(ISNA(MATCH(419,Engine!$C$2:$C$679,0)),"",INDEX('Compliance Database'!$I$2:$I$679,MATCH(419,Engine!$C$2:$C$679,0)))</f>
        <v/>
      </c>
      <c r="J432" s="8">
        <f>IF(ISNA(MATCH(419,Engine!$C$2:$C$679,0)),"",INDEX('Compliance Database'!$J$2:$J$679,MATCH(419,Engine!$C$2:$C$679,0)))</f>
        <v/>
      </c>
      <c r="K432">
        <f>IF(ISNA(MATCH(419,Engine!$C$2:$C$679,0)),"",INDEX('Compliance Database'!$K$2:$K$679,MATCH(419,Engine!$C$2:$C$679,0)))</f>
        <v/>
      </c>
      <c r="L432" s="8">
        <f>IF(ISNA(MATCH(419,Engine!$C$2:$C$679,0)),"",INDEX('Compliance Database'!$L$2:$L$679,MATCH(419,Engine!$C$2:$C$679,0)))</f>
        <v/>
      </c>
      <c r="M432" s="8">
        <f>IF(ISNA(MATCH(419,Engine!$C$2:$C$679,0)),"",INDEX('Compliance Database'!$M$2:$M$679,MATCH(419,Engine!$C$2:$C$679,0)))</f>
        <v/>
      </c>
      <c r="N432" s="8">
        <f>IF(ISNA(MATCH(419,Engine!$C$2:$C$679,0)),"",INDEX('Compliance Database'!$N$2:$N$679,MATCH(419,Engine!$C$2:$C$679,0)))</f>
        <v/>
      </c>
      <c r="O432" s="8">
        <f>IF(ISNA(MATCH(419,Engine!$C$2:$C$679,0)),"",INDEX('Compliance Database'!$O$2:$O$679,MATCH(419,Engine!$C$2:$C$679,0)))</f>
        <v/>
      </c>
      <c r="P432">
        <f>IF(ISNA(MATCH(419,Engine!$C$2:$C$679,0)),"",HYPERLINK(INDEX('Compliance Database'!$P$2:$P$679,MATCH(419,Engine!$C$2:$C$679,0)),"Open PDF"))</f>
        <v/>
      </c>
    </row>
    <row r="433">
      <c r="A433">
        <f>IF(ISNA(MATCH(420,Engine!$C$2:$C$679,0)),"",INDEX('Compliance Database'!$A$2:$A$679,MATCH(420,Engine!$C$2:$C$679,0)))</f>
        <v/>
      </c>
      <c r="B433">
        <f>IF(ISNA(MATCH(420,Engine!$C$2:$C$679,0)),"",INDEX('Compliance Database'!$B$2:$B$679,MATCH(420,Engine!$C$2:$C$679,0)))</f>
        <v/>
      </c>
      <c r="C433">
        <f>IF(ISNA(MATCH(420,Engine!$C$2:$C$679,0)),"",INDEX('Compliance Database'!$C$2:$C$679,MATCH(420,Engine!$C$2:$C$679,0)))</f>
        <v/>
      </c>
      <c r="D433" s="8">
        <f>IF(ISNA(MATCH(420,Engine!$C$2:$C$679,0)),"",INDEX('Compliance Database'!$D$2:$D$679,MATCH(420,Engine!$C$2:$C$679,0)))</f>
        <v/>
      </c>
      <c r="E433">
        <f>IF(ISNA(MATCH(420,Engine!$C$2:$C$679,0)),"",INDEX('Compliance Database'!$E$2:$E$679,MATCH(420,Engine!$C$2:$C$679,0)))</f>
        <v/>
      </c>
      <c r="F433">
        <f>IF(ISNA(MATCH(420,Engine!$C$2:$C$679,0)),"",INDEX('Compliance Database'!$F$2:$F$679,MATCH(420,Engine!$C$2:$C$679,0)))</f>
        <v/>
      </c>
      <c r="G433">
        <f>IF(ISNA(MATCH(420,Engine!$C$2:$C$679,0)),"",INDEX('Compliance Database'!$G$2:$G$679,MATCH(420,Engine!$C$2:$C$679,0)))</f>
        <v/>
      </c>
      <c r="H433">
        <f>IF(ISNA(MATCH(420,Engine!$C$2:$C$679,0)),"",INDEX('Compliance Database'!$H$2:$H$679,MATCH(420,Engine!$C$2:$C$679,0)))</f>
        <v/>
      </c>
      <c r="I433" s="8">
        <f>IF(ISNA(MATCH(420,Engine!$C$2:$C$679,0)),"",INDEX('Compliance Database'!$I$2:$I$679,MATCH(420,Engine!$C$2:$C$679,0)))</f>
        <v/>
      </c>
      <c r="J433" s="8">
        <f>IF(ISNA(MATCH(420,Engine!$C$2:$C$679,0)),"",INDEX('Compliance Database'!$J$2:$J$679,MATCH(420,Engine!$C$2:$C$679,0)))</f>
        <v/>
      </c>
      <c r="K433">
        <f>IF(ISNA(MATCH(420,Engine!$C$2:$C$679,0)),"",INDEX('Compliance Database'!$K$2:$K$679,MATCH(420,Engine!$C$2:$C$679,0)))</f>
        <v/>
      </c>
      <c r="L433" s="8">
        <f>IF(ISNA(MATCH(420,Engine!$C$2:$C$679,0)),"",INDEX('Compliance Database'!$L$2:$L$679,MATCH(420,Engine!$C$2:$C$679,0)))</f>
        <v/>
      </c>
      <c r="M433" s="8">
        <f>IF(ISNA(MATCH(420,Engine!$C$2:$C$679,0)),"",INDEX('Compliance Database'!$M$2:$M$679,MATCH(420,Engine!$C$2:$C$679,0)))</f>
        <v/>
      </c>
      <c r="N433" s="8">
        <f>IF(ISNA(MATCH(420,Engine!$C$2:$C$679,0)),"",INDEX('Compliance Database'!$N$2:$N$679,MATCH(420,Engine!$C$2:$C$679,0)))</f>
        <v/>
      </c>
      <c r="O433" s="8">
        <f>IF(ISNA(MATCH(420,Engine!$C$2:$C$679,0)),"",INDEX('Compliance Database'!$O$2:$O$679,MATCH(420,Engine!$C$2:$C$679,0)))</f>
        <v/>
      </c>
      <c r="P433">
        <f>IF(ISNA(MATCH(420,Engine!$C$2:$C$679,0)),"",HYPERLINK(INDEX('Compliance Database'!$P$2:$P$679,MATCH(420,Engine!$C$2:$C$679,0)),"Open PDF"))</f>
        <v/>
      </c>
    </row>
    <row r="434">
      <c r="A434">
        <f>IF(ISNA(MATCH(421,Engine!$C$2:$C$679,0)),"",INDEX('Compliance Database'!$A$2:$A$679,MATCH(421,Engine!$C$2:$C$679,0)))</f>
        <v/>
      </c>
      <c r="B434">
        <f>IF(ISNA(MATCH(421,Engine!$C$2:$C$679,0)),"",INDEX('Compliance Database'!$B$2:$B$679,MATCH(421,Engine!$C$2:$C$679,0)))</f>
        <v/>
      </c>
      <c r="C434">
        <f>IF(ISNA(MATCH(421,Engine!$C$2:$C$679,0)),"",INDEX('Compliance Database'!$C$2:$C$679,MATCH(421,Engine!$C$2:$C$679,0)))</f>
        <v/>
      </c>
      <c r="D434" s="8">
        <f>IF(ISNA(MATCH(421,Engine!$C$2:$C$679,0)),"",INDEX('Compliance Database'!$D$2:$D$679,MATCH(421,Engine!$C$2:$C$679,0)))</f>
        <v/>
      </c>
      <c r="E434">
        <f>IF(ISNA(MATCH(421,Engine!$C$2:$C$679,0)),"",INDEX('Compliance Database'!$E$2:$E$679,MATCH(421,Engine!$C$2:$C$679,0)))</f>
        <v/>
      </c>
      <c r="F434">
        <f>IF(ISNA(MATCH(421,Engine!$C$2:$C$679,0)),"",INDEX('Compliance Database'!$F$2:$F$679,MATCH(421,Engine!$C$2:$C$679,0)))</f>
        <v/>
      </c>
      <c r="G434">
        <f>IF(ISNA(MATCH(421,Engine!$C$2:$C$679,0)),"",INDEX('Compliance Database'!$G$2:$G$679,MATCH(421,Engine!$C$2:$C$679,0)))</f>
        <v/>
      </c>
      <c r="H434">
        <f>IF(ISNA(MATCH(421,Engine!$C$2:$C$679,0)),"",INDEX('Compliance Database'!$H$2:$H$679,MATCH(421,Engine!$C$2:$C$679,0)))</f>
        <v/>
      </c>
      <c r="I434" s="8">
        <f>IF(ISNA(MATCH(421,Engine!$C$2:$C$679,0)),"",INDEX('Compliance Database'!$I$2:$I$679,MATCH(421,Engine!$C$2:$C$679,0)))</f>
        <v/>
      </c>
      <c r="J434" s="8">
        <f>IF(ISNA(MATCH(421,Engine!$C$2:$C$679,0)),"",INDEX('Compliance Database'!$J$2:$J$679,MATCH(421,Engine!$C$2:$C$679,0)))</f>
        <v/>
      </c>
      <c r="K434">
        <f>IF(ISNA(MATCH(421,Engine!$C$2:$C$679,0)),"",INDEX('Compliance Database'!$K$2:$K$679,MATCH(421,Engine!$C$2:$C$679,0)))</f>
        <v/>
      </c>
      <c r="L434" s="8">
        <f>IF(ISNA(MATCH(421,Engine!$C$2:$C$679,0)),"",INDEX('Compliance Database'!$L$2:$L$679,MATCH(421,Engine!$C$2:$C$679,0)))</f>
        <v/>
      </c>
      <c r="M434" s="8">
        <f>IF(ISNA(MATCH(421,Engine!$C$2:$C$679,0)),"",INDEX('Compliance Database'!$M$2:$M$679,MATCH(421,Engine!$C$2:$C$679,0)))</f>
        <v/>
      </c>
      <c r="N434" s="8">
        <f>IF(ISNA(MATCH(421,Engine!$C$2:$C$679,0)),"",INDEX('Compliance Database'!$N$2:$N$679,MATCH(421,Engine!$C$2:$C$679,0)))</f>
        <v/>
      </c>
      <c r="O434" s="8">
        <f>IF(ISNA(MATCH(421,Engine!$C$2:$C$679,0)),"",INDEX('Compliance Database'!$O$2:$O$679,MATCH(421,Engine!$C$2:$C$679,0)))</f>
        <v/>
      </c>
      <c r="P434">
        <f>IF(ISNA(MATCH(421,Engine!$C$2:$C$679,0)),"",HYPERLINK(INDEX('Compliance Database'!$P$2:$P$679,MATCH(421,Engine!$C$2:$C$679,0)),"Open PDF"))</f>
        <v/>
      </c>
    </row>
    <row r="435">
      <c r="A435">
        <f>IF(ISNA(MATCH(422,Engine!$C$2:$C$679,0)),"",INDEX('Compliance Database'!$A$2:$A$679,MATCH(422,Engine!$C$2:$C$679,0)))</f>
        <v/>
      </c>
      <c r="B435">
        <f>IF(ISNA(MATCH(422,Engine!$C$2:$C$679,0)),"",INDEX('Compliance Database'!$B$2:$B$679,MATCH(422,Engine!$C$2:$C$679,0)))</f>
        <v/>
      </c>
      <c r="C435">
        <f>IF(ISNA(MATCH(422,Engine!$C$2:$C$679,0)),"",INDEX('Compliance Database'!$C$2:$C$679,MATCH(422,Engine!$C$2:$C$679,0)))</f>
        <v/>
      </c>
      <c r="D435" s="8">
        <f>IF(ISNA(MATCH(422,Engine!$C$2:$C$679,0)),"",INDEX('Compliance Database'!$D$2:$D$679,MATCH(422,Engine!$C$2:$C$679,0)))</f>
        <v/>
      </c>
      <c r="E435">
        <f>IF(ISNA(MATCH(422,Engine!$C$2:$C$679,0)),"",INDEX('Compliance Database'!$E$2:$E$679,MATCH(422,Engine!$C$2:$C$679,0)))</f>
        <v/>
      </c>
      <c r="F435">
        <f>IF(ISNA(MATCH(422,Engine!$C$2:$C$679,0)),"",INDEX('Compliance Database'!$F$2:$F$679,MATCH(422,Engine!$C$2:$C$679,0)))</f>
        <v/>
      </c>
      <c r="G435">
        <f>IF(ISNA(MATCH(422,Engine!$C$2:$C$679,0)),"",INDEX('Compliance Database'!$G$2:$G$679,MATCH(422,Engine!$C$2:$C$679,0)))</f>
        <v/>
      </c>
      <c r="H435">
        <f>IF(ISNA(MATCH(422,Engine!$C$2:$C$679,0)),"",INDEX('Compliance Database'!$H$2:$H$679,MATCH(422,Engine!$C$2:$C$679,0)))</f>
        <v/>
      </c>
      <c r="I435" s="8">
        <f>IF(ISNA(MATCH(422,Engine!$C$2:$C$679,0)),"",INDEX('Compliance Database'!$I$2:$I$679,MATCH(422,Engine!$C$2:$C$679,0)))</f>
        <v/>
      </c>
      <c r="J435" s="8">
        <f>IF(ISNA(MATCH(422,Engine!$C$2:$C$679,0)),"",INDEX('Compliance Database'!$J$2:$J$679,MATCH(422,Engine!$C$2:$C$679,0)))</f>
        <v/>
      </c>
      <c r="K435">
        <f>IF(ISNA(MATCH(422,Engine!$C$2:$C$679,0)),"",INDEX('Compliance Database'!$K$2:$K$679,MATCH(422,Engine!$C$2:$C$679,0)))</f>
        <v/>
      </c>
      <c r="L435" s="8">
        <f>IF(ISNA(MATCH(422,Engine!$C$2:$C$679,0)),"",INDEX('Compliance Database'!$L$2:$L$679,MATCH(422,Engine!$C$2:$C$679,0)))</f>
        <v/>
      </c>
      <c r="M435" s="8">
        <f>IF(ISNA(MATCH(422,Engine!$C$2:$C$679,0)),"",INDEX('Compliance Database'!$M$2:$M$679,MATCH(422,Engine!$C$2:$C$679,0)))</f>
        <v/>
      </c>
      <c r="N435" s="8">
        <f>IF(ISNA(MATCH(422,Engine!$C$2:$C$679,0)),"",INDEX('Compliance Database'!$N$2:$N$679,MATCH(422,Engine!$C$2:$C$679,0)))</f>
        <v/>
      </c>
      <c r="O435" s="8">
        <f>IF(ISNA(MATCH(422,Engine!$C$2:$C$679,0)),"",INDEX('Compliance Database'!$O$2:$O$679,MATCH(422,Engine!$C$2:$C$679,0)))</f>
        <v/>
      </c>
      <c r="P435">
        <f>IF(ISNA(MATCH(422,Engine!$C$2:$C$679,0)),"",HYPERLINK(INDEX('Compliance Database'!$P$2:$P$679,MATCH(422,Engine!$C$2:$C$679,0)),"Open PDF"))</f>
        <v/>
      </c>
    </row>
    <row r="436">
      <c r="A436">
        <f>IF(ISNA(MATCH(423,Engine!$C$2:$C$679,0)),"",INDEX('Compliance Database'!$A$2:$A$679,MATCH(423,Engine!$C$2:$C$679,0)))</f>
        <v/>
      </c>
      <c r="B436">
        <f>IF(ISNA(MATCH(423,Engine!$C$2:$C$679,0)),"",INDEX('Compliance Database'!$B$2:$B$679,MATCH(423,Engine!$C$2:$C$679,0)))</f>
        <v/>
      </c>
      <c r="C436">
        <f>IF(ISNA(MATCH(423,Engine!$C$2:$C$679,0)),"",INDEX('Compliance Database'!$C$2:$C$679,MATCH(423,Engine!$C$2:$C$679,0)))</f>
        <v/>
      </c>
      <c r="D436" s="8">
        <f>IF(ISNA(MATCH(423,Engine!$C$2:$C$679,0)),"",INDEX('Compliance Database'!$D$2:$D$679,MATCH(423,Engine!$C$2:$C$679,0)))</f>
        <v/>
      </c>
      <c r="E436">
        <f>IF(ISNA(MATCH(423,Engine!$C$2:$C$679,0)),"",INDEX('Compliance Database'!$E$2:$E$679,MATCH(423,Engine!$C$2:$C$679,0)))</f>
        <v/>
      </c>
      <c r="F436">
        <f>IF(ISNA(MATCH(423,Engine!$C$2:$C$679,0)),"",INDEX('Compliance Database'!$F$2:$F$679,MATCH(423,Engine!$C$2:$C$679,0)))</f>
        <v/>
      </c>
      <c r="G436">
        <f>IF(ISNA(MATCH(423,Engine!$C$2:$C$679,0)),"",INDEX('Compliance Database'!$G$2:$G$679,MATCH(423,Engine!$C$2:$C$679,0)))</f>
        <v/>
      </c>
      <c r="H436">
        <f>IF(ISNA(MATCH(423,Engine!$C$2:$C$679,0)),"",INDEX('Compliance Database'!$H$2:$H$679,MATCH(423,Engine!$C$2:$C$679,0)))</f>
        <v/>
      </c>
      <c r="I436" s="8">
        <f>IF(ISNA(MATCH(423,Engine!$C$2:$C$679,0)),"",INDEX('Compliance Database'!$I$2:$I$679,MATCH(423,Engine!$C$2:$C$679,0)))</f>
        <v/>
      </c>
      <c r="J436" s="8">
        <f>IF(ISNA(MATCH(423,Engine!$C$2:$C$679,0)),"",INDEX('Compliance Database'!$J$2:$J$679,MATCH(423,Engine!$C$2:$C$679,0)))</f>
        <v/>
      </c>
      <c r="K436">
        <f>IF(ISNA(MATCH(423,Engine!$C$2:$C$679,0)),"",INDEX('Compliance Database'!$K$2:$K$679,MATCH(423,Engine!$C$2:$C$679,0)))</f>
        <v/>
      </c>
      <c r="L436" s="8">
        <f>IF(ISNA(MATCH(423,Engine!$C$2:$C$679,0)),"",INDEX('Compliance Database'!$L$2:$L$679,MATCH(423,Engine!$C$2:$C$679,0)))</f>
        <v/>
      </c>
      <c r="M436" s="8">
        <f>IF(ISNA(MATCH(423,Engine!$C$2:$C$679,0)),"",INDEX('Compliance Database'!$M$2:$M$679,MATCH(423,Engine!$C$2:$C$679,0)))</f>
        <v/>
      </c>
      <c r="N436" s="8">
        <f>IF(ISNA(MATCH(423,Engine!$C$2:$C$679,0)),"",INDEX('Compliance Database'!$N$2:$N$679,MATCH(423,Engine!$C$2:$C$679,0)))</f>
        <v/>
      </c>
      <c r="O436" s="8">
        <f>IF(ISNA(MATCH(423,Engine!$C$2:$C$679,0)),"",INDEX('Compliance Database'!$O$2:$O$679,MATCH(423,Engine!$C$2:$C$679,0)))</f>
        <v/>
      </c>
      <c r="P436">
        <f>IF(ISNA(MATCH(423,Engine!$C$2:$C$679,0)),"",HYPERLINK(INDEX('Compliance Database'!$P$2:$P$679,MATCH(423,Engine!$C$2:$C$679,0)),"Open PDF"))</f>
        <v/>
      </c>
    </row>
    <row r="437">
      <c r="A437">
        <f>IF(ISNA(MATCH(424,Engine!$C$2:$C$679,0)),"",INDEX('Compliance Database'!$A$2:$A$679,MATCH(424,Engine!$C$2:$C$679,0)))</f>
        <v/>
      </c>
      <c r="B437">
        <f>IF(ISNA(MATCH(424,Engine!$C$2:$C$679,0)),"",INDEX('Compliance Database'!$B$2:$B$679,MATCH(424,Engine!$C$2:$C$679,0)))</f>
        <v/>
      </c>
      <c r="C437">
        <f>IF(ISNA(MATCH(424,Engine!$C$2:$C$679,0)),"",INDEX('Compliance Database'!$C$2:$C$679,MATCH(424,Engine!$C$2:$C$679,0)))</f>
        <v/>
      </c>
      <c r="D437" s="8">
        <f>IF(ISNA(MATCH(424,Engine!$C$2:$C$679,0)),"",INDEX('Compliance Database'!$D$2:$D$679,MATCH(424,Engine!$C$2:$C$679,0)))</f>
        <v/>
      </c>
      <c r="E437">
        <f>IF(ISNA(MATCH(424,Engine!$C$2:$C$679,0)),"",INDEX('Compliance Database'!$E$2:$E$679,MATCH(424,Engine!$C$2:$C$679,0)))</f>
        <v/>
      </c>
      <c r="F437">
        <f>IF(ISNA(MATCH(424,Engine!$C$2:$C$679,0)),"",INDEX('Compliance Database'!$F$2:$F$679,MATCH(424,Engine!$C$2:$C$679,0)))</f>
        <v/>
      </c>
      <c r="G437">
        <f>IF(ISNA(MATCH(424,Engine!$C$2:$C$679,0)),"",INDEX('Compliance Database'!$G$2:$G$679,MATCH(424,Engine!$C$2:$C$679,0)))</f>
        <v/>
      </c>
      <c r="H437">
        <f>IF(ISNA(MATCH(424,Engine!$C$2:$C$679,0)),"",INDEX('Compliance Database'!$H$2:$H$679,MATCH(424,Engine!$C$2:$C$679,0)))</f>
        <v/>
      </c>
      <c r="I437" s="8">
        <f>IF(ISNA(MATCH(424,Engine!$C$2:$C$679,0)),"",INDEX('Compliance Database'!$I$2:$I$679,MATCH(424,Engine!$C$2:$C$679,0)))</f>
        <v/>
      </c>
      <c r="J437" s="8">
        <f>IF(ISNA(MATCH(424,Engine!$C$2:$C$679,0)),"",INDEX('Compliance Database'!$J$2:$J$679,MATCH(424,Engine!$C$2:$C$679,0)))</f>
        <v/>
      </c>
      <c r="K437">
        <f>IF(ISNA(MATCH(424,Engine!$C$2:$C$679,0)),"",INDEX('Compliance Database'!$K$2:$K$679,MATCH(424,Engine!$C$2:$C$679,0)))</f>
        <v/>
      </c>
      <c r="L437" s="8">
        <f>IF(ISNA(MATCH(424,Engine!$C$2:$C$679,0)),"",INDEX('Compliance Database'!$L$2:$L$679,MATCH(424,Engine!$C$2:$C$679,0)))</f>
        <v/>
      </c>
      <c r="M437" s="8">
        <f>IF(ISNA(MATCH(424,Engine!$C$2:$C$679,0)),"",INDEX('Compliance Database'!$M$2:$M$679,MATCH(424,Engine!$C$2:$C$679,0)))</f>
        <v/>
      </c>
      <c r="N437" s="8">
        <f>IF(ISNA(MATCH(424,Engine!$C$2:$C$679,0)),"",INDEX('Compliance Database'!$N$2:$N$679,MATCH(424,Engine!$C$2:$C$679,0)))</f>
        <v/>
      </c>
      <c r="O437" s="8">
        <f>IF(ISNA(MATCH(424,Engine!$C$2:$C$679,0)),"",INDEX('Compliance Database'!$O$2:$O$679,MATCH(424,Engine!$C$2:$C$679,0)))</f>
        <v/>
      </c>
      <c r="P437">
        <f>IF(ISNA(MATCH(424,Engine!$C$2:$C$679,0)),"",HYPERLINK(INDEX('Compliance Database'!$P$2:$P$679,MATCH(424,Engine!$C$2:$C$679,0)),"Open PDF"))</f>
        <v/>
      </c>
    </row>
    <row r="438">
      <c r="A438">
        <f>IF(ISNA(MATCH(425,Engine!$C$2:$C$679,0)),"",INDEX('Compliance Database'!$A$2:$A$679,MATCH(425,Engine!$C$2:$C$679,0)))</f>
        <v/>
      </c>
      <c r="B438">
        <f>IF(ISNA(MATCH(425,Engine!$C$2:$C$679,0)),"",INDEX('Compliance Database'!$B$2:$B$679,MATCH(425,Engine!$C$2:$C$679,0)))</f>
        <v/>
      </c>
      <c r="C438">
        <f>IF(ISNA(MATCH(425,Engine!$C$2:$C$679,0)),"",INDEX('Compliance Database'!$C$2:$C$679,MATCH(425,Engine!$C$2:$C$679,0)))</f>
        <v/>
      </c>
      <c r="D438" s="8">
        <f>IF(ISNA(MATCH(425,Engine!$C$2:$C$679,0)),"",INDEX('Compliance Database'!$D$2:$D$679,MATCH(425,Engine!$C$2:$C$679,0)))</f>
        <v/>
      </c>
      <c r="E438">
        <f>IF(ISNA(MATCH(425,Engine!$C$2:$C$679,0)),"",INDEX('Compliance Database'!$E$2:$E$679,MATCH(425,Engine!$C$2:$C$679,0)))</f>
        <v/>
      </c>
      <c r="F438">
        <f>IF(ISNA(MATCH(425,Engine!$C$2:$C$679,0)),"",INDEX('Compliance Database'!$F$2:$F$679,MATCH(425,Engine!$C$2:$C$679,0)))</f>
        <v/>
      </c>
      <c r="G438">
        <f>IF(ISNA(MATCH(425,Engine!$C$2:$C$679,0)),"",INDEX('Compliance Database'!$G$2:$G$679,MATCH(425,Engine!$C$2:$C$679,0)))</f>
        <v/>
      </c>
      <c r="H438">
        <f>IF(ISNA(MATCH(425,Engine!$C$2:$C$679,0)),"",INDEX('Compliance Database'!$H$2:$H$679,MATCH(425,Engine!$C$2:$C$679,0)))</f>
        <v/>
      </c>
      <c r="I438" s="8">
        <f>IF(ISNA(MATCH(425,Engine!$C$2:$C$679,0)),"",INDEX('Compliance Database'!$I$2:$I$679,MATCH(425,Engine!$C$2:$C$679,0)))</f>
        <v/>
      </c>
      <c r="J438" s="8">
        <f>IF(ISNA(MATCH(425,Engine!$C$2:$C$679,0)),"",INDEX('Compliance Database'!$J$2:$J$679,MATCH(425,Engine!$C$2:$C$679,0)))</f>
        <v/>
      </c>
      <c r="K438">
        <f>IF(ISNA(MATCH(425,Engine!$C$2:$C$679,0)),"",INDEX('Compliance Database'!$K$2:$K$679,MATCH(425,Engine!$C$2:$C$679,0)))</f>
        <v/>
      </c>
      <c r="L438" s="8">
        <f>IF(ISNA(MATCH(425,Engine!$C$2:$C$679,0)),"",INDEX('Compliance Database'!$L$2:$L$679,MATCH(425,Engine!$C$2:$C$679,0)))</f>
        <v/>
      </c>
      <c r="M438" s="8">
        <f>IF(ISNA(MATCH(425,Engine!$C$2:$C$679,0)),"",INDEX('Compliance Database'!$M$2:$M$679,MATCH(425,Engine!$C$2:$C$679,0)))</f>
        <v/>
      </c>
      <c r="N438" s="8">
        <f>IF(ISNA(MATCH(425,Engine!$C$2:$C$679,0)),"",INDEX('Compliance Database'!$N$2:$N$679,MATCH(425,Engine!$C$2:$C$679,0)))</f>
        <v/>
      </c>
      <c r="O438" s="8">
        <f>IF(ISNA(MATCH(425,Engine!$C$2:$C$679,0)),"",INDEX('Compliance Database'!$O$2:$O$679,MATCH(425,Engine!$C$2:$C$679,0)))</f>
        <v/>
      </c>
      <c r="P438">
        <f>IF(ISNA(MATCH(425,Engine!$C$2:$C$679,0)),"",HYPERLINK(INDEX('Compliance Database'!$P$2:$P$679,MATCH(425,Engine!$C$2:$C$679,0)),"Open PDF"))</f>
        <v/>
      </c>
    </row>
    <row r="439">
      <c r="A439">
        <f>IF(ISNA(MATCH(426,Engine!$C$2:$C$679,0)),"",INDEX('Compliance Database'!$A$2:$A$679,MATCH(426,Engine!$C$2:$C$679,0)))</f>
        <v/>
      </c>
      <c r="B439">
        <f>IF(ISNA(MATCH(426,Engine!$C$2:$C$679,0)),"",INDEX('Compliance Database'!$B$2:$B$679,MATCH(426,Engine!$C$2:$C$679,0)))</f>
        <v/>
      </c>
      <c r="C439">
        <f>IF(ISNA(MATCH(426,Engine!$C$2:$C$679,0)),"",INDEX('Compliance Database'!$C$2:$C$679,MATCH(426,Engine!$C$2:$C$679,0)))</f>
        <v/>
      </c>
      <c r="D439" s="8">
        <f>IF(ISNA(MATCH(426,Engine!$C$2:$C$679,0)),"",INDEX('Compliance Database'!$D$2:$D$679,MATCH(426,Engine!$C$2:$C$679,0)))</f>
        <v/>
      </c>
      <c r="E439">
        <f>IF(ISNA(MATCH(426,Engine!$C$2:$C$679,0)),"",INDEX('Compliance Database'!$E$2:$E$679,MATCH(426,Engine!$C$2:$C$679,0)))</f>
        <v/>
      </c>
      <c r="F439">
        <f>IF(ISNA(MATCH(426,Engine!$C$2:$C$679,0)),"",INDEX('Compliance Database'!$F$2:$F$679,MATCH(426,Engine!$C$2:$C$679,0)))</f>
        <v/>
      </c>
      <c r="G439">
        <f>IF(ISNA(MATCH(426,Engine!$C$2:$C$679,0)),"",INDEX('Compliance Database'!$G$2:$G$679,MATCH(426,Engine!$C$2:$C$679,0)))</f>
        <v/>
      </c>
      <c r="H439">
        <f>IF(ISNA(MATCH(426,Engine!$C$2:$C$679,0)),"",INDEX('Compliance Database'!$H$2:$H$679,MATCH(426,Engine!$C$2:$C$679,0)))</f>
        <v/>
      </c>
      <c r="I439" s="8">
        <f>IF(ISNA(MATCH(426,Engine!$C$2:$C$679,0)),"",INDEX('Compliance Database'!$I$2:$I$679,MATCH(426,Engine!$C$2:$C$679,0)))</f>
        <v/>
      </c>
      <c r="J439" s="8">
        <f>IF(ISNA(MATCH(426,Engine!$C$2:$C$679,0)),"",INDEX('Compliance Database'!$J$2:$J$679,MATCH(426,Engine!$C$2:$C$679,0)))</f>
        <v/>
      </c>
      <c r="K439">
        <f>IF(ISNA(MATCH(426,Engine!$C$2:$C$679,0)),"",INDEX('Compliance Database'!$K$2:$K$679,MATCH(426,Engine!$C$2:$C$679,0)))</f>
        <v/>
      </c>
      <c r="L439" s="8">
        <f>IF(ISNA(MATCH(426,Engine!$C$2:$C$679,0)),"",INDEX('Compliance Database'!$L$2:$L$679,MATCH(426,Engine!$C$2:$C$679,0)))</f>
        <v/>
      </c>
      <c r="M439" s="8">
        <f>IF(ISNA(MATCH(426,Engine!$C$2:$C$679,0)),"",INDEX('Compliance Database'!$M$2:$M$679,MATCH(426,Engine!$C$2:$C$679,0)))</f>
        <v/>
      </c>
      <c r="N439" s="8">
        <f>IF(ISNA(MATCH(426,Engine!$C$2:$C$679,0)),"",INDEX('Compliance Database'!$N$2:$N$679,MATCH(426,Engine!$C$2:$C$679,0)))</f>
        <v/>
      </c>
      <c r="O439" s="8">
        <f>IF(ISNA(MATCH(426,Engine!$C$2:$C$679,0)),"",INDEX('Compliance Database'!$O$2:$O$679,MATCH(426,Engine!$C$2:$C$679,0)))</f>
        <v/>
      </c>
      <c r="P439">
        <f>IF(ISNA(MATCH(426,Engine!$C$2:$C$679,0)),"",HYPERLINK(INDEX('Compliance Database'!$P$2:$P$679,MATCH(426,Engine!$C$2:$C$679,0)),"Open PDF"))</f>
        <v/>
      </c>
    </row>
    <row r="440">
      <c r="A440">
        <f>IF(ISNA(MATCH(427,Engine!$C$2:$C$679,0)),"",INDEX('Compliance Database'!$A$2:$A$679,MATCH(427,Engine!$C$2:$C$679,0)))</f>
        <v/>
      </c>
      <c r="B440">
        <f>IF(ISNA(MATCH(427,Engine!$C$2:$C$679,0)),"",INDEX('Compliance Database'!$B$2:$B$679,MATCH(427,Engine!$C$2:$C$679,0)))</f>
        <v/>
      </c>
      <c r="C440">
        <f>IF(ISNA(MATCH(427,Engine!$C$2:$C$679,0)),"",INDEX('Compliance Database'!$C$2:$C$679,MATCH(427,Engine!$C$2:$C$679,0)))</f>
        <v/>
      </c>
      <c r="D440" s="8">
        <f>IF(ISNA(MATCH(427,Engine!$C$2:$C$679,0)),"",INDEX('Compliance Database'!$D$2:$D$679,MATCH(427,Engine!$C$2:$C$679,0)))</f>
        <v/>
      </c>
      <c r="E440">
        <f>IF(ISNA(MATCH(427,Engine!$C$2:$C$679,0)),"",INDEX('Compliance Database'!$E$2:$E$679,MATCH(427,Engine!$C$2:$C$679,0)))</f>
        <v/>
      </c>
      <c r="F440">
        <f>IF(ISNA(MATCH(427,Engine!$C$2:$C$679,0)),"",INDEX('Compliance Database'!$F$2:$F$679,MATCH(427,Engine!$C$2:$C$679,0)))</f>
        <v/>
      </c>
      <c r="G440">
        <f>IF(ISNA(MATCH(427,Engine!$C$2:$C$679,0)),"",INDEX('Compliance Database'!$G$2:$G$679,MATCH(427,Engine!$C$2:$C$679,0)))</f>
        <v/>
      </c>
      <c r="H440">
        <f>IF(ISNA(MATCH(427,Engine!$C$2:$C$679,0)),"",INDEX('Compliance Database'!$H$2:$H$679,MATCH(427,Engine!$C$2:$C$679,0)))</f>
        <v/>
      </c>
      <c r="I440" s="8">
        <f>IF(ISNA(MATCH(427,Engine!$C$2:$C$679,0)),"",INDEX('Compliance Database'!$I$2:$I$679,MATCH(427,Engine!$C$2:$C$679,0)))</f>
        <v/>
      </c>
      <c r="J440" s="8">
        <f>IF(ISNA(MATCH(427,Engine!$C$2:$C$679,0)),"",INDEX('Compliance Database'!$J$2:$J$679,MATCH(427,Engine!$C$2:$C$679,0)))</f>
        <v/>
      </c>
      <c r="K440">
        <f>IF(ISNA(MATCH(427,Engine!$C$2:$C$679,0)),"",INDEX('Compliance Database'!$K$2:$K$679,MATCH(427,Engine!$C$2:$C$679,0)))</f>
        <v/>
      </c>
      <c r="L440" s="8">
        <f>IF(ISNA(MATCH(427,Engine!$C$2:$C$679,0)),"",INDEX('Compliance Database'!$L$2:$L$679,MATCH(427,Engine!$C$2:$C$679,0)))</f>
        <v/>
      </c>
      <c r="M440" s="8">
        <f>IF(ISNA(MATCH(427,Engine!$C$2:$C$679,0)),"",INDEX('Compliance Database'!$M$2:$M$679,MATCH(427,Engine!$C$2:$C$679,0)))</f>
        <v/>
      </c>
      <c r="N440" s="8">
        <f>IF(ISNA(MATCH(427,Engine!$C$2:$C$679,0)),"",INDEX('Compliance Database'!$N$2:$N$679,MATCH(427,Engine!$C$2:$C$679,0)))</f>
        <v/>
      </c>
      <c r="O440" s="8">
        <f>IF(ISNA(MATCH(427,Engine!$C$2:$C$679,0)),"",INDEX('Compliance Database'!$O$2:$O$679,MATCH(427,Engine!$C$2:$C$679,0)))</f>
        <v/>
      </c>
      <c r="P440">
        <f>IF(ISNA(MATCH(427,Engine!$C$2:$C$679,0)),"",HYPERLINK(INDEX('Compliance Database'!$P$2:$P$679,MATCH(427,Engine!$C$2:$C$679,0)),"Open PDF"))</f>
        <v/>
      </c>
    </row>
    <row r="441">
      <c r="A441">
        <f>IF(ISNA(MATCH(428,Engine!$C$2:$C$679,0)),"",INDEX('Compliance Database'!$A$2:$A$679,MATCH(428,Engine!$C$2:$C$679,0)))</f>
        <v/>
      </c>
      <c r="B441">
        <f>IF(ISNA(MATCH(428,Engine!$C$2:$C$679,0)),"",INDEX('Compliance Database'!$B$2:$B$679,MATCH(428,Engine!$C$2:$C$679,0)))</f>
        <v/>
      </c>
      <c r="C441">
        <f>IF(ISNA(MATCH(428,Engine!$C$2:$C$679,0)),"",INDEX('Compliance Database'!$C$2:$C$679,MATCH(428,Engine!$C$2:$C$679,0)))</f>
        <v/>
      </c>
      <c r="D441" s="8">
        <f>IF(ISNA(MATCH(428,Engine!$C$2:$C$679,0)),"",INDEX('Compliance Database'!$D$2:$D$679,MATCH(428,Engine!$C$2:$C$679,0)))</f>
        <v/>
      </c>
      <c r="E441">
        <f>IF(ISNA(MATCH(428,Engine!$C$2:$C$679,0)),"",INDEX('Compliance Database'!$E$2:$E$679,MATCH(428,Engine!$C$2:$C$679,0)))</f>
        <v/>
      </c>
      <c r="F441">
        <f>IF(ISNA(MATCH(428,Engine!$C$2:$C$679,0)),"",INDEX('Compliance Database'!$F$2:$F$679,MATCH(428,Engine!$C$2:$C$679,0)))</f>
        <v/>
      </c>
      <c r="G441">
        <f>IF(ISNA(MATCH(428,Engine!$C$2:$C$679,0)),"",INDEX('Compliance Database'!$G$2:$G$679,MATCH(428,Engine!$C$2:$C$679,0)))</f>
        <v/>
      </c>
      <c r="H441">
        <f>IF(ISNA(MATCH(428,Engine!$C$2:$C$679,0)),"",INDEX('Compliance Database'!$H$2:$H$679,MATCH(428,Engine!$C$2:$C$679,0)))</f>
        <v/>
      </c>
      <c r="I441" s="8">
        <f>IF(ISNA(MATCH(428,Engine!$C$2:$C$679,0)),"",INDEX('Compliance Database'!$I$2:$I$679,MATCH(428,Engine!$C$2:$C$679,0)))</f>
        <v/>
      </c>
      <c r="J441" s="8">
        <f>IF(ISNA(MATCH(428,Engine!$C$2:$C$679,0)),"",INDEX('Compliance Database'!$J$2:$J$679,MATCH(428,Engine!$C$2:$C$679,0)))</f>
        <v/>
      </c>
      <c r="K441">
        <f>IF(ISNA(MATCH(428,Engine!$C$2:$C$679,0)),"",INDEX('Compliance Database'!$K$2:$K$679,MATCH(428,Engine!$C$2:$C$679,0)))</f>
        <v/>
      </c>
      <c r="L441" s="8">
        <f>IF(ISNA(MATCH(428,Engine!$C$2:$C$679,0)),"",INDEX('Compliance Database'!$L$2:$L$679,MATCH(428,Engine!$C$2:$C$679,0)))</f>
        <v/>
      </c>
      <c r="M441" s="8">
        <f>IF(ISNA(MATCH(428,Engine!$C$2:$C$679,0)),"",INDEX('Compliance Database'!$M$2:$M$679,MATCH(428,Engine!$C$2:$C$679,0)))</f>
        <v/>
      </c>
      <c r="N441" s="8">
        <f>IF(ISNA(MATCH(428,Engine!$C$2:$C$679,0)),"",INDEX('Compliance Database'!$N$2:$N$679,MATCH(428,Engine!$C$2:$C$679,0)))</f>
        <v/>
      </c>
      <c r="O441" s="8">
        <f>IF(ISNA(MATCH(428,Engine!$C$2:$C$679,0)),"",INDEX('Compliance Database'!$O$2:$O$679,MATCH(428,Engine!$C$2:$C$679,0)))</f>
        <v/>
      </c>
      <c r="P441">
        <f>IF(ISNA(MATCH(428,Engine!$C$2:$C$679,0)),"",HYPERLINK(INDEX('Compliance Database'!$P$2:$P$679,MATCH(428,Engine!$C$2:$C$679,0)),"Open PDF"))</f>
        <v/>
      </c>
    </row>
    <row r="442">
      <c r="A442">
        <f>IF(ISNA(MATCH(429,Engine!$C$2:$C$679,0)),"",INDEX('Compliance Database'!$A$2:$A$679,MATCH(429,Engine!$C$2:$C$679,0)))</f>
        <v/>
      </c>
      <c r="B442">
        <f>IF(ISNA(MATCH(429,Engine!$C$2:$C$679,0)),"",INDEX('Compliance Database'!$B$2:$B$679,MATCH(429,Engine!$C$2:$C$679,0)))</f>
        <v/>
      </c>
      <c r="C442">
        <f>IF(ISNA(MATCH(429,Engine!$C$2:$C$679,0)),"",INDEX('Compliance Database'!$C$2:$C$679,MATCH(429,Engine!$C$2:$C$679,0)))</f>
        <v/>
      </c>
      <c r="D442" s="8">
        <f>IF(ISNA(MATCH(429,Engine!$C$2:$C$679,0)),"",INDEX('Compliance Database'!$D$2:$D$679,MATCH(429,Engine!$C$2:$C$679,0)))</f>
        <v/>
      </c>
      <c r="E442">
        <f>IF(ISNA(MATCH(429,Engine!$C$2:$C$679,0)),"",INDEX('Compliance Database'!$E$2:$E$679,MATCH(429,Engine!$C$2:$C$679,0)))</f>
        <v/>
      </c>
      <c r="F442">
        <f>IF(ISNA(MATCH(429,Engine!$C$2:$C$679,0)),"",INDEX('Compliance Database'!$F$2:$F$679,MATCH(429,Engine!$C$2:$C$679,0)))</f>
        <v/>
      </c>
      <c r="G442">
        <f>IF(ISNA(MATCH(429,Engine!$C$2:$C$679,0)),"",INDEX('Compliance Database'!$G$2:$G$679,MATCH(429,Engine!$C$2:$C$679,0)))</f>
        <v/>
      </c>
      <c r="H442">
        <f>IF(ISNA(MATCH(429,Engine!$C$2:$C$679,0)),"",INDEX('Compliance Database'!$H$2:$H$679,MATCH(429,Engine!$C$2:$C$679,0)))</f>
        <v/>
      </c>
      <c r="I442" s="8">
        <f>IF(ISNA(MATCH(429,Engine!$C$2:$C$679,0)),"",INDEX('Compliance Database'!$I$2:$I$679,MATCH(429,Engine!$C$2:$C$679,0)))</f>
        <v/>
      </c>
      <c r="J442" s="8">
        <f>IF(ISNA(MATCH(429,Engine!$C$2:$C$679,0)),"",INDEX('Compliance Database'!$J$2:$J$679,MATCH(429,Engine!$C$2:$C$679,0)))</f>
        <v/>
      </c>
      <c r="K442">
        <f>IF(ISNA(MATCH(429,Engine!$C$2:$C$679,0)),"",INDEX('Compliance Database'!$K$2:$K$679,MATCH(429,Engine!$C$2:$C$679,0)))</f>
        <v/>
      </c>
      <c r="L442" s="8">
        <f>IF(ISNA(MATCH(429,Engine!$C$2:$C$679,0)),"",INDEX('Compliance Database'!$L$2:$L$679,MATCH(429,Engine!$C$2:$C$679,0)))</f>
        <v/>
      </c>
      <c r="M442" s="8">
        <f>IF(ISNA(MATCH(429,Engine!$C$2:$C$679,0)),"",INDEX('Compliance Database'!$M$2:$M$679,MATCH(429,Engine!$C$2:$C$679,0)))</f>
        <v/>
      </c>
      <c r="N442" s="8">
        <f>IF(ISNA(MATCH(429,Engine!$C$2:$C$679,0)),"",INDEX('Compliance Database'!$N$2:$N$679,MATCH(429,Engine!$C$2:$C$679,0)))</f>
        <v/>
      </c>
      <c r="O442" s="8">
        <f>IF(ISNA(MATCH(429,Engine!$C$2:$C$679,0)),"",INDEX('Compliance Database'!$O$2:$O$679,MATCH(429,Engine!$C$2:$C$679,0)))</f>
        <v/>
      </c>
      <c r="P442">
        <f>IF(ISNA(MATCH(429,Engine!$C$2:$C$679,0)),"",HYPERLINK(INDEX('Compliance Database'!$P$2:$P$679,MATCH(429,Engine!$C$2:$C$679,0)),"Open PDF"))</f>
        <v/>
      </c>
    </row>
    <row r="443">
      <c r="A443">
        <f>IF(ISNA(MATCH(430,Engine!$C$2:$C$679,0)),"",INDEX('Compliance Database'!$A$2:$A$679,MATCH(430,Engine!$C$2:$C$679,0)))</f>
        <v/>
      </c>
      <c r="B443">
        <f>IF(ISNA(MATCH(430,Engine!$C$2:$C$679,0)),"",INDEX('Compliance Database'!$B$2:$B$679,MATCH(430,Engine!$C$2:$C$679,0)))</f>
        <v/>
      </c>
      <c r="C443">
        <f>IF(ISNA(MATCH(430,Engine!$C$2:$C$679,0)),"",INDEX('Compliance Database'!$C$2:$C$679,MATCH(430,Engine!$C$2:$C$679,0)))</f>
        <v/>
      </c>
      <c r="D443" s="8">
        <f>IF(ISNA(MATCH(430,Engine!$C$2:$C$679,0)),"",INDEX('Compliance Database'!$D$2:$D$679,MATCH(430,Engine!$C$2:$C$679,0)))</f>
        <v/>
      </c>
      <c r="E443">
        <f>IF(ISNA(MATCH(430,Engine!$C$2:$C$679,0)),"",INDEX('Compliance Database'!$E$2:$E$679,MATCH(430,Engine!$C$2:$C$679,0)))</f>
        <v/>
      </c>
      <c r="F443">
        <f>IF(ISNA(MATCH(430,Engine!$C$2:$C$679,0)),"",INDEX('Compliance Database'!$F$2:$F$679,MATCH(430,Engine!$C$2:$C$679,0)))</f>
        <v/>
      </c>
      <c r="G443">
        <f>IF(ISNA(MATCH(430,Engine!$C$2:$C$679,0)),"",INDEX('Compliance Database'!$G$2:$G$679,MATCH(430,Engine!$C$2:$C$679,0)))</f>
        <v/>
      </c>
      <c r="H443">
        <f>IF(ISNA(MATCH(430,Engine!$C$2:$C$679,0)),"",INDEX('Compliance Database'!$H$2:$H$679,MATCH(430,Engine!$C$2:$C$679,0)))</f>
        <v/>
      </c>
      <c r="I443" s="8">
        <f>IF(ISNA(MATCH(430,Engine!$C$2:$C$679,0)),"",INDEX('Compliance Database'!$I$2:$I$679,MATCH(430,Engine!$C$2:$C$679,0)))</f>
        <v/>
      </c>
      <c r="J443" s="8">
        <f>IF(ISNA(MATCH(430,Engine!$C$2:$C$679,0)),"",INDEX('Compliance Database'!$J$2:$J$679,MATCH(430,Engine!$C$2:$C$679,0)))</f>
        <v/>
      </c>
      <c r="K443">
        <f>IF(ISNA(MATCH(430,Engine!$C$2:$C$679,0)),"",INDEX('Compliance Database'!$K$2:$K$679,MATCH(430,Engine!$C$2:$C$679,0)))</f>
        <v/>
      </c>
      <c r="L443" s="8">
        <f>IF(ISNA(MATCH(430,Engine!$C$2:$C$679,0)),"",INDEX('Compliance Database'!$L$2:$L$679,MATCH(430,Engine!$C$2:$C$679,0)))</f>
        <v/>
      </c>
      <c r="M443" s="8">
        <f>IF(ISNA(MATCH(430,Engine!$C$2:$C$679,0)),"",INDEX('Compliance Database'!$M$2:$M$679,MATCH(430,Engine!$C$2:$C$679,0)))</f>
        <v/>
      </c>
      <c r="N443" s="8">
        <f>IF(ISNA(MATCH(430,Engine!$C$2:$C$679,0)),"",INDEX('Compliance Database'!$N$2:$N$679,MATCH(430,Engine!$C$2:$C$679,0)))</f>
        <v/>
      </c>
      <c r="O443" s="8">
        <f>IF(ISNA(MATCH(430,Engine!$C$2:$C$679,0)),"",INDEX('Compliance Database'!$O$2:$O$679,MATCH(430,Engine!$C$2:$C$679,0)))</f>
        <v/>
      </c>
      <c r="P443">
        <f>IF(ISNA(MATCH(430,Engine!$C$2:$C$679,0)),"",HYPERLINK(INDEX('Compliance Database'!$P$2:$P$679,MATCH(430,Engine!$C$2:$C$679,0)),"Open PDF"))</f>
        <v/>
      </c>
    </row>
    <row r="444">
      <c r="A444">
        <f>IF(ISNA(MATCH(431,Engine!$C$2:$C$679,0)),"",INDEX('Compliance Database'!$A$2:$A$679,MATCH(431,Engine!$C$2:$C$679,0)))</f>
        <v/>
      </c>
      <c r="B444">
        <f>IF(ISNA(MATCH(431,Engine!$C$2:$C$679,0)),"",INDEX('Compliance Database'!$B$2:$B$679,MATCH(431,Engine!$C$2:$C$679,0)))</f>
        <v/>
      </c>
      <c r="C444">
        <f>IF(ISNA(MATCH(431,Engine!$C$2:$C$679,0)),"",INDEX('Compliance Database'!$C$2:$C$679,MATCH(431,Engine!$C$2:$C$679,0)))</f>
        <v/>
      </c>
      <c r="D444" s="8">
        <f>IF(ISNA(MATCH(431,Engine!$C$2:$C$679,0)),"",INDEX('Compliance Database'!$D$2:$D$679,MATCH(431,Engine!$C$2:$C$679,0)))</f>
        <v/>
      </c>
      <c r="E444">
        <f>IF(ISNA(MATCH(431,Engine!$C$2:$C$679,0)),"",INDEX('Compliance Database'!$E$2:$E$679,MATCH(431,Engine!$C$2:$C$679,0)))</f>
        <v/>
      </c>
      <c r="F444">
        <f>IF(ISNA(MATCH(431,Engine!$C$2:$C$679,0)),"",INDEX('Compliance Database'!$F$2:$F$679,MATCH(431,Engine!$C$2:$C$679,0)))</f>
        <v/>
      </c>
      <c r="G444">
        <f>IF(ISNA(MATCH(431,Engine!$C$2:$C$679,0)),"",INDEX('Compliance Database'!$G$2:$G$679,MATCH(431,Engine!$C$2:$C$679,0)))</f>
        <v/>
      </c>
      <c r="H444">
        <f>IF(ISNA(MATCH(431,Engine!$C$2:$C$679,0)),"",INDEX('Compliance Database'!$H$2:$H$679,MATCH(431,Engine!$C$2:$C$679,0)))</f>
        <v/>
      </c>
      <c r="I444" s="8">
        <f>IF(ISNA(MATCH(431,Engine!$C$2:$C$679,0)),"",INDEX('Compliance Database'!$I$2:$I$679,MATCH(431,Engine!$C$2:$C$679,0)))</f>
        <v/>
      </c>
      <c r="J444" s="8">
        <f>IF(ISNA(MATCH(431,Engine!$C$2:$C$679,0)),"",INDEX('Compliance Database'!$J$2:$J$679,MATCH(431,Engine!$C$2:$C$679,0)))</f>
        <v/>
      </c>
      <c r="K444">
        <f>IF(ISNA(MATCH(431,Engine!$C$2:$C$679,0)),"",INDEX('Compliance Database'!$K$2:$K$679,MATCH(431,Engine!$C$2:$C$679,0)))</f>
        <v/>
      </c>
      <c r="L444" s="8">
        <f>IF(ISNA(MATCH(431,Engine!$C$2:$C$679,0)),"",INDEX('Compliance Database'!$L$2:$L$679,MATCH(431,Engine!$C$2:$C$679,0)))</f>
        <v/>
      </c>
      <c r="M444" s="8">
        <f>IF(ISNA(MATCH(431,Engine!$C$2:$C$679,0)),"",INDEX('Compliance Database'!$M$2:$M$679,MATCH(431,Engine!$C$2:$C$679,0)))</f>
        <v/>
      </c>
      <c r="N444" s="8">
        <f>IF(ISNA(MATCH(431,Engine!$C$2:$C$679,0)),"",INDEX('Compliance Database'!$N$2:$N$679,MATCH(431,Engine!$C$2:$C$679,0)))</f>
        <v/>
      </c>
      <c r="O444" s="8">
        <f>IF(ISNA(MATCH(431,Engine!$C$2:$C$679,0)),"",INDEX('Compliance Database'!$O$2:$O$679,MATCH(431,Engine!$C$2:$C$679,0)))</f>
        <v/>
      </c>
      <c r="P444">
        <f>IF(ISNA(MATCH(431,Engine!$C$2:$C$679,0)),"",HYPERLINK(INDEX('Compliance Database'!$P$2:$P$679,MATCH(431,Engine!$C$2:$C$679,0)),"Open PDF"))</f>
        <v/>
      </c>
    </row>
    <row r="445">
      <c r="A445">
        <f>IF(ISNA(MATCH(432,Engine!$C$2:$C$679,0)),"",INDEX('Compliance Database'!$A$2:$A$679,MATCH(432,Engine!$C$2:$C$679,0)))</f>
        <v/>
      </c>
      <c r="B445">
        <f>IF(ISNA(MATCH(432,Engine!$C$2:$C$679,0)),"",INDEX('Compliance Database'!$B$2:$B$679,MATCH(432,Engine!$C$2:$C$679,0)))</f>
        <v/>
      </c>
      <c r="C445">
        <f>IF(ISNA(MATCH(432,Engine!$C$2:$C$679,0)),"",INDEX('Compliance Database'!$C$2:$C$679,MATCH(432,Engine!$C$2:$C$679,0)))</f>
        <v/>
      </c>
      <c r="D445" s="8">
        <f>IF(ISNA(MATCH(432,Engine!$C$2:$C$679,0)),"",INDEX('Compliance Database'!$D$2:$D$679,MATCH(432,Engine!$C$2:$C$679,0)))</f>
        <v/>
      </c>
      <c r="E445">
        <f>IF(ISNA(MATCH(432,Engine!$C$2:$C$679,0)),"",INDEX('Compliance Database'!$E$2:$E$679,MATCH(432,Engine!$C$2:$C$679,0)))</f>
        <v/>
      </c>
      <c r="F445">
        <f>IF(ISNA(MATCH(432,Engine!$C$2:$C$679,0)),"",INDEX('Compliance Database'!$F$2:$F$679,MATCH(432,Engine!$C$2:$C$679,0)))</f>
        <v/>
      </c>
      <c r="G445">
        <f>IF(ISNA(MATCH(432,Engine!$C$2:$C$679,0)),"",INDEX('Compliance Database'!$G$2:$G$679,MATCH(432,Engine!$C$2:$C$679,0)))</f>
        <v/>
      </c>
      <c r="H445">
        <f>IF(ISNA(MATCH(432,Engine!$C$2:$C$679,0)),"",INDEX('Compliance Database'!$H$2:$H$679,MATCH(432,Engine!$C$2:$C$679,0)))</f>
        <v/>
      </c>
      <c r="I445" s="8">
        <f>IF(ISNA(MATCH(432,Engine!$C$2:$C$679,0)),"",INDEX('Compliance Database'!$I$2:$I$679,MATCH(432,Engine!$C$2:$C$679,0)))</f>
        <v/>
      </c>
      <c r="J445" s="8">
        <f>IF(ISNA(MATCH(432,Engine!$C$2:$C$679,0)),"",INDEX('Compliance Database'!$J$2:$J$679,MATCH(432,Engine!$C$2:$C$679,0)))</f>
        <v/>
      </c>
      <c r="K445">
        <f>IF(ISNA(MATCH(432,Engine!$C$2:$C$679,0)),"",INDEX('Compliance Database'!$K$2:$K$679,MATCH(432,Engine!$C$2:$C$679,0)))</f>
        <v/>
      </c>
      <c r="L445" s="8">
        <f>IF(ISNA(MATCH(432,Engine!$C$2:$C$679,0)),"",INDEX('Compliance Database'!$L$2:$L$679,MATCH(432,Engine!$C$2:$C$679,0)))</f>
        <v/>
      </c>
      <c r="M445" s="8">
        <f>IF(ISNA(MATCH(432,Engine!$C$2:$C$679,0)),"",INDEX('Compliance Database'!$M$2:$M$679,MATCH(432,Engine!$C$2:$C$679,0)))</f>
        <v/>
      </c>
      <c r="N445" s="8">
        <f>IF(ISNA(MATCH(432,Engine!$C$2:$C$679,0)),"",INDEX('Compliance Database'!$N$2:$N$679,MATCH(432,Engine!$C$2:$C$679,0)))</f>
        <v/>
      </c>
      <c r="O445" s="8">
        <f>IF(ISNA(MATCH(432,Engine!$C$2:$C$679,0)),"",INDEX('Compliance Database'!$O$2:$O$679,MATCH(432,Engine!$C$2:$C$679,0)))</f>
        <v/>
      </c>
      <c r="P445">
        <f>IF(ISNA(MATCH(432,Engine!$C$2:$C$679,0)),"",HYPERLINK(INDEX('Compliance Database'!$P$2:$P$679,MATCH(432,Engine!$C$2:$C$679,0)),"Open PDF"))</f>
        <v/>
      </c>
    </row>
    <row r="446">
      <c r="A446">
        <f>IF(ISNA(MATCH(433,Engine!$C$2:$C$679,0)),"",INDEX('Compliance Database'!$A$2:$A$679,MATCH(433,Engine!$C$2:$C$679,0)))</f>
        <v/>
      </c>
      <c r="B446">
        <f>IF(ISNA(MATCH(433,Engine!$C$2:$C$679,0)),"",INDEX('Compliance Database'!$B$2:$B$679,MATCH(433,Engine!$C$2:$C$679,0)))</f>
        <v/>
      </c>
      <c r="C446">
        <f>IF(ISNA(MATCH(433,Engine!$C$2:$C$679,0)),"",INDEX('Compliance Database'!$C$2:$C$679,MATCH(433,Engine!$C$2:$C$679,0)))</f>
        <v/>
      </c>
      <c r="D446" s="8">
        <f>IF(ISNA(MATCH(433,Engine!$C$2:$C$679,0)),"",INDEX('Compliance Database'!$D$2:$D$679,MATCH(433,Engine!$C$2:$C$679,0)))</f>
        <v/>
      </c>
      <c r="E446">
        <f>IF(ISNA(MATCH(433,Engine!$C$2:$C$679,0)),"",INDEX('Compliance Database'!$E$2:$E$679,MATCH(433,Engine!$C$2:$C$679,0)))</f>
        <v/>
      </c>
      <c r="F446">
        <f>IF(ISNA(MATCH(433,Engine!$C$2:$C$679,0)),"",INDEX('Compliance Database'!$F$2:$F$679,MATCH(433,Engine!$C$2:$C$679,0)))</f>
        <v/>
      </c>
      <c r="G446">
        <f>IF(ISNA(MATCH(433,Engine!$C$2:$C$679,0)),"",INDEX('Compliance Database'!$G$2:$G$679,MATCH(433,Engine!$C$2:$C$679,0)))</f>
        <v/>
      </c>
      <c r="H446">
        <f>IF(ISNA(MATCH(433,Engine!$C$2:$C$679,0)),"",INDEX('Compliance Database'!$H$2:$H$679,MATCH(433,Engine!$C$2:$C$679,0)))</f>
        <v/>
      </c>
      <c r="I446" s="8">
        <f>IF(ISNA(MATCH(433,Engine!$C$2:$C$679,0)),"",INDEX('Compliance Database'!$I$2:$I$679,MATCH(433,Engine!$C$2:$C$679,0)))</f>
        <v/>
      </c>
      <c r="J446" s="8">
        <f>IF(ISNA(MATCH(433,Engine!$C$2:$C$679,0)),"",INDEX('Compliance Database'!$J$2:$J$679,MATCH(433,Engine!$C$2:$C$679,0)))</f>
        <v/>
      </c>
      <c r="K446">
        <f>IF(ISNA(MATCH(433,Engine!$C$2:$C$679,0)),"",INDEX('Compliance Database'!$K$2:$K$679,MATCH(433,Engine!$C$2:$C$679,0)))</f>
        <v/>
      </c>
      <c r="L446" s="8">
        <f>IF(ISNA(MATCH(433,Engine!$C$2:$C$679,0)),"",INDEX('Compliance Database'!$L$2:$L$679,MATCH(433,Engine!$C$2:$C$679,0)))</f>
        <v/>
      </c>
      <c r="M446" s="8">
        <f>IF(ISNA(MATCH(433,Engine!$C$2:$C$679,0)),"",INDEX('Compliance Database'!$M$2:$M$679,MATCH(433,Engine!$C$2:$C$679,0)))</f>
        <v/>
      </c>
      <c r="N446" s="8">
        <f>IF(ISNA(MATCH(433,Engine!$C$2:$C$679,0)),"",INDEX('Compliance Database'!$N$2:$N$679,MATCH(433,Engine!$C$2:$C$679,0)))</f>
        <v/>
      </c>
      <c r="O446" s="8">
        <f>IF(ISNA(MATCH(433,Engine!$C$2:$C$679,0)),"",INDEX('Compliance Database'!$O$2:$O$679,MATCH(433,Engine!$C$2:$C$679,0)))</f>
        <v/>
      </c>
      <c r="P446">
        <f>IF(ISNA(MATCH(433,Engine!$C$2:$C$679,0)),"",HYPERLINK(INDEX('Compliance Database'!$P$2:$P$679,MATCH(433,Engine!$C$2:$C$679,0)),"Open PDF"))</f>
        <v/>
      </c>
    </row>
    <row r="447">
      <c r="A447">
        <f>IF(ISNA(MATCH(434,Engine!$C$2:$C$679,0)),"",INDEX('Compliance Database'!$A$2:$A$679,MATCH(434,Engine!$C$2:$C$679,0)))</f>
        <v/>
      </c>
      <c r="B447">
        <f>IF(ISNA(MATCH(434,Engine!$C$2:$C$679,0)),"",INDEX('Compliance Database'!$B$2:$B$679,MATCH(434,Engine!$C$2:$C$679,0)))</f>
        <v/>
      </c>
      <c r="C447">
        <f>IF(ISNA(MATCH(434,Engine!$C$2:$C$679,0)),"",INDEX('Compliance Database'!$C$2:$C$679,MATCH(434,Engine!$C$2:$C$679,0)))</f>
        <v/>
      </c>
      <c r="D447" s="8">
        <f>IF(ISNA(MATCH(434,Engine!$C$2:$C$679,0)),"",INDEX('Compliance Database'!$D$2:$D$679,MATCH(434,Engine!$C$2:$C$679,0)))</f>
        <v/>
      </c>
      <c r="E447">
        <f>IF(ISNA(MATCH(434,Engine!$C$2:$C$679,0)),"",INDEX('Compliance Database'!$E$2:$E$679,MATCH(434,Engine!$C$2:$C$679,0)))</f>
        <v/>
      </c>
      <c r="F447">
        <f>IF(ISNA(MATCH(434,Engine!$C$2:$C$679,0)),"",INDEX('Compliance Database'!$F$2:$F$679,MATCH(434,Engine!$C$2:$C$679,0)))</f>
        <v/>
      </c>
      <c r="G447">
        <f>IF(ISNA(MATCH(434,Engine!$C$2:$C$679,0)),"",INDEX('Compliance Database'!$G$2:$G$679,MATCH(434,Engine!$C$2:$C$679,0)))</f>
        <v/>
      </c>
      <c r="H447">
        <f>IF(ISNA(MATCH(434,Engine!$C$2:$C$679,0)),"",INDEX('Compliance Database'!$H$2:$H$679,MATCH(434,Engine!$C$2:$C$679,0)))</f>
        <v/>
      </c>
      <c r="I447" s="8">
        <f>IF(ISNA(MATCH(434,Engine!$C$2:$C$679,0)),"",INDEX('Compliance Database'!$I$2:$I$679,MATCH(434,Engine!$C$2:$C$679,0)))</f>
        <v/>
      </c>
      <c r="J447" s="8">
        <f>IF(ISNA(MATCH(434,Engine!$C$2:$C$679,0)),"",INDEX('Compliance Database'!$J$2:$J$679,MATCH(434,Engine!$C$2:$C$679,0)))</f>
        <v/>
      </c>
      <c r="K447">
        <f>IF(ISNA(MATCH(434,Engine!$C$2:$C$679,0)),"",INDEX('Compliance Database'!$K$2:$K$679,MATCH(434,Engine!$C$2:$C$679,0)))</f>
        <v/>
      </c>
      <c r="L447" s="8">
        <f>IF(ISNA(MATCH(434,Engine!$C$2:$C$679,0)),"",INDEX('Compliance Database'!$L$2:$L$679,MATCH(434,Engine!$C$2:$C$679,0)))</f>
        <v/>
      </c>
      <c r="M447" s="8">
        <f>IF(ISNA(MATCH(434,Engine!$C$2:$C$679,0)),"",INDEX('Compliance Database'!$M$2:$M$679,MATCH(434,Engine!$C$2:$C$679,0)))</f>
        <v/>
      </c>
      <c r="N447" s="8">
        <f>IF(ISNA(MATCH(434,Engine!$C$2:$C$679,0)),"",INDEX('Compliance Database'!$N$2:$N$679,MATCH(434,Engine!$C$2:$C$679,0)))</f>
        <v/>
      </c>
      <c r="O447" s="8">
        <f>IF(ISNA(MATCH(434,Engine!$C$2:$C$679,0)),"",INDEX('Compliance Database'!$O$2:$O$679,MATCH(434,Engine!$C$2:$C$679,0)))</f>
        <v/>
      </c>
      <c r="P447">
        <f>IF(ISNA(MATCH(434,Engine!$C$2:$C$679,0)),"",HYPERLINK(INDEX('Compliance Database'!$P$2:$P$679,MATCH(434,Engine!$C$2:$C$679,0)),"Open PDF"))</f>
        <v/>
      </c>
    </row>
    <row r="448">
      <c r="A448">
        <f>IF(ISNA(MATCH(435,Engine!$C$2:$C$679,0)),"",INDEX('Compliance Database'!$A$2:$A$679,MATCH(435,Engine!$C$2:$C$679,0)))</f>
        <v/>
      </c>
      <c r="B448">
        <f>IF(ISNA(MATCH(435,Engine!$C$2:$C$679,0)),"",INDEX('Compliance Database'!$B$2:$B$679,MATCH(435,Engine!$C$2:$C$679,0)))</f>
        <v/>
      </c>
      <c r="C448">
        <f>IF(ISNA(MATCH(435,Engine!$C$2:$C$679,0)),"",INDEX('Compliance Database'!$C$2:$C$679,MATCH(435,Engine!$C$2:$C$679,0)))</f>
        <v/>
      </c>
      <c r="D448" s="8">
        <f>IF(ISNA(MATCH(435,Engine!$C$2:$C$679,0)),"",INDEX('Compliance Database'!$D$2:$D$679,MATCH(435,Engine!$C$2:$C$679,0)))</f>
        <v/>
      </c>
      <c r="E448">
        <f>IF(ISNA(MATCH(435,Engine!$C$2:$C$679,0)),"",INDEX('Compliance Database'!$E$2:$E$679,MATCH(435,Engine!$C$2:$C$679,0)))</f>
        <v/>
      </c>
      <c r="F448">
        <f>IF(ISNA(MATCH(435,Engine!$C$2:$C$679,0)),"",INDEX('Compliance Database'!$F$2:$F$679,MATCH(435,Engine!$C$2:$C$679,0)))</f>
        <v/>
      </c>
      <c r="G448">
        <f>IF(ISNA(MATCH(435,Engine!$C$2:$C$679,0)),"",INDEX('Compliance Database'!$G$2:$G$679,MATCH(435,Engine!$C$2:$C$679,0)))</f>
        <v/>
      </c>
      <c r="H448">
        <f>IF(ISNA(MATCH(435,Engine!$C$2:$C$679,0)),"",INDEX('Compliance Database'!$H$2:$H$679,MATCH(435,Engine!$C$2:$C$679,0)))</f>
        <v/>
      </c>
      <c r="I448" s="8">
        <f>IF(ISNA(MATCH(435,Engine!$C$2:$C$679,0)),"",INDEX('Compliance Database'!$I$2:$I$679,MATCH(435,Engine!$C$2:$C$679,0)))</f>
        <v/>
      </c>
      <c r="J448" s="8">
        <f>IF(ISNA(MATCH(435,Engine!$C$2:$C$679,0)),"",INDEX('Compliance Database'!$J$2:$J$679,MATCH(435,Engine!$C$2:$C$679,0)))</f>
        <v/>
      </c>
      <c r="K448">
        <f>IF(ISNA(MATCH(435,Engine!$C$2:$C$679,0)),"",INDEX('Compliance Database'!$K$2:$K$679,MATCH(435,Engine!$C$2:$C$679,0)))</f>
        <v/>
      </c>
      <c r="L448" s="8">
        <f>IF(ISNA(MATCH(435,Engine!$C$2:$C$679,0)),"",INDEX('Compliance Database'!$L$2:$L$679,MATCH(435,Engine!$C$2:$C$679,0)))</f>
        <v/>
      </c>
      <c r="M448" s="8">
        <f>IF(ISNA(MATCH(435,Engine!$C$2:$C$679,0)),"",INDEX('Compliance Database'!$M$2:$M$679,MATCH(435,Engine!$C$2:$C$679,0)))</f>
        <v/>
      </c>
      <c r="N448" s="8">
        <f>IF(ISNA(MATCH(435,Engine!$C$2:$C$679,0)),"",INDEX('Compliance Database'!$N$2:$N$679,MATCH(435,Engine!$C$2:$C$679,0)))</f>
        <v/>
      </c>
      <c r="O448" s="8">
        <f>IF(ISNA(MATCH(435,Engine!$C$2:$C$679,0)),"",INDEX('Compliance Database'!$O$2:$O$679,MATCH(435,Engine!$C$2:$C$679,0)))</f>
        <v/>
      </c>
      <c r="P448">
        <f>IF(ISNA(MATCH(435,Engine!$C$2:$C$679,0)),"",HYPERLINK(INDEX('Compliance Database'!$P$2:$P$679,MATCH(435,Engine!$C$2:$C$679,0)),"Open PDF"))</f>
        <v/>
      </c>
    </row>
    <row r="449">
      <c r="A449">
        <f>IF(ISNA(MATCH(436,Engine!$C$2:$C$679,0)),"",INDEX('Compliance Database'!$A$2:$A$679,MATCH(436,Engine!$C$2:$C$679,0)))</f>
        <v/>
      </c>
      <c r="B449">
        <f>IF(ISNA(MATCH(436,Engine!$C$2:$C$679,0)),"",INDEX('Compliance Database'!$B$2:$B$679,MATCH(436,Engine!$C$2:$C$679,0)))</f>
        <v/>
      </c>
      <c r="C449">
        <f>IF(ISNA(MATCH(436,Engine!$C$2:$C$679,0)),"",INDEX('Compliance Database'!$C$2:$C$679,MATCH(436,Engine!$C$2:$C$679,0)))</f>
        <v/>
      </c>
      <c r="D449" s="8">
        <f>IF(ISNA(MATCH(436,Engine!$C$2:$C$679,0)),"",INDEX('Compliance Database'!$D$2:$D$679,MATCH(436,Engine!$C$2:$C$679,0)))</f>
        <v/>
      </c>
      <c r="E449">
        <f>IF(ISNA(MATCH(436,Engine!$C$2:$C$679,0)),"",INDEX('Compliance Database'!$E$2:$E$679,MATCH(436,Engine!$C$2:$C$679,0)))</f>
        <v/>
      </c>
      <c r="F449">
        <f>IF(ISNA(MATCH(436,Engine!$C$2:$C$679,0)),"",INDEX('Compliance Database'!$F$2:$F$679,MATCH(436,Engine!$C$2:$C$679,0)))</f>
        <v/>
      </c>
      <c r="G449">
        <f>IF(ISNA(MATCH(436,Engine!$C$2:$C$679,0)),"",INDEX('Compliance Database'!$G$2:$G$679,MATCH(436,Engine!$C$2:$C$679,0)))</f>
        <v/>
      </c>
      <c r="H449">
        <f>IF(ISNA(MATCH(436,Engine!$C$2:$C$679,0)),"",INDEX('Compliance Database'!$H$2:$H$679,MATCH(436,Engine!$C$2:$C$679,0)))</f>
        <v/>
      </c>
      <c r="I449" s="8">
        <f>IF(ISNA(MATCH(436,Engine!$C$2:$C$679,0)),"",INDEX('Compliance Database'!$I$2:$I$679,MATCH(436,Engine!$C$2:$C$679,0)))</f>
        <v/>
      </c>
      <c r="J449" s="8">
        <f>IF(ISNA(MATCH(436,Engine!$C$2:$C$679,0)),"",INDEX('Compliance Database'!$J$2:$J$679,MATCH(436,Engine!$C$2:$C$679,0)))</f>
        <v/>
      </c>
      <c r="K449">
        <f>IF(ISNA(MATCH(436,Engine!$C$2:$C$679,0)),"",INDEX('Compliance Database'!$K$2:$K$679,MATCH(436,Engine!$C$2:$C$679,0)))</f>
        <v/>
      </c>
      <c r="L449" s="8">
        <f>IF(ISNA(MATCH(436,Engine!$C$2:$C$679,0)),"",INDEX('Compliance Database'!$L$2:$L$679,MATCH(436,Engine!$C$2:$C$679,0)))</f>
        <v/>
      </c>
      <c r="M449" s="8">
        <f>IF(ISNA(MATCH(436,Engine!$C$2:$C$679,0)),"",INDEX('Compliance Database'!$M$2:$M$679,MATCH(436,Engine!$C$2:$C$679,0)))</f>
        <v/>
      </c>
      <c r="N449" s="8">
        <f>IF(ISNA(MATCH(436,Engine!$C$2:$C$679,0)),"",INDEX('Compliance Database'!$N$2:$N$679,MATCH(436,Engine!$C$2:$C$679,0)))</f>
        <v/>
      </c>
      <c r="O449" s="8">
        <f>IF(ISNA(MATCH(436,Engine!$C$2:$C$679,0)),"",INDEX('Compliance Database'!$O$2:$O$679,MATCH(436,Engine!$C$2:$C$679,0)))</f>
        <v/>
      </c>
      <c r="P449">
        <f>IF(ISNA(MATCH(436,Engine!$C$2:$C$679,0)),"",HYPERLINK(INDEX('Compliance Database'!$P$2:$P$679,MATCH(436,Engine!$C$2:$C$679,0)),"Open PDF"))</f>
        <v/>
      </c>
    </row>
    <row r="450">
      <c r="A450">
        <f>IF(ISNA(MATCH(437,Engine!$C$2:$C$679,0)),"",INDEX('Compliance Database'!$A$2:$A$679,MATCH(437,Engine!$C$2:$C$679,0)))</f>
        <v/>
      </c>
      <c r="B450">
        <f>IF(ISNA(MATCH(437,Engine!$C$2:$C$679,0)),"",INDEX('Compliance Database'!$B$2:$B$679,MATCH(437,Engine!$C$2:$C$679,0)))</f>
        <v/>
      </c>
      <c r="C450">
        <f>IF(ISNA(MATCH(437,Engine!$C$2:$C$679,0)),"",INDEX('Compliance Database'!$C$2:$C$679,MATCH(437,Engine!$C$2:$C$679,0)))</f>
        <v/>
      </c>
      <c r="D450" s="8">
        <f>IF(ISNA(MATCH(437,Engine!$C$2:$C$679,0)),"",INDEX('Compliance Database'!$D$2:$D$679,MATCH(437,Engine!$C$2:$C$679,0)))</f>
        <v/>
      </c>
      <c r="E450">
        <f>IF(ISNA(MATCH(437,Engine!$C$2:$C$679,0)),"",INDEX('Compliance Database'!$E$2:$E$679,MATCH(437,Engine!$C$2:$C$679,0)))</f>
        <v/>
      </c>
      <c r="F450">
        <f>IF(ISNA(MATCH(437,Engine!$C$2:$C$679,0)),"",INDEX('Compliance Database'!$F$2:$F$679,MATCH(437,Engine!$C$2:$C$679,0)))</f>
        <v/>
      </c>
      <c r="G450">
        <f>IF(ISNA(MATCH(437,Engine!$C$2:$C$679,0)),"",INDEX('Compliance Database'!$G$2:$G$679,MATCH(437,Engine!$C$2:$C$679,0)))</f>
        <v/>
      </c>
      <c r="H450">
        <f>IF(ISNA(MATCH(437,Engine!$C$2:$C$679,0)),"",INDEX('Compliance Database'!$H$2:$H$679,MATCH(437,Engine!$C$2:$C$679,0)))</f>
        <v/>
      </c>
      <c r="I450" s="8">
        <f>IF(ISNA(MATCH(437,Engine!$C$2:$C$679,0)),"",INDEX('Compliance Database'!$I$2:$I$679,MATCH(437,Engine!$C$2:$C$679,0)))</f>
        <v/>
      </c>
      <c r="J450" s="8">
        <f>IF(ISNA(MATCH(437,Engine!$C$2:$C$679,0)),"",INDEX('Compliance Database'!$J$2:$J$679,MATCH(437,Engine!$C$2:$C$679,0)))</f>
        <v/>
      </c>
      <c r="K450">
        <f>IF(ISNA(MATCH(437,Engine!$C$2:$C$679,0)),"",INDEX('Compliance Database'!$K$2:$K$679,MATCH(437,Engine!$C$2:$C$679,0)))</f>
        <v/>
      </c>
      <c r="L450" s="8">
        <f>IF(ISNA(MATCH(437,Engine!$C$2:$C$679,0)),"",INDEX('Compliance Database'!$L$2:$L$679,MATCH(437,Engine!$C$2:$C$679,0)))</f>
        <v/>
      </c>
      <c r="M450" s="8">
        <f>IF(ISNA(MATCH(437,Engine!$C$2:$C$679,0)),"",INDEX('Compliance Database'!$M$2:$M$679,MATCH(437,Engine!$C$2:$C$679,0)))</f>
        <v/>
      </c>
      <c r="N450" s="8">
        <f>IF(ISNA(MATCH(437,Engine!$C$2:$C$679,0)),"",INDEX('Compliance Database'!$N$2:$N$679,MATCH(437,Engine!$C$2:$C$679,0)))</f>
        <v/>
      </c>
      <c r="O450" s="8">
        <f>IF(ISNA(MATCH(437,Engine!$C$2:$C$679,0)),"",INDEX('Compliance Database'!$O$2:$O$679,MATCH(437,Engine!$C$2:$C$679,0)))</f>
        <v/>
      </c>
      <c r="P450">
        <f>IF(ISNA(MATCH(437,Engine!$C$2:$C$679,0)),"",HYPERLINK(INDEX('Compliance Database'!$P$2:$P$679,MATCH(437,Engine!$C$2:$C$679,0)),"Open PDF"))</f>
        <v/>
      </c>
    </row>
    <row r="451">
      <c r="A451">
        <f>IF(ISNA(MATCH(438,Engine!$C$2:$C$679,0)),"",INDEX('Compliance Database'!$A$2:$A$679,MATCH(438,Engine!$C$2:$C$679,0)))</f>
        <v/>
      </c>
      <c r="B451">
        <f>IF(ISNA(MATCH(438,Engine!$C$2:$C$679,0)),"",INDEX('Compliance Database'!$B$2:$B$679,MATCH(438,Engine!$C$2:$C$679,0)))</f>
        <v/>
      </c>
      <c r="C451">
        <f>IF(ISNA(MATCH(438,Engine!$C$2:$C$679,0)),"",INDEX('Compliance Database'!$C$2:$C$679,MATCH(438,Engine!$C$2:$C$679,0)))</f>
        <v/>
      </c>
      <c r="D451" s="8">
        <f>IF(ISNA(MATCH(438,Engine!$C$2:$C$679,0)),"",INDEX('Compliance Database'!$D$2:$D$679,MATCH(438,Engine!$C$2:$C$679,0)))</f>
        <v/>
      </c>
      <c r="E451">
        <f>IF(ISNA(MATCH(438,Engine!$C$2:$C$679,0)),"",INDEX('Compliance Database'!$E$2:$E$679,MATCH(438,Engine!$C$2:$C$679,0)))</f>
        <v/>
      </c>
      <c r="F451">
        <f>IF(ISNA(MATCH(438,Engine!$C$2:$C$679,0)),"",INDEX('Compliance Database'!$F$2:$F$679,MATCH(438,Engine!$C$2:$C$679,0)))</f>
        <v/>
      </c>
      <c r="G451">
        <f>IF(ISNA(MATCH(438,Engine!$C$2:$C$679,0)),"",INDEX('Compliance Database'!$G$2:$G$679,MATCH(438,Engine!$C$2:$C$679,0)))</f>
        <v/>
      </c>
      <c r="H451">
        <f>IF(ISNA(MATCH(438,Engine!$C$2:$C$679,0)),"",INDEX('Compliance Database'!$H$2:$H$679,MATCH(438,Engine!$C$2:$C$679,0)))</f>
        <v/>
      </c>
      <c r="I451" s="8">
        <f>IF(ISNA(MATCH(438,Engine!$C$2:$C$679,0)),"",INDEX('Compliance Database'!$I$2:$I$679,MATCH(438,Engine!$C$2:$C$679,0)))</f>
        <v/>
      </c>
      <c r="J451" s="8">
        <f>IF(ISNA(MATCH(438,Engine!$C$2:$C$679,0)),"",INDEX('Compliance Database'!$J$2:$J$679,MATCH(438,Engine!$C$2:$C$679,0)))</f>
        <v/>
      </c>
      <c r="K451">
        <f>IF(ISNA(MATCH(438,Engine!$C$2:$C$679,0)),"",INDEX('Compliance Database'!$K$2:$K$679,MATCH(438,Engine!$C$2:$C$679,0)))</f>
        <v/>
      </c>
      <c r="L451" s="8">
        <f>IF(ISNA(MATCH(438,Engine!$C$2:$C$679,0)),"",INDEX('Compliance Database'!$L$2:$L$679,MATCH(438,Engine!$C$2:$C$679,0)))</f>
        <v/>
      </c>
      <c r="M451" s="8">
        <f>IF(ISNA(MATCH(438,Engine!$C$2:$C$679,0)),"",INDEX('Compliance Database'!$M$2:$M$679,MATCH(438,Engine!$C$2:$C$679,0)))</f>
        <v/>
      </c>
      <c r="N451" s="8">
        <f>IF(ISNA(MATCH(438,Engine!$C$2:$C$679,0)),"",INDEX('Compliance Database'!$N$2:$N$679,MATCH(438,Engine!$C$2:$C$679,0)))</f>
        <v/>
      </c>
      <c r="O451" s="8">
        <f>IF(ISNA(MATCH(438,Engine!$C$2:$C$679,0)),"",INDEX('Compliance Database'!$O$2:$O$679,MATCH(438,Engine!$C$2:$C$679,0)))</f>
        <v/>
      </c>
      <c r="P451">
        <f>IF(ISNA(MATCH(438,Engine!$C$2:$C$679,0)),"",HYPERLINK(INDEX('Compliance Database'!$P$2:$P$679,MATCH(438,Engine!$C$2:$C$679,0)),"Open PDF"))</f>
        <v/>
      </c>
    </row>
    <row r="452">
      <c r="A452">
        <f>IF(ISNA(MATCH(439,Engine!$C$2:$C$679,0)),"",INDEX('Compliance Database'!$A$2:$A$679,MATCH(439,Engine!$C$2:$C$679,0)))</f>
        <v/>
      </c>
      <c r="B452">
        <f>IF(ISNA(MATCH(439,Engine!$C$2:$C$679,0)),"",INDEX('Compliance Database'!$B$2:$B$679,MATCH(439,Engine!$C$2:$C$679,0)))</f>
        <v/>
      </c>
      <c r="C452">
        <f>IF(ISNA(MATCH(439,Engine!$C$2:$C$679,0)),"",INDEX('Compliance Database'!$C$2:$C$679,MATCH(439,Engine!$C$2:$C$679,0)))</f>
        <v/>
      </c>
      <c r="D452" s="8">
        <f>IF(ISNA(MATCH(439,Engine!$C$2:$C$679,0)),"",INDEX('Compliance Database'!$D$2:$D$679,MATCH(439,Engine!$C$2:$C$679,0)))</f>
        <v/>
      </c>
      <c r="E452">
        <f>IF(ISNA(MATCH(439,Engine!$C$2:$C$679,0)),"",INDEX('Compliance Database'!$E$2:$E$679,MATCH(439,Engine!$C$2:$C$679,0)))</f>
        <v/>
      </c>
      <c r="F452">
        <f>IF(ISNA(MATCH(439,Engine!$C$2:$C$679,0)),"",INDEX('Compliance Database'!$F$2:$F$679,MATCH(439,Engine!$C$2:$C$679,0)))</f>
        <v/>
      </c>
      <c r="G452">
        <f>IF(ISNA(MATCH(439,Engine!$C$2:$C$679,0)),"",INDEX('Compliance Database'!$G$2:$G$679,MATCH(439,Engine!$C$2:$C$679,0)))</f>
        <v/>
      </c>
      <c r="H452">
        <f>IF(ISNA(MATCH(439,Engine!$C$2:$C$679,0)),"",INDEX('Compliance Database'!$H$2:$H$679,MATCH(439,Engine!$C$2:$C$679,0)))</f>
        <v/>
      </c>
      <c r="I452" s="8">
        <f>IF(ISNA(MATCH(439,Engine!$C$2:$C$679,0)),"",INDEX('Compliance Database'!$I$2:$I$679,MATCH(439,Engine!$C$2:$C$679,0)))</f>
        <v/>
      </c>
      <c r="J452" s="8">
        <f>IF(ISNA(MATCH(439,Engine!$C$2:$C$679,0)),"",INDEX('Compliance Database'!$J$2:$J$679,MATCH(439,Engine!$C$2:$C$679,0)))</f>
        <v/>
      </c>
      <c r="K452">
        <f>IF(ISNA(MATCH(439,Engine!$C$2:$C$679,0)),"",INDEX('Compliance Database'!$K$2:$K$679,MATCH(439,Engine!$C$2:$C$679,0)))</f>
        <v/>
      </c>
      <c r="L452" s="8">
        <f>IF(ISNA(MATCH(439,Engine!$C$2:$C$679,0)),"",INDEX('Compliance Database'!$L$2:$L$679,MATCH(439,Engine!$C$2:$C$679,0)))</f>
        <v/>
      </c>
      <c r="M452" s="8">
        <f>IF(ISNA(MATCH(439,Engine!$C$2:$C$679,0)),"",INDEX('Compliance Database'!$M$2:$M$679,MATCH(439,Engine!$C$2:$C$679,0)))</f>
        <v/>
      </c>
      <c r="N452" s="8">
        <f>IF(ISNA(MATCH(439,Engine!$C$2:$C$679,0)),"",INDEX('Compliance Database'!$N$2:$N$679,MATCH(439,Engine!$C$2:$C$679,0)))</f>
        <v/>
      </c>
      <c r="O452" s="8">
        <f>IF(ISNA(MATCH(439,Engine!$C$2:$C$679,0)),"",INDEX('Compliance Database'!$O$2:$O$679,MATCH(439,Engine!$C$2:$C$679,0)))</f>
        <v/>
      </c>
      <c r="P452">
        <f>IF(ISNA(MATCH(439,Engine!$C$2:$C$679,0)),"",HYPERLINK(INDEX('Compliance Database'!$P$2:$P$679,MATCH(439,Engine!$C$2:$C$679,0)),"Open PDF"))</f>
        <v/>
      </c>
    </row>
    <row r="453">
      <c r="A453">
        <f>IF(ISNA(MATCH(440,Engine!$C$2:$C$679,0)),"",INDEX('Compliance Database'!$A$2:$A$679,MATCH(440,Engine!$C$2:$C$679,0)))</f>
        <v/>
      </c>
      <c r="B453">
        <f>IF(ISNA(MATCH(440,Engine!$C$2:$C$679,0)),"",INDEX('Compliance Database'!$B$2:$B$679,MATCH(440,Engine!$C$2:$C$679,0)))</f>
        <v/>
      </c>
      <c r="C453">
        <f>IF(ISNA(MATCH(440,Engine!$C$2:$C$679,0)),"",INDEX('Compliance Database'!$C$2:$C$679,MATCH(440,Engine!$C$2:$C$679,0)))</f>
        <v/>
      </c>
      <c r="D453" s="8">
        <f>IF(ISNA(MATCH(440,Engine!$C$2:$C$679,0)),"",INDEX('Compliance Database'!$D$2:$D$679,MATCH(440,Engine!$C$2:$C$679,0)))</f>
        <v/>
      </c>
      <c r="E453">
        <f>IF(ISNA(MATCH(440,Engine!$C$2:$C$679,0)),"",INDEX('Compliance Database'!$E$2:$E$679,MATCH(440,Engine!$C$2:$C$679,0)))</f>
        <v/>
      </c>
      <c r="F453">
        <f>IF(ISNA(MATCH(440,Engine!$C$2:$C$679,0)),"",INDEX('Compliance Database'!$F$2:$F$679,MATCH(440,Engine!$C$2:$C$679,0)))</f>
        <v/>
      </c>
      <c r="G453">
        <f>IF(ISNA(MATCH(440,Engine!$C$2:$C$679,0)),"",INDEX('Compliance Database'!$G$2:$G$679,MATCH(440,Engine!$C$2:$C$679,0)))</f>
        <v/>
      </c>
      <c r="H453">
        <f>IF(ISNA(MATCH(440,Engine!$C$2:$C$679,0)),"",INDEX('Compliance Database'!$H$2:$H$679,MATCH(440,Engine!$C$2:$C$679,0)))</f>
        <v/>
      </c>
      <c r="I453" s="8">
        <f>IF(ISNA(MATCH(440,Engine!$C$2:$C$679,0)),"",INDEX('Compliance Database'!$I$2:$I$679,MATCH(440,Engine!$C$2:$C$679,0)))</f>
        <v/>
      </c>
      <c r="J453" s="8">
        <f>IF(ISNA(MATCH(440,Engine!$C$2:$C$679,0)),"",INDEX('Compliance Database'!$J$2:$J$679,MATCH(440,Engine!$C$2:$C$679,0)))</f>
        <v/>
      </c>
      <c r="K453">
        <f>IF(ISNA(MATCH(440,Engine!$C$2:$C$679,0)),"",INDEX('Compliance Database'!$K$2:$K$679,MATCH(440,Engine!$C$2:$C$679,0)))</f>
        <v/>
      </c>
      <c r="L453" s="8">
        <f>IF(ISNA(MATCH(440,Engine!$C$2:$C$679,0)),"",INDEX('Compliance Database'!$L$2:$L$679,MATCH(440,Engine!$C$2:$C$679,0)))</f>
        <v/>
      </c>
      <c r="M453" s="8">
        <f>IF(ISNA(MATCH(440,Engine!$C$2:$C$679,0)),"",INDEX('Compliance Database'!$M$2:$M$679,MATCH(440,Engine!$C$2:$C$679,0)))</f>
        <v/>
      </c>
      <c r="N453" s="8">
        <f>IF(ISNA(MATCH(440,Engine!$C$2:$C$679,0)),"",INDEX('Compliance Database'!$N$2:$N$679,MATCH(440,Engine!$C$2:$C$679,0)))</f>
        <v/>
      </c>
      <c r="O453" s="8">
        <f>IF(ISNA(MATCH(440,Engine!$C$2:$C$679,0)),"",INDEX('Compliance Database'!$O$2:$O$679,MATCH(440,Engine!$C$2:$C$679,0)))</f>
        <v/>
      </c>
      <c r="P453">
        <f>IF(ISNA(MATCH(440,Engine!$C$2:$C$679,0)),"",HYPERLINK(INDEX('Compliance Database'!$P$2:$P$679,MATCH(440,Engine!$C$2:$C$679,0)),"Open PDF"))</f>
        <v/>
      </c>
    </row>
    <row r="454">
      <c r="A454">
        <f>IF(ISNA(MATCH(441,Engine!$C$2:$C$679,0)),"",INDEX('Compliance Database'!$A$2:$A$679,MATCH(441,Engine!$C$2:$C$679,0)))</f>
        <v/>
      </c>
      <c r="B454">
        <f>IF(ISNA(MATCH(441,Engine!$C$2:$C$679,0)),"",INDEX('Compliance Database'!$B$2:$B$679,MATCH(441,Engine!$C$2:$C$679,0)))</f>
        <v/>
      </c>
      <c r="C454">
        <f>IF(ISNA(MATCH(441,Engine!$C$2:$C$679,0)),"",INDEX('Compliance Database'!$C$2:$C$679,MATCH(441,Engine!$C$2:$C$679,0)))</f>
        <v/>
      </c>
      <c r="D454" s="8">
        <f>IF(ISNA(MATCH(441,Engine!$C$2:$C$679,0)),"",INDEX('Compliance Database'!$D$2:$D$679,MATCH(441,Engine!$C$2:$C$679,0)))</f>
        <v/>
      </c>
      <c r="E454">
        <f>IF(ISNA(MATCH(441,Engine!$C$2:$C$679,0)),"",INDEX('Compliance Database'!$E$2:$E$679,MATCH(441,Engine!$C$2:$C$679,0)))</f>
        <v/>
      </c>
      <c r="F454">
        <f>IF(ISNA(MATCH(441,Engine!$C$2:$C$679,0)),"",INDEX('Compliance Database'!$F$2:$F$679,MATCH(441,Engine!$C$2:$C$679,0)))</f>
        <v/>
      </c>
      <c r="G454">
        <f>IF(ISNA(MATCH(441,Engine!$C$2:$C$679,0)),"",INDEX('Compliance Database'!$G$2:$G$679,MATCH(441,Engine!$C$2:$C$679,0)))</f>
        <v/>
      </c>
      <c r="H454">
        <f>IF(ISNA(MATCH(441,Engine!$C$2:$C$679,0)),"",INDEX('Compliance Database'!$H$2:$H$679,MATCH(441,Engine!$C$2:$C$679,0)))</f>
        <v/>
      </c>
      <c r="I454" s="8">
        <f>IF(ISNA(MATCH(441,Engine!$C$2:$C$679,0)),"",INDEX('Compliance Database'!$I$2:$I$679,MATCH(441,Engine!$C$2:$C$679,0)))</f>
        <v/>
      </c>
      <c r="J454" s="8">
        <f>IF(ISNA(MATCH(441,Engine!$C$2:$C$679,0)),"",INDEX('Compliance Database'!$J$2:$J$679,MATCH(441,Engine!$C$2:$C$679,0)))</f>
        <v/>
      </c>
      <c r="K454">
        <f>IF(ISNA(MATCH(441,Engine!$C$2:$C$679,0)),"",INDEX('Compliance Database'!$K$2:$K$679,MATCH(441,Engine!$C$2:$C$679,0)))</f>
        <v/>
      </c>
      <c r="L454" s="8">
        <f>IF(ISNA(MATCH(441,Engine!$C$2:$C$679,0)),"",INDEX('Compliance Database'!$L$2:$L$679,MATCH(441,Engine!$C$2:$C$679,0)))</f>
        <v/>
      </c>
      <c r="M454" s="8">
        <f>IF(ISNA(MATCH(441,Engine!$C$2:$C$679,0)),"",INDEX('Compliance Database'!$M$2:$M$679,MATCH(441,Engine!$C$2:$C$679,0)))</f>
        <v/>
      </c>
      <c r="N454" s="8">
        <f>IF(ISNA(MATCH(441,Engine!$C$2:$C$679,0)),"",INDEX('Compliance Database'!$N$2:$N$679,MATCH(441,Engine!$C$2:$C$679,0)))</f>
        <v/>
      </c>
      <c r="O454" s="8">
        <f>IF(ISNA(MATCH(441,Engine!$C$2:$C$679,0)),"",INDEX('Compliance Database'!$O$2:$O$679,MATCH(441,Engine!$C$2:$C$679,0)))</f>
        <v/>
      </c>
      <c r="P454">
        <f>IF(ISNA(MATCH(441,Engine!$C$2:$C$679,0)),"",HYPERLINK(INDEX('Compliance Database'!$P$2:$P$679,MATCH(441,Engine!$C$2:$C$679,0)),"Open PDF"))</f>
        <v/>
      </c>
    </row>
    <row r="455">
      <c r="A455">
        <f>IF(ISNA(MATCH(442,Engine!$C$2:$C$679,0)),"",INDEX('Compliance Database'!$A$2:$A$679,MATCH(442,Engine!$C$2:$C$679,0)))</f>
        <v/>
      </c>
      <c r="B455">
        <f>IF(ISNA(MATCH(442,Engine!$C$2:$C$679,0)),"",INDEX('Compliance Database'!$B$2:$B$679,MATCH(442,Engine!$C$2:$C$679,0)))</f>
        <v/>
      </c>
      <c r="C455">
        <f>IF(ISNA(MATCH(442,Engine!$C$2:$C$679,0)),"",INDEX('Compliance Database'!$C$2:$C$679,MATCH(442,Engine!$C$2:$C$679,0)))</f>
        <v/>
      </c>
      <c r="D455" s="8">
        <f>IF(ISNA(MATCH(442,Engine!$C$2:$C$679,0)),"",INDEX('Compliance Database'!$D$2:$D$679,MATCH(442,Engine!$C$2:$C$679,0)))</f>
        <v/>
      </c>
      <c r="E455">
        <f>IF(ISNA(MATCH(442,Engine!$C$2:$C$679,0)),"",INDEX('Compliance Database'!$E$2:$E$679,MATCH(442,Engine!$C$2:$C$679,0)))</f>
        <v/>
      </c>
      <c r="F455">
        <f>IF(ISNA(MATCH(442,Engine!$C$2:$C$679,0)),"",INDEX('Compliance Database'!$F$2:$F$679,MATCH(442,Engine!$C$2:$C$679,0)))</f>
        <v/>
      </c>
      <c r="G455">
        <f>IF(ISNA(MATCH(442,Engine!$C$2:$C$679,0)),"",INDEX('Compliance Database'!$G$2:$G$679,MATCH(442,Engine!$C$2:$C$679,0)))</f>
        <v/>
      </c>
      <c r="H455">
        <f>IF(ISNA(MATCH(442,Engine!$C$2:$C$679,0)),"",INDEX('Compliance Database'!$H$2:$H$679,MATCH(442,Engine!$C$2:$C$679,0)))</f>
        <v/>
      </c>
      <c r="I455" s="8">
        <f>IF(ISNA(MATCH(442,Engine!$C$2:$C$679,0)),"",INDEX('Compliance Database'!$I$2:$I$679,MATCH(442,Engine!$C$2:$C$679,0)))</f>
        <v/>
      </c>
      <c r="J455" s="8">
        <f>IF(ISNA(MATCH(442,Engine!$C$2:$C$679,0)),"",INDEX('Compliance Database'!$J$2:$J$679,MATCH(442,Engine!$C$2:$C$679,0)))</f>
        <v/>
      </c>
      <c r="K455">
        <f>IF(ISNA(MATCH(442,Engine!$C$2:$C$679,0)),"",INDEX('Compliance Database'!$K$2:$K$679,MATCH(442,Engine!$C$2:$C$679,0)))</f>
        <v/>
      </c>
      <c r="L455" s="8">
        <f>IF(ISNA(MATCH(442,Engine!$C$2:$C$679,0)),"",INDEX('Compliance Database'!$L$2:$L$679,MATCH(442,Engine!$C$2:$C$679,0)))</f>
        <v/>
      </c>
      <c r="M455" s="8">
        <f>IF(ISNA(MATCH(442,Engine!$C$2:$C$679,0)),"",INDEX('Compliance Database'!$M$2:$M$679,MATCH(442,Engine!$C$2:$C$679,0)))</f>
        <v/>
      </c>
      <c r="N455" s="8">
        <f>IF(ISNA(MATCH(442,Engine!$C$2:$C$679,0)),"",INDEX('Compliance Database'!$N$2:$N$679,MATCH(442,Engine!$C$2:$C$679,0)))</f>
        <v/>
      </c>
      <c r="O455" s="8">
        <f>IF(ISNA(MATCH(442,Engine!$C$2:$C$679,0)),"",INDEX('Compliance Database'!$O$2:$O$679,MATCH(442,Engine!$C$2:$C$679,0)))</f>
        <v/>
      </c>
      <c r="P455">
        <f>IF(ISNA(MATCH(442,Engine!$C$2:$C$679,0)),"",HYPERLINK(INDEX('Compliance Database'!$P$2:$P$679,MATCH(442,Engine!$C$2:$C$679,0)),"Open PDF"))</f>
        <v/>
      </c>
    </row>
    <row r="456">
      <c r="A456">
        <f>IF(ISNA(MATCH(443,Engine!$C$2:$C$679,0)),"",INDEX('Compliance Database'!$A$2:$A$679,MATCH(443,Engine!$C$2:$C$679,0)))</f>
        <v/>
      </c>
      <c r="B456">
        <f>IF(ISNA(MATCH(443,Engine!$C$2:$C$679,0)),"",INDEX('Compliance Database'!$B$2:$B$679,MATCH(443,Engine!$C$2:$C$679,0)))</f>
        <v/>
      </c>
      <c r="C456">
        <f>IF(ISNA(MATCH(443,Engine!$C$2:$C$679,0)),"",INDEX('Compliance Database'!$C$2:$C$679,MATCH(443,Engine!$C$2:$C$679,0)))</f>
        <v/>
      </c>
      <c r="D456" s="8">
        <f>IF(ISNA(MATCH(443,Engine!$C$2:$C$679,0)),"",INDEX('Compliance Database'!$D$2:$D$679,MATCH(443,Engine!$C$2:$C$679,0)))</f>
        <v/>
      </c>
      <c r="E456">
        <f>IF(ISNA(MATCH(443,Engine!$C$2:$C$679,0)),"",INDEX('Compliance Database'!$E$2:$E$679,MATCH(443,Engine!$C$2:$C$679,0)))</f>
        <v/>
      </c>
      <c r="F456">
        <f>IF(ISNA(MATCH(443,Engine!$C$2:$C$679,0)),"",INDEX('Compliance Database'!$F$2:$F$679,MATCH(443,Engine!$C$2:$C$679,0)))</f>
        <v/>
      </c>
      <c r="G456">
        <f>IF(ISNA(MATCH(443,Engine!$C$2:$C$679,0)),"",INDEX('Compliance Database'!$G$2:$G$679,MATCH(443,Engine!$C$2:$C$679,0)))</f>
        <v/>
      </c>
      <c r="H456">
        <f>IF(ISNA(MATCH(443,Engine!$C$2:$C$679,0)),"",INDEX('Compliance Database'!$H$2:$H$679,MATCH(443,Engine!$C$2:$C$679,0)))</f>
        <v/>
      </c>
      <c r="I456" s="8">
        <f>IF(ISNA(MATCH(443,Engine!$C$2:$C$679,0)),"",INDEX('Compliance Database'!$I$2:$I$679,MATCH(443,Engine!$C$2:$C$679,0)))</f>
        <v/>
      </c>
      <c r="J456" s="8">
        <f>IF(ISNA(MATCH(443,Engine!$C$2:$C$679,0)),"",INDEX('Compliance Database'!$J$2:$J$679,MATCH(443,Engine!$C$2:$C$679,0)))</f>
        <v/>
      </c>
      <c r="K456">
        <f>IF(ISNA(MATCH(443,Engine!$C$2:$C$679,0)),"",INDEX('Compliance Database'!$K$2:$K$679,MATCH(443,Engine!$C$2:$C$679,0)))</f>
        <v/>
      </c>
      <c r="L456" s="8">
        <f>IF(ISNA(MATCH(443,Engine!$C$2:$C$679,0)),"",INDEX('Compliance Database'!$L$2:$L$679,MATCH(443,Engine!$C$2:$C$679,0)))</f>
        <v/>
      </c>
      <c r="M456" s="8">
        <f>IF(ISNA(MATCH(443,Engine!$C$2:$C$679,0)),"",INDEX('Compliance Database'!$M$2:$M$679,MATCH(443,Engine!$C$2:$C$679,0)))</f>
        <v/>
      </c>
      <c r="N456" s="8">
        <f>IF(ISNA(MATCH(443,Engine!$C$2:$C$679,0)),"",INDEX('Compliance Database'!$N$2:$N$679,MATCH(443,Engine!$C$2:$C$679,0)))</f>
        <v/>
      </c>
      <c r="O456" s="8">
        <f>IF(ISNA(MATCH(443,Engine!$C$2:$C$679,0)),"",INDEX('Compliance Database'!$O$2:$O$679,MATCH(443,Engine!$C$2:$C$679,0)))</f>
        <v/>
      </c>
      <c r="P456">
        <f>IF(ISNA(MATCH(443,Engine!$C$2:$C$679,0)),"",HYPERLINK(INDEX('Compliance Database'!$P$2:$P$679,MATCH(443,Engine!$C$2:$C$679,0)),"Open PDF"))</f>
        <v/>
      </c>
    </row>
    <row r="457">
      <c r="A457">
        <f>IF(ISNA(MATCH(444,Engine!$C$2:$C$679,0)),"",INDEX('Compliance Database'!$A$2:$A$679,MATCH(444,Engine!$C$2:$C$679,0)))</f>
        <v/>
      </c>
      <c r="B457">
        <f>IF(ISNA(MATCH(444,Engine!$C$2:$C$679,0)),"",INDEX('Compliance Database'!$B$2:$B$679,MATCH(444,Engine!$C$2:$C$679,0)))</f>
        <v/>
      </c>
      <c r="C457">
        <f>IF(ISNA(MATCH(444,Engine!$C$2:$C$679,0)),"",INDEX('Compliance Database'!$C$2:$C$679,MATCH(444,Engine!$C$2:$C$679,0)))</f>
        <v/>
      </c>
      <c r="D457" s="8">
        <f>IF(ISNA(MATCH(444,Engine!$C$2:$C$679,0)),"",INDEX('Compliance Database'!$D$2:$D$679,MATCH(444,Engine!$C$2:$C$679,0)))</f>
        <v/>
      </c>
      <c r="E457">
        <f>IF(ISNA(MATCH(444,Engine!$C$2:$C$679,0)),"",INDEX('Compliance Database'!$E$2:$E$679,MATCH(444,Engine!$C$2:$C$679,0)))</f>
        <v/>
      </c>
      <c r="F457">
        <f>IF(ISNA(MATCH(444,Engine!$C$2:$C$679,0)),"",INDEX('Compliance Database'!$F$2:$F$679,MATCH(444,Engine!$C$2:$C$679,0)))</f>
        <v/>
      </c>
      <c r="G457">
        <f>IF(ISNA(MATCH(444,Engine!$C$2:$C$679,0)),"",INDEX('Compliance Database'!$G$2:$G$679,MATCH(444,Engine!$C$2:$C$679,0)))</f>
        <v/>
      </c>
      <c r="H457">
        <f>IF(ISNA(MATCH(444,Engine!$C$2:$C$679,0)),"",INDEX('Compliance Database'!$H$2:$H$679,MATCH(444,Engine!$C$2:$C$679,0)))</f>
        <v/>
      </c>
      <c r="I457" s="8">
        <f>IF(ISNA(MATCH(444,Engine!$C$2:$C$679,0)),"",INDEX('Compliance Database'!$I$2:$I$679,MATCH(444,Engine!$C$2:$C$679,0)))</f>
        <v/>
      </c>
      <c r="J457" s="8">
        <f>IF(ISNA(MATCH(444,Engine!$C$2:$C$679,0)),"",INDEX('Compliance Database'!$J$2:$J$679,MATCH(444,Engine!$C$2:$C$679,0)))</f>
        <v/>
      </c>
      <c r="K457">
        <f>IF(ISNA(MATCH(444,Engine!$C$2:$C$679,0)),"",INDEX('Compliance Database'!$K$2:$K$679,MATCH(444,Engine!$C$2:$C$679,0)))</f>
        <v/>
      </c>
      <c r="L457" s="8">
        <f>IF(ISNA(MATCH(444,Engine!$C$2:$C$679,0)),"",INDEX('Compliance Database'!$L$2:$L$679,MATCH(444,Engine!$C$2:$C$679,0)))</f>
        <v/>
      </c>
      <c r="M457" s="8">
        <f>IF(ISNA(MATCH(444,Engine!$C$2:$C$679,0)),"",INDEX('Compliance Database'!$M$2:$M$679,MATCH(444,Engine!$C$2:$C$679,0)))</f>
        <v/>
      </c>
      <c r="N457" s="8">
        <f>IF(ISNA(MATCH(444,Engine!$C$2:$C$679,0)),"",INDEX('Compliance Database'!$N$2:$N$679,MATCH(444,Engine!$C$2:$C$679,0)))</f>
        <v/>
      </c>
      <c r="O457" s="8">
        <f>IF(ISNA(MATCH(444,Engine!$C$2:$C$679,0)),"",INDEX('Compliance Database'!$O$2:$O$679,MATCH(444,Engine!$C$2:$C$679,0)))</f>
        <v/>
      </c>
      <c r="P457">
        <f>IF(ISNA(MATCH(444,Engine!$C$2:$C$679,0)),"",HYPERLINK(INDEX('Compliance Database'!$P$2:$P$679,MATCH(444,Engine!$C$2:$C$679,0)),"Open PDF"))</f>
        <v/>
      </c>
    </row>
    <row r="458">
      <c r="A458">
        <f>IF(ISNA(MATCH(445,Engine!$C$2:$C$679,0)),"",INDEX('Compliance Database'!$A$2:$A$679,MATCH(445,Engine!$C$2:$C$679,0)))</f>
        <v/>
      </c>
      <c r="B458">
        <f>IF(ISNA(MATCH(445,Engine!$C$2:$C$679,0)),"",INDEX('Compliance Database'!$B$2:$B$679,MATCH(445,Engine!$C$2:$C$679,0)))</f>
        <v/>
      </c>
      <c r="C458">
        <f>IF(ISNA(MATCH(445,Engine!$C$2:$C$679,0)),"",INDEX('Compliance Database'!$C$2:$C$679,MATCH(445,Engine!$C$2:$C$679,0)))</f>
        <v/>
      </c>
      <c r="D458" s="8">
        <f>IF(ISNA(MATCH(445,Engine!$C$2:$C$679,0)),"",INDEX('Compliance Database'!$D$2:$D$679,MATCH(445,Engine!$C$2:$C$679,0)))</f>
        <v/>
      </c>
      <c r="E458">
        <f>IF(ISNA(MATCH(445,Engine!$C$2:$C$679,0)),"",INDEX('Compliance Database'!$E$2:$E$679,MATCH(445,Engine!$C$2:$C$679,0)))</f>
        <v/>
      </c>
      <c r="F458">
        <f>IF(ISNA(MATCH(445,Engine!$C$2:$C$679,0)),"",INDEX('Compliance Database'!$F$2:$F$679,MATCH(445,Engine!$C$2:$C$679,0)))</f>
        <v/>
      </c>
      <c r="G458">
        <f>IF(ISNA(MATCH(445,Engine!$C$2:$C$679,0)),"",INDEX('Compliance Database'!$G$2:$G$679,MATCH(445,Engine!$C$2:$C$679,0)))</f>
        <v/>
      </c>
      <c r="H458">
        <f>IF(ISNA(MATCH(445,Engine!$C$2:$C$679,0)),"",INDEX('Compliance Database'!$H$2:$H$679,MATCH(445,Engine!$C$2:$C$679,0)))</f>
        <v/>
      </c>
      <c r="I458" s="8">
        <f>IF(ISNA(MATCH(445,Engine!$C$2:$C$679,0)),"",INDEX('Compliance Database'!$I$2:$I$679,MATCH(445,Engine!$C$2:$C$679,0)))</f>
        <v/>
      </c>
      <c r="J458" s="8">
        <f>IF(ISNA(MATCH(445,Engine!$C$2:$C$679,0)),"",INDEX('Compliance Database'!$J$2:$J$679,MATCH(445,Engine!$C$2:$C$679,0)))</f>
        <v/>
      </c>
      <c r="K458">
        <f>IF(ISNA(MATCH(445,Engine!$C$2:$C$679,0)),"",INDEX('Compliance Database'!$K$2:$K$679,MATCH(445,Engine!$C$2:$C$679,0)))</f>
        <v/>
      </c>
      <c r="L458" s="8">
        <f>IF(ISNA(MATCH(445,Engine!$C$2:$C$679,0)),"",INDEX('Compliance Database'!$L$2:$L$679,MATCH(445,Engine!$C$2:$C$679,0)))</f>
        <v/>
      </c>
      <c r="M458" s="8">
        <f>IF(ISNA(MATCH(445,Engine!$C$2:$C$679,0)),"",INDEX('Compliance Database'!$M$2:$M$679,MATCH(445,Engine!$C$2:$C$679,0)))</f>
        <v/>
      </c>
      <c r="N458" s="8">
        <f>IF(ISNA(MATCH(445,Engine!$C$2:$C$679,0)),"",INDEX('Compliance Database'!$N$2:$N$679,MATCH(445,Engine!$C$2:$C$679,0)))</f>
        <v/>
      </c>
      <c r="O458" s="8">
        <f>IF(ISNA(MATCH(445,Engine!$C$2:$C$679,0)),"",INDEX('Compliance Database'!$O$2:$O$679,MATCH(445,Engine!$C$2:$C$679,0)))</f>
        <v/>
      </c>
      <c r="P458">
        <f>IF(ISNA(MATCH(445,Engine!$C$2:$C$679,0)),"",HYPERLINK(INDEX('Compliance Database'!$P$2:$P$679,MATCH(445,Engine!$C$2:$C$679,0)),"Open PDF"))</f>
        <v/>
      </c>
    </row>
    <row r="459">
      <c r="A459">
        <f>IF(ISNA(MATCH(446,Engine!$C$2:$C$679,0)),"",INDEX('Compliance Database'!$A$2:$A$679,MATCH(446,Engine!$C$2:$C$679,0)))</f>
        <v/>
      </c>
      <c r="B459">
        <f>IF(ISNA(MATCH(446,Engine!$C$2:$C$679,0)),"",INDEX('Compliance Database'!$B$2:$B$679,MATCH(446,Engine!$C$2:$C$679,0)))</f>
        <v/>
      </c>
      <c r="C459">
        <f>IF(ISNA(MATCH(446,Engine!$C$2:$C$679,0)),"",INDEX('Compliance Database'!$C$2:$C$679,MATCH(446,Engine!$C$2:$C$679,0)))</f>
        <v/>
      </c>
      <c r="D459" s="8">
        <f>IF(ISNA(MATCH(446,Engine!$C$2:$C$679,0)),"",INDEX('Compliance Database'!$D$2:$D$679,MATCH(446,Engine!$C$2:$C$679,0)))</f>
        <v/>
      </c>
      <c r="E459">
        <f>IF(ISNA(MATCH(446,Engine!$C$2:$C$679,0)),"",INDEX('Compliance Database'!$E$2:$E$679,MATCH(446,Engine!$C$2:$C$679,0)))</f>
        <v/>
      </c>
      <c r="F459">
        <f>IF(ISNA(MATCH(446,Engine!$C$2:$C$679,0)),"",INDEX('Compliance Database'!$F$2:$F$679,MATCH(446,Engine!$C$2:$C$679,0)))</f>
        <v/>
      </c>
      <c r="G459">
        <f>IF(ISNA(MATCH(446,Engine!$C$2:$C$679,0)),"",INDEX('Compliance Database'!$G$2:$G$679,MATCH(446,Engine!$C$2:$C$679,0)))</f>
        <v/>
      </c>
      <c r="H459">
        <f>IF(ISNA(MATCH(446,Engine!$C$2:$C$679,0)),"",INDEX('Compliance Database'!$H$2:$H$679,MATCH(446,Engine!$C$2:$C$679,0)))</f>
        <v/>
      </c>
      <c r="I459" s="8">
        <f>IF(ISNA(MATCH(446,Engine!$C$2:$C$679,0)),"",INDEX('Compliance Database'!$I$2:$I$679,MATCH(446,Engine!$C$2:$C$679,0)))</f>
        <v/>
      </c>
      <c r="J459" s="8">
        <f>IF(ISNA(MATCH(446,Engine!$C$2:$C$679,0)),"",INDEX('Compliance Database'!$J$2:$J$679,MATCH(446,Engine!$C$2:$C$679,0)))</f>
        <v/>
      </c>
      <c r="K459">
        <f>IF(ISNA(MATCH(446,Engine!$C$2:$C$679,0)),"",INDEX('Compliance Database'!$K$2:$K$679,MATCH(446,Engine!$C$2:$C$679,0)))</f>
        <v/>
      </c>
      <c r="L459" s="8">
        <f>IF(ISNA(MATCH(446,Engine!$C$2:$C$679,0)),"",INDEX('Compliance Database'!$L$2:$L$679,MATCH(446,Engine!$C$2:$C$679,0)))</f>
        <v/>
      </c>
      <c r="M459" s="8">
        <f>IF(ISNA(MATCH(446,Engine!$C$2:$C$679,0)),"",INDEX('Compliance Database'!$M$2:$M$679,MATCH(446,Engine!$C$2:$C$679,0)))</f>
        <v/>
      </c>
      <c r="N459" s="8">
        <f>IF(ISNA(MATCH(446,Engine!$C$2:$C$679,0)),"",INDEX('Compliance Database'!$N$2:$N$679,MATCH(446,Engine!$C$2:$C$679,0)))</f>
        <v/>
      </c>
      <c r="O459" s="8">
        <f>IF(ISNA(MATCH(446,Engine!$C$2:$C$679,0)),"",INDEX('Compliance Database'!$O$2:$O$679,MATCH(446,Engine!$C$2:$C$679,0)))</f>
        <v/>
      </c>
      <c r="P459">
        <f>IF(ISNA(MATCH(446,Engine!$C$2:$C$679,0)),"",HYPERLINK(INDEX('Compliance Database'!$P$2:$P$679,MATCH(446,Engine!$C$2:$C$679,0)),"Open PDF"))</f>
        <v/>
      </c>
    </row>
    <row r="460">
      <c r="A460">
        <f>IF(ISNA(MATCH(447,Engine!$C$2:$C$679,0)),"",INDEX('Compliance Database'!$A$2:$A$679,MATCH(447,Engine!$C$2:$C$679,0)))</f>
        <v/>
      </c>
      <c r="B460">
        <f>IF(ISNA(MATCH(447,Engine!$C$2:$C$679,0)),"",INDEX('Compliance Database'!$B$2:$B$679,MATCH(447,Engine!$C$2:$C$679,0)))</f>
        <v/>
      </c>
      <c r="C460">
        <f>IF(ISNA(MATCH(447,Engine!$C$2:$C$679,0)),"",INDEX('Compliance Database'!$C$2:$C$679,MATCH(447,Engine!$C$2:$C$679,0)))</f>
        <v/>
      </c>
      <c r="D460" s="8">
        <f>IF(ISNA(MATCH(447,Engine!$C$2:$C$679,0)),"",INDEX('Compliance Database'!$D$2:$D$679,MATCH(447,Engine!$C$2:$C$679,0)))</f>
        <v/>
      </c>
      <c r="E460">
        <f>IF(ISNA(MATCH(447,Engine!$C$2:$C$679,0)),"",INDEX('Compliance Database'!$E$2:$E$679,MATCH(447,Engine!$C$2:$C$679,0)))</f>
        <v/>
      </c>
      <c r="F460">
        <f>IF(ISNA(MATCH(447,Engine!$C$2:$C$679,0)),"",INDEX('Compliance Database'!$F$2:$F$679,MATCH(447,Engine!$C$2:$C$679,0)))</f>
        <v/>
      </c>
      <c r="G460">
        <f>IF(ISNA(MATCH(447,Engine!$C$2:$C$679,0)),"",INDEX('Compliance Database'!$G$2:$G$679,MATCH(447,Engine!$C$2:$C$679,0)))</f>
        <v/>
      </c>
      <c r="H460">
        <f>IF(ISNA(MATCH(447,Engine!$C$2:$C$679,0)),"",INDEX('Compliance Database'!$H$2:$H$679,MATCH(447,Engine!$C$2:$C$679,0)))</f>
        <v/>
      </c>
      <c r="I460" s="8">
        <f>IF(ISNA(MATCH(447,Engine!$C$2:$C$679,0)),"",INDEX('Compliance Database'!$I$2:$I$679,MATCH(447,Engine!$C$2:$C$679,0)))</f>
        <v/>
      </c>
      <c r="J460" s="8">
        <f>IF(ISNA(MATCH(447,Engine!$C$2:$C$679,0)),"",INDEX('Compliance Database'!$J$2:$J$679,MATCH(447,Engine!$C$2:$C$679,0)))</f>
        <v/>
      </c>
      <c r="K460">
        <f>IF(ISNA(MATCH(447,Engine!$C$2:$C$679,0)),"",INDEX('Compliance Database'!$K$2:$K$679,MATCH(447,Engine!$C$2:$C$679,0)))</f>
        <v/>
      </c>
      <c r="L460" s="8">
        <f>IF(ISNA(MATCH(447,Engine!$C$2:$C$679,0)),"",INDEX('Compliance Database'!$L$2:$L$679,MATCH(447,Engine!$C$2:$C$679,0)))</f>
        <v/>
      </c>
      <c r="M460" s="8">
        <f>IF(ISNA(MATCH(447,Engine!$C$2:$C$679,0)),"",INDEX('Compliance Database'!$M$2:$M$679,MATCH(447,Engine!$C$2:$C$679,0)))</f>
        <v/>
      </c>
      <c r="N460" s="8">
        <f>IF(ISNA(MATCH(447,Engine!$C$2:$C$679,0)),"",INDEX('Compliance Database'!$N$2:$N$679,MATCH(447,Engine!$C$2:$C$679,0)))</f>
        <v/>
      </c>
      <c r="O460" s="8">
        <f>IF(ISNA(MATCH(447,Engine!$C$2:$C$679,0)),"",INDEX('Compliance Database'!$O$2:$O$679,MATCH(447,Engine!$C$2:$C$679,0)))</f>
        <v/>
      </c>
      <c r="P460">
        <f>IF(ISNA(MATCH(447,Engine!$C$2:$C$679,0)),"",HYPERLINK(INDEX('Compliance Database'!$P$2:$P$679,MATCH(447,Engine!$C$2:$C$679,0)),"Open PDF"))</f>
        <v/>
      </c>
    </row>
    <row r="461">
      <c r="A461">
        <f>IF(ISNA(MATCH(448,Engine!$C$2:$C$679,0)),"",INDEX('Compliance Database'!$A$2:$A$679,MATCH(448,Engine!$C$2:$C$679,0)))</f>
        <v/>
      </c>
      <c r="B461">
        <f>IF(ISNA(MATCH(448,Engine!$C$2:$C$679,0)),"",INDEX('Compliance Database'!$B$2:$B$679,MATCH(448,Engine!$C$2:$C$679,0)))</f>
        <v/>
      </c>
      <c r="C461">
        <f>IF(ISNA(MATCH(448,Engine!$C$2:$C$679,0)),"",INDEX('Compliance Database'!$C$2:$C$679,MATCH(448,Engine!$C$2:$C$679,0)))</f>
        <v/>
      </c>
      <c r="D461" s="8">
        <f>IF(ISNA(MATCH(448,Engine!$C$2:$C$679,0)),"",INDEX('Compliance Database'!$D$2:$D$679,MATCH(448,Engine!$C$2:$C$679,0)))</f>
        <v/>
      </c>
      <c r="E461">
        <f>IF(ISNA(MATCH(448,Engine!$C$2:$C$679,0)),"",INDEX('Compliance Database'!$E$2:$E$679,MATCH(448,Engine!$C$2:$C$679,0)))</f>
        <v/>
      </c>
      <c r="F461">
        <f>IF(ISNA(MATCH(448,Engine!$C$2:$C$679,0)),"",INDEX('Compliance Database'!$F$2:$F$679,MATCH(448,Engine!$C$2:$C$679,0)))</f>
        <v/>
      </c>
      <c r="G461">
        <f>IF(ISNA(MATCH(448,Engine!$C$2:$C$679,0)),"",INDEX('Compliance Database'!$G$2:$G$679,MATCH(448,Engine!$C$2:$C$679,0)))</f>
        <v/>
      </c>
      <c r="H461">
        <f>IF(ISNA(MATCH(448,Engine!$C$2:$C$679,0)),"",INDEX('Compliance Database'!$H$2:$H$679,MATCH(448,Engine!$C$2:$C$679,0)))</f>
        <v/>
      </c>
      <c r="I461" s="8">
        <f>IF(ISNA(MATCH(448,Engine!$C$2:$C$679,0)),"",INDEX('Compliance Database'!$I$2:$I$679,MATCH(448,Engine!$C$2:$C$679,0)))</f>
        <v/>
      </c>
      <c r="J461" s="8">
        <f>IF(ISNA(MATCH(448,Engine!$C$2:$C$679,0)),"",INDEX('Compliance Database'!$J$2:$J$679,MATCH(448,Engine!$C$2:$C$679,0)))</f>
        <v/>
      </c>
      <c r="K461">
        <f>IF(ISNA(MATCH(448,Engine!$C$2:$C$679,0)),"",INDEX('Compliance Database'!$K$2:$K$679,MATCH(448,Engine!$C$2:$C$679,0)))</f>
        <v/>
      </c>
      <c r="L461" s="8">
        <f>IF(ISNA(MATCH(448,Engine!$C$2:$C$679,0)),"",INDEX('Compliance Database'!$L$2:$L$679,MATCH(448,Engine!$C$2:$C$679,0)))</f>
        <v/>
      </c>
      <c r="M461" s="8">
        <f>IF(ISNA(MATCH(448,Engine!$C$2:$C$679,0)),"",INDEX('Compliance Database'!$M$2:$M$679,MATCH(448,Engine!$C$2:$C$679,0)))</f>
        <v/>
      </c>
      <c r="N461" s="8">
        <f>IF(ISNA(MATCH(448,Engine!$C$2:$C$679,0)),"",INDEX('Compliance Database'!$N$2:$N$679,MATCH(448,Engine!$C$2:$C$679,0)))</f>
        <v/>
      </c>
      <c r="O461" s="8">
        <f>IF(ISNA(MATCH(448,Engine!$C$2:$C$679,0)),"",INDEX('Compliance Database'!$O$2:$O$679,MATCH(448,Engine!$C$2:$C$679,0)))</f>
        <v/>
      </c>
      <c r="P461">
        <f>IF(ISNA(MATCH(448,Engine!$C$2:$C$679,0)),"",HYPERLINK(INDEX('Compliance Database'!$P$2:$P$679,MATCH(448,Engine!$C$2:$C$679,0)),"Open PDF"))</f>
        <v/>
      </c>
    </row>
    <row r="462">
      <c r="A462">
        <f>IF(ISNA(MATCH(449,Engine!$C$2:$C$679,0)),"",INDEX('Compliance Database'!$A$2:$A$679,MATCH(449,Engine!$C$2:$C$679,0)))</f>
        <v/>
      </c>
      <c r="B462">
        <f>IF(ISNA(MATCH(449,Engine!$C$2:$C$679,0)),"",INDEX('Compliance Database'!$B$2:$B$679,MATCH(449,Engine!$C$2:$C$679,0)))</f>
        <v/>
      </c>
      <c r="C462">
        <f>IF(ISNA(MATCH(449,Engine!$C$2:$C$679,0)),"",INDEX('Compliance Database'!$C$2:$C$679,MATCH(449,Engine!$C$2:$C$679,0)))</f>
        <v/>
      </c>
      <c r="D462" s="8">
        <f>IF(ISNA(MATCH(449,Engine!$C$2:$C$679,0)),"",INDEX('Compliance Database'!$D$2:$D$679,MATCH(449,Engine!$C$2:$C$679,0)))</f>
        <v/>
      </c>
      <c r="E462">
        <f>IF(ISNA(MATCH(449,Engine!$C$2:$C$679,0)),"",INDEX('Compliance Database'!$E$2:$E$679,MATCH(449,Engine!$C$2:$C$679,0)))</f>
        <v/>
      </c>
      <c r="F462">
        <f>IF(ISNA(MATCH(449,Engine!$C$2:$C$679,0)),"",INDEX('Compliance Database'!$F$2:$F$679,MATCH(449,Engine!$C$2:$C$679,0)))</f>
        <v/>
      </c>
      <c r="G462">
        <f>IF(ISNA(MATCH(449,Engine!$C$2:$C$679,0)),"",INDEX('Compliance Database'!$G$2:$G$679,MATCH(449,Engine!$C$2:$C$679,0)))</f>
        <v/>
      </c>
      <c r="H462">
        <f>IF(ISNA(MATCH(449,Engine!$C$2:$C$679,0)),"",INDEX('Compliance Database'!$H$2:$H$679,MATCH(449,Engine!$C$2:$C$679,0)))</f>
        <v/>
      </c>
      <c r="I462" s="8">
        <f>IF(ISNA(MATCH(449,Engine!$C$2:$C$679,0)),"",INDEX('Compliance Database'!$I$2:$I$679,MATCH(449,Engine!$C$2:$C$679,0)))</f>
        <v/>
      </c>
      <c r="J462" s="8">
        <f>IF(ISNA(MATCH(449,Engine!$C$2:$C$679,0)),"",INDEX('Compliance Database'!$J$2:$J$679,MATCH(449,Engine!$C$2:$C$679,0)))</f>
        <v/>
      </c>
      <c r="K462">
        <f>IF(ISNA(MATCH(449,Engine!$C$2:$C$679,0)),"",INDEX('Compliance Database'!$K$2:$K$679,MATCH(449,Engine!$C$2:$C$679,0)))</f>
        <v/>
      </c>
      <c r="L462" s="8">
        <f>IF(ISNA(MATCH(449,Engine!$C$2:$C$679,0)),"",INDEX('Compliance Database'!$L$2:$L$679,MATCH(449,Engine!$C$2:$C$679,0)))</f>
        <v/>
      </c>
      <c r="M462" s="8">
        <f>IF(ISNA(MATCH(449,Engine!$C$2:$C$679,0)),"",INDEX('Compliance Database'!$M$2:$M$679,MATCH(449,Engine!$C$2:$C$679,0)))</f>
        <v/>
      </c>
      <c r="N462" s="8">
        <f>IF(ISNA(MATCH(449,Engine!$C$2:$C$679,0)),"",INDEX('Compliance Database'!$N$2:$N$679,MATCH(449,Engine!$C$2:$C$679,0)))</f>
        <v/>
      </c>
      <c r="O462" s="8">
        <f>IF(ISNA(MATCH(449,Engine!$C$2:$C$679,0)),"",INDEX('Compliance Database'!$O$2:$O$679,MATCH(449,Engine!$C$2:$C$679,0)))</f>
        <v/>
      </c>
      <c r="P462">
        <f>IF(ISNA(MATCH(449,Engine!$C$2:$C$679,0)),"",HYPERLINK(INDEX('Compliance Database'!$P$2:$P$679,MATCH(449,Engine!$C$2:$C$679,0)),"Open PDF"))</f>
        <v/>
      </c>
    </row>
    <row r="463">
      <c r="A463">
        <f>IF(ISNA(MATCH(450,Engine!$C$2:$C$679,0)),"",INDEX('Compliance Database'!$A$2:$A$679,MATCH(450,Engine!$C$2:$C$679,0)))</f>
        <v/>
      </c>
      <c r="B463">
        <f>IF(ISNA(MATCH(450,Engine!$C$2:$C$679,0)),"",INDEX('Compliance Database'!$B$2:$B$679,MATCH(450,Engine!$C$2:$C$679,0)))</f>
        <v/>
      </c>
      <c r="C463">
        <f>IF(ISNA(MATCH(450,Engine!$C$2:$C$679,0)),"",INDEX('Compliance Database'!$C$2:$C$679,MATCH(450,Engine!$C$2:$C$679,0)))</f>
        <v/>
      </c>
      <c r="D463" s="8">
        <f>IF(ISNA(MATCH(450,Engine!$C$2:$C$679,0)),"",INDEX('Compliance Database'!$D$2:$D$679,MATCH(450,Engine!$C$2:$C$679,0)))</f>
        <v/>
      </c>
      <c r="E463">
        <f>IF(ISNA(MATCH(450,Engine!$C$2:$C$679,0)),"",INDEX('Compliance Database'!$E$2:$E$679,MATCH(450,Engine!$C$2:$C$679,0)))</f>
        <v/>
      </c>
      <c r="F463">
        <f>IF(ISNA(MATCH(450,Engine!$C$2:$C$679,0)),"",INDEX('Compliance Database'!$F$2:$F$679,MATCH(450,Engine!$C$2:$C$679,0)))</f>
        <v/>
      </c>
      <c r="G463">
        <f>IF(ISNA(MATCH(450,Engine!$C$2:$C$679,0)),"",INDEX('Compliance Database'!$G$2:$G$679,MATCH(450,Engine!$C$2:$C$679,0)))</f>
        <v/>
      </c>
      <c r="H463">
        <f>IF(ISNA(MATCH(450,Engine!$C$2:$C$679,0)),"",INDEX('Compliance Database'!$H$2:$H$679,MATCH(450,Engine!$C$2:$C$679,0)))</f>
        <v/>
      </c>
      <c r="I463" s="8">
        <f>IF(ISNA(MATCH(450,Engine!$C$2:$C$679,0)),"",INDEX('Compliance Database'!$I$2:$I$679,MATCH(450,Engine!$C$2:$C$679,0)))</f>
        <v/>
      </c>
      <c r="J463" s="8">
        <f>IF(ISNA(MATCH(450,Engine!$C$2:$C$679,0)),"",INDEX('Compliance Database'!$J$2:$J$679,MATCH(450,Engine!$C$2:$C$679,0)))</f>
        <v/>
      </c>
      <c r="K463">
        <f>IF(ISNA(MATCH(450,Engine!$C$2:$C$679,0)),"",INDEX('Compliance Database'!$K$2:$K$679,MATCH(450,Engine!$C$2:$C$679,0)))</f>
        <v/>
      </c>
      <c r="L463" s="8">
        <f>IF(ISNA(MATCH(450,Engine!$C$2:$C$679,0)),"",INDEX('Compliance Database'!$L$2:$L$679,MATCH(450,Engine!$C$2:$C$679,0)))</f>
        <v/>
      </c>
      <c r="M463" s="8">
        <f>IF(ISNA(MATCH(450,Engine!$C$2:$C$679,0)),"",INDEX('Compliance Database'!$M$2:$M$679,MATCH(450,Engine!$C$2:$C$679,0)))</f>
        <v/>
      </c>
      <c r="N463" s="8">
        <f>IF(ISNA(MATCH(450,Engine!$C$2:$C$679,0)),"",INDEX('Compliance Database'!$N$2:$N$679,MATCH(450,Engine!$C$2:$C$679,0)))</f>
        <v/>
      </c>
      <c r="O463" s="8">
        <f>IF(ISNA(MATCH(450,Engine!$C$2:$C$679,0)),"",INDEX('Compliance Database'!$O$2:$O$679,MATCH(450,Engine!$C$2:$C$679,0)))</f>
        <v/>
      </c>
      <c r="P463">
        <f>IF(ISNA(MATCH(450,Engine!$C$2:$C$679,0)),"",HYPERLINK(INDEX('Compliance Database'!$P$2:$P$679,MATCH(450,Engine!$C$2:$C$679,0)),"Open PDF"))</f>
        <v/>
      </c>
    </row>
    <row r="464">
      <c r="A464">
        <f>IF(ISNA(MATCH(451,Engine!$C$2:$C$679,0)),"",INDEX('Compliance Database'!$A$2:$A$679,MATCH(451,Engine!$C$2:$C$679,0)))</f>
        <v/>
      </c>
      <c r="B464">
        <f>IF(ISNA(MATCH(451,Engine!$C$2:$C$679,0)),"",INDEX('Compliance Database'!$B$2:$B$679,MATCH(451,Engine!$C$2:$C$679,0)))</f>
        <v/>
      </c>
      <c r="C464">
        <f>IF(ISNA(MATCH(451,Engine!$C$2:$C$679,0)),"",INDEX('Compliance Database'!$C$2:$C$679,MATCH(451,Engine!$C$2:$C$679,0)))</f>
        <v/>
      </c>
      <c r="D464" s="8">
        <f>IF(ISNA(MATCH(451,Engine!$C$2:$C$679,0)),"",INDEX('Compliance Database'!$D$2:$D$679,MATCH(451,Engine!$C$2:$C$679,0)))</f>
        <v/>
      </c>
      <c r="E464">
        <f>IF(ISNA(MATCH(451,Engine!$C$2:$C$679,0)),"",INDEX('Compliance Database'!$E$2:$E$679,MATCH(451,Engine!$C$2:$C$679,0)))</f>
        <v/>
      </c>
      <c r="F464">
        <f>IF(ISNA(MATCH(451,Engine!$C$2:$C$679,0)),"",INDEX('Compliance Database'!$F$2:$F$679,MATCH(451,Engine!$C$2:$C$679,0)))</f>
        <v/>
      </c>
      <c r="G464">
        <f>IF(ISNA(MATCH(451,Engine!$C$2:$C$679,0)),"",INDEX('Compliance Database'!$G$2:$G$679,MATCH(451,Engine!$C$2:$C$679,0)))</f>
        <v/>
      </c>
      <c r="H464">
        <f>IF(ISNA(MATCH(451,Engine!$C$2:$C$679,0)),"",INDEX('Compliance Database'!$H$2:$H$679,MATCH(451,Engine!$C$2:$C$679,0)))</f>
        <v/>
      </c>
      <c r="I464" s="8">
        <f>IF(ISNA(MATCH(451,Engine!$C$2:$C$679,0)),"",INDEX('Compliance Database'!$I$2:$I$679,MATCH(451,Engine!$C$2:$C$679,0)))</f>
        <v/>
      </c>
      <c r="J464" s="8">
        <f>IF(ISNA(MATCH(451,Engine!$C$2:$C$679,0)),"",INDEX('Compliance Database'!$J$2:$J$679,MATCH(451,Engine!$C$2:$C$679,0)))</f>
        <v/>
      </c>
      <c r="K464">
        <f>IF(ISNA(MATCH(451,Engine!$C$2:$C$679,0)),"",INDEX('Compliance Database'!$K$2:$K$679,MATCH(451,Engine!$C$2:$C$679,0)))</f>
        <v/>
      </c>
      <c r="L464" s="8">
        <f>IF(ISNA(MATCH(451,Engine!$C$2:$C$679,0)),"",INDEX('Compliance Database'!$L$2:$L$679,MATCH(451,Engine!$C$2:$C$679,0)))</f>
        <v/>
      </c>
      <c r="M464" s="8">
        <f>IF(ISNA(MATCH(451,Engine!$C$2:$C$679,0)),"",INDEX('Compliance Database'!$M$2:$M$679,MATCH(451,Engine!$C$2:$C$679,0)))</f>
        <v/>
      </c>
      <c r="N464" s="8">
        <f>IF(ISNA(MATCH(451,Engine!$C$2:$C$679,0)),"",INDEX('Compliance Database'!$N$2:$N$679,MATCH(451,Engine!$C$2:$C$679,0)))</f>
        <v/>
      </c>
      <c r="O464" s="8">
        <f>IF(ISNA(MATCH(451,Engine!$C$2:$C$679,0)),"",INDEX('Compliance Database'!$O$2:$O$679,MATCH(451,Engine!$C$2:$C$679,0)))</f>
        <v/>
      </c>
      <c r="P464">
        <f>IF(ISNA(MATCH(451,Engine!$C$2:$C$679,0)),"",HYPERLINK(INDEX('Compliance Database'!$P$2:$P$679,MATCH(451,Engine!$C$2:$C$679,0)),"Open PDF"))</f>
        <v/>
      </c>
    </row>
    <row r="465">
      <c r="A465">
        <f>IF(ISNA(MATCH(452,Engine!$C$2:$C$679,0)),"",INDEX('Compliance Database'!$A$2:$A$679,MATCH(452,Engine!$C$2:$C$679,0)))</f>
        <v/>
      </c>
      <c r="B465">
        <f>IF(ISNA(MATCH(452,Engine!$C$2:$C$679,0)),"",INDEX('Compliance Database'!$B$2:$B$679,MATCH(452,Engine!$C$2:$C$679,0)))</f>
        <v/>
      </c>
      <c r="C465">
        <f>IF(ISNA(MATCH(452,Engine!$C$2:$C$679,0)),"",INDEX('Compliance Database'!$C$2:$C$679,MATCH(452,Engine!$C$2:$C$679,0)))</f>
        <v/>
      </c>
      <c r="D465" s="8">
        <f>IF(ISNA(MATCH(452,Engine!$C$2:$C$679,0)),"",INDEX('Compliance Database'!$D$2:$D$679,MATCH(452,Engine!$C$2:$C$679,0)))</f>
        <v/>
      </c>
      <c r="E465">
        <f>IF(ISNA(MATCH(452,Engine!$C$2:$C$679,0)),"",INDEX('Compliance Database'!$E$2:$E$679,MATCH(452,Engine!$C$2:$C$679,0)))</f>
        <v/>
      </c>
      <c r="F465">
        <f>IF(ISNA(MATCH(452,Engine!$C$2:$C$679,0)),"",INDEX('Compliance Database'!$F$2:$F$679,MATCH(452,Engine!$C$2:$C$679,0)))</f>
        <v/>
      </c>
      <c r="G465">
        <f>IF(ISNA(MATCH(452,Engine!$C$2:$C$679,0)),"",INDEX('Compliance Database'!$G$2:$G$679,MATCH(452,Engine!$C$2:$C$679,0)))</f>
        <v/>
      </c>
      <c r="H465">
        <f>IF(ISNA(MATCH(452,Engine!$C$2:$C$679,0)),"",INDEX('Compliance Database'!$H$2:$H$679,MATCH(452,Engine!$C$2:$C$679,0)))</f>
        <v/>
      </c>
      <c r="I465" s="8">
        <f>IF(ISNA(MATCH(452,Engine!$C$2:$C$679,0)),"",INDEX('Compliance Database'!$I$2:$I$679,MATCH(452,Engine!$C$2:$C$679,0)))</f>
        <v/>
      </c>
      <c r="J465" s="8">
        <f>IF(ISNA(MATCH(452,Engine!$C$2:$C$679,0)),"",INDEX('Compliance Database'!$J$2:$J$679,MATCH(452,Engine!$C$2:$C$679,0)))</f>
        <v/>
      </c>
      <c r="K465">
        <f>IF(ISNA(MATCH(452,Engine!$C$2:$C$679,0)),"",INDEX('Compliance Database'!$K$2:$K$679,MATCH(452,Engine!$C$2:$C$679,0)))</f>
        <v/>
      </c>
      <c r="L465" s="8">
        <f>IF(ISNA(MATCH(452,Engine!$C$2:$C$679,0)),"",INDEX('Compliance Database'!$L$2:$L$679,MATCH(452,Engine!$C$2:$C$679,0)))</f>
        <v/>
      </c>
      <c r="M465" s="8">
        <f>IF(ISNA(MATCH(452,Engine!$C$2:$C$679,0)),"",INDEX('Compliance Database'!$M$2:$M$679,MATCH(452,Engine!$C$2:$C$679,0)))</f>
        <v/>
      </c>
      <c r="N465" s="8">
        <f>IF(ISNA(MATCH(452,Engine!$C$2:$C$679,0)),"",INDEX('Compliance Database'!$N$2:$N$679,MATCH(452,Engine!$C$2:$C$679,0)))</f>
        <v/>
      </c>
      <c r="O465" s="8">
        <f>IF(ISNA(MATCH(452,Engine!$C$2:$C$679,0)),"",INDEX('Compliance Database'!$O$2:$O$679,MATCH(452,Engine!$C$2:$C$679,0)))</f>
        <v/>
      </c>
      <c r="P465">
        <f>IF(ISNA(MATCH(452,Engine!$C$2:$C$679,0)),"",HYPERLINK(INDEX('Compliance Database'!$P$2:$P$679,MATCH(452,Engine!$C$2:$C$679,0)),"Open PDF"))</f>
        <v/>
      </c>
    </row>
    <row r="466">
      <c r="A466">
        <f>IF(ISNA(MATCH(453,Engine!$C$2:$C$679,0)),"",INDEX('Compliance Database'!$A$2:$A$679,MATCH(453,Engine!$C$2:$C$679,0)))</f>
        <v/>
      </c>
      <c r="B466">
        <f>IF(ISNA(MATCH(453,Engine!$C$2:$C$679,0)),"",INDEX('Compliance Database'!$B$2:$B$679,MATCH(453,Engine!$C$2:$C$679,0)))</f>
        <v/>
      </c>
      <c r="C466">
        <f>IF(ISNA(MATCH(453,Engine!$C$2:$C$679,0)),"",INDEX('Compliance Database'!$C$2:$C$679,MATCH(453,Engine!$C$2:$C$679,0)))</f>
        <v/>
      </c>
      <c r="D466" s="8">
        <f>IF(ISNA(MATCH(453,Engine!$C$2:$C$679,0)),"",INDEX('Compliance Database'!$D$2:$D$679,MATCH(453,Engine!$C$2:$C$679,0)))</f>
        <v/>
      </c>
      <c r="E466">
        <f>IF(ISNA(MATCH(453,Engine!$C$2:$C$679,0)),"",INDEX('Compliance Database'!$E$2:$E$679,MATCH(453,Engine!$C$2:$C$679,0)))</f>
        <v/>
      </c>
      <c r="F466">
        <f>IF(ISNA(MATCH(453,Engine!$C$2:$C$679,0)),"",INDEX('Compliance Database'!$F$2:$F$679,MATCH(453,Engine!$C$2:$C$679,0)))</f>
        <v/>
      </c>
      <c r="G466">
        <f>IF(ISNA(MATCH(453,Engine!$C$2:$C$679,0)),"",INDEX('Compliance Database'!$G$2:$G$679,MATCH(453,Engine!$C$2:$C$679,0)))</f>
        <v/>
      </c>
      <c r="H466">
        <f>IF(ISNA(MATCH(453,Engine!$C$2:$C$679,0)),"",INDEX('Compliance Database'!$H$2:$H$679,MATCH(453,Engine!$C$2:$C$679,0)))</f>
        <v/>
      </c>
      <c r="I466" s="8">
        <f>IF(ISNA(MATCH(453,Engine!$C$2:$C$679,0)),"",INDEX('Compliance Database'!$I$2:$I$679,MATCH(453,Engine!$C$2:$C$679,0)))</f>
        <v/>
      </c>
      <c r="J466" s="8">
        <f>IF(ISNA(MATCH(453,Engine!$C$2:$C$679,0)),"",INDEX('Compliance Database'!$J$2:$J$679,MATCH(453,Engine!$C$2:$C$679,0)))</f>
        <v/>
      </c>
      <c r="K466">
        <f>IF(ISNA(MATCH(453,Engine!$C$2:$C$679,0)),"",INDEX('Compliance Database'!$K$2:$K$679,MATCH(453,Engine!$C$2:$C$679,0)))</f>
        <v/>
      </c>
      <c r="L466" s="8">
        <f>IF(ISNA(MATCH(453,Engine!$C$2:$C$679,0)),"",INDEX('Compliance Database'!$L$2:$L$679,MATCH(453,Engine!$C$2:$C$679,0)))</f>
        <v/>
      </c>
      <c r="M466" s="8">
        <f>IF(ISNA(MATCH(453,Engine!$C$2:$C$679,0)),"",INDEX('Compliance Database'!$M$2:$M$679,MATCH(453,Engine!$C$2:$C$679,0)))</f>
        <v/>
      </c>
      <c r="N466" s="8">
        <f>IF(ISNA(MATCH(453,Engine!$C$2:$C$679,0)),"",INDEX('Compliance Database'!$N$2:$N$679,MATCH(453,Engine!$C$2:$C$679,0)))</f>
        <v/>
      </c>
      <c r="O466" s="8">
        <f>IF(ISNA(MATCH(453,Engine!$C$2:$C$679,0)),"",INDEX('Compliance Database'!$O$2:$O$679,MATCH(453,Engine!$C$2:$C$679,0)))</f>
        <v/>
      </c>
      <c r="P466">
        <f>IF(ISNA(MATCH(453,Engine!$C$2:$C$679,0)),"",HYPERLINK(INDEX('Compliance Database'!$P$2:$P$679,MATCH(453,Engine!$C$2:$C$679,0)),"Open PDF"))</f>
        <v/>
      </c>
    </row>
    <row r="467">
      <c r="A467">
        <f>IF(ISNA(MATCH(454,Engine!$C$2:$C$679,0)),"",INDEX('Compliance Database'!$A$2:$A$679,MATCH(454,Engine!$C$2:$C$679,0)))</f>
        <v/>
      </c>
      <c r="B467">
        <f>IF(ISNA(MATCH(454,Engine!$C$2:$C$679,0)),"",INDEX('Compliance Database'!$B$2:$B$679,MATCH(454,Engine!$C$2:$C$679,0)))</f>
        <v/>
      </c>
      <c r="C467">
        <f>IF(ISNA(MATCH(454,Engine!$C$2:$C$679,0)),"",INDEX('Compliance Database'!$C$2:$C$679,MATCH(454,Engine!$C$2:$C$679,0)))</f>
        <v/>
      </c>
      <c r="D467" s="8">
        <f>IF(ISNA(MATCH(454,Engine!$C$2:$C$679,0)),"",INDEX('Compliance Database'!$D$2:$D$679,MATCH(454,Engine!$C$2:$C$679,0)))</f>
        <v/>
      </c>
      <c r="E467">
        <f>IF(ISNA(MATCH(454,Engine!$C$2:$C$679,0)),"",INDEX('Compliance Database'!$E$2:$E$679,MATCH(454,Engine!$C$2:$C$679,0)))</f>
        <v/>
      </c>
      <c r="F467">
        <f>IF(ISNA(MATCH(454,Engine!$C$2:$C$679,0)),"",INDEX('Compliance Database'!$F$2:$F$679,MATCH(454,Engine!$C$2:$C$679,0)))</f>
        <v/>
      </c>
      <c r="G467">
        <f>IF(ISNA(MATCH(454,Engine!$C$2:$C$679,0)),"",INDEX('Compliance Database'!$G$2:$G$679,MATCH(454,Engine!$C$2:$C$679,0)))</f>
        <v/>
      </c>
      <c r="H467">
        <f>IF(ISNA(MATCH(454,Engine!$C$2:$C$679,0)),"",INDEX('Compliance Database'!$H$2:$H$679,MATCH(454,Engine!$C$2:$C$679,0)))</f>
        <v/>
      </c>
      <c r="I467" s="8">
        <f>IF(ISNA(MATCH(454,Engine!$C$2:$C$679,0)),"",INDEX('Compliance Database'!$I$2:$I$679,MATCH(454,Engine!$C$2:$C$679,0)))</f>
        <v/>
      </c>
      <c r="J467" s="8">
        <f>IF(ISNA(MATCH(454,Engine!$C$2:$C$679,0)),"",INDEX('Compliance Database'!$J$2:$J$679,MATCH(454,Engine!$C$2:$C$679,0)))</f>
        <v/>
      </c>
      <c r="K467">
        <f>IF(ISNA(MATCH(454,Engine!$C$2:$C$679,0)),"",INDEX('Compliance Database'!$K$2:$K$679,MATCH(454,Engine!$C$2:$C$679,0)))</f>
        <v/>
      </c>
      <c r="L467" s="8">
        <f>IF(ISNA(MATCH(454,Engine!$C$2:$C$679,0)),"",INDEX('Compliance Database'!$L$2:$L$679,MATCH(454,Engine!$C$2:$C$679,0)))</f>
        <v/>
      </c>
      <c r="M467" s="8">
        <f>IF(ISNA(MATCH(454,Engine!$C$2:$C$679,0)),"",INDEX('Compliance Database'!$M$2:$M$679,MATCH(454,Engine!$C$2:$C$679,0)))</f>
        <v/>
      </c>
      <c r="N467" s="8">
        <f>IF(ISNA(MATCH(454,Engine!$C$2:$C$679,0)),"",INDEX('Compliance Database'!$N$2:$N$679,MATCH(454,Engine!$C$2:$C$679,0)))</f>
        <v/>
      </c>
      <c r="O467" s="8">
        <f>IF(ISNA(MATCH(454,Engine!$C$2:$C$679,0)),"",INDEX('Compliance Database'!$O$2:$O$679,MATCH(454,Engine!$C$2:$C$679,0)))</f>
        <v/>
      </c>
      <c r="P467">
        <f>IF(ISNA(MATCH(454,Engine!$C$2:$C$679,0)),"",HYPERLINK(INDEX('Compliance Database'!$P$2:$P$679,MATCH(454,Engine!$C$2:$C$679,0)),"Open PDF"))</f>
        <v/>
      </c>
    </row>
    <row r="468">
      <c r="A468">
        <f>IF(ISNA(MATCH(455,Engine!$C$2:$C$679,0)),"",INDEX('Compliance Database'!$A$2:$A$679,MATCH(455,Engine!$C$2:$C$679,0)))</f>
        <v/>
      </c>
      <c r="B468">
        <f>IF(ISNA(MATCH(455,Engine!$C$2:$C$679,0)),"",INDEX('Compliance Database'!$B$2:$B$679,MATCH(455,Engine!$C$2:$C$679,0)))</f>
        <v/>
      </c>
      <c r="C468">
        <f>IF(ISNA(MATCH(455,Engine!$C$2:$C$679,0)),"",INDEX('Compliance Database'!$C$2:$C$679,MATCH(455,Engine!$C$2:$C$679,0)))</f>
        <v/>
      </c>
      <c r="D468" s="8">
        <f>IF(ISNA(MATCH(455,Engine!$C$2:$C$679,0)),"",INDEX('Compliance Database'!$D$2:$D$679,MATCH(455,Engine!$C$2:$C$679,0)))</f>
        <v/>
      </c>
      <c r="E468">
        <f>IF(ISNA(MATCH(455,Engine!$C$2:$C$679,0)),"",INDEX('Compliance Database'!$E$2:$E$679,MATCH(455,Engine!$C$2:$C$679,0)))</f>
        <v/>
      </c>
      <c r="F468">
        <f>IF(ISNA(MATCH(455,Engine!$C$2:$C$679,0)),"",INDEX('Compliance Database'!$F$2:$F$679,MATCH(455,Engine!$C$2:$C$679,0)))</f>
        <v/>
      </c>
      <c r="G468">
        <f>IF(ISNA(MATCH(455,Engine!$C$2:$C$679,0)),"",INDEX('Compliance Database'!$G$2:$G$679,MATCH(455,Engine!$C$2:$C$679,0)))</f>
        <v/>
      </c>
      <c r="H468">
        <f>IF(ISNA(MATCH(455,Engine!$C$2:$C$679,0)),"",INDEX('Compliance Database'!$H$2:$H$679,MATCH(455,Engine!$C$2:$C$679,0)))</f>
        <v/>
      </c>
      <c r="I468" s="8">
        <f>IF(ISNA(MATCH(455,Engine!$C$2:$C$679,0)),"",INDEX('Compliance Database'!$I$2:$I$679,MATCH(455,Engine!$C$2:$C$679,0)))</f>
        <v/>
      </c>
      <c r="J468" s="8">
        <f>IF(ISNA(MATCH(455,Engine!$C$2:$C$679,0)),"",INDEX('Compliance Database'!$J$2:$J$679,MATCH(455,Engine!$C$2:$C$679,0)))</f>
        <v/>
      </c>
      <c r="K468">
        <f>IF(ISNA(MATCH(455,Engine!$C$2:$C$679,0)),"",INDEX('Compliance Database'!$K$2:$K$679,MATCH(455,Engine!$C$2:$C$679,0)))</f>
        <v/>
      </c>
      <c r="L468" s="8">
        <f>IF(ISNA(MATCH(455,Engine!$C$2:$C$679,0)),"",INDEX('Compliance Database'!$L$2:$L$679,MATCH(455,Engine!$C$2:$C$679,0)))</f>
        <v/>
      </c>
      <c r="M468" s="8">
        <f>IF(ISNA(MATCH(455,Engine!$C$2:$C$679,0)),"",INDEX('Compliance Database'!$M$2:$M$679,MATCH(455,Engine!$C$2:$C$679,0)))</f>
        <v/>
      </c>
      <c r="N468" s="8">
        <f>IF(ISNA(MATCH(455,Engine!$C$2:$C$679,0)),"",INDEX('Compliance Database'!$N$2:$N$679,MATCH(455,Engine!$C$2:$C$679,0)))</f>
        <v/>
      </c>
      <c r="O468" s="8">
        <f>IF(ISNA(MATCH(455,Engine!$C$2:$C$679,0)),"",INDEX('Compliance Database'!$O$2:$O$679,MATCH(455,Engine!$C$2:$C$679,0)))</f>
        <v/>
      </c>
      <c r="P468">
        <f>IF(ISNA(MATCH(455,Engine!$C$2:$C$679,0)),"",HYPERLINK(INDEX('Compliance Database'!$P$2:$P$679,MATCH(455,Engine!$C$2:$C$679,0)),"Open PDF"))</f>
        <v/>
      </c>
    </row>
    <row r="469">
      <c r="A469">
        <f>IF(ISNA(MATCH(456,Engine!$C$2:$C$679,0)),"",INDEX('Compliance Database'!$A$2:$A$679,MATCH(456,Engine!$C$2:$C$679,0)))</f>
        <v/>
      </c>
      <c r="B469">
        <f>IF(ISNA(MATCH(456,Engine!$C$2:$C$679,0)),"",INDEX('Compliance Database'!$B$2:$B$679,MATCH(456,Engine!$C$2:$C$679,0)))</f>
        <v/>
      </c>
      <c r="C469">
        <f>IF(ISNA(MATCH(456,Engine!$C$2:$C$679,0)),"",INDEX('Compliance Database'!$C$2:$C$679,MATCH(456,Engine!$C$2:$C$679,0)))</f>
        <v/>
      </c>
      <c r="D469" s="8">
        <f>IF(ISNA(MATCH(456,Engine!$C$2:$C$679,0)),"",INDEX('Compliance Database'!$D$2:$D$679,MATCH(456,Engine!$C$2:$C$679,0)))</f>
        <v/>
      </c>
      <c r="E469">
        <f>IF(ISNA(MATCH(456,Engine!$C$2:$C$679,0)),"",INDEX('Compliance Database'!$E$2:$E$679,MATCH(456,Engine!$C$2:$C$679,0)))</f>
        <v/>
      </c>
      <c r="F469">
        <f>IF(ISNA(MATCH(456,Engine!$C$2:$C$679,0)),"",INDEX('Compliance Database'!$F$2:$F$679,MATCH(456,Engine!$C$2:$C$679,0)))</f>
        <v/>
      </c>
      <c r="G469">
        <f>IF(ISNA(MATCH(456,Engine!$C$2:$C$679,0)),"",INDEX('Compliance Database'!$G$2:$G$679,MATCH(456,Engine!$C$2:$C$679,0)))</f>
        <v/>
      </c>
      <c r="H469">
        <f>IF(ISNA(MATCH(456,Engine!$C$2:$C$679,0)),"",INDEX('Compliance Database'!$H$2:$H$679,MATCH(456,Engine!$C$2:$C$679,0)))</f>
        <v/>
      </c>
      <c r="I469" s="8">
        <f>IF(ISNA(MATCH(456,Engine!$C$2:$C$679,0)),"",INDEX('Compliance Database'!$I$2:$I$679,MATCH(456,Engine!$C$2:$C$679,0)))</f>
        <v/>
      </c>
      <c r="J469" s="8">
        <f>IF(ISNA(MATCH(456,Engine!$C$2:$C$679,0)),"",INDEX('Compliance Database'!$J$2:$J$679,MATCH(456,Engine!$C$2:$C$679,0)))</f>
        <v/>
      </c>
      <c r="K469">
        <f>IF(ISNA(MATCH(456,Engine!$C$2:$C$679,0)),"",INDEX('Compliance Database'!$K$2:$K$679,MATCH(456,Engine!$C$2:$C$679,0)))</f>
        <v/>
      </c>
      <c r="L469" s="8">
        <f>IF(ISNA(MATCH(456,Engine!$C$2:$C$679,0)),"",INDEX('Compliance Database'!$L$2:$L$679,MATCH(456,Engine!$C$2:$C$679,0)))</f>
        <v/>
      </c>
      <c r="M469" s="8">
        <f>IF(ISNA(MATCH(456,Engine!$C$2:$C$679,0)),"",INDEX('Compliance Database'!$M$2:$M$679,MATCH(456,Engine!$C$2:$C$679,0)))</f>
        <v/>
      </c>
      <c r="N469" s="8">
        <f>IF(ISNA(MATCH(456,Engine!$C$2:$C$679,0)),"",INDEX('Compliance Database'!$N$2:$N$679,MATCH(456,Engine!$C$2:$C$679,0)))</f>
        <v/>
      </c>
      <c r="O469" s="8">
        <f>IF(ISNA(MATCH(456,Engine!$C$2:$C$679,0)),"",INDEX('Compliance Database'!$O$2:$O$679,MATCH(456,Engine!$C$2:$C$679,0)))</f>
        <v/>
      </c>
      <c r="P469">
        <f>IF(ISNA(MATCH(456,Engine!$C$2:$C$679,0)),"",HYPERLINK(INDEX('Compliance Database'!$P$2:$P$679,MATCH(456,Engine!$C$2:$C$679,0)),"Open PDF"))</f>
        <v/>
      </c>
    </row>
    <row r="470">
      <c r="A470">
        <f>IF(ISNA(MATCH(457,Engine!$C$2:$C$679,0)),"",INDEX('Compliance Database'!$A$2:$A$679,MATCH(457,Engine!$C$2:$C$679,0)))</f>
        <v/>
      </c>
      <c r="B470">
        <f>IF(ISNA(MATCH(457,Engine!$C$2:$C$679,0)),"",INDEX('Compliance Database'!$B$2:$B$679,MATCH(457,Engine!$C$2:$C$679,0)))</f>
        <v/>
      </c>
      <c r="C470">
        <f>IF(ISNA(MATCH(457,Engine!$C$2:$C$679,0)),"",INDEX('Compliance Database'!$C$2:$C$679,MATCH(457,Engine!$C$2:$C$679,0)))</f>
        <v/>
      </c>
      <c r="D470" s="8">
        <f>IF(ISNA(MATCH(457,Engine!$C$2:$C$679,0)),"",INDEX('Compliance Database'!$D$2:$D$679,MATCH(457,Engine!$C$2:$C$679,0)))</f>
        <v/>
      </c>
      <c r="E470">
        <f>IF(ISNA(MATCH(457,Engine!$C$2:$C$679,0)),"",INDEX('Compliance Database'!$E$2:$E$679,MATCH(457,Engine!$C$2:$C$679,0)))</f>
        <v/>
      </c>
      <c r="F470">
        <f>IF(ISNA(MATCH(457,Engine!$C$2:$C$679,0)),"",INDEX('Compliance Database'!$F$2:$F$679,MATCH(457,Engine!$C$2:$C$679,0)))</f>
        <v/>
      </c>
      <c r="G470">
        <f>IF(ISNA(MATCH(457,Engine!$C$2:$C$679,0)),"",INDEX('Compliance Database'!$G$2:$G$679,MATCH(457,Engine!$C$2:$C$679,0)))</f>
        <v/>
      </c>
      <c r="H470">
        <f>IF(ISNA(MATCH(457,Engine!$C$2:$C$679,0)),"",INDEX('Compliance Database'!$H$2:$H$679,MATCH(457,Engine!$C$2:$C$679,0)))</f>
        <v/>
      </c>
      <c r="I470" s="8">
        <f>IF(ISNA(MATCH(457,Engine!$C$2:$C$679,0)),"",INDEX('Compliance Database'!$I$2:$I$679,MATCH(457,Engine!$C$2:$C$679,0)))</f>
        <v/>
      </c>
      <c r="J470" s="8">
        <f>IF(ISNA(MATCH(457,Engine!$C$2:$C$679,0)),"",INDEX('Compliance Database'!$J$2:$J$679,MATCH(457,Engine!$C$2:$C$679,0)))</f>
        <v/>
      </c>
      <c r="K470">
        <f>IF(ISNA(MATCH(457,Engine!$C$2:$C$679,0)),"",INDEX('Compliance Database'!$K$2:$K$679,MATCH(457,Engine!$C$2:$C$679,0)))</f>
        <v/>
      </c>
      <c r="L470" s="8">
        <f>IF(ISNA(MATCH(457,Engine!$C$2:$C$679,0)),"",INDEX('Compliance Database'!$L$2:$L$679,MATCH(457,Engine!$C$2:$C$679,0)))</f>
        <v/>
      </c>
      <c r="M470" s="8">
        <f>IF(ISNA(MATCH(457,Engine!$C$2:$C$679,0)),"",INDEX('Compliance Database'!$M$2:$M$679,MATCH(457,Engine!$C$2:$C$679,0)))</f>
        <v/>
      </c>
      <c r="N470" s="8">
        <f>IF(ISNA(MATCH(457,Engine!$C$2:$C$679,0)),"",INDEX('Compliance Database'!$N$2:$N$679,MATCH(457,Engine!$C$2:$C$679,0)))</f>
        <v/>
      </c>
      <c r="O470" s="8">
        <f>IF(ISNA(MATCH(457,Engine!$C$2:$C$679,0)),"",INDEX('Compliance Database'!$O$2:$O$679,MATCH(457,Engine!$C$2:$C$679,0)))</f>
        <v/>
      </c>
      <c r="P470">
        <f>IF(ISNA(MATCH(457,Engine!$C$2:$C$679,0)),"",HYPERLINK(INDEX('Compliance Database'!$P$2:$P$679,MATCH(457,Engine!$C$2:$C$679,0)),"Open PDF"))</f>
        <v/>
      </c>
    </row>
    <row r="471">
      <c r="A471">
        <f>IF(ISNA(MATCH(458,Engine!$C$2:$C$679,0)),"",INDEX('Compliance Database'!$A$2:$A$679,MATCH(458,Engine!$C$2:$C$679,0)))</f>
        <v/>
      </c>
      <c r="B471">
        <f>IF(ISNA(MATCH(458,Engine!$C$2:$C$679,0)),"",INDEX('Compliance Database'!$B$2:$B$679,MATCH(458,Engine!$C$2:$C$679,0)))</f>
        <v/>
      </c>
      <c r="C471">
        <f>IF(ISNA(MATCH(458,Engine!$C$2:$C$679,0)),"",INDEX('Compliance Database'!$C$2:$C$679,MATCH(458,Engine!$C$2:$C$679,0)))</f>
        <v/>
      </c>
      <c r="D471" s="8">
        <f>IF(ISNA(MATCH(458,Engine!$C$2:$C$679,0)),"",INDEX('Compliance Database'!$D$2:$D$679,MATCH(458,Engine!$C$2:$C$679,0)))</f>
        <v/>
      </c>
      <c r="E471">
        <f>IF(ISNA(MATCH(458,Engine!$C$2:$C$679,0)),"",INDEX('Compliance Database'!$E$2:$E$679,MATCH(458,Engine!$C$2:$C$679,0)))</f>
        <v/>
      </c>
      <c r="F471">
        <f>IF(ISNA(MATCH(458,Engine!$C$2:$C$679,0)),"",INDEX('Compliance Database'!$F$2:$F$679,MATCH(458,Engine!$C$2:$C$679,0)))</f>
        <v/>
      </c>
      <c r="G471">
        <f>IF(ISNA(MATCH(458,Engine!$C$2:$C$679,0)),"",INDEX('Compliance Database'!$G$2:$G$679,MATCH(458,Engine!$C$2:$C$679,0)))</f>
        <v/>
      </c>
      <c r="H471">
        <f>IF(ISNA(MATCH(458,Engine!$C$2:$C$679,0)),"",INDEX('Compliance Database'!$H$2:$H$679,MATCH(458,Engine!$C$2:$C$679,0)))</f>
        <v/>
      </c>
      <c r="I471" s="8">
        <f>IF(ISNA(MATCH(458,Engine!$C$2:$C$679,0)),"",INDEX('Compliance Database'!$I$2:$I$679,MATCH(458,Engine!$C$2:$C$679,0)))</f>
        <v/>
      </c>
      <c r="J471" s="8">
        <f>IF(ISNA(MATCH(458,Engine!$C$2:$C$679,0)),"",INDEX('Compliance Database'!$J$2:$J$679,MATCH(458,Engine!$C$2:$C$679,0)))</f>
        <v/>
      </c>
      <c r="K471">
        <f>IF(ISNA(MATCH(458,Engine!$C$2:$C$679,0)),"",INDEX('Compliance Database'!$K$2:$K$679,MATCH(458,Engine!$C$2:$C$679,0)))</f>
        <v/>
      </c>
      <c r="L471" s="8">
        <f>IF(ISNA(MATCH(458,Engine!$C$2:$C$679,0)),"",INDEX('Compliance Database'!$L$2:$L$679,MATCH(458,Engine!$C$2:$C$679,0)))</f>
        <v/>
      </c>
      <c r="M471" s="8">
        <f>IF(ISNA(MATCH(458,Engine!$C$2:$C$679,0)),"",INDEX('Compliance Database'!$M$2:$M$679,MATCH(458,Engine!$C$2:$C$679,0)))</f>
        <v/>
      </c>
      <c r="N471" s="8">
        <f>IF(ISNA(MATCH(458,Engine!$C$2:$C$679,0)),"",INDEX('Compliance Database'!$N$2:$N$679,MATCH(458,Engine!$C$2:$C$679,0)))</f>
        <v/>
      </c>
      <c r="O471" s="8">
        <f>IF(ISNA(MATCH(458,Engine!$C$2:$C$679,0)),"",INDEX('Compliance Database'!$O$2:$O$679,MATCH(458,Engine!$C$2:$C$679,0)))</f>
        <v/>
      </c>
      <c r="P471">
        <f>IF(ISNA(MATCH(458,Engine!$C$2:$C$679,0)),"",HYPERLINK(INDEX('Compliance Database'!$P$2:$P$679,MATCH(458,Engine!$C$2:$C$679,0)),"Open PDF"))</f>
        <v/>
      </c>
    </row>
    <row r="472">
      <c r="A472">
        <f>IF(ISNA(MATCH(459,Engine!$C$2:$C$679,0)),"",INDEX('Compliance Database'!$A$2:$A$679,MATCH(459,Engine!$C$2:$C$679,0)))</f>
        <v/>
      </c>
      <c r="B472">
        <f>IF(ISNA(MATCH(459,Engine!$C$2:$C$679,0)),"",INDEX('Compliance Database'!$B$2:$B$679,MATCH(459,Engine!$C$2:$C$679,0)))</f>
        <v/>
      </c>
      <c r="C472">
        <f>IF(ISNA(MATCH(459,Engine!$C$2:$C$679,0)),"",INDEX('Compliance Database'!$C$2:$C$679,MATCH(459,Engine!$C$2:$C$679,0)))</f>
        <v/>
      </c>
      <c r="D472" s="8">
        <f>IF(ISNA(MATCH(459,Engine!$C$2:$C$679,0)),"",INDEX('Compliance Database'!$D$2:$D$679,MATCH(459,Engine!$C$2:$C$679,0)))</f>
        <v/>
      </c>
      <c r="E472">
        <f>IF(ISNA(MATCH(459,Engine!$C$2:$C$679,0)),"",INDEX('Compliance Database'!$E$2:$E$679,MATCH(459,Engine!$C$2:$C$679,0)))</f>
        <v/>
      </c>
      <c r="F472">
        <f>IF(ISNA(MATCH(459,Engine!$C$2:$C$679,0)),"",INDEX('Compliance Database'!$F$2:$F$679,MATCH(459,Engine!$C$2:$C$679,0)))</f>
        <v/>
      </c>
      <c r="G472">
        <f>IF(ISNA(MATCH(459,Engine!$C$2:$C$679,0)),"",INDEX('Compliance Database'!$G$2:$G$679,MATCH(459,Engine!$C$2:$C$679,0)))</f>
        <v/>
      </c>
      <c r="H472">
        <f>IF(ISNA(MATCH(459,Engine!$C$2:$C$679,0)),"",INDEX('Compliance Database'!$H$2:$H$679,MATCH(459,Engine!$C$2:$C$679,0)))</f>
        <v/>
      </c>
      <c r="I472" s="8">
        <f>IF(ISNA(MATCH(459,Engine!$C$2:$C$679,0)),"",INDEX('Compliance Database'!$I$2:$I$679,MATCH(459,Engine!$C$2:$C$679,0)))</f>
        <v/>
      </c>
      <c r="J472" s="8">
        <f>IF(ISNA(MATCH(459,Engine!$C$2:$C$679,0)),"",INDEX('Compliance Database'!$J$2:$J$679,MATCH(459,Engine!$C$2:$C$679,0)))</f>
        <v/>
      </c>
      <c r="K472">
        <f>IF(ISNA(MATCH(459,Engine!$C$2:$C$679,0)),"",INDEX('Compliance Database'!$K$2:$K$679,MATCH(459,Engine!$C$2:$C$679,0)))</f>
        <v/>
      </c>
      <c r="L472" s="8">
        <f>IF(ISNA(MATCH(459,Engine!$C$2:$C$679,0)),"",INDEX('Compliance Database'!$L$2:$L$679,MATCH(459,Engine!$C$2:$C$679,0)))</f>
        <v/>
      </c>
      <c r="M472" s="8">
        <f>IF(ISNA(MATCH(459,Engine!$C$2:$C$679,0)),"",INDEX('Compliance Database'!$M$2:$M$679,MATCH(459,Engine!$C$2:$C$679,0)))</f>
        <v/>
      </c>
      <c r="N472" s="8">
        <f>IF(ISNA(MATCH(459,Engine!$C$2:$C$679,0)),"",INDEX('Compliance Database'!$N$2:$N$679,MATCH(459,Engine!$C$2:$C$679,0)))</f>
        <v/>
      </c>
      <c r="O472" s="8">
        <f>IF(ISNA(MATCH(459,Engine!$C$2:$C$679,0)),"",INDEX('Compliance Database'!$O$2:$O$679,MATCH(459,Engine!$C$2:$C$679,0)))</f>
        <v/>
      </c>
      <c r="P472">
        <f>IF(ISNA(MATCH(459,Engine!$C$2:$C$679,0)),"",HYPERLINK(INDEX('Compliance Database'!$P$2:$P$679,MATCH(459,Engine!$C$2:$C$679,0)),"Open PDF"))</f>
        <v/>
      </c>
    </row>
    <row r="473">
      <c r="A473">
        <f>IF(ISNA(MATCH(460,Engine!$C$2:$C$679,0)),"",INDEX('Compliance Database'!$A$2:$A$679,MATCH(460,Engine!$C$2:$C$679,0)))</f>
        <v/>
      </c>
      <c r="B473">
        <f>IF(ISNA(MATCH(460,Engine!$C$2:$C$679,0)),"",INDEX('Compliance Database'!$B$2:$B$679,MATCH(460,Engine!$C$2:$C$679,0)))</f>
        <v/>
      </c>
      <c r="C473">
        <f>IF(ISNA(MATCH(460,Engine!$C$2:$C$679,0)),"",INDEX('Compliance Database'!$C$2:$C$679,MATCH(460,Engine!$C$2:$C$679,0)))</f>
        <v/>
      </c>
      <c r="D473" s="8">
        <f>IF(ISNA(MATCH(460,Engine!$C$2:$C$679,0)),"",INDEX('Compliance Database'!$D$2:$D$679,MATCH(460,Engine!$C$2:$C$679,0)))</f>
        <v/>
      </c>
      <c r="E473">
        <f>IF(ISNA(MATCH(460,Engine!$C$2:$C$679,0)),"",INDEX('Compliance Database'!$E$2:$E$679,MATCH(460,Engine!$C$2:$C$679,0)))</f>
        <v/>
      </c>
      <c r="F473">
        <f>IF(ISNA(MATCH(460,Engine!$C$2:$C$679,0)),"",INDEX('Compliance Database'!$F$2:$F$679,MATCH(460,Engine!$C$2:$C$679,0)))</f>
        <v/>
      </c>
      <c r="G473">
        <f>IF(ISNA(MATCH(460,Engine!$C$2:$C$679,0)),"",INDEX('Compliance Database'!$G$2:$G$679,MATCH(460,Engine!$C$2:$C$679,0)))</f>
        <v/>
      </c>
      <c r="H473">
        <f>IF(ISNA(MATCH(460,Engine!$C$2:$C$679,0)),"",INDEX('Compliance Database'!$H$2:$H$679,MATCH(460,Engine!$C$2:$C$679,0)))</f>
        <v/>
      </c>
      <c r="I473" s="8">
        <f>IF(ISNA(MATCH(460,Engine!$C$2:$C$679,0)),"",INDEX('Compliance Database'!$I$2:$I$679,MATCH(460,Engine!$C$2:$C$679,0)))</f>
        <v/>
      </c>
      <c r="J473" s="8">
        <f>IF(ISNA(MATCH(460,Engine!$C$2:$C$679,0)),"",INDEX('Compliance Database'!$J$2:$J$679,MATCH(460,Engine!$C$2:$C$679,0)))</f>
        <v/>
      </c>
      <c r="K473">
        <f>IF(ISNA(MATCH(460,Engine!$C$2:$C$679,0)),"",INDEX('Compliance Database'!$K$2:$K$679,MATCH(460,Engine!$C$2:$C$679,0)))</f>
        <v/>
      </c>
      <c r="L473" s="8">
        <f>IF(ISNA(MATCH(460,Engine!$C$2:$C$679,0)),"",INDEX('Compliance Database'!$L$2:$L$679,MATCH(460,Engine!$C$2:$C$679,0)))</f>
        <v/>
      </c>
      <c r="M473" s="8">
        <f>IF(ISNA(MATCH(460,Engine!$C$2:$C$679,0)),"",INDEX('Compliance Database'!$M$2:$M$679,MATCH(460,Engine!$C$2:$C$679,0)))</f>
        <v/>
      </c>
      <c r="N473" s="8">
        <f>IF(ISNA(MATCH(460,Engine!$C$2:$C$679,0)),"",INDEX('Compliance Database'!$N$2:$N$679,MATCH(460,Engine!$C$2:$C$679,0)))</f>
        <v/>
      </c>
      <c r="O473" s="8">
        <f>IF(ISNA(MATCH(460,Engine!$C$2:$C$679,0)),"",INDEX('Compliance Database'!$O$2:$O$679,MATCH(460,Engine!$C$2:$C$679,0)))</f>
        <v/>
      </c>
      <c r="P473">
        <f>IF(ISNA(MATCH(460,Engine!$C$2:$C$679,0)),"",HYPERLINK(INDEX('Compliance Database'!$P$2:$P$679,MATCH(460,Engine!$C$2:$C$679,0)),"Open PDF"))</f>
        <v/>
      </c>
    </row>
    <row r="474">
      <c r="A474">
        <f>IF(ISNA(MATCH(461,Engine!$C$2:$C$679,0)),"",INDEX('Compliance Database'!$A$2:$A$679,MATCH(461,Engine!$C$2:$C$679,0)))</f>
        <v/>
      </c>
      <c r="B474">
        <f>IF(ISNA(MATCH(461,Engine!$C$2:$C$679,0)),"",INDEX('Compliance Database'!$B$2:$B$679,MATCH(461,Engine!$C$2:$C$679,0)))</f>
        <v/>
      </c>
      <c r="C474">
        <f>IF(ISNA(MATCH(461,Engine!$C$2:$C$679,0)),"",INDEX('Compliance Database'!$C$2:$C$679,MATCH(461,Engine!$C$2:$C$679,0)))</f>
        <v/>
      </c>
      <c r="D474" s="8">
        <f>IF(ISNA(MATCH(461,Engine!$C$2:$C$679,0)),"",INDEX('Compliance Database'!$D$2:$D$679,MATCH(461,Engine!$C$2:$C$679,0)))</f>
        <v/>
      </c>
      <c r="E474">
        <f>IF(ISNA(MATCH(461,Engine!$C$2:$C$679,0)),"",INDEX('Compliance Database'!$E$2:$E$679,MATCH(461,Engine!$C$2:$C$679,0)))</f>
        <v/>
      </c>
      <c r="F474">
        <f>IF(ISNA(MATCH(461,Engine!$C$2:$C$679,0)),"",INDEX('Compliance Database'!$F$2:$F$679,MATCH(461,Engine!$C$2:$C$679,0)))</f>
        <v/>
      </c>
      <c r="G474">
        <f>IF(ISNA(MATCH(461,Engine!$C$2:$C$679,0)),"",INDEX('Compliance Database'!$G$2:$G$679,MATCH(461,Engine!$C$2:$C$679,0)))</f>
        <v/>
      </c>
      <c r="H474">
        <f>IF(ISNA(MATCH(461,Engine!$C$2:$C$679,0)),"",INDEX('Compliance Database'!$H$2:$H$679,MATCH(461,Engine!$C$2:$C$679,0)))</f>
        <v/>
      </c>
      <c r="I474" s="8">
        <f>IF(ISNA(MATCH(461,Engine!$C$2:$C$679,0)),"",INDEX('Compliance Database'!$I$2:$I$679,MATCH(461,Engine!$C$2:$C$679,0)))</f>
        <v/>
      </c>
      <c r="J474" s="8">
        <f>IF(ISNA(MATCH(461,Engine!$C$2:$C$679,0)),"",INDEX('Compliance Database'!$J$2:$J$679,MATCH(461,Engine!$C$2:$C$679,0)))</f>
        <v/>
      </c>
      <c r="K474">
        <f>IF(ISNA(MATCH(461,Engine!$C$2:$C$679,0)),"",INDEX('Compliance Database'!$K$2:$K$679,MATCH(461,Engine!$C$2:$C$679,0)))</f>
        <v/>
      </c>
      <c r="L474" s="8">
        <f>IF(ISNA(MATCH(461,Engine!$C$2:$C$679,0)),"",INDEX('Compliance Database'!$L$2:$L$679,MATCH(461,Engine!$C$2:$C$679,0)))</f>
        <v/>
      </c>
      <c r="M474" s="8">
        <f>IF(ISNA(MATCH(461,Engine!$C$2:$C$679,0)),"",INDEX('Compliance Database'!$M$2:$M$679,MATCH(461,Engine!$C$2:$C$679,0)))</f>
        <v/>
      </c>
      <c r="N474" s="8">
        <f>IF(ISNA(MATCH(461,Engine!$C$2:$C$679,0)),"",INDEX('Compliance Database'!$N$2:$N$679,MATCH(461,Engine!$C$2:$C$679,0)))</f>
        <v/>
      </c>
      <c r="O474" s="8">
        <f>IF(ISNA(MATCH(461,Engine!$C$2:$C$679,0)),"",INDEX('Compliance Database'!$O$2:$O$679,MATCH(461,Engine!$C$2:$C$679,0)))</f>
        <v/>
      </c>
      <c r="P474">
        <f>IF(ISNA(MATCH(461,Engine!$C$2:$C$679,0)),"",HYPERLINK(INDEX('Compliance Database'!$P$2:$P$679,MATCH(461,Engine!$C$2:$C$679,0)),"Open PDF"))</f>
        <v/>
      </c>
    </row>
    <row r="475">
      <c r="A475">
        <f>IF(ISNA(MATCH(462,Engine!$C$2:$C$679,0)),"",INDEX('Compliance Database'!$A$2:$A$679,MATCH(462,Engine!$C$2:$C$679,0)))</f>
        <v/>
      </c>
      <c r="B475">
        <f>IF(ISNA(MATCH(462,Engine!$C$2:$C$679,0)),"",INDEX('Compliance Database'!$B$2:$B$679,MATCH(462,Engine!$C$2:$C$679,0)))</f>
        <v/>
      </c>
      <c r="C475">
        <f>IF(ISNA(MATCH(462,Engine!$C$2:$C$679,0)),"",INDEX('Compliance Database'!$C$2:$C$679,MATCH(462,Engine!$C$2:$C$679,0)))</f>
        <v/>
      </c>
      <c r="D475" s="8">
        <f>IF(ISNA(MATCH(462,Engine!$C$2:$C$679,0)),"",INDEX('Compliance Database'!$D$2:$D$679,MATCH(462,Engine!$C$2:$C$679,0)))</f>
        <v/>
      </c>
      <c r="E475">
        <f>IF(ISNA(MATCH(462,Engine!$C$2:$C$679,0)),"",INDEX('Compliance Database'!$E$2:$E$679,MATCH(462,Engine!$C$2:$C$679,0)))</f>
        <v/>
      </c>
      <c r="F475">
        <f>IF(ISNA(MATCH(462,Engine!$C$2:$C$679,0)),"",INDEX('Compliance Database'!$F$2:$F$679,MATCH(462,Engine!$C$2:$C$679,0)))</f>
        <v/>
      </c>
      <c r="G475">
        <f>IF(ISNA(MATCH(462,Engine!$C$2:$C$679,0)),"",INDEX('Compliance Database'!$G$2:$G$679,MATCH(462,Engine!$C$2:$C$679,0)))</f>
        <v/>
      </c>
      <c r="H475">
        <f>IF(ISNA(MATCH(462,Engine!$C$2:$C$679,0)),"",INDEX('Compliance Database'!$H$2:$H$679,MATCH(462,Engine!$C$2:$C$679,0)))</f>
        <v/>
      </c>
      <c r="I475" s="8">
        <f>IF(ISNA(MATCH(462,Engine!$C$2:$C$679,0)),"",INDEX('Compliance Database'!$I$2:$I$679,MATCH(462,Engine!$C$2:$C$679,0)))</f>
        <v/>
      </c>
      <c r="J475" s="8">
        <f>IF(ISNA(MATCH(462,Engine!$C$2:$C$679,0)),"",INDEX('Compliance Database'!$J$2:$J$679,MATCH(462,Engine!$C$2:$C$679,0)))</f>
        <v/>
      </c>
      <c r="K475">
        <f>IF(ISNA(MATCH(462,Engine!$C$2:$C$679,0)),"",INDEX('Compliance Database'!$K$2:$K$679,MATCH(462,Engine!$C$2:$C$679,0)))</f>
        <v/>
      </c>
      <c r="L475" s="8">
        <f>IF(ISNA(MATCH(462,Engine!$C$2:$C$679,0)),"",INDEX('Compliance Database'!$L$2:$L$679,MATCH(462,Engine!$C$2:$C$679,0)))</f>
        <v/>
      </c>
      <c r="M475" s="8">
        <f>IF(ISNA(MATCH(462,Engine!$C$2:$C$679,0)),"",INDEX('Compliance Database'!$M$2:$M$679,MATCH(462,Engine!$C$2:$C$679,0)))</f>
        <v/>
      </c>
      <c r="N475" s="8">
        <f>IF(ISNA(MATCH(462,Engine!$C$2:$C$679,0)),"",INDEX('Compliance Database'!$N$2:$N$679,MATCH(462,Engine!$C$2:$C$679,0)))</f>
        <v/>
      </c>
      <c r="O475" s="8">
        <f>IF(ISNA(MATCH(462,Engine!$C$2:$C$679,0)),"",INDEX('Compliance Database'!$O$2:$O$679,MATCH(462,Engine!$C$2:$C$679,0)))</f>
        <v/>
      </c>
      <c r="P475">
        <f>IF(ISNA(MATCH(462,Engine!$C$2:$C$679,0)),"",HYPERLINK(INDEX('Compliance Database'!$P$2:$P$679,MATCH(462,Engine!$C$2:$C$679,0)),"Open PDF"))</f>
        <v/>
      </c>
    </row>
    <row r="476">
      <c r="A476">
        <f>IF(ISNA(MATCH(463,Engine!$C$2:$C$679,0)),"",INDEX('Compliance Database'!$A$2:$A$679,MATCH(463,Engine!$C$2:$C$679,0)))</f>
        <v/>
      </c>
      <c r="B476">
        <f>IF(ISNA(MATCH(463,Engine!$C$2:$C$679,0)),"",INDEX('Compliance Database'!$B$2:$B$679,MATCH(463,Engine!$C$2:$C$679,0)))</f>
        <v/>
      </c>
      <c r="C476">
        <f>IF(ISNA(MATCH(463,Engine!$C$2:$C$679,0)),"",INDEX('Compliance Database'!$C$2:$C$679,MATCH(463,Engine!$C$2:$C$679,0)))</f>
        <v/>
      </c>
      <c r="D476" s="8">
        <f>IF(ISNA(MATCH(463,Engine!$C$2:$C$679,0)),"",INDEX('Compliance Database'!$D$2:$D$679,MATCH(463,Engine!$C$2:$C$679,0)))</f>
        <v/>
      </c>
      <c r="E476">
        <f>IF(ISNA(MATCH(463,Engine!$C$2:$C$679,0)),"",INDEX('Compliance Database'!$E$2:$E$679,MATCH(463,Engine!$C$2:$C$679,0)))</f>
        <v/>
      </c>
      <c r="F476">
        <f>IF(ISNA(MATCH(463,Engine!$C$2:$C$679,0)),"",INDEX('Compliance Database'!$F$2:$F$679,MATCH(463,Engine!$C$2:$C$679,0)))</f>
        <v/>
      </c>
      <c r="G476">
        <f>IF(ISNA(MATCH(463,Engine!$C$2:$C$679,0)),"",INDEX('Compliance Database'!$G$2:$G$679,MATCH(463,Engine!$C$2:$C$679,0)))</f>
        <v/>
      </c>
      <c r="H476">
        <f>IF(ISNA(MATCH(463,Engine!$C$2:$C$679,0)),"",INDEX('Compliance Database'!$H$2:$H$679,MATCH(463,Engine!$C$2:$C$679,0)))</f>
        <v/>
      </c>
      <c r="I476" s="8">
        <f>IF(ISNA(MATCH(463,Engine!$C$2:$C$679,0)),"",INDEX('Compliance Database'!$I$2:$I$679,MATCH(463,Engine!$C$2:$C$679,0)))</f>
        <v/>
      </c>
      <c r="J476" s="8">
        <f>IF(ISNA(MATCH(463,Engine!$C$2:$C$679,0)),"",INDEX('Compliance Database'!$J$2:$J$679,MATCH(463,Engine!$C$2:$C$679,0)))</f>
        <v/>
      </c>
      <c r="K476">
        <f>IF(ISNA(MATCH(463,Engine!$C$2:$C$679,0)),"",INDEX('Compliance Database'!$K$2:$K$679,MATCH(463,Engine!$C$2:$C$679,0)))</f>
        <v/>
      </c>
      <c r="L476" s="8">
        <f>IF(ISNA(MATCH(463,Engine!$C$2:$C$679,0)),"",INDEX('Compliance Database'!$L$2:$L$679,MATCH(463,Engine!$C$2:$C$679,0)))</f>
        <v/>
      </c>
      <c r="M476" s="8">
        <f>IF(ISNA(MATCH(463,Engine!$C$2:$C$679,0)),"",INDEX('Compliance Database'!$M$2:$M$679,MATCH(463,Engine!$C$2:$C$679,0)))</f>
        <v/>
      </c>
      <c r="N476" s="8">
        <f>IF(ISNA(MATCH(463,Engine!$C$2:$C$679,0)),"",INDEX('Compliance Database'!$N$2:$N$679,MATCH(463,Engine!$C$2:$C$679,0)))</f>
        <v/>
      </c>
      <c r="O476" s="8">
        <f>IF(ISNA(MATCH(463,Engine!$C$2:$C$679,0)),"",INDEX('Compliance Database'!$O$2:$O$679,MATCH(463,Engine!$C$2:$C$679,0)))</f>
        <v/>
      </c>
      <c r="P476">
        <f>IF(ISNA(MATCH(463,Engine!$C$2:$C$679,0)),"",HYPERLINK(INDEX('Compliance Database'!$P$2:$P$679,MATCH(463,Engine!$C$2:$C$679,0)),"Open PDF"))</f>
        <v/>
      </c>
    </row>
    <row r="477">
      <c r="A477">
        <f>IF(ISNA(MATCH(464,Engine!$C$2:$C$679,0)),"",INDEX('Compliance Database'!$A$2:$A$679,MATCH(464,Engine!$C$2:$C$679,0)))</f>
        <v/>
      </c>
      <c r="B477">
        <f>IF(ISNA(MATCH(464,Engine!$C$2:$C$679,0)),"",INDEX('Compliance Database'!$B$2:$B$679,MATCH(464,Engine!$C$2:$C$679,0)))</f>
        <v/>
      </c>
      <c r="C477">
        <f>IF(ISNA(MATCH(464,Engine!$C$2:$C$679,0)),"",INDEX('Compliance Database'!$C$2:$C$679,MATCH(464,Engine!$C$2:$C$679,0)))</f>
        <v/>
      </c>
      <c r="D477" s="8">
        <f>IF(ISNA(MATCH(464,Engine!$C$2:$C$679,0)),"",INDEX('Compliance Database'!$D$2:$D$679,MATCH(464,Engine!$C$2:$C$679,0)))</f>
        <v/>
      </c>
      <c r="E477">
        <f>IF(ISNA(MATCH(464,Engine!$C$2:$C$679,0)),"",INDEX('Compliance Database'!$E$2:$E$679,MATCH(464,Engine!$C$2:$C$679,0)))</f>
        <v/>
      </c>
      <c r="F477">
        <f>IF(ISNA(MATCH(464,Engine!$C$2:$C$679,0)),"",INDEX('Compliance Database'!$F$2:$F$679,MATCH(464,Engine!$C$2:$C$679,0)))</f>
        <v/>
      </c>
      <c r="G477">
        <f>IF(ISNA(MATCH(464,Engine!$C$2:$C$679,0)),"",INDEX('Compliance Database'!$G$2:$G$679,MATCH(464,Engine!$C$2:$C$679,0)))</f>
        <v/>
      </c>
      <c r="H477">
        <f>IF(ISNA(MATCH(464,Engine!$C$2:$C$679,0)),"",INDEX('Compliance Database'!$H$2:$H$679,MATCH(464,Engine!$C$2:$C$679,0)))</f>
        <v/>
      </c>
      <c r="I477" s="8">
        <f>IF(ISNA(MATCH(464,Engine!$C$2:$C$679,0)),"",INDEX('Compliance Database'!$I$2:$I$679,MATCH(464,Engine!$C$2:$C$679,0)))</f>
        <v/>
      </c>
      <c r="J477" s="8">
        <f>IF(ISNA(MATCH(464,Engine!$C$2:$C$679,0)),"",INDEX('Compliance Database'!$J$2:$J$679,MATCH(464,Engine!$C$2:$C$679,0)))</f>
        <v/>
      </c>
      <c r="K477">
        <f>IF(ISNA(MATCH(464,Engine!$C$2:$C$679,0)),"",INDEX('Compliance Database'!$K$2:$K$679,MATCH(464,Engine!$C$2:$C$679,0)))</f>
        <v/>
      </c>
      <c r="L477" s="8">
        <f>IF(ISNA(MATCH(464,Engine!$C$2:$C$679,0)),"",INDEX('Compliance Database'!$L$2:$L$679,MATCH(464,Engine!$C$2:$C$679,0)))</f>
        <v/>
      </c>
      <c r="M477" s="8">
        <f>IF(ISNA(MATCH(464,Engine!$C$2:$C$679,0)),"",INDEX('Compliance Database'!$M$2:$M$679,MATCH(464,Engine!$C$2:$C$679,0)))</f>
        <v/>
      </c>
      <c r="N477" s="8">
        <f>IF(ISNA(MATCH(464,Engine!$C$2:$C$679,0)),"",INDEX('Compliance Database'!$N$2:$N$679,MATCH(464,Engine!$C$2:$C$679,0)))</f>
        <v/>
      </c>
      <c r="O477" s="8">
        <f>IF(ISNA(MATCH(464,Engine!$C$2:$C$679,0)),"",INDEX('Compliance Database'!$O$2:$O$679,MATCH(464,Engine!$C$2:$C$679,0)))</f>
        <v/>
      </c>
      <c r="P477">
        <f>IF(ISNA(MATCH(464,Engine!$C$2:$C$679,0)),"",HYPERLINK(INDEX('Compliance Database'!$P$2:$P$679,MATCH(464,Engine!$C$2:$C$679,0)),"Open PDF"))</f>
        <v/>
      </c>
    </row>
    <row r="478">
      <c r="A478">
        <f>IF(ISNA(MATCH(465,Engine!$C$2:$C$679,0)),"",INDEX('Compliance Database'!$A$2:$A$679,MATCH(465,Engine!$C$2:$C$679,0)))</f>
        <v/>
      </c>
      <c r="B478">
        <f>IF(ISNA(MATCH(465,Engine!$C$2:$C$679,0)),"",INDEX('Compliance Database'!$B$2:$B$679,MATCH(465,Engine!$C$2:$C$679,0)))</f>
        <v/>
      </c>
      <c r="C478">
        <f>IF(ISNA(MATCH(465,Engine!$C$2:$C$679,0)),"",INDEX('Compliance Database'!$C$2:$C$679,MATCH(465,Engine!$C$2:$C$679,0)))</f>
        <v/>
      </c>
      <c r="D478" s="8">
        <f>IF(ISNA(MATCH(465,Engine!$C$2:$C$679,0)),"",INDEX('Compliance Database'!$D$2:$D$679,MATCH(465,Engine!$C$2:$C$679,0)))</f>
        <v/>
      </c>
      <c r="E478">
        <f>IF(ISNA(MATCH(465,Engine!$C$2:$C$679,0)),"",INDEX('Compliance Database'!$E$2:$E$679,MATCH(465,Engine!$C$2:$C$679,0)))</f>
        <v/>
      </c>
      <c r="F478">
        <f>IF(ISNA(MATCH(465,Engine!$C$2:$C$679,0)),"",INDEX('Compliance Database'!$F$2:$F$679,MATCH(465,Engine!$C$2:$C$679,0)))</f>
        <v/>
      </c>
      <c r="G478">
        <f>IF(ISNA(MATCH(465,Engine!$C$2:$C$679,0)),"",INDEX('Compliance Database'!$G$2:$G$679,MATCH(465,Engine!$C$2:$C$679,0)))</f>
        <v/>
      </c>
      <c r="H478">
        <f>IF(ISNA(MATCH(465,Engine!$C$2:$C$679,0)),"",INDEX('Compliance Database'!$H$2:$H$679,MATCH(465,Engine!$C$2:$C$679,0)))</f>
        <v/>
      </c>
      <c r="I478" s="8">
        <f>IF(ISNA(MATCH(465,Engine!$C$2:$C$679,0)),"",INDEX('Compliance Database'!$I$2:$I$679,MATCH(465,Engine!$C$2:$C$679,0)))</f>
        <v/>
      </c>
      <c r="J478" s="8">
        <f>IF(ISNA(MATCH(465,Engine!$C$2:$C$679,0)),"",INDEX('Compliance Database'!$J$2:$J$679,MATCH(465,Engine!$C$2:$C$679,0)))</f>
        <v/>
      </c>
      <c r="K478">
        <f>IF(ISNA(MATCH(465,Engine!$C$2:$C$679,0)),"",INDEX('Compliance Database'!$K$2:$K$679,MATCH(465,Engine!$C$2:$C$679,0)))</f>
        <v/>
      </c>
      <c r="L478" s="8">
        <f>IF(ISNA(MATCH(465,Engine!$C$2:$C$679,0)),"",INDEX('Compliance Database'!$L$2:$L$679,MATCH(465,Engine!$C$2:$C$679,0)))</f>
        <v/>
      </c>
      <c r="M478" s="8">
        <f>IF(ISNA(MATCH(465,Engine!$C$2:$C$679,0)),"",INDEX('Compliance Database'!$M$2:$M$679,MATCH(465,Engine!$C$2:$C$679,0)))</f>
        <v/>
      </c>
      <c r="N478" s="8">
        <f>IF(ISNA(MATCH(465,Engine!$C$2:$C$679,0)),"",INDEX('Compliance Database'!$N$2:$N$679,MATCH(465,Engine!$C$2:$C$679,0)))</f>
        <v/>
      </c>
      <c r="O478" s="8">
        <f>IF(ISNA(MATCH(465,Engine!$C$2:$C$679,0)),"",INDEX('Compliance Database'!$O$2:$O$679,MATCH(465,Engine!$C$2:$C$679,0)))</f>
        <v/>
      </c>
      <c r="P478">
        <f>IF(ISNA(MATCH(465,Engine!$C$2:$C$679,0)),"",HYPERLINK(INDEX('Compliance Database'!$P$2:$P$679,MATCH(465,Engine!$C$2:$C$679,0)),"Open PDF"))</f>
        <v/>
      </c>
    </row>
    <row r="479">
      <c r="A479">
        <f>IF(ISNA(MATCH(466,Engine!$C$2:$C$679,0)),"",INDEX('Compliance Database'!$A$2:$A$679,MATCH(466,Engine!$C$2:$C$679,0)))</f>
        <v/>
      </c>
      <c r="B479">
        <f>IF(ISNA(MATCH(466,Engine!$C$2:$C$679,0)),"",INDEX('Compliance Database'!$B$2:$B$679,MATCH(466,Engine!$C$2:$C$679,0)))</f>
        <v/>
      </c>
      <c r="C479">
        <f>IF(ISNA(MATCH(466,Engine!$C$2:$C$679,0)),"",INDEX('Compliance Database'!$C$2:$C$679,MATCH(466,Engine!$C$2:$C$679,0)))</f>
        <v/>
      </c>
      <c r="D479" s="8">
        <f>IF(ISNA(MATCH(466,Engine!$C$2:$C$679,0)),"",INDEX('Compliance Database'!$D$2:$D$679,MATCH(466,Engine!$C$2:$C$679,0)))</f>
        <v/>
      </c>
      <c r="E479">
        <f>IF(ISNA(MATCH(466,Engine!$C$2:$C$679,0)),"",INDEX('Compliance Database'!$E$2:$E$679,MATCH(466,Engine!$C$2:$C$679,0)))</f>
        <v/>
      </c>
      <c r="F479">
        <f>IF(ISNA(MATCH(466,Engine!$C$2:$C$679,0)),"",INDEX('Compliance Database'!$F$2:$F$679,MATCH(466,Engine!$C$2:$C$679,0)))</f>
        <v/>
      </c>
      <c r="G479">
        <f>IF(ISNA(MATCH(466,Engine!$C$2:$C$679,0)),"",INDEX('Compliance Database'!$G$2:$G$679,MATCH(466,Engine!$C$2:$C$679,0)))</f>
        <v/>
      </c>
      <c r="H479">
        <f>IF(ISNA(MATCH(466,Engine!$C$2:$C$679,0)),"",INDEX('Compliance Database'!$H$2:$H$679,MATCH(466,Engine!$C$2:$C$679,0)))</f>
        <v/>
      </c>
      <c r="I479" s="8">
        <f>IF(ISNA(MATCH(466,Engine!$C$2:$C$679,0)),"",INDEX('Compliance Database'!$I$2:$I$679,MATCH(466,Engine!$C$2:$C$679,0)))</f>
        <v/>
      </c>
      <c r="J479" s="8">
        <f>IF(ISNA(MATCH(466,Engine!$C$2:$C$679,0)),"",INDEX('Compliance Database'!$J$2:$J$679,MATCH(466,Engine!$C$2:$C$679,0)))</f>
        <v/>
      </c>
      <c r="K479">
        <f>IF(ISNA(MATCH(466,Engine!$C$2:$C$679,0)),"",INDEX('Compliance Database'!$K$2:$K$679,MATCH(466,Engine!$C$2:$C$679,0)))</f>
        <v/>
      </c>
      <c r="L479" s="8">
        <f>IF(ISNA(MATCH(466,Engine!$C$2:$C$679,0)),"",INDEX('Compliance Database'!$L$2:$L$679,MATCH(466,Engine!$C$2:$C$679,0)))</f>
        <v/>
      </c>
      <c r="M479" s="8">
        <f>IF(ISNA(MATCH(466,Engine!$C$2:$C$679,0)),"",INDEX('Compliance Database'!$M$2:$M$679,MATCH(466,Engine!$C$2:$C$679,0)))</f>
        <v/>
      </c>
      <c r="N479" s="8">
        <f>IF(ISNA(MATCH(466,Engine!$C$2:$C$679,0)),"",INDEX('Compliance Database'!$N$2:$N$679,MATCH(466,Engine!$C$2:$C$679,0)))</f>
        <v/>
      </c>
      <c r="O479" s="8">
        <f>IF(ISNA(MATCH(466,Engine!$C$2:$C$679,0)),"",INDEX('Compliance Database'!$O$2:$O$679,MATCH(466,Engine!$C$2:$C$679,0)))</f>
        <v/>
      </c>
      <c r="P479">
        <f>IF(ISNA(MATCH(466,Engine!$C$2:$C$679,0)),"",HYPERLINK(INDEX('Compliance Database'!$P$2:$P$679,MATCH(466,Engine!$C$2:$C$679,0)),"Open PDF"))</f>
        <v/>
      </c>
    </row>
    <row r="480">
      <c r="A480">
        <f>IF(ISNA(MATCH(467,Engine!$C$2:$C$679,0)),"",INDEX('Compliance Database'!$A$2:$A$679,MATCH(467,Engine!$C$2:$C$679,0)))</f>
        <v/>
      </c>
      <c r="B480">
        <f>IF(ISNA(MATCH(467,Engine!$C$2:$C$679,0)),"",INDEX('Compliance Database'!$B$2:$B$679,MATCH(467,Engine!$C$2:$C$679,0)))</f>
        <v/>
      </c>
      <c r="C480">
        <f>IF(ISNA(MATCH(467,Engine!$C$2:$C$679,0)),"",INDEX('Compliance Database'!$C$2:$C$679,MATCH(467,Engine!$C$2:$C$679,0)))</f>
        <v/>
      </c>
      <c r="D480" s="8">
        <f>IF(ISNA(MATCH(467,Engine!$C$2:$C$679,0)),"",INDEX('Compliance Database'!$D$2:$D$679,MATCH(467,Engine!$C$2:$C$679,0)))</f>
        <v/>
      </c>
      <c r="E480">
        <f>IF(ISNA(MATCH(467,Engine!$C$2:$C$679,0)),"",INDEX('Compliance Database'!$E$2:$E$679,MATCH(467,Engine!$C$2:$C$679,0)))</f>
        <v/>
      </c>
      <c r="F480">
        <f>IF(ISNA(MATCH(467,Engine!$C$2:$C$679,0)),"",INDEX('Compliance Database'!$F$2:$F$679,MATCH(467,Engine!$C$2:$C$679,0)))</f>
        <v/>
      </c>
      <c r="G480">
        <f>IF(ISNA(MATCH(467,Engine!$C$2:$C$679,0)),"",INDEX('Compliance Database'!$G$2:$G$679,MATCH(467,Engine!$C$2:$C$679,0)))</f>
        <v/>
      </c>
      <c r="H480">
        <f>IF(ISNA(MATCH(467,Engine!$C$2:$C$679,0)),"",INDEX('Compliance Database'!$H$2:$H$679,MATCH(467,Engine!$C$2:$C$679,0)))</f>
        <v/>
      </c>
      <c r="I480" s="8">
        <f>IF(ISNA(MATCH(467,Engine!$C$2:$C$679,0)),"",INDEX('Compliance Database'!$I$2:$I$679,MATCH(467,Engine!$C$2:$C$679,0)))</f>
        <v/>
      </c>
      <c r="J480" s="8">
        <f>IF(ISNA(MATCH(467,Engine!$C$2:$C$679,0)),"",INDEX('Compliance Database'!$J$2:$J$679,MATCH(467,Engine!$C$2:$C$679,0)))</f>
        <v/>
      </c>
      <c r="K480">
        <f>IF(ISNA(MATCH(467,Engine!$C$2:$C$679,0)),"",INDEX('Compliance Database'!$K$2:$K$679,MATCH(467,Engine!$C$2:$C$679,0)))</f>
        <v/>
      </c>
      <c r="L480" s="8">
        <f>IF(ISNA(MATCH(467,Engine!$C$2:$C$679,0)),"",INDEX('Compliance Database'!$L$2:$L$679,MATCH(467,Engine!$C$2:$C$679,0)))</f>
        <v/>
      </c>
      <c r="M480" s="8">
        <f>IF(ISNA(MATCH(467,Engine!$C$2:$C$679,0)),"",INDEX('Compliance Database'!$M$2:$M$679,MATCH(467,Engine!$C$2:$C$679,0)))</f>
        <v/>
      </c>
      <c r="N480" s="8">
        <f>IF(ISNA(MATCH(467,Engine!$C$2:$C$679,0)),"",INDEX('Compliance Database'!$N$2:$N$679,MATCH(467,Engine!$C$2:$C$679,0)))</f>
        <v/>
      </c>
      <c r="O480" s="8">
        <f>IF(ISNA(MATCH(467,Engine!$C$2:$C$679,0)),"",INDEX('Compliance Database'!$O$2:$O$679,MATCH(467,Engine!$C$2:$C$679,0)))</f>
        <v/>
      </c>
      <c r="P480">
        <f>IF(ISNA(MATCH(467,Engine!$C$2:$C$679,0)),"",HYPERLINK(INDEX('Compliance Database'!$P$2:$P$679,MATCH(467,Engine!$C$2:$C$679,0)),"Open PDF"))</f>
        <v/>
      </c>
    </row>
    <row r="481">
      <c r="A481">
        <f>IF(ISNA(MATCH(468,Engine!$C$2:$C$679,0)),"",INDEX('Compliance Database'!$A$2:$A$679,MATCH(468,Engine!$C$2:$C$679,0)))</f>
        <v/>
      </c>
      <c r="B481">
        <f>IF(ISNA(MATCH(468,Engine!$C$2:$C$679,0)),"",INDEX('Compliance Database'!$B$2:$B$679,MATCH(468,Engine!$C$2:$C$679,0)))</f>
        <v/>
      </c>
      <c r="C481">
        <f>IF(ISNA(MATCH(468,Engine!$C$2:$C$679,0)),"",INDEX('Compliance Database'!$C$2:$C$679,MATCH(468,Engine!$C$2:$C$679,0)))</f>
        <v/>
      </c>
      <c r="D481" s="8">
        <f>IF(ISNA(MATCH(468,Engine!$C$2:$C$679,0)),"",INDEX('Compliance Database'!$D$2:$D$679,MATCH(468,Engine!$C$2:$C$679,0)))</f>
        <v/>
      </c>
      <c r="E481">
        <f>IF(ISNA(MATCH(468,Engine!$C$2:$C$679,0)),"",INDEX('Compliance Database'!$E$2:$E$679,MATCH(468,Engine!$C$2:$C$679,0)))</f>
        <v/>
      </c>
      <c r="F481">
        <f>IF(ISNA(MATCH(468,Engine!$C$2:$C$679,0)),"",INDEX('Compliance Database'!$F$2:$F$679,MATCH(468,Engine!$C$2:$C$679,0)))</f>
        <v/>
      </c>
      <c r="G481">
        <f>IF(ISNA(MATCH(468,Engine!$C$2:$C$679,0)),"",INDEX('Compliance Database'!$G$2:$G$679,MATCH(468,Engine!$C$2:$C$679,0)))</f>
        <v/>
      </c>
      <c r="H481">
        <f>IF(ISNA(MATCH(468,Engine!$C$2:$C$679,0)),"",INDEX('Compliance Database'!$H$2:$H$679,MATCH(468,Engine!$C$2:$C$679,0)))</f>
        <v/>
      </c>
      <c r="I481" s="8">
        <f>IF(ISNA(MATCH(468,Engine!$C$2:$C$679,0)),"",INDEX('Compliance Database'!$I$2:$I$679,MATCH(468,Engine!$C$2:$C$679,0)))</f>
        <v/>
      </c>
      <c r="J481" s="8">
        <f>IF(ISNA(MATCH(468,Engine!$C$2:$C$679,0)),"",INDEX('Compliance Database'!$J$2:$J$679,MATCH(468,Engine!$C$2:$C$679,0)))</f>
        <v/>
      </c>
      <c r="K481">
        <f>IF(ISNA(MATCH(468,Engine!$C$2:$C$679,0)),"",INDEX('Compliance Database'!$K$2:$K$679,MATCH(468,Engine!$C$2:$C$679,0)))</f>
        <v/>
      </c>
      <c r="L481" s="8">
        <f>IF(ISNA(MATCH(468,Engine!$C$2:$C$679,0)),"",INDEX('Compliance Database'!$L$2:$L$679,MATCH(468,Engine!$C$2:$C$679,0)))</f>
        <v/>
      </c>
      <c r="M481" s="8">
        <f>IF(ISNA(MATCH(468,Engine!$C$2:$C$679,0)),"",INDEX('Compliance Database'!$M$2:$M$679,MATCH(468,Engine!$C$2:$C$679,0)))</f>
        <v/>
      </c>
      <c r="N481" s="8">
        <f>IF(ISNA(MATCH(468,Engine!$C$2:$C$679,0)),"",INDEX('Compliance Database'!$N$2:$N$679,MATCH(468,Engine!$C$2:$C$679,0)))</f>
        <v/>
      </c>
      <c r="O481" s="8">
        <f>IF(ISNA(MATCH(468,Engine!$C$2:$C$679,0)),"",INDEX('Compliance Database'!$O$2:$O$679,MATCH(468,Engine!$C$2:$C$679,0)))</f>
        <v/>
      </c>
      <c r="P481">
        <f>IF(ISNA(MATCH(468,Engine!$C$2:$C$679,0)),"",HYPERLINK(INDEX('Compliance Database'!$P$2:$P$679,MATCH(468,Engine!$C$2:$C$679,0)),"Open PDF"))</f>
        <v/>
      </c>
    </row>
    <row r="482">
      <c r="A482">
        <f>IF(ISNA(MATCH(469,Engine!$C$2:$C$679,0)),"",INDEX('Compliance Database'!$A$2:$A$679,MATCH(469,Engine!$C$2:$C$679,0)))</f>
        <v/>
      </c>
      <c r="B482">
        <f>IF(ISNA(MATCH(469,Engine!$C$2:$C$679,0)),"",INDEX('Compliance Database'!$B$2:$B$679,MATCH(469,Engine!$C$2:$C$679,0)))</f>
        <v/>
      </c>
      <c r="C482">
        <f>IF(ISNA(MATCH(469,Engine!$C$2:$C$679,0)),"",INDEX('Compliance Database'!$C$2:$C$679,MATCH(469,Engine!$C$2:$C$679,0)))</f>
        <v/>
      </c>
      <c r="D482" s="8">
        <f>IF(ISNA(MATCH(469,Engine!$C$2:$C$679,0)),"",INDEX('Compliance Database'!$D$2:$D$679,MATCH(469,Engine!$C$2:$C$679,0)))</f>
        <v/>
      </c>
      <c r="E482">
        <f>IF(ISNA(MATCH(469,Engine!$C$2:$C$679,0)),"",INDEX('Compliance Database'!$E$2:$E$679,MATCH(469,Engine!$C$2:$C$679,0)))</f>
        <v/>
      </c>
      <c r="F482">
        <f>IF(ISNA(MATCH(469,Engine!$C$2:$C$679,0)),"",INDEX('Compliance Database'!$F$2:$F$679,MATCH(469,Engine!$C$2:$C$679,0)))</f>
        <v/>
      </c>
      <c r="G482">
        <f>IF(ISNA(MATCH(469,Engine!$C$2:$C$679,0)),"",INDEX('Compliance Database'!$G$2:$G$679,MATCH(469,Engine!$C$2:$C$679,0)))</f>
        <v/>
      </c>
      <c r="H482">
        <f>IF(ISNA(MATCH(469,Engine!$C$2:$C$679,0)),"",INDEX('Compliance Database'!$H$2:$H$679,MATCH(469,Engine!$C$2:$C$679,0)))</f>
        <v/>
      </c>
      <c r="I482" s="8">
        <f>IF(ISNA(MATCH(469,Engine!$C$2:$C$679,0)),"",INDEX('Compliance Database'!$I$2:$I$679,MATCH(469,Engine!$C$2:$C$679,0)))</f>
        <v/>
      </c>
      <c r="J482" s="8">
        <f>IF(ISNA(MATCH(469,Engine!$C$2:$C$679,0)),"",INDEX('Compliance Database'!$J$2:$J$679,MATCH(469,Engine!$C$2:$C$679,0)))</f>
        <v/>
      </c>
      <c r="K482">
        <f>IF(ISNA(MATCH(469,Engine!$C$2:$C$679,0)),"",INDEX('Compliance Database'!$K$2:$K$679,MATCH(469,Engine!$C$2:$C$679,0)))</f>
        <v/>
      </c>
      <c r="L482" s="8">
        <f>IF(ISNA(MATCH(469,Engine!$C$2:$C$679,0)),"",INDEX('Compliance Database'!$L$2:$L$679,MATCH(469,Engine!$C$2:$C$679,0)))</f>
        <v/>
      </c>
      <c r="M482" s="8">
        <f>IF(ISNA(MATCH(469,Engine!$C$2:$C$679,0)),"",INDEX('Compliance Database'!$M$2:$M$679,MATCH(469,Engine!$C$2:$C$679,0)))</f>
        <v/>
      </c>
      <c r="N482" s="8">
        <f>IF(ISNA(MATCH(469,Engine!$C$2:$C$679,0)),"",INDEX('Compliance Database'!$N$2:$N$679,MATCH(469,Engine!$C$2:$C$679,0)))</f>
        <v/>
      </c>
      <c r="O482" s="8">
        <f>IF(ISNA(MATCH(469,Engine!$C$2:$C$679,0)),"",INDEX('Compliance Database'!$O$2:$O$679,MATCH(469,Engine!$C$2:$C$679,0)))</f>
        <v/>
      </c>
      <c r="P482">
        <f>IF(ISNA(MATCH(469,Engine!$C$2:$C$679,0)),"",HYPERLINK(INDEX('Compliance Database'!$P$2:$P$679,MATCH(469,Engine!$C$2:$C$679,0)),"Open PDF"))</f>
        <v/>
      </c>
    </row>
    <row r="483">
      <c r="A483">
        <f>IF(ISNA(MATCH(470,Engine!$C$2:$C$679,0)),"",INDEX('Compliance Database'!$A$2:$A$679,MATCH(470,Engine!$C$2:$C$679,0)))</f>
        <v/>
      </c>
      <c r="B483">
        <f>IF(ISNA(MATCH(470,Engine!$C$2:$C$679,0)),"",INDEX('Compliance Database'!$B$2:$B$679,MATCH(470,Engine!$C$2:$C$679,0)))</f>
        <v/>
      </c>
      <c r="C483">
        <f>IF(ISNA(MATCH(470,Engine!$C$2:$C$679,0)),"",INDEX('Compliance Database'!$C$2:$C$679,MATCH(470,Engine!$C$2:$C$679,0)))</f>
        <v/>
      </c>
      <c r="D483" s="8">
        <f>IF(ISNA(MATCH(470,Engine!$C$2:$C$679,0)),"",INDEX('Compliance Database'!$D$2:$D$679,MATCH(470,Engine!$C$2:$C$679,0)))</f>
        <v/>
      </c>
      <c r="E483">
        <f>IF(ISNA(MATCH(470,Engine!$C$2:$C$679,0)),"",INDEX('Compliance Database'!$E$2:$E$679,MATCH(470,Engine!$C$2:$C$679,0)))</f>
        <v/>
      </c>
      <c r="F483">
        <f>IF(ISNA(MATCH(470,Engine!$C$2:$C$679,0)),"",INDEX('Compliance Database'!$F$2:$F$679,MATCH(470,Engine!$C$2:$C$679,0)))</f>
        <v/>
      </c>
      <c r="G483">
        <f>IF(ISNA(MATCH(470,Engine!$C$2:$C$679,0)),"",INDEX('Compliance Database'!$G$2:$G$679,MATCH(470,Engine!$C$2:$C$679,0)))</f>
        <v/>
      </c>
      <c r="H483">
        <f>IF(ISNA(MATCH(470,Engine!$C$2:$C$679,0)),"",INDEX('Compliance Database'!$H$2:$H$679,MATCH(470,Engine!$C$2:$C$679,0)))</f>
        <v/>
      </c>
      <c r="I483" s="8">
        <f>IF(ISNA(MATCH(470,Engine!$C$2:$C$679,0)),"",INDEX('Compliance Database'!$I$2:$I$679,MATCH(470,Engine!$C$2:$C$679,0)))</f>
        <v/>
      </c>
      <c r="J483" s="8">
        <f>IF(ISNA(MATCH(470,Engine!$C$2:$C$679,0)),"",INDEX('Compliance Database'!$J$2:$J$679,MATCH(470,Engine!$C$2:$C$679,0)))</f>
        <v/>
      </c>
      <c r="K483">
        <f>IF(ISNA(MATCH(470,Engine!$C$2:$C$679,0)),"",INDEX('Compliance Database'!$K$2:$K$679,MATCH(470,Engine!$C$2:$C$679,0)))</f>
        <v/>
      </c>
      <c r="L483" s="8">
        <f>IF(ISNA(MATCH(470,Engine!$C$2:$C$679,0)),"",INDEX('Compliance Database'!$L$2:$L$679,MATCH(470,Engine!$C$2:$C$679,0)))</f>
        <v/>
      </c>
      <c r="M483" s="8">
        <f>IF(ISNA(MATCH(470,Engine!$C$2:$C$679,0)),"",INDEX('Compliance Database'!$M$2:$M$679,MATCH(470,Engine!$C$2:$C$679,0)))</f>
        <v/>
      </c>
      <c r="N483" s="8">
        <f>IF(ISNA(MATCH(470,Engine!$C$2:$C$679,0)),"",INDEX('Compliance Database'!$N$2:$N$679,MATCH(470,Engine!$C$2:$C$679,0)))</f>
        <v/>
      </c>
      <c r="O483" s="8">
        <f>IF(ISNA(MATCH(470,Engine!$C$2:$C$679,0)),"",INDEX('Compliance Database'!$O$2:$O$679,MATCH(470,Engine!$C$2:$C$679,0)))</f>
        <v/>
      </c>
      <c r="P483">
        <f>IF(ISNA(MATCH(470,Engine!$C$2:$C$679,0)),"",HYPERLINK(INDEX('Compliance Database'!$P$2:$P$679,MATCH(470,Engine!$C$2:$C$679,0)),"Open PDF"))</f>
        <v/>
      </c>
    </row>
    <row r="484">
      <c r="A484">
        <f>IF(ISNA(MATCH(471,Engine!$C$2:$C$679,0)),"",INDEX('Compliance Database'!$A$2:$A$679,MATCH(471,Engine!$C$2:$C$679,0)))</f>
        <v/>
      </c>
      <c r="B484">
        <f>IF(ISNA(MATCH(471,Engine!$C$2:$C$679,0)),"",INDEX('Compliance Database'!$B$2:$B$679,MATCH(471,Engine!$C$2:$C$679,0)))</f>
        <v/>
      </c>
      <c r="C484">
        <f>IF(ISNA(MATCH(471,Engine!$C$2:$C$679,0)),"",INDEX('Compliance Database'!$C$2:$C$679,MATCH(471,Engine!$C$2:$C$679,0)))</f>
        <v/>
      </c>
      <c r="D484" s="8">
        <f>IF(ISNA(MATCH(471,Engine!$C$2:$C$679,0)),"",INDEX('Compliance Database'!$D$2:$D$679,MATCH(471,Engine!$C$2:$C$679,0)))</f>
        <v/>
      </c>
      <c r="E484">
        <f>IF(ISNA(MATCH(471,Engine!$C$2:$C$679,0)),"",INDEX('Compliance Database'!$E$2:$E$679,MATCH(471,Engine!$C$2:$C$679,0)))</f>
        <v/>
      </c>
      <c r="F484">
        <f>IF(ISNA(MATCH(471,Engine!$C$2:$C$679,0)),"",INDEX('Compliance Database'!$F$2:$F$679,MATCH(471,Engine!$C$2:$C$679,0)))</f>
        <v/>
      </c>
      <c r="G484">
        <f>IF(ISNA(MATCH(471,Engine!$C$2:$C$679,0)),"",INDEX('Compliance Database'!$G$2:$G$679,MATCH(471,Engine!$C$2:$C$679,0)))</f>
        <v/>
      </c>
      <c r="H484">
        <f>IF(ISNA(MATCH(471,Engine!$C$2:$C$679,0)),"",INDEX('Compliance Database'!$H$2:$H$679,MATCH(471,Engine!$C$2:$C$679,0)))</f>
        <v/>
      </c>
      <c r="I484" s="8">
        <f>IF(ISNA(MATCH(471,Engine!$C$2:$C$679,0)),"",INDEX('Compliance Database'!$I$2:$I$679,MATCH(471,Engine!$C$2:$C$679,0)))</f>
        <v/>
      </c>
      <c r="J484" s="8">
        <f>IF(ISNA(MATCH(471,Engine!$C$2:$C$679,0)),"",INDEX('Compliance Database'!$J$2:$J$679,MATCH(471,Engine!$C$2:$C$679,0)))</f>
        <v/>
      </c>
      <c r="K484">
        <f>IF(ISNA(MATCH(471,Engine!$C$2:$C$679,0)),"",INDEX('Compliance Database'!$K$2:$K$679,MATCH(471,Engine!$C$2:$C$679,0)))</f>
        <v/>
      </c>
      <c r="L484" s="8">
        <f>IF(ISNA(MATCH(471,Engine!$C$2:$C$679,0)),"",INDEX('Compliance Database'!$L$2:$L$679,MATCH(471,Engine!$C$2:$C$679,0)))</f>
        <v/>
      </c>
      <c r="M484" s="8">
        <f>IF(ISNA(MATCH(471,Engine!$C$2:$C$679,0)),"",INDEX('Compliance Database'!$M$2:$M$679,MATCH(471,Engine!$C$2:$C$679,0)))</f>
        <v/>
      </c>
      <c r="N484" s="8">
        <f>IF(ISNA(MATCH(471,Engine!$C$2:$C$679,0)),"",INDEX('Compliance Database'!$N$2:$N$679,MATCH(471,Engine!$C$2:$C$679,0)))</f>
        <v/>
      </c>
      <c r="O484" s="8">
        <f>IF(ISNA(MATCH(471,Engine!$C$2:$C$679,0)),"",INDEX('Compliance Database'!$O$2:$O$679,MATCH(471,Engine!$C$2:$C$679,0)))</f>
        <v/>
      </c>
      <c r="P484">
        <f>IF(ISNA(MATCH(471,Engine!$C$2:$C$679,0)),"",HYPERLINK(INDEX('Compliance Database'!$P$2:$P$679,MATCH(471,Engine!$C$2:$C$679,0)),"Open PDF"))</f>
        <v/>
      </c>
    </row>
    <row r="485">
      <c r="A485">
        <f>IF(ISNA(MATCH(472,Engine!$C$2:$C$679,0)),"",INDEX('Compliance Database'!$A$2:$A$679,MATCH(472,Engine!$C$2:$C$679,0)))</f>
        <v/>
      </c>
      <c r="B485">
        <f>IF(ISNA(MATCH(472,Engine!$C$2:$C$679,0)),"",INDEX('Compliance Database'!$B$2:$B$679,MATCH(472,Engine!$C$2:$C$679,0)))</f>
        <v/>
      </c>
      <c r="C485">
        <f>IF(ISNA(MATCH(472,Engine!$C$2:$C$679,0)),"",INDEX('Compliance Database'!$C$2:$C$679,MATCH(472,Engine!$C$2:$C$679,0)))</f>
        <v/>
      </c>
      <c r="D485" s="8">
        <f>IF(ISNA(MATCH(472,Engine!$C$2:$C$679,0)),"",INDEX('Compliance Database'!$D$2:$D$679,MATCH(472,Engine!$C$2:$C$679,0)))</f>
        <v/>
      </c>
      <c r="E485">
        <f>IF(ISNA(MATCH(472,Engine!$C$2:$C$679,0)),"",INDEX('Compliance Database'!$E$2:$E$679,MATCH(472,Engine!$C$2:$C$679,0)))</f>
        <v/>
      </c>
      <c r="F485">
        <f>IF(ISNA(MATCH(472,Engine!$C$2:$C$679,0)),"",INDEX('Compliance Database'!$F$2:$F$679,MATCH(472,Engine!$C$2:$C$679,0)))</f>
        <v/>
      </c>
      <c r="G485">
        <f>IF(ISNA(MATCH(472,Engine!$C$2:$C$679,0)),"",INDEX('Compliance Database'!$G$2:$G$679,MATCH(472,Engine!$C$2:$C$679,0)))</f>
        <v/>
      </c>
      <c r="H485">
        <f>IF(ISNA(MATCH(472,Engine!$C$2:$C$679,0)),"",INDEX('Compliance Database'!$H$2:$H$679,MATCH(472,Engine!$C$2:$C$679,0)))</f>
        <v/>
      </c>
      <c r="I485" s="8">
        <f>IF(ISNA(MATCH(472,Engine!$C$2:$C$679,0)),"",INDEX('Compliance Database'!$I$2:$I$679,MATCH(472,Engine!$C$2:$C$679,0)))</f>
        <v/>
      </c>
      <c r="J485" s="8">
        <f>IF(ISNA(MATCH(472,Engine!$C$2:$C$679,0)),"",INDEX('Compliance Database'!$J$2:$J$679,MATCH(472,Engine!$C$2:$C$679,0)))</f>
        <v/>
      </c>
      <c r="K485">
        <f>IF(ISNA(MATCH(472,Engine!$C$2:$C$679,0)),"",INDEX('Compliance Database'!$K$2:$K$679,MATCH(472,Engine!$C$2:$C$679,0)))</f>
        <v/>
      </c>
      <c r="L485" s="8">
        <f>IF(ISNA(MATCH(472,Engine!$C$2:$C$679,0)),"",INDEX('Compliance Database'!$L$2:$L$679,MATCH(472,Engine!$C$2:$C$679,0)))</f>
        <v/>
      </c>
      <c r="M485" s="8">
        <f>IF(ISNA(MATCH(472,Engine!$C$2:$C$679,0)),"",INDEX('Compliance Database'!$M$2:$M$679,MATCH(472,Engine!$C$2:$C$679,0)))</f>
        <v/>
      </c>
      <c r="N485" s="8">
        <f>IF(ISNA(MATCH(472,Engine!$C$2:$C$679,0)),"",INDEX('Compliance Database'!$N$2:$N$679,MATCH(472,Engine!$C$2:$C$679,0)))</f>
        <v/>
      </c>
      <c r="O485" s="8">
        <f>IF(ISNA(MATCH(472,Engine!$C$2:$C$679,0)),"",INDEX('Compliance Database'!$O$2:$O$679,MATCH(472,Engine!$C$2:$C$679,0)))</f>
        <v/>
      </c>
      <c r="P485">
        <f>IF(ISNA(MATCH(472,Engine!$C$2:$C$679,0)),"",HYPERLINK(INDEX('Compliance Database'!$P$2:$P$679,MATCH(472,Engine!$C$2:$C$679,0)),"Open PDF"))</f>
        <v/>
      </c>
    </row>
    <row r="486">
      <c r="A486">
        <f>IF(ISNA(MATCH(473,Engine!$C$2:$C$679,0)),"",INDEX('Compliance Database'!$A$2:$A$679,MATCH(473,Engine!$C$2:$C$679,0)))</f>
        <v/>
      </c>
      <c r="B486">
        <f>IF(ISNA(MATCH(473,Engine!$C$2:$C$679,0)),"",INDEX('Compliance Database'!$B$2:$B$679,MATCH(473,Engine!$C$2:$C$679,0)))</f>
        <v/>
      </c>
      <c r="C486">
        <f>IF(ISNA(MATCH(473,Engine!$C$2:$C$679,0)),"",INDEX('Compliance Database'!$C$2:$C$679,MATCH(473,Engine!$C$2:$C$679,0)))</f>
        <v/>
      </c>
      <c r="D486" s="8">
        <f>IF(ISNA(MATCH(473,Engine!$C$2:$C$679,0)),"",INDEX('Compliance Database'!$D$2:$D$679,MATCH(473,Engine!$C$2:$C$679,0)))</f>
        <v/>
      </c>
      <c r="E486">
        <f>IF(ISNA(MATCH(473,Engine!$C$2:$C$679,0)),"",INDEX('Compliance Database'!$E$2:$E$679,MATCH(473,Engine!$C$2:$C$679,0)))</f>
        <v/>
      </c>
      <c r="F486">
        <f>IF(ISNA(MATCH(473,Engine!$C$2:$C$679,0)),"",INDEX('Compliance Database'!$F$2:$F$679,MATCH(473,Engine!$C$2:$C$679,0)))</f>
        <v/>
      </c>
      <c r="G486">
        <f>IF(ISNA(MATCH(473,Engine!$C$2:$C$679,0)),"",INDEX('Compliance Database'!$G$2:$G$679,MATCH(473,Engine!$C$2:$C$679,0)))</f>
        <v/>
      </c>
      <c r="H486">
        <f>IF(ISNA(MATCH(473,Engine!$C$2:$C$679,0)),"",INDEX('Compliance Database'!$H$2:$H$679,MATCH(473,Engine!$C$2:$C$679,0)))</f>
        <v/>
      </c>
      <c r="I486" s="8">
        <f>IF(ISNA(MATCH(473,Engine!$C$2:$C$679,0)),"",INDEX('Compliance Database'!$I$2:$I$679,MATCH(473,Engine!$C$2:$C$679,0)))</f>
        <v/>
      </c>
      <c r="J486" s="8">
        <f>IF(ISNA(MATCH(473,Engine!$C$2:$C$679,0)),"",INDEX('Compliance Database'!$J$2:$J$679,MATCH(473,Engine!$C$2:$C$679,0)))</f>
        <v/>
      </c>
      <c r="K486">
        <f>IF(ISNA(MATCH(473,Engine!$C$2:$C$679,0)),"",INDEX('Compliance Database'!$K$2:$K$679,MATCH(473,Engine!$C$2:$C$679,0)))</f>
        <v/>
      </c>
      <c r="L486" s="8">
        <f>IF(ISNA(MATCH(473,Engine!$C$2:$C$679,0)),"",INDEX('Compliance Database'!$L$2:$L$679,MATCH(473,Engine!$C$2:$C$679,0)))</f>
        <v/>
      </c>
      <c r="M486" s="8">
        <f>IF(ISNA(MATCH(473,Engine!$C$2:$C$679,0)),"",INDEX('Compliance Database'!$M$2:$M$679,MATCH(473,Engine!$C$2:$C$679,0)))</f>
        <v/>
      </c>
      <c r="N486" s="8">
        <f>IF(ISNA(MATCH(473,Engine!$C$2:$C$679,0)),"",INDEX('Compliance Database'!$N$2:$N$679,MATCH(473,Engine!$C$2:$C$679,0)))</f>
        <v/>
      </c>
      <c r="O486" s="8">
        <f>IF(ISNA(MATCH(473,Engine!$C$2:$C$679,0)),"",INDEX('Compliance Database'!$O$2:$O$679,MATCH(473,Engine!$C$2:$C$679,0)))</f>
        <v/>
      </c>
      <c r="P486">
        <f>IF(ISNA(MATCH(473,Engine!$C$2:$C$679,0)),"",HYPERLINK(INDEX('Compliance Database'!$P$2:$P$679,MATCH(473,Engine!$C$2:$C$679,0)),"Open PDF"))</f>
        <v/>
      </c>
    </row>
    <row r="487">
      <c r="A487">
        <f>IF(ISNA(MATCH(474,Engine!$C$2:$C$679,0)),"",INDEX('Compliance Database'!$A$2:$A$679,MATCH(474,Engine!$C$2:$C$679,0)))</f>
        <v/>
      </c>
      <c r="B487">
        <f>IF(ISNA(MATCH(474,Engine!$C$2:$C$679,0)),"",INDEX('Compliance Database'!$B$2:$B$679,MATCH(474,Engine!$C$2:$C$679,0)))</f>
        <v/>
      </c>
      <c r="C487">
        <f>IF(ISNA(MATCH(474,Engine!$C$2:$C$679,0)),"",INDEX('Compliance Database'!$C$2:$C$679,MATCH(474,Engine!$C$2:$C$679,0)))</f>
        <v/>
      </c>
      <c r="D487" s="8">
        <f>IF(ISNA(MATCH(474,Engine!$C$2:$C$679,0)),"",INDEX('Compliance Database'!$D$2:$D$679,MATCH(474,Engine!$C$2:$C$679,0)))</f>
        <v/>
      </c>
      <c r="E487">
        <f>IF(ISNA(MATCH(474,Engine!$C$2:$C$679,0)),"",INDEX('Compliance Database'!$E$2:$E$679,MATCH(474,Engine!$C$2:$C$679,0)))</f>
        <v/>
      </c>
      <c r="F487">
        <f>IF(ISNA(MATCH(474,Engine!$C$2:$C$679,0)),"",INDEX('Compliance Database'!$F$2:$F$679,MATCH(474,Engine!$C$2:$C$679,0)))</f>
        <v/>
      </c>
      <c r="G487">
        <f>IF(ISNA(MATCH(474,Engine!$C$2:$C$679,0)),"",INDEX('Compliance Database'!$G$2:$G$679,MATCH(474,Engine!$C$2:$C$679,0)))</f>
        <v/>
      </c>
      <c r="H487">
        <f>IF(ISNA(MATCH(474,Engine!$C$2:$C$679,0)),"",INDEX('Compliance Database'!$H$2:$H$679,MATCH(474,Engine!$C$2:$C$679,0)))</f>
        <v/>
      </c>
      <c r="I487" s="8">
        <f>IF(ISNA(MATCH(474,Engine!$C$2:$C$679,0)),"",INDEX('Compliance Database'!$I$2:$I$679,MATCH(474,Engine!$C$2:$C$679,0)))</f>
        <v/>
      </c>
      <c r="J487" s="8">
        <f>IF(ISNA(MATCH(474,Engine!$C$2:$C$679,0)),"",INDEX('Compliance Database'!$J$2:$J$679,MATCH(474,Engine!$C$2:$C$679,0)))</f>
        <v/>
      </c>
      <c r="K487">
        <f>IF(ISNA(MATCH(474,Engine!$C$2:$C$679,0)),"",INDEX('Compliance Database'!$K$2:$K$679,MATCH(474,Engine!$C$2:$C$679,0)))</f>
        <v/>
      </c>
      <c r="L487" s="8">
        <f>IF(ISNA(MATCH(474,Engine!$C$2:$C$679,0)),"",INDEX('Compliance Database'!$L$2:$L$679,MATCH(474,Engine!$C$2:$C$679,0)))</f>
        <v/>
      </c>
      <c r="M487" s="8">
        <f>IF(ISNA(MATCH(474,Engine!$C$2:$C$679,0)),"",INDEX('Compliance Database'!$M$2:$M$679,MATCH(474,Engine!$C$2:$C$679,0)))</f>
        <v/>
      </c>
      <c r="N487" s="8">
        <f>IF(ISNA(MATCH(474,Engine!$C$2:$C$679,0)),"",INDEX('Compliance Database'!$N$2:$N$679,MATCH(474,Engine!$C$2:$C$679,0)))</f>
        <v/>
      </c>
      <c r="O487" s="8">
        <f>IF(ISNA(MATCH(474,Engine!$C$2:$C$679,0)),"",INDEX('Compliance Database'!$O$2:$O$679,MATCH(474,Engine!$C$2:$C$679,0)))</f>
        <v/>
      </c>
      <c r="P487">
        <f>IF(ISNA(MATCH(474,Engine!$C$2:$C$679,0)),"",HYPERLINK(INDEX('Compliance Database'!$P$2:$P$679,MATCH(474,Engine!$C$2:$C$679,0)),"Open PDF"))</f>
        <v/>
      </c>
    </row>
    <row r="488">
      <c r="A488">
        <f>IF(ISNA(MATCH(475,Engine!$C$2:$C$679,0)),"",INDEX('Compliance Database'!$A$2:$A$679,MATCH(475,Engine!$C$2:$C$679,0)))</f>
        <v/>
      </c>
      <c r="B488">
        <f>IF(ISNA(MATCH(475,Engine!$C$2:$C$679,0)),"",INDEX('Compliance Database'!$B$2:$B$679,MATCH(475,Engine!$C$2:$C$679,0)))</f>
        <v/>
      </c>
      <c r="C488">
        <f>IF(ISNA(MATCH(475,Engine!$C$2:$C$679,0)),"",INDEX('Compliance Database'!$C$2:$C$679,MATCH(475,Engine!$C$2:$C$679,0)))</f>
        <v/>
      </c>
      <c r="D488" s="8">
        <f>IF(ISNA(MATCH(475,Engine!$C$2:$C$679,0)),"",INDEX('Compliance Database'!$D$2:$D$679,MATCH(475,Engine!$C$2:$C$679,0)))</f>
        <v/>
      </c>
      <c r="E488">
        <f>IF(ISNA(MATCH(475,Engine!$C$2:$C$679,0)),"",INDEX('Compliance Database'!$E$2:$E$679,MATCH(475,Engine!$C$2:$C$679,0)))</f>
        <v/>
      </c>
      <c r="F488">
        <f>IF(ISNA(MATCH(475,Engine!$C$2:$C$679,0)),"",INDEX('Compliance Database'!$F$2:$F$679,MATCH(475,Engine!$C$2:$C$679,0)))</f>
        <v/>
      </c>
      <c r="G488">
        <f>IF(ISNA(MATCH(475,Engine!$C$2:$C$679,0)),"",INDEX('Compliance Database'!$G$2:$G$679,MATCH(475,Engine!$C$2:$C$679,0)))</f>
        <v/>
      </c>
      <c r="H488">
        <f>IF(ISNA(MATCH(475,Engine!$C$2:$C$679,0)),"",INDEX('Compliance Database'!$H$2:$H$679,MATCH(475,Engine!$C$2:$C$679,0)))</f>
        <v/>
      </c>
      <c r="I488" s="8">
        <f>IF(ISNA(MATCH(475,Engine!$C$2:$C$679,0)),"",INDEX('Compliance Database'!$I$2:$I$679,MATCH(475,Engine!$C$2:$C$679,0)))</f>
        <v/>
      </c>
      <c r="J488" s="8">
        <f>IF(ISNA(MATCH(475,Engine!$C$2:$C$679,0)),"",INDEX('Compliance Database'!$J$2:$J$679,MATCH(475,Engine!$C$2:$C$679,0)))</f>
        <v/>
      </c>
      <c r="K488">
        <f>IF(ISNA(MATCH(475,Engine!$C$2:$C$679,0)),"",INDEX('Compliance Database'!$K$2:$K$679,MATCH(475,Engine!$C$2:$C$679,0)))</f>
        <v/>
      </c>
      <c r="L488" s="8">
        <f>IF(ISNA(MATCH(475,Engine!$C$2:$C$679,0)),"",INDEX('Compliance Database'!$L$2:$L$679,MATCH(475,Engine!$C$2:$C$679,0)))</f>
        <v/>
      </c>
      <c r="M488" s="8">
        <f>IF(ISNA(MATCH(475,Engine!$C$2:$C$679,0)),"",INDEX('Compliance Database'!$M$2:$M$679,MATCH(475,Engine!$C$2:$C$679,0)))</f>
        <v/>
      </c>
      <c r="N488" s="8">
        <f>IF(ISNA(MATCH(475,Engine!$C$2:$C$679,0)),"",INDEX('Compliance Database'!$N$2:$N$679,MATCH(475,Engine!$C$2:$C$679,0)))</f>
        <v/>
      </c>
      <c r="O488" s="8">
        <f>IF(ISNA(MATCH(475,Engine!$C$2:$C$679,0)),"",INDEX('Compliance Database'!$O$2:$O$679,MATCH(475,Engine!$C$2:$C$679,0)))</f>
        <v/>
      </c>
      <c r="P488">
        <f>IF(ISNA(MATCH(475,Engine!$C$2:$C$679,0)),"",HYPERLINK(INDEX('Compliance Database'!$P$2:$P$679,MATCH(475,Engine!$C$2:$C$679,0)),"Open PDF"))</f>
        <v/>
      </c>
    </row>
    <row r="489">
      <c r="A489">
        <f>IF(ISNA(MATCH(476,Engine!$C$2:$C$679,0)),"",INDEX('Compliance Database'!$A$2:$A$679,MATCH(476,Engine!$C$2:$C$679,0)))</f>
        <v/>
      </c>
      <c r="B489">
        <f>IF(ISNA(MATCH(476,Engine!$C$2:$C$679,0)),"",INDEX('Compliance Database'!$B$2:$B$679,MATCH(476,Engine!$C$2:$C$679,0)))</f>
        <v/>
      </c>
      <c r="C489">
        <f>IF(ISNA(MATCH(476,Engine!$C$2:$C$679,0)),"",INDEX('Compliance Database'!$C$2:$C$679,MATCH(476,Engine!$C$2:$C$679,0)))</f>
        <v/>
      </c>
      <c r="D489" s="8">
        <f>IF(ISNA(MATCH(476,Engine!$C$2:$C$679,0)),"",INDEX('Compliance Database'!$D$2:$D$679,MATCH(476,Engine!$C$2:$C$679,0)))</f>
        <v/>
      </c>
      <c r="E489">
        <f>IF(ISNA(MATCH(476,Engine!$C$2:$C$679,0)),"",INDEX('Compliance Database'!$E$2:$E$679,MATCH(476,Engine!$C$2:$C$679,0)))</f>
        <v/>
      </c>
      <c r="F489">
        <f>IF(ISNA(MATCH(476,Engine!$C$2:$C$679,0)),"",INDEX('Compliance Database'!$F$2:$F$679,MATCH(476,Engine!$C$2:$C$679,0)))</f>
        <v/>
      </c>
      <c r="G489">
        <f>IF(ISNA(MATCH(476,Engine!$C$2:$C$679,0)),"",INDEX('Compliance Database'!$G$2:$G$679,MATCH(476,Engine!$C$2:$C$679,0)))</f>
        <v/>
      </c>
      <c r="H489">
        <f>IF(ISNA(MATCH(476,Engine!$C$2:$C$679,0)),"",INDEX('Compliance Database'!$H$2:$H$679,MATCH(476,Engine!$C$2:$C$679,0)))</f>
        <v/>
      </c>
      <c r="I489" s="8">
        <f>IF(ISNA(MATCH(476,Engine!$C$2:$C$679,0)),"",INDEX('Compliance Database'!$I$2:$I$679,MATCH(476,Engine!$C$2:$C$679,0)))</f>
        <v/>
      </c>
      <c r="J489" s="8">
        <f>IF(ISNA(MATCH(476,Engine!$C$2:$C$679,0)),"",INDEX('Compliance Database'!$J$2:$J$679,MATCH(476,Engine!$C$2:$C$679,0)))</f>
        <v/>
      </c>
      <c r="K489">
        <f>IF(ISNA(MATCH(476,Engine!$C$2:$C$679,0)),"",INDEX('Compliance Database'!$K$2:$K$679,MATCH(476,Engine!$C$2:$C$679,0)))</f>
        <v/>
      </c>
      <c r="L489" s="8">
        <f>IF(ISNA(MATCH(476,Engine!$C$2:$C$679,0)),"",INDEX('Compliance Database'!$L$2:$L$679,MATCH(476,Engine!$C$2:$C$679,0)))</f>
        <v/>
      </c>
      <c r="M489" s="8">
        <f>IF(ISNA(MATCH(476,Engine!$C$2:$C$679,0)),"",INDEX('Compliance Database'!$M$2:$M$679,MATCH(476,Engine!$C$2:$C$679,0)))</f>
        <v/>
      </c>
      <c r="N489" s="8">
        <f>IF(ISNA(MATCH(476,Engine!$C$2:$C$679,0)),"",INDEX('Compliance Database'!$N$2:$N$679,MATCH(476,Engine!$C$2:$C$679,0)))</f>
        <v/>
      </c>
      <c r="O489" s="8">
        <f>IF(ISNA(MATCH(476,Engine!$C$2:$C$679,0)),"",INDEX('Compliance Database'!$O$2:$O$679,MATCH(476,Engine!$C$2:$C$679,0)))</f>
        <v/>
      </c>
      <c r="P489">
        <f>IF(ISNA(MATCH(476,Engine!$C$2:$C$679,0)),"",HYPERLINK(INDEX('Compliance Database'!$P$2:$P$679,MATCH(476,Engine!$C$2:$C$679,0)),"Open PDF"))</f>
        <v/>
      </c>
    </row>
    <row r="490">
      <c r="A490">
        <f>IF(ISNA(MATCH(477,Engine!$C$2:$C$679,0)),"",INDEX('Compliance Database'!$A$2:$A$679,MATCH(477,Engine!$C$2:$C$679,0)))</f>
        <v/>
      </c>
      <c r="B490">
        <f>IF(ISNA(MATCH(477,Engine!$C$2:$C$679,0)),"",INDEX('Compliance Database'!$B$2:$B$679,MATCH(477,Engine!$C$2:$C$679,0)))</f>
        <v/>
      </c>
      <c r="C490">
        <f>IF(ISNA(MATCH(477,Engine!$C$2:$C$679,0)),"",INDEX('Compliance Database'!$C$2:$C$679,MATCH(477,Engine!$C$2:$C$679,0)))</f>
        <v/>
      </c>
      <c r="D490" s="8">
        <f>IF(ISNA(MATCH(477,Engine!$C$2:$C$679,0)),"",INDEX('Compliance Database'!$D$2:$D$679,MATCH(477,Engine!$C$2:$C$679,0)))</f>
        <v/>
      </c>
      <c r="E490">
        <f>IF(ISNA(MATCH(477,Engine!$C$2:$C$679,0)),"",INDEX('Compliance Database'!$E$2:$E$679,MATCH(477,Engine!$C$2:$C$679,0)))</f>
        <v/>
      </c>
      <c r="F490">
        <f>IF(ISNA(MATCH(477,Engine!$C$2:$C$679,0)),"",INDEX('Compliance Database'!$F$2:$F$679,MATCH(477,Engine!$C$2:$C$679,0)))</f>
        <v/>
      </c>
      <c r="G490">
        <f>IF(ISNA(MATCH(477,Engine!$C$2:$C$679,0)),"",INDEX('Compliance Database'!$G$2:$G$679,MATCH(477,Engine!$C$2:$C$679,0)))</f>
        <v/>
      </c>
      <c r="H490">
        <f>IF(ISNA(MATCH(477,Engine!$C$2:$C$679,0)),"",INDEX('Compliance Database'!$H$2:$H$679,MATCH(477,Engine!$C$2:$C$679,0)))</f>
        <v/>
      </c>
      <c r="I490" s="8">
        <f>IF(ISNA(MATCH(477,Engine!$C$2:$C$679,0)),"",INDEX('Compliance Database'!$I$2:$I$679,MATCH(477,Engine!$C$2:$C$679,0)))</f>
        <v/>
      </c>
      <c r="J490" s="8">
        <f>IF(ISNA(MATCH(477,Engine!$C$2:$C$679,0)),"",INDEX('Compliance Database'!$J$2:$J$679,MATCH(477,Engine!$C$2:$C$679,0)))</f>
        <v/>
      </c>
      <c r="K490">
        <f>IF(ISNA(MATCH(477,Engine!$C$2:$C$679,0)),"",INDEX('Compliance Database'!$K$2:$K$679,MATCH(477,Engine!$C$2:$C$679,0)))</f>
        <v/>
      </c>
      <c r="L490" s="8">
        <f>IF(ISNA(MATCH(477,Engine!$C$2:$C$679,0)),"",INDEX('Compliance Database'!$L$2:$L$679,MATCH(477,Engine!$C$2:$C$679,0)))</f>
        <v/>
      </c>
      <c r="M490" s="8">
        <f>IF(ISNA(MATCH(477,Engine!$C$2:$C$679,0)),"",INDEX('Compliance Database'!$M$2:$M$679,MATCH(477,Engine!$C$2:$C$679,0)))</f>
        <v/>
      </c>
      <c r="N490" s="8">
        <f>IF(ISNA(MATCH(477,Engine!$C$2:$C$679,0)),"",INDEX('Compliance Database'!$N$2:$N$679,MATCH(477,Engine!$C$2:$C$679,0)))</f>
        <v/>
      </c>
      <c r="O490" s="8">
        <f>IF(ISNA(MATCH(477,Engine!$C$2:$C$679,0)),"",INDEX('Compliance Database'!$O$2:$O$679,MATCH(477,Engine!$C$2:$C$679,0)))</f>
        <v/>
      </c>
      <c r="P490">
        <f>IF(ISNA(MATCH(477,Engine!$C$2:$C$679,0)),"",HYPERLINK(INDEX('Compliance Database'!$P$2:$P$679,MATCH(477,Engine!$C$2:$C$679,0)),"Open PDF"))</f>
        <v/>
      </c>
    </row>
    <row r="491">
      <c r="A491">
        <f>IF(ISNA(MATCH(478,Engine!$C$2:$C$679,0)),"",INDEX('Compliance Database'!$A$2:$A$679,MATCH(478,Engine!$C$2:$C$679,0)))</f>
        <v/>
      </c>
      <c r="B491">
        <f>IF(ISNA(MATCH(478,Engine!$C$2:$C$679,0)),"",INDEX('Compliance Database'!$B$2:$B$679,MATCH(478,Engine!$C$2:$C$679,0)))</f>
        <v/>
      </c>
      <c r="C491">
        <f>IF(ISNA(MATCH(478,Engine!$C$2:$C$679,0)),"",INDEX('Compliance Database'!$C$2:$C$679,MATCH(478,Engine!$C$2:$C$679,0)))</f>
        <v/>
      </c>
      <c r="D491" s="8">
        <f>IF(ISNA(MATCH(478,Engine!$C$2:$C$679,0)),"",INDEX('Compliance Database'!$D$2:$D$679,MATCH(478,Engine!$C$2:$C$679,0)))</f>
        <v/>
      </c>
      <c r="E491">
        <f>IF(ISNA(MATCH(478,Engine!$C$2:$C$679,0)),"",INDEX('Compliance Database'!$E$2:$E$679,MATCH(478,Engine!$C$2:$C$679,0)))</f>
        <v/>
      </c>
      <c r="F491">
        <f>IF(ISNA(MATCH(478,Engine!$C$2:$C$679,0)),"",INDEX('Compliance Database'!$F$2:$F$679,MATCH(478,Engine!$C$2:$C$679,0)))</f>
        <v/>
      </c>
      <c r="G491">
        <f>IF(ISNA(MATCH(478,Engine!$C$2:$C$679,0)),"",INDEX('Compliance Database'!$G$2:$G$679,MATCH(478,Engine!$C$2:$C$679,0)))</f>
        <v/>
      </c>
      <c r="H491">
        <f>IF(ISNA(MATCH(478,Engine!$C$2:$C$679,0)),"",INDEX('Compliance Database'!$H$2:$H$679,MATCH(478,Engine!$C$2:$C$679,0)))</f>
        <v/>
      </c>
      <c r="I491" s="8">
        <f>IF(ISNA(MATCH(478,Engine!$C$2:$C$679,0)),"",INDEX('Compliance Database'!$I$2:$I$679,MATCH(478,Engine!$C$2:$C$679,0)))</f>
        <v/>
      </c>
      <c r="J491" s="8">
        <f>IF(ISNA(MATCH(478,Engine!$C$2:$C$679,0)),"",INDEX('Compliance Database'!$J$2:$J$679,MATCH(478,Engine!$C$2:$C$679,0)))</f>
        <v/>
      </c>
      <c r="K491">
        <f>IF(ISNA(MATCH(478,Engine!$C$2:$C$679,0)),"",INDEX('Compliance Database'!$K$2:$K$679,MATCH(478,Engine!$C$2:$C$679,0)))</f>
        <v/>
      </c>
      <c r="L491" s="8">
        <f>IF(ISNA(MATCH(478,Engine!$C$2:$C$679,0)),"",INDEX('Compliance Database'!$L$2:$L$679,MATCH(478,Engine!$C$2:$C$679,0)))</f>
        <v/>
      </c>
      <c r="M491" s="8">
        <f>IF(ISNA(MATCH(478,Engine!$C$2:$C$679,0)),"",INDEX('Compliance Database'!$M$2:$M$679,MATCH(478,Engine!$C$2:$C$679,0)))</f>
        <v/>
      </c>
      <c r="N491" s="8">
        <f>IF(ISNA(MATCH(478,Engine!$C$2:$C$679,0)),"",INDEX('Compliance Database'!$N$2:$N$679,MATCH(478,Engine!$C$2:$C$679,0)))</f>
        <v/>
      </c>
      <c r="O491" s="8">
        <f>IF(ISNA(MATCH(478,Engine!$C$2:$C$679,0)),"",INDEX('Compliance Database'!$O$2:$O$679,MATCH(478,Engine!$C$2:$C$679,0)))</f>
        <v/>
      </c>
      <c r="P491">
        <f>IF(ISNA(MATCH(478,Engine!$C$2:$C$679,0)),"",HYPERLINK(INDEX('Compliance Database'!$P$2:$P$679,MATCH(478,Engine!$C$2:$C$679,0)),"Open PDF"))</f>
        <v/>
      </c>
    </row>
    <row r="492">
      <c r="A492">
        <f>IF(ISNA(MATCH(479,Engine!$C$2:$C$679,0)),"",INDEX('Compliance Database'!$A$2:$A$679,MATCH(479,Engine!$C$2:$C$679,0)))</f>
        <v/>
      </c>
      <c r="B492">
        <f>IF(ISNA(MATCH(479,Engine!$C$2:$C$679,0)),"",INDEX('Compliance Database'!$B$2:$B$679,MATCH(479,Engine!$C$2:$C$679,0)))</f>
        <v/>
      </c>
      <c r="C492">
        <f>IF(ISNA(MATCH(479,Engine!$C$2:$C$679,0)),"",INDEX('Compliance Database'!$C$2:$C$679,MATCH(479,Engine!$C$2:$C$679,0)))</f>
        <v/>
      </c>
      <c r="D492" s="8">
        <f>IF(ISNA(MATCH(479,Engine!$C$2:$C$679,0)),"",INDEX('Compliance Database'!$D$2:$D$679,MATCH(479,Engine!$C$2:$C$679,0)))</f>
        <v/>
      </c>
      <c r="E492">
        <f>IF(ISNA(MATCH(479,Engine!$C$2:$C$679,0)),"",INDEX('Compliance Database'!$E$2:$E$679,MATCH(479,Engine!$C$2:$C$679,0)))</f>
        <v/>
      </c>
      <c r="F492">
        <f>IF(ISNA(MATCH(479,Engine!$C$2:$C$679,0)),"",INDEX('Compliance Database'!$F$2:$F$679,MATCH(479,Engine!$C$2:$C$679,0)))</f>
        <v/>
      </c>
      <c r="G492">
        <f>IF(ISNA(MATCH(479,Engine!$C$2:$C$679,0)),"",INDEX('Compliance Database'!$G$2:$G$679,MATCH(479,Engine!$C$2:$C$679,0)))</f>
        <v/>
      </c>
      <c r="H492">
        <f>IF(ISNA(MATCH(479,Engine!$C$2:$C$679,0)),"",INDEX('Compliance Database'!$H$2:$H$679,MATCH(479,Engine!$C$2:$C$679,0)))</f>
        <v/>
      </c>
      <c r="I492" s="8">
        <f>IF(ISNA(MATCH(479,Engine!$C$2:$C$679,0)),"",INDEX('Compliance Database'!$I$2:$I$679,MATCH(479,Engine!$C$2:$C$679,0)))</f>
        <v/>
      </c>
      <c r="J492" s="8">
        <f>IF(ISNA(MATCH(479,Engine!$C$2:$C$679,0)),"",INDEX('Compliance Database'!$J$2:$J$679,MATCH(479,Engine!$C$2:$C$679,0)))</f>
        <v/>
      </c>
      <c r="K492">
        <f>IF(ISNA(MATCH(479,Engine!$C$2:$C$679,0)),"",INDEX('Compliance Database'!$K$2:$K$679,MATCH(479,Engine!$C$2:$C$679,0)))</f>
        <v/>
      </c>
      <c r="L492" s="8">
        <f>IF(ISNA(MATCH(479,Engine!$C$2:$C$679,0)),"",INDEX('Compliance Database'!$L$2:$L$679,MATCH(479,Engine!$C$2:$C$679,0)))</f>
        <v/>
      </c>
      <c r="M492" s="8">
        <f>IF(ISNA(MATCH(479,Engine!$C$2:$C$679,0)),"",INDEX('Compliance Database'!$M$2:$M$679,MATCH(479,Engine!$C$2:$C$679,0)))</f>
        <v/>
      </c>
      <c r="N492" s="8">
        <f>IF(ISNA(MATCH(479,Engine!$C$2:$C$679,0)),"",INDEX('Compliance Database'!$N$2:$N$679,MATCH(479,Engine!$C$2:$C$679,0)))</f>
        <v/>
      </c>
      <c r="O492" s="8">
        <f>IF(ISNA(MATCH(479,Engine!$C$2:$C$679,0)),"",INDEX('Compliance Database'!$O$2:$O$679,MATCH(479,Engine!$C$2:$C$679,0)))</f>
        <v/>
      </c>
      <c r="P492">
        <f>IF(ISNA(MATCH(479,Engine!$C$2:$C$679,0)),"",HYPERLINK(INDEX('Compliance Database'!$P$2:$P$679,MATCH(479,Engine!$C$2:$C$679,0)),"Open PDF"))</f>
        <v/>
      </c>
    </row>
    <row r="493">
      <c r="A493">
        <f>IF(ISNA(MATCH(480,Engine!$C$2:$C$679,0)),"",INDEX('Compliance Database'!$A$2:$A$679,MATCH(480,Engine!$C$2:$C$679,0)))</f>
        <v/>
      </c>
      <c r="B493">
        <f>IF(ISNA(MATCH(480,Engine!$C$2:$C$679,0)),"",INDEX('Compliance Database'!$B$2:$B$679,MATCH(480,Engine!$C$2:$C$679,0)))</f>
        <v/>
      </c>
      <c r="C493">
        <f>IF(ISNA(MATCH(480,Engine!$C$2:$C$679,0)),"",INDEX('Compliance Database'!$C$2:$C$679,MATCH(480,Engine!$C$2:$C$679,0)))</f>
        <v/>
      </c>
      <c r="D493" s="8">
        <f>IF(ISNA(MATCH(480,Engine!$C$2:$C$679,0)),"",INDEX('Compliance Database'!$D$2:$D$679,MATCH(480,Engine!$C$2:$C$679,0)))</f>
        <v/>
      </c>
      <c r="E493">
        <f>IF(ISNA(MATCH(480,Engine!$C$2:$C$679,0)),"",INDEX('Compliance Database'!$E$2:$E$679,MATCH(480,Engine!$C$2:$C$679,0)))</f>
        <v/>
      </c>
      <c r="F493">
        <f>IF(ISNA(MATCH(480,Engine!$C$2:$C$679,0)),"",INDEX('Compliance Database'!$F$2:$F$679,MATCH(480,Engine!$C$2:$C$679,0)))</f>
        <v/>
      </c>
      <c r="G493">
        <f>IF(ISNA(MATCH(480,Engine!$C$2:$C$679,0)),"",INDEX('Compliance Database'!$G$2:$G$679,MATCH(480,Engine!$C$2:$C$679,0)))</f>
        <v/>
      </c>
      <c r="H493">
        <f>IF(ISNA(MATCH(480,Engine!$C$2:$C$679,0)),"",INDEX('Compliance Database'!$H$2:$H$679,MATCH(480,Engine!$C$2:$C$679,0)))</f>
        <v/>
      </c>
      <c r="I493" s="8">
        <f>IF(ISNA(MATCH(480,Engine!$C$2:$C$679,0)),"",INDEX('Compliance Database'!$I$2:$I$679,MATCH(480,Engine!$C$2:$C$679,0)))</f>
        <v/>
      </c>
      <c r="J493" s="8">
        <f>IF(ISNA(MATCH(480,Engine!$C$2:$C$679,0)),"",INDEX('Compliance Database'!$J$2:$J$679,MATCH(480,Engine!$C$2:$C$679,0)))</f>
        <v/>
      </c>
      <c r="K493">
        <f>IF(ISNA(MATCH(480,Engine!$C$2:$C$679,0)),"",INDEX('Compliance Database'!$K$2:$K$679,MATCH(480,Engine!$C$2:$C$679,0)))</f>
        <v/>
      </c>
      <c r="L493" s="8">
        <f>IF(ISNA(MATCH(480,Engine!$C$2:$C$679,0)),"",INDEX('Compliance Database'!$L$2:$L$679,MATCH(480,Engine!$C$2:$C$679,0)))</f>
        <v/>
      </c>
      <c r="M493" s="8">
        <f>IF(ISNA(MATCH(480,Engine!$C$2:$C$679,0)),"",INDEX('Compliance Database'!$M$2:$M$679,MATCH(480,Engine!$C$2:$C$679,0)))</f>
        <v/>
      </c>
      <c r="N493" s="8">
        <f>IF(ISNA(MATCH(480,Engine!$C$2:$C$679,0)),"",INDEX('Compliance Database'!$N$2:$N$679,MATCH(480,Engine!$C$2:$C$679,0)))</f>
        <v/>
      </c>
      <c r="O493" s="8">
        <f>IF(ISNA(MATCH(480,Engine!$C$2:$C$679,0)),"",INDEX('Compliance Database'!$O$2:$O$679,MATCH(480,Engine!$C$2:$C$679,0)))</f>
        <v/>
      </c>
      <c r="P493">
        <f>IF(ISNA(MATCH(480,Engine!$C$2:$C$679,0)),"",HYPERLINK(INDEX('Compliance Database'!$P$2:$P$679,MATCH(480,Engine!$C$2:$C$679,0)),"Open PDF"))</f>
        <v/>
      </c>
    </row>
    <row r="494">
      <c r="A494">
        <f>IF(ISNA(MATCH(481,Engine!$C$2:$C$679,0)),"",INDEX('Compliance Database'!$A$2:$A$679,MATCH(481,Engine!$C$2:$C$679,0)))</f>
        <v/>
      </c>
      <c r="B494">
        <f>IF(ISNA(MATCH(481,Engine!$C$2:$C$679,0)),"",INDEX('Compliance Database'!$B$2:$B$679,MATCH(481,Engine!$C$2:$C$679,0)))</f>
        <v/>
      </c>
      <c r="C494">
        <f>IF(ISNA(MATCH(481,Engine!$C$2:$C$679,0)),"",INDEX('Compliance Database'!$C$2:$C$679,MATCH(481,Engine!$C$2:$C$679,0)))</f>
        <v/>
      </c>
      <c r="D494" s="8">
        <f>IF(ISNA(MATCH(481,Engine!$C$2:$C$679,0)),"",INDEX('Compliance Database'!$D$2:$D$679,MATCH(481,Engine!$C$2:$C$679,0)))</f>
        <v/>
      </c>
      <c r="E494">
        <f>IF(ISNA(MATCH(481,Engine!$C$2:$C$679,0)),"",INDEX('Compliance Database'!$E$2:$E$679,MATCH(481,Engine!$C$2:$C$679,0)))</f>
        <v/>
      </c>
      <c r="F494">
        <f>IF(ISNA(MATCH(481,Engine!$C$2:$C$679,0)),"",INDEX('Compliance Database'!$F$2:$F$679,MATCH(481,Engine!$C$2:$C$679,0)))</f>
        <v/>
      </c>
      <c r="G494">
        <f>IF(ISNA(MATCH(481,Engine!$C$2:$C$679,0)),"",INDEX('Compliance Database'!$G$2:$G$679,MATCH(481,Engine!$C$2:$C$679,0)))</f>
        <v/>
      </c>
      <c r="H494">
        <f>IF(ISNA(MATCH(481,Engine!$C$2:$C$679,0)),"",INDEX('Compliance Database'!$H$2:$H$679,MATCH(481,Engine!$C$2:$C$679,0)))</f>
        <v/>
      </c>
      <c r="I494" s="8">
        <f>IF(ISNA(MATCH(481,Engine!$C$2:$C$679,0)),"",INDEX('Compliance Database'!$I$2:$I$679,MATCH(481,Engine!$C$2:$C$679,0)))</f>
        <v/>
      </c>
      <c r="J494" s="8">
        <f>IF(ISNA(MATCH(481,Engine!$C$2:$C$679,0)),"",INDEX('Compliance Database'!$J$2:$J$679,MATCH(481,Engine!$C$2:$C$679,0)))</f>
        <v/>
      </c>
      <c r="K494">
        <f>IF(ISNA(MATCH(481,Engine!$C$2:$C$679,0)),"",INDEX('Compliance Database'!$K$2:$K$679,MATCH(481,Engine!$C$2:$C$679,0)))</f>
        <v/>
      </c>
      <c r="L494" s="8">
        <f>IF(ISNA(MATCH(481,Engine!$C$2:$C$679,0)),"",INDEX('Compliance Database'!$L$2:$L$679,MATCH(481,Engine!$C$2:$C$679,0)))</f>
        <v/>
      </c>
      <c r="M494" s="8">
        <f>IF(ISNA(MATCH(481,Engine!$C$2:$C$679,0)),"",INDEX('Compliance Database'!$M$2:$M$679,MATCH(481,Engine!$C$2:$C$679,0)))</f>
        <v/>
      </c>
      <c r="N494" s="8">
        <f>IF(ISNA(MATCH(481,Engine!$C$2:$C$679,0)),"",INDEX('Compliance Database'!$N$2:$N$679,MATCH(481,Engine!$C$2:$C$679,0)))</f>
        <v/>
      </c>
      <c r="O494" s="8">
        <f>IF(ISNA(MATCH(481,Engine!$C$2:$C$679,0)),"",INDEX('Compliance Database'!$O$2:$O$679,MATCH(481,Engine!$C$2:$C$679,0)))</f>
        <v/>
      </c>
      <c r="P494">
        <f>IF(ISNA(MATCH(481,Engine!$C$2:$C$679,0)),"",HYPERLINK(INDEX('Compliance Database'!$P$2:$P$679,MATCH(481,Engine!$C$2:$C$679,0)),"Open PDF"))</f>
        <v/>
      </c>
    </row>
    <row r="495">
      <c r="A495">
        <f>IF(ISNA(MATCH(482,Engine!$C$2:$C$679,0)),"",INDEX('Compliance Database'!$A$2:$A$679,MATCH(482,Engine!$C$2:$C$679,0)))</f>
        <v/>
      </c>
      <c r="B495">
        <f>IF(ISNA(MATCH(482,Engine!$C$2:$C$679,0)),"",INDEX('Compliance Database'!$B$2:$B$679,MATCH(482,Engine!$C$2:$C$679,0)))</f>
        <v/>
      </c>
      <c r="C495">
        <f>IF(ISNA(MATCH(482,Engine!$C$2:$C$679,0)),"",INDEX('Compliance Database'!$C$2:$C$679,MATCH(482,Engine!$C$2:$C$679,0)))</f>
        <v/>
      </c>
      <c r="D495" s="8">
        <f>IF(ISNA(MATCH(482,Engine!$C$2:$C$679,0)),"",INDEX('Compliance Database'!$D$2:$D$679,MATCH(482,Engine!$C$2:$C$679,0)))</f>
        <v/>
      </c>
      <c r="E495">
        <f>IF(ISNA(MATCH(482,Engine!$C$2:$C$679,0)),"",INDEX('Compliance Database'!$E$2:$E$679,MATCH(482,Engine!$C$2:$C$679,0)))</f>
        <v/>
      </c>
      <c r="F495">
        <f>IF(ISNA(MATCH(482,Engine!$C$2:$C$679,0)),"",INDEX('Compliance Database'!$F$2:$F$679,MATCH(482,Engine!$C$2:$C$679,0)))</f>
        <v/>
      </c>
      <c r="G495">
        <f>IF(ISNA(MATCH(482,Engine!$C$2:$C$679,0)),"",INDEX('Compliance Database'!$G$2:$G$679,MATCH(482,Engine!$C$2:$C$679,0)))</f>
        <v/>
      </c>
      <c r="H495">
        <f>IF(ISNA(MATCH(482,Engine!$C$2:$C$679,0)),"",INDEX('Compliance Database'!$H$2:$H$679,MATCH(482,Engine!$C$2:$C$679,0)))</f>
        <v/>
      </c>
      <c r="I495" s="8">
        <f>IF(ISNA(MATCH(482,Engine!$C$2:$C$679,0)),"",INDEX('Compliance Database'!$I$2:$I$679,MATCH(482,Engine!$C$2:$C$679,0)))</f>
        <v/>
      </c>
      <c r="J495" s="8">
        <f>IF(ISNA(MATCH(482,Engine!$C$2:$C$679,0)),"",INDEX('Compliance Database'!$J$2:$J$679,MATCH(482,Engine!$C$2:$C$679,0)))</f>
        <v/>
      </c>
      <c r="K495">
        <f>IF(ISNA(MATCH(482,Engine!$C$2:$C$679,0)),"",INDEX('Compliance Database'!$K$2:$K$679,MATCH(482,Engine!$C$2:$C$679,0)))</f>
        <v/>
      </c>
      <c r="L495" s="8">
        <f>IF(ISNA(MATCH(482,Engine!$C$2:$C$679,0)),"",INDEX('Compliance Database'!$L$2:$L$679,MATCH(482,Engine!$C$2:$C$679,0)))</f>
        <v/>
      </c>
      <c r="M495" s="8">
        <f>IF(ISNA(MATCH(482,Engine!$C$2:$C$679,0)),"",INDEX('Compliance Database'!$M$2:$M$679,MATCH(482,Engine!$C$2:$C$679,0)))</f>
        <v/>
      </c>
      <c r="N495" s="8">
        <f>IF(ISNA(MATCH(482,Engine!$C$2:$C$679,0)),"",INDEX('Compliance Database'!$N$2:$N$679,MATCH(482,Engine!$C$2:$C$679,0)))</f>
        <v/>
      </c>
      <c r="O495" s="8">
        <f>IF(ISNA(MATCH(482,Engine!$C$2:$C$679,0)),"",INDEX('Compliance Database'!$O$2:$O$679,MATCH(482,Engine!$C$2:$C$679,0)))</f>
        <v/>
      </c>
      <c r="P495">
        <f>IF(ISNA(MATCH(482,Engine!$C$2:$C$679,0)),"",HYPERLINK(INDEX('Compliance Database'!$P$2:$P$679,MATCH(482,Engine!$C$2:$C$679,0)),"Open PDF"))</f>
        <v/>
      </c>
    </row>
    <row r="496">
      <c r="A496">
        <f>IF(ISNA(MATCH(483,Engine!$C$2:$C$679,0)),"",INDEX('Compliance Database'!$A$2:$A$679,MATCH(483,Engine!$C$2:$C$679,0)))</f>
        <v/>
      </c>
      <c r="B496">
        <f>IF(ISNA(MATCH(483,Engine!$C$2:$C$679,0)),"",INDEX('Compliance Database'!$B$2:$B$679,MATCH(483,Engine!$C$2:$C$679,0)))</f>
        <v/>
      </c>
      <c r="C496">
        <f>IF(ISNA(MATCH(483,Engine!$C$2:$C$679,0)),"",INDEX('Compliance Database'!$C$2:$C$679,MATCH(483,Engine!$C$2:$C$679,0)))</f>
        <v/>
      </c>
      <c r="D496" s="8">
        <f>IF(ISNA(MATCH(483,Engine!$C$2:$C$679,0)),"",INDEX('Compliance Database'!$D$2:$D$679,MATCH(483,Engine!$C$2:$C$679,0)))</f>
        <v/>
      </c>
      <c r="E496">
        <f>IF(ISNA(MATCH(483,Engine!$C$2:$C$679,0)),"",INDEX('Compliance Database'!$E$2:$E$679,MATCH(483,Engine!$C$2:$C$679,0)))</f>
        <v/>
      </c>
      <c r="F496">
        <f>IF(ISNA(MATCH(483,Engine!$C$2:$C$679,0)),"",INDEX('Compliance Database'!$F$2:$F$679,MATCH(483,Engine!$C$2:$C$679,0)))</f>
        <v/>
      </c>
      <c r="G496">
        <f>IF(ISNA(MATCH(483,Engine!$C$2:$C$679,0)),"",INDEX('Compliance Database'!$G$2:$G$679,MATCH(483,Engine!$C$2:$C$679,0)))</f>
        <v/>
      </c>
      <c r="H496">
        <f>IF(ISNA(MATCH(483,Engine!$C$2:$C$679,0)),"",INDEX('Compliance Database'!$H$2:$H$679,MATCH(483,Engine!$C$2:$C$679,0)))</f>
        <v/>
      </c>
      <c r="I496" s="8">
        <f>IF(ISNA(MATCH(483,Engine!$C$2:$C$679,0)),"",INDEX('Compliance Database'!$I$2:$I$679,MATCH(483,Engine!$C$2:$C$679,0)))</f>
        <v/>
      </c>
      <c r="J496" s="8">
        <f>IF(ISNA(MATCH(483,Engine!$C$2:$C$679,0)),"",INDEX('Compliance Database'!$J$2:$J$679,MATCH(483,Engine!$C$2:$C$679,0)))</f>
        <v/>
      </c>
      <c r="K496">
        <f>IF(ISNA(MATCH(483,Engine!$C$2:$C$679,0)),"",INDEX('Compliance Database'!$K$2:$K$679,MATCH(483,Engine!$C$2:$C$679,0)))</f>
        <v/>
      </c>
      <c r="L496" s="8">
        <f>IF(ISNA(MATCH(483,Engine!$C$2:$C$679,0)),"",INDEX('Compliance Database'!$L$2:$L$679,MATCH(483,Engine!$C$2:$C$679,0)))</f>
        <v/>
      </c>
      <c r="M496" s="8">
        <f>IF(ISNA(MATCH(483,Engine!$C$2:$C$679,0)),"",INDEX('Compliance Database'!$M$2:$M$679,MATCH(483,Engine!$C$2:$C$679,0)))</f>
        <v/>
      </c>
      <c r="N496" s="8">
        <f>IF(ISNA(MATCH(483,Engine!$C$2:$C$679,0)),"",INDEX('Compliance Database'!$N$2:$N$679,MATCH(483,Engine!$C$2:$C$679,0)))</f>
        <v/>
      </c>
      <c r="O496" s="8">
        <f>IF(ISNA(MATCH(483,Engine!$C$2:$C$679,0)),"",INDEX('Compliance Database'!$O$2:$O$679,MATCH(483,Engine!$C$2:$C$679,0)))</f>
        <v/>
      </c>
      <c r="P496">
        <f>IF(ISNA(MATCH(483,Engine!$C$2:$C$679,0)),"",HYPERLINK(INDEX('Compliance Database'!$P$2:$P$679,MATCH(483,Engine!$C$2:$C$679,0)),"Open PDF"))</f>
        <v/>
      </c>
    </row>
    <row r="497">
      <c r="A497">
        <f>IF(ISNA(MATCH(484,Engine!$C$2:$C$679,0)),"",INDEX('Compliance Database'!$A$2:$A$679,MATCH(484,Engine!$C$2:$C$679,0)))</f>
        <v/>
      </c>
      <c r="B497">
        <f>IF(ISNA(MATCH(484,Engine!$C$2:$C$679,0)),"",INDEX('Compliance Database'!$B$2:$B$679,MATCH(484,Engine!$C$2:$C$679,0)))</f>
        <v/>
      </c>
      <c r="C497">
        <f>IF(ISNA(MATCH(484,Engine!$C$2:$C$679,0)),"",INDEX('Compliance Database'!$C$2:$C$679,MATCH(484,Engine!$C$2:$C$679,0)))</f>
        <v/>
      </c>
      <c r="D497" s="8">
        <f>IF(ISNA(MATCH(484,Engine!$C$2:$C$679,0)),"",INDEX('Compliance Database'!$D$2:$D$679,MATCH(484,Engine!$C$2:$C$679,0)))</f>
        <v/>
      </c>
      <c r="E497">
        <f>IF(ISNA(MATCH(484,Engine!$C$2:$C$679,0)),"",INDEX('Compliance Database'!$E$2:$E$679,MATCH(484,Engine!$C$2:$C$679,0)))</f>
        <v/>
      </c>
      <c r="F497">
        <f>IF(ISNA(MATCH(484,Engine!$C$2:$C$679,0)),"",INDEX('Compliance Database'!$F$2:$F$679,MATCH(484,Engine!$C$2:$C$679,0)))</f>
        <v/>
      </c>
      <c r="G497">
        <f>IF(ISNA(MATCH(484,Engine!$C$2:$C$679,0)),"",INDEX('Compliance Database'!$G$2:$G$679,MATCH(484,Engine!$C$2:$C$679,0)))</f>
        <v/>
      </c>
      <c r="H497">
        <f>IF(ISNA(MATCH(484,Engine!$C$2:$C$679,0)),"",INDEX('Compliance Database'!$H$2:$H$679,MATCH(484,Engine!$C$2:$C$679,0)))</f>
        <v/>
      </c>
      <c r="I497" s="8">
        <f>IF(ISNA(MATCH(484,Engine!$C$2:$C$679,0)),"",INDEX('Compliance Database'!$I$2:$I$679,MATCH(484,Engine!$C$2:$C$679,0)))</f>
        <v/>
      </c>
      <c r="J497" s="8">
        <f>IF(ISNA(MATCH(484,Engine!$C$2:$C$679,0)),"",INDEX('Compliance Database'!$J$2:$J$679,MATCH(484,Engine!$C$2:$C$679,0)))</f>
        <v/>
      </c>
      <c r="K497">
        <f>IF(ISNA(MATCH(484,Engine!$C$2:$C$679,0)),"",INDEX('Compliance Database'!$K$2:$K$679,MATCH(484,Engine!$C$2:$C$679,0)))</f>
        <v/>
      </c>
      <c r="L497" s="8">
        <f>IF(ISNA(MATCH(484,Engine!$C$2:$C$679,0)),"",INDEX('Compliance Database'!$L$2:$L$679,MATCH(484,Engine!$C$2:$C$679,0)))</f>
        <v/>
      </c>
      <c r="M497" s="8">
        <f>IF(ISNA(MATCH(484,Engine!$C$2:$C$679,0)),"",INDEX('Compliance Database'!$M$2:$M$679,MATCH(484,Engine!$C$2:$C$679,0)))</f>
        <v/>
      </c>
      <c r="N497" s="8">
        <f>IF(ISNA(MATCH(484,Engine!$C$2:$C$679,0)),"",INDEX('Compliance Database'!$N$2:$N$679,MATCH(484,Engine!$C$2:$C$679,0)))</f>
        <v/>
      </c>
      <c r="O497" s="8">
        <f>IF(ISNA(MATCH(484,Engine!$C$2:$C$679,0)),"",INDEX('Compliance Database'!$O$2:$O$679,MATCH(484,Engine!$C$2:$C$679,0)))</f>
        <v/>
      </c>
      <c r="P497">
        <f>IF(ISNA(MATCH(484,Engine!$C$2:$C$679,0)),"",HYPERLINK(INDEX('Compliance Database'!$P$2:$P$679,MATCH(484,Engine!$C$2:$C$679,0)),"Open PDF"))</f>
        <v/>
      </c>
    </row>
    <row r="498">
      <c r="A498">
        <f>IF(ISNA(MATCH(485,Engine!$C$2:$C$679,0)),"",INDEX('Compliance Database'!$A$2:$A$679,MATCH(485,Engine!$C$2:$C$679,0)))</f>
        <v/>
      </c>
      <c r="B498">
        <f>IF(ISNA(MATCH(485,Engine!$C$2:$C$679,0)),"",INDEX('Compliance Database'!$B$2:$B$679,MATCH(485,Engine!$C$2:$C$679,0)))</f>
        <v/>
      </c>
      <c r="C498">
        <f>IF(ISNA(MATCH(485,Engine!$C$2:$C$679,0)),"",INDEX('Compliance Database'!$C$2:$C$679,MATCH(485,Engine!$C$2:$C$679,0)))</f>
        <v/>
      </c>
      <c r="D498" s="8">
        <f>IF(ISNA(MATCH(485,Engine!$C$2:$C$679,0)),"",INDEX('Compliance Database'!$D$2:$D$679,MATCH(485,Engine!$C$2:$C$679,0)))</f>
        <v/>
      </c>
      <c r="E498">
        <f>IF(ISNA(MATCH(485,Engine!$C$2:$C$679,0)),"",INDEX('Compliance Database'!$E$2:$E$679,MATCH(485,Engine!$C$2:$C$679,0)))</f>
        <v/>
      </c>
      <c r="F498">
        <f>IF(ISNA(MATCH(485,Engine!$C$2:$C$679,0)),"",INDEX('Compliance Database'!$F$2:$F$679,MATCH(485,Engine!$C$2:$C$679,0)))</f>
        <v/>
      </c>
      <c r="G498">
        <f>IF(ISNA(MATCH(485,Engine!$C$2:$C$679,0)),"",INDEX('Compliance Database'!$G$2:$G$679,MATCH(485,Engine!$C$2:$C$679,0)))</f>
        <v/>
      </c>
      <c r="H498">
        <f>IF(ISNA(MATCH(485,Engine!$C$2:$C$679,0)),"",INDEX('Compliance Database'!$H$2:$H$679,MATCH(485,Engine!$C$2:$C$679,0)))</f>
        <v/>
      </c>
      <c r="I498" s="8">
        <f>IF(ISNA(MATCH(485,Engine!$C$2:$C$679,0)),"",INDEX('Compliance Database'!$I$2:$I$679,MATCH(485,Engine!$C$2:$C$679,0)))</f>
        <v/>
      </c>
      <c r="J498" s="8">
        <f>IF(ISNA(MATCH(485,Engine!$C$2:$C$679,0)),"",INDEX('Compliance Database'!$J$2:$J$679,MATCH(485,Engine!$C$2:$C$679,0)))</f>
        <v/>
      </c>
      <c r="K498">
        <f>IF(ISNA(MATCH(485,Engine!$C$2:$C$679,0)),"",INDEX('Compliance Database'!$K$2:$K$679,MATCH(485,Engine!$C$2:$C$679,0)))</f>
        <v/>
      </c>
      <c r="L498" s="8">
        <f>IF(ISNA(MATCH(485,Engine!$C$2:$C$679,0)),"",INDEX('Compliance Database'!$L$2:$L$679,MATCH(485,Engine!$C$2:$C$679,0)))</f>
        <v/>
      </c>
      <c r="M498" s="8">
        <f>IF(ISNA(MATCH(485,Engine!$C$2:$C$679,0)),"",INDEX('Compliance Database'!$M$2:$M$679,MATCH(485,Engine!$C$2:$C$679,0)))</f>
        <v/>
      </c>
      <c r="N498" s="8">
        <f>IF(ISNA(MATCH(485,Engine!$C$2:$C$679,0)),"",INDEX('Compliance Database'!$N$2:$N$679,MATCH(485,Engine!$C$2:$C$679,0)))</f>
        <v/>
      </c>
      <c r="O498" s="8">
        <f>IF(ISNA(MATCH(485,Engine!$C$2:$C$679,0)),"",INDEX('Compliance Database'!$O$2:$O$679,MATCH(485,Engine!$C$2:$C$679,0)))</f>
        <v/>
      </c>
      <c r="P498">
        <f>IF(ISNA(MATCH(485,Engine!$C$2:$C$679,0)),"",HYPERLINK(INDEX('Compliance Database'!$P$2:$P$679,MATCH(485,Engine!$C$2:$C$679,0)),"Open PDF"))</f>
        <v/>
      </c>
    </row>
    <row r="499">
      <c r="A499">
        <f>IF(ISNA(MATCH(486,Engine!$C$2:$C$679,0)),"",INDEX('Compliance Database'!$A$2:$A$679,MATCH(486,Engine!$C$2:$C$679,0)))</f>
        <v/>
      </c>
      <c r="B499">
        <f>IF(ISNA(MATCH(486,Engine!$C$2:$C$679,0)),"",INDEX('Compliance Database'!$B$2:$B$679,MATCH(486,Engine!$C$2:$C$679,0)))</f>
        <v/>
      </c>
      <c r="C499">
        <f>IF(ISNA(MATCH(486,Engine!$C$2:$C$679,0)),"",INDEX('Compliance Database'!$C$2:$C$679,MATCH(486,Engine!$C$2:$C$679,0)))</f>
        <v/>
      </c>
      <c r="D499" s="8">
        <f>IF(ISNA(MATCH(486,Engine!$C$2:$C$679,0)),"",INDEX('Compliance Database'!$D$2:$D$679,MATCH(486,Engine!$C$2:$C$679,0)))</f>
        <v/>
      </c>
      <c r="E499">
        <f>IF(ISNA(MATCH(486,Engine!$C$2:$C$679,0)),"",INDEX('Compliance Database'!$E$2:$E$679,MATCH(486,Engine!$C$2:$C$679,0)))</f>
        <v/>
      </c>
      <c r="F499">
        <f>IF(ISNA(MATCH(486,Engine!$C$2:$C$679,0)),"",INDEX('Compliance Database'!$F$2:$F$679,MATCH(486,Engine!$C$2:$C$679,0)))</f>
        <v/>
      </c>
      <c r="G499">
        <f>IF(ISNA(MATCH(486,Engine!$C$2:$C$679,0)),"",INDEX('Compliance Database'!$G$2:$G$679,MATCH(486,Engine!$C$2:$C$679,0)))</f>
        <v/>
      </c>
      <c r="H499">
        <f>IF(ISNA(MATCH(486,Engine!$C$2:$C$679,0)),"",INDEX('Compliance Database'!$H$2:$H$679,MATCH(486,Engine!$C$2:$C$679,0)))</f>
        <v/>
      </c>
      <c r="I499" s="8">
        <f>IF(ISNA(MATCH(486,Engine!$C$2:$C$679,0)),"",INDEX('Compliance Database'!$I$2:$I$679,MATCH(486,Engine!$C$2:$C$679,0)))</f>
        <v/>
      </c>
      <c r="J499" s="8">
        <f>IF(ISNA(MATCH(486,Engine!$C$2:$C$679,0)),"",INDEX('Compliance Database'!$J$2:$J$679,MATCH(486,Engine!$C$2:$C$679,0)))</f>
        <v/>
      </c>
      <c r="K499">
        <f>IF(ISNA(MATCH(486,Engine!$C$2:$C$679,0)),"",INDEX('Compliance Database'!$K$2:$K$679,MATCH(486,Engine!$C$2:$C$679,0)))</f>
        <v/>
      </c>
      <c r="L499" s="8">
        <f>IF(ISNA(MATCH(486,Engine!$C$2:$C$679,0)),"",INDEX('Compliance Database'!$L$2:$L$679,MATCH(486,Engine!$C$2:$C$679,0)))</f>
        <v/>
      </c>
      <c r="M499" s="8">
        <f>IF(ISNA(MATCH(486,Engine!$C$2:$C$679,0)),"",INDEX('Compliance Database'!$M$2:$M$679,MATCH(486,Engine!$C$2:$C$679,0)))</f>
        <v/>
      </c>
      <c r="N499" s="8">
        <f>IF(ISNA(MATCH(486,Engine!$C$2:$C$679,0)),"",INDEX('Compliance Database'!$N$2:$N$679,MATCH(486,Engine!$C$2:$C$679,0)))</f>
        <v/>
      </c>
      <c r="O499" s="8">
        <f>IF(ISNA(MATCH(486,Engine!$C$2:$C$679,0)),"",INDEX('Compliance Database'!$O$2:$O$679,MATCH(486,Engine!$C$2:$C$679,0)))</f>
        <v/>
      </c>
      <c r="P499">
        <f>IF(ISNA(MATCH(486,Engine!$C$2:$C$679,0)),"",HYPERLINK(INDEX('Compliance Database'!$P$2:$P$679,MATCH(486,Engine!$C$2:$C$679,0)),"Open PDF"))</f>
        <v/>
      </c>
    </row>
    <row r="500">
      <c r="A500">
        <f>IF(ISNA(MATCH(487,Engine!$C$2:$C$679,0)),"",INDEX('Compliance Database'!$A$2:$A$679,MATCH(487,Engine!$C$2:$C$679,0)))</f>
        <v/>
      </c>
      <c r="B500">
        <f>IF(ISNA(MATCH(487,Engine!$C$2:$C$679,0)),"",INDEX('Compliance Database'!$B$2:$B$679,MATCH(487,Engine!$C$2:$C$679,0)))</f>
        <v/>
      </c>
      <c r="C500">
        <f>IF(ISNA(MATCH(487,Engine!$C$2:$C$679,0)),"",INDEX('Compliance Database'!$C$2:$C$679,MATCH(487,Engine!$C$2:$C$679,0)))</f>
        <v/>
      </c>
      <c r="D500" s="8">
        <f>IF(ISNA(MATCH(487,Engine!$C$2:$C$679,0)),"",INDEX('Compliance Database'!$D$2:$D$679,MATCH(487,Engine!$C$2:$C$679,0)))</f>
        <v/>
      </c>
      <c r="E500">
        <f>IF(ISNA(MATCH(487,Engine!$C$2:$C$679,0)),"",INDEX('Compliance Database'!$E$2:$E$679,MATCH(487,Engine!$C$2:$C$679,0)))</f>
        <v/>
      </c>
      <c r="F500">
        <f>IF(ISNA(MATCH(487,Engine!$C$2:$C$679,0)),"",INDEX('Compliance Database'!$F$2:$F$679,MATCH(487,Engine!$C$2:$C$679,0)))</f>
        <v/>
      </c>
      <c r="G500">
        <f>IF(ISNA(MATCH(487,Engine!$C$2:$C$679,0)),"",INDEX('Compliance Database'!$G$2:$G$679,MATCH(487,Engine!$C$2:$C$679,0)))</f>
        <v/>
      </c>
      <c r="H500">
        <f>IF(ISNA(MATCH(487,Engine!$C$2:$C$679,0)),"",INDEX('Compliance Database'!$H$2:$H$679,MATCH(487,Engine!$C$2:$C$679,0)))</f>
        <v/>
      </c>
      <c r="I500" s="8">
        <f>IF(ISNA(MATCH(487,Engine!$C$2:$C$679,0)),"",INDEX('Compliance Database'!$I$2:$I$679,MATCH(487,Engine!$C$2:$C$679,0)))</f>
        <v/>
      </c>
      <c r="J500" s="8">
        <f>IF(ISNA(MATCH(487,Engine!$C$2:$C$679,0)),"",INDEX('Compliance Database'!$J$2:$J$679,MATCH(487,Engine!$C$2:$C$679,0)))</f>
        <v/>
      </c>
      <c r="K500">
        <f>IF(ISNA(MATCH(487,Engine!$C$2:$C$679,0)),"",INDEX('Compliance Database'!$K$2:$K$679,MATCH(487,Engine!$C$2:$C$679,0)))</f>
        <v/>
      </c>
      <c r="L500" s="8">
        <f>IF(ISNA(MATCH(487,Engine!$C$2:$C$679,0)),"",INDEX('Compliance Database'!$L$2:$L$679,MATCH(487,Engine!$C$2:$C$679,0)))</f>
        <v/>
      </c>
      <c r="M500" s="8">
        <f>IF(ISNA(MATCH(487,Engine!$C$2:$C$679,0)),"",INDEX('Compliance Database'!$M$2:$M$679,MATCH(487,Engine!$C$2:$C$679,0)))</f>
        <v/>
      </c>
      <c r="N500" s="8">
        <f>IF(ISNA(MATCH(487,Engine!$C$2:$C$679,0)),"",INDEX('Compliance Database'!$N$2:$N$679,MATCH(487,Engine!$C$2:$C$679,0)))</f>
        <v/>
      </c>
      <c r="O500" s="8">
        <f>IF(ISNA(MATCH(487,Engine!$C$2:$C$679,0)),"",INDEX('Compliance Database'!$O$2:$O$679,MATCH(487,Engine!$C$2:$C$679,0)))</f>
        <v/>
      </c>
      <c r="P500">
        <f>IF(ISNA(MATCH(487,Engine!$C$2:$C$679,0)),"",HYPERLINK(INDEX('Compliance Database'!$P$2:$P$679,MATCH(487,Engine!$C$2:$C$679,0)),"Open PDF"))</f>
        <v/>
      </c>
    </row>
    <row r="501">
      <c r="A501">
        <f>IF(ISNA(MATCH(488,Engine!$C$2:$C$679,0)),"",INDEX('Compliance Database'!$A$2:$A$679,MATCH(488,Engine!$C$2:$C$679,0)))</f>
        <v/>
      </c>
      <c r="B501">
        <f>IF(ISNA(MATCH(488,Engine!$C$2:$C$679,0)),"",INDEX('Compliance Database'!$B$2:$B$679,MATCH(488,Engine!$C$2:$C$679,0)))</f>
        <v/>
      </c>
      <c r="C501">
        <f>IF(ISNA(MATCH(488,Engine!$C$2:$C$679,0)),"",INDEX('Compliance Database'!$C$2:$C$679,MATCH(488,Engine!$C$2:$C$679,0)))</f>
        <v/>
      </c>
      <c r="D501" s="8">
        <f>IF(ISNA(MATCH(488,Engine!$C$2:$C$679,0)),"",INDEX('Compliance Database'!$D$2:$D$679,MATCH(488,Engine!$C$2:$C$679,0)))</f>
        <v/>
      </c>
      <c r="E501">
        <f>IF(ISNA(MATCH(488,Engine!$C$2:$C$679,0)),"",INDEX('Compliance Database'!$E$2:$E$679,MATCH(488,Engine!$C$2:$C$679,0)))</f>
        <v/>
      </c>
      <c r="F501">
        <f>IF(ISNA(MATCH(488,Engine!$C$2:$C$679,0)),"",INDEX('Compliance Database'!$F$2:$F$679,MATCH(488,Engine!$C$2:$C$679,0)))</f>
        <v/>
      </c>
      <c r="G501">
        <f>IF(ISNA(MATCH(488,Engine!$C$2:$C$679,0)),"",INDEX('Compliance Database'!$G$2:$G$679,MATCH(488,Engine!$C$2:$C$679,0)))</f>
        <v/>
      </c>
      <c r="H501">
        <f>IF(ISNA(MATCH(488,Engine!$C$2:$C$679,0)),"",INDEX('Compliance Database'!$H$2:$H$679,MATCH(488,Engine!$C$2:$C$679,0)))</f>
        <v/>
      </c>
      <c r="I501" s="8">
        <f>IF(ISNA(MATCH(488,Engine!$C$2:$C$679,0)),"",INDEX('Compliance Database'!$I$2:$I$679,MATCH(488,Engine!$C$2:$C$679,0)))</f>
        <v/>
      </c>
      <c r="J501" s="8">
        <f>IF(ISNA(MATCH(488,Engine!$C$2:$C$679,0)),"",INDEX('Compliance Database'!$J$2:$J$679,MATCH(488,Engine!$C$2:$C$679,0)))</f>
        <v/>
      </c>
      <c r="K501">
        <f>IF(ISNA(MATCH(488,Engine!$C$2:$C$679,0)),"",INDEX('Compliance Database'!$K$2:$K$679,MATCH(488,Engine!$C$2:$C$679,0)))</f>
        <v/>
      </c>
      <c r="L501" s="8">
        <f>IF(ISNA(MATCH(488,Engine!$C$2:$C$679,0)),"",INDEX('Compliance Database'!$L$2:$L$679,MATCH(488,Engine!$C$2:$C$679,0)))</f>
        <v/>
      </c>
      <c r="M501" s="8">
        <f>IF(ISNA(MATCH(488,Engine!$C$2:$C$679,0)),"",INDEX('Compliance Database'!$M$2:$M$679,MATCH(488,Engine!$C$2:$C$679,0)))</f>
        <v/>
      </c>
      <c r="N501" s="8">
        <f>IF(ISNA(MATCH(488,Engine!$C$2:$C$679,0)),"",INDEX('Compliance Database'!$N$2:$N$679,MATCH(488,Engine!$C$2:$C$679,0)))</f>
        <v/>
      </c>
      <c r="O501" s="8">
        <f>IF(ISNA(MATCH(488,Engine!$C$2:$C$679,0)),"",INDEX('Compliance Database'!$O$2:$O$679,MATCH(488,Engine!$C$2:$C$679,0)))</f>
        <v/>
      </c>
      <c r="P501">
        <f>IF(ISNA(MATCH(488,Engine!$C$2:$C$679,0)),"",HYPERLINK(INDEX('Compliance Database'!$P$2:$P$679,MATCH(488,Engine!$C$2:$C$679,0)),"Open PDF"))</f>
        <v/>
      </c>
    </row>
    <row r="502">
      <c r="A502">
        <f>IF(ISNA(MATCH(489,Engine!$C$2:$C$679,0)),"",INDEX('Compliance Database'!$A$2:$A$679,MATCH(489,Engine!$C$2:$C$679,0)))</f>
        <v/>
      </c>
      <c r="B502">
        <f>IF(ISNA(MATCH(489,Engine!$C$2:$C$679,0)),"",INDEX('Compliance Database'!$B$2:$B$679,MATCH(489,Engine!$C$2:$C$679,0)))</f>
        <v/>
      </c>
      <c r="C502">
        <f>IF(ISNA(MATCH(489,Engine!$C$2:$C$679,0)),"",INDEX('Compliance Database'!$C$2:$C$679,MATCH(489,Engine!$C$2:$C$679,0)))</f>
        <v/>
      </c>
      <c r="D502" s="8">
        <f>IF(ISNA(MATCH(489,Engine!$C$2:$C$679,0)),"",INDEX('Compliance Database'!$D$2:$D$679,MATCH(489,Engine!$C$2:$C$679,0)))</f>
        <v/>
      </c>
      <c r="E502">
        <f>IF(ISNA(MATCH(489,Engine!$C$2:$C$679,0)),"",INDEX('Compliance Database'!$E$2:$E$679,MATCH(489,Engine!$C$2:$C$679,0)))</f>
        <v/>
      </c>
      <c r="F502">
        <f>IF(ISNA(MATCH(489,Engine!$C$2:$C$679,0)),"",INDEX('Compliance Database'!$F$2:$F$679,MATCH(489,Engine!$C$2:$C$679,0)))</f>
        <v/>
      </c>
      <c r="G502">
        <f>IF(ISNA(MATCH(489,Engine!$C$2:$C$679,0)),"",INDEX('Compliance Database'!$G$2:$G$679,MATCH(489,Engine!$C$2:$C$679,0)))</f>
        <v/>
      </c>
      <c r="H502">
        <f>IF(ISNA(MATCH(489,Engine!$C$2:$C$679,0)),"",INDEX('Compliance Database'!$H$2:$H$679,MATCH(489,Engine!$C$2:$C$679,0)))</f>
        <v/>
      </c>
      <c r="I502" s="8">
        <f>IF(ISNA(MATCH(489,Engine!$C$2:$C$679,0)),"",INDEX('Compliance Database'!$I$2:$I$679,MATCH(489,Engine!$C$2:$C$679,0)))</f>
        <v/>
      </c>
      <c r="J502" s="8">
        <f>IF(ISNA(MATCH(489,Engine!$C$2:$C$679,0)),"",INDEX('Compliance Database'!$J$2:$J$679,MATCH(489,Engine!$C$2:$C$679,0)))</f>
        <v/>
      </c>
      <c r="K502">
        <f>IF(ISNA(MATCH(489,Engine!$C$2:$C$679,0)),"",INDEX('Compliance Database'!$K$2:$K$679,MATCH(489,Engine!$C$2:$C$679,0)))</f>
        <v/>
      </c>
      <c r="L502" s="8">
        <f>IF(ISNA(MATCH(489,Engine!$C$2:$C$679,0)),"",INDEX('Compliance Database'!$L$2:$L$679,MATCH(489,Engine!$C$2:$C$679,0)))</f>
        <v/>
      </c>
      <c r="M502" s="8">
        <f>IF(ISNA(MATCH(489,Engine!$C$2:$C$679,0)),"",INDEX('Compliance Database'!$M$2:$M$679,MATCH(489,Engine!$C$2:$C$679,0)))</f>
        <v/>
      </c>
      <c r="N502" s="8">
        <f>IF(ISNA(MATCH(489,Engine!$C$2:$C$679,0)),"",INDEX('Compliance Database'!$N$2:$N$679,MATCH(489,Engine!$C$2:$C$679,0)))</f>
        <v/>
      </c>
      <c r="O502" s="8">
        <f>IF(ISNA(MATCH(489,Engine!$C$2:$C$679,0)),"",INDEX('Compliance Database'!$O$2:$O$679,MATCH(489,Engine!$C$2:$C$679,0)))</f>
        <v/>
      </c>
      <c r="P502">
        <f>IF(ISNA(MATCH(489,Engine!$C$2:$C$679,0)),"",HYPERLINK(INDEX('Compliance Database'!$P$2:$P$679,MATCH(489,Engine!$C$2:$C$679,0)),"Open PDF"))</f>
        <v/>
      </c>
    </row>
    <row r="503">
      <c r="A503">
        <f>IF(ISNA(MATCH(490,Engine!$C$2:$C$679,0)),"",INDEX('Compliance Database'!$A$2:$A$679,MATCH(490,Engine!$C$2:$C$679,0)))</f>
        <v/>
      </c>
      <c r="B503">
        <f>IF(ISNA(MATCH(490,Engine!$C$2:$C$679,0)),"",INDEX('Compliance Database'!$B$2:$B$679,MATCH(490,Engine!$C$2:$C$679,0)))</f>
        <v/>
      </c>
      <c r="C503">
        <f>IF(ISNA(MATCH(490,Engine!$C$2:$C$679,0)),"",INDEX('Compliance Database'!$C$2:$C$679,MATCH(490,Engine!$C$2:$C$679,0)))</f>
        <v/>
      </c>
      <c r="D503" s="8">
        <f>IF(ISNA(MATCH(490,Engine!$C$2:$C$679,0)),"",INDEX('Compliance Database'!$D$2:$D$679,MATCH(490,Engine!$C$2:$C$679,0)))</f>
        <v/>
      </c>
      <c r="E503">
        <f>IF(ISNA(MATCH(490,Engine!$C$2:$C$679,0)),"",INDEX('Compliance Database'!$E$2:$E$679,MATCH(490,Engine!$C$2:$C$679,0)))</f>
        <v/>
      </c>
      <c r="F503">
        <f>IF(ISNA(MATCH(490,Engine!$C$2:$C$679,0)),"",INDEX('Compliance Database'!$F$2:$F$679,MATCH(490,Engine!$C$2:$C$679,0)))</f>
        <v/>
      </c>
      <c r="G503">
        <f>IF(ISNA(MATCH(490,Engine!$C$2:$C$679,0)),"",INDEX('Compliance Database'!$G$2:$G$679,MATCH(490,Engine!$C$2:$C$679,0)))</f>
        <v/>
      </c>
      <c r="H503">
        <f>IF(ISNA(MATCH(490,Engine!$C$2:$C$679,0)),"",INDEX('Compliance Database'!$H$2:$H$679,MATCH(490,Engine!$C$2:$C$679,0)))</f>
        <v/>
      </c>
      <c r="I503" s="8">
        <f>IF(ISNA(MATCH(490,Engine!$C$2:$C$679,0)),"",INDEX('Compliance Database'!$I$2:$I$679,MATCH(490,Engine!$C$2:$C$679,0)))</f>
        <v/>
      </c>
      <c r="J503" s="8">
        <f>IF(ISNA(MATCH(490,Engine!$C$2:$C$679,0)),"",INDEX('Compliance Database'!$J$2:$J$679,MATCH(490,Engine!$C$2:$C$679,0)))</f>
        <v/>
      </c>
      <c r="K503">
        <f>IF(ISNA(MATCH(490,Engine!$C$2:$C$679,0)),"",INDEX('Compliance Database'!$K$2:$K$679,MATCH(490,Engine!$C$2:$C$679,0)))</f>
        <v/>
      </c>
      <c r="L503" s="8">
        <f>IF(ISNA(MATCH(490,Engine!$C$2:$C$679,0)),"",INDEX('Compliance Database'!$L$2:$L$679,MATCH(490,Engine!$C$2:$C$679,0)))</f>
        <v/>
      </c>
      <c r="M503" s="8">
        <f>IF(ISNA(MATCH(490,Engine!$C$2:$C$679,0)),"",INDEX('Compliance Database'!$M$2:$M$679,MATCH(490,Engine!$C$2:$C$679,0)))</f>
        <v/>
      </c>
      <c r="N503" s="8">
        <f>IF(ISNA(MATCH(490,Engine!$C$2:$C$679,0)),"",INDEX('Compliance Database'!$N$2:$N$679,MATCH(490,Engine!$C$2:$C$679,0)))</f>
        <v/>
      </c>
      <c r="O503" s="8">
        <f>IF(ISNA(MATCH(490,Engine!$C$2:$C$679,0)),"",INDEX('Compliance Database'!$O$2:$O$679,MATCH(490,Engine!$C$2:$C$679,0)))</f>
        <v/>
      </c>
      <c r="P503">
        <f>IF(ISNA(MATCH(490,Engine!$C$2:$C$679,0)),"",HYPERLINK(INDEX('Compliance Database'!$P$2:$P$679,MATCH(490,Engine!$C$2:$C$679,0)),"Open PDF"))</f>
        <v/>
      </c>
    </row>
    <row r="504">
      <c r="A504">
        <f>IF(ISNA(MATCH(491,Engine!$C$2:$C$679,0)),"",INDEX('Compliance Database'!$A$2:$A$679,MATCH(491,Engine!$C$2:$C$679,0)))</f>
        <v/>
      </c>
      <c r="B504">
        <f>IF(ISNA(MATCH(491,Engine!$C$2:$C$679,0)),"",INDEX('Compliance Database'!$B$2:$B$679,MATCH(491,Engine!$C$2:$C$679,0)))</f>
        <v/>
      </c>
      <c r="C504">
        <f>IF(ISNA(MATCH(491,Engine!$C$2:$C$679,0)),"",INDEX('Compliance Database'!$C$2:$C$679,MATCH(491,Engine!$C$2:$C$679,0)))</f>
        <v/>
      </c>
      <c r="D504" s="8">
        <f>IF(ISNA(MATCH(491,Engine!$C$2:$C$679,0)),"",INDEX('Compliance Database'!$D$2:$D$679,MATCH(491,Engine!$C$2:$C$679,0)))</f>
        <v/>
      </c>
      <c r="E504">
        <f>IF(ISNA(MATCH(491,Engine!$C$2:$C$679,0)),"",INDEX('Compliance Database'!$E$2:$E$679,MATCH(491,Engine!$C$2:$C$679,0)))</f>
        <v/>
      </c>
      <c r="F504">
        <f>IF(ISNA(MATCH(491,Engine!$C$2:$C$679,0)),"",INDEX('Compliance Database'!$F$2:$F$679,MATCH(491,Engine!$C$2:$C$679,0)))</f>
        <v/>
      </c>
      <c r="G504">
        <f>IF(ISNA(MATCH(491,Engine!$C$2:$C$679,0)),"",INDEX('Compliance Database'!$G$2:$G$679,MATCH(491,Engine!$C$2:$C$679,0)))</f>
        <v/>
      </c>
      <c r="H504">
        <f>IF(ISNA(MATCH(491,Engine!$C$2:$C$679,0)),"",INDEX('Compliance Database'!$H$2:$H$679,MATCH(491,Engine!$C$2:$C$679,0)))</f>
        <v/>
      </c>
      <c r="I504" s="8">
        <f>IF(ISNA(MATCH(491,Engine!$C$2:$C$679,0)),"",INDEX('Compliance Database'!$I$2:$I$679,MATCH(491,Engine!$C$2:$C$679,0)))</f>
        <v/>
      </c>
      <c r="J504" s="8">
        <f>IF(ISNA(MATCH(491,Engine!$C$2:$C$679,0)),"",INDEX('Compliance Database'!$J$2:$J$679,MATCH(491,Engine!$C$2:$C$679,0)))</f>
        <v/>
      </c>
      <c r="K504">
        <f>IF(ISNA(MATCH(491,Engine!$C$2:$C$679,0)),"",INDEX('Compliance Database'!$K$2:$K$679,MATCH(491,Engine!$C$2:$C$679,0)))</f>
        <v/>
      </c>
      <c r="L504" s="8">
        <f>IF(ISNA(MATCH(491,Engine!$C$2:$C$679,0)),"",INDEX('Compliance Database'!$L$2:$L$679,MATCH(491,Engine!$C$2:$C$679,0)))</f>
        <v/>
      </c>
      <c r="M504" s="8">
        <f>IF(ISNA(MATCH(491,Engine!$C$2:$C$679,0)),"",INDEX('Compliance Database'!$M$2:$M$679,MATCH(491,Engine!$C$2:$C$679,0)))</f>
        <v/>
      </c>
      <c r="N504" s="8">
        <f>IF(ISNA(MATCH(491,Engine!$C$2:$C$679,0)),"",INDEX('Compliance Database'!$N$2:$N$679,MATCH(491,Engine!$C$2:$C$679,0)))</f>
        <v/>
      </c>
      <c r="O504" s="8">
        <f>IF(ISNA(MATCH(491,Engine!$C$2:$C$679,0)),"",INDEX('Compliance Database'!$O$2:$O$679,MATCH(491,Engine!$C$2:$C$679,0)))</f>
        <v/>
      </c>
      <c r="P504">
        <f>IF(ISNA(MATCH(491,Engine!$C$2:$C$679,0)),"",HYPERLINK(INDEX('Compliance Database'!$P$2:$P$679,MATCH(491,Engine!$C$2:$C$679,0)),"Open PDF"))</f>
        <v/>
      </c>
    </row>
    <row r="505">
      <c r="A505">
        <f>IF(ISNA(MATCH(492,Engine!$C$2:$C$679,0)),"",INDEX('Compliance Database'!$A$2:$A$679,MATCH(492,Engine!$C$2:$C$679,0)))</f>
        <v/>
      </c>
      <c r="B505">
        <f>IF(ISNA(MATCH(492,Engine!$C$2:$C$679,0)),"",INDEX('Compliance Database'!$B$2:$B$679,MATCH(492,Engine!$C$2:$C$679,0)))</f>
        <v/>
      </c>
      <c r="C505">
        <f>IF(ISNA(MATCH(492,Engine!$C$2:$C$679,0)),"",INDEX('Compliance Database'!$C$2:$C$679,MATCH(492,Engine!$C$2:$C$679,0)))</f>
        <v/>
      </c>
      <c r="D505" s="8">
        <f>IF(ISNA(MATCH(492,Engine!$C$2:$C$679,0)),"",INDEX('Compliance Database'!$D$2:$D$679,MATCH(492,Engine!$C$2:$C$679,0)))</f>
        <v/>
      </c>
      <c r="E505">
        <f>IF(ISNA(MATCH(492,Engine!$C$2:$C$679,0)),"",INDEX('Compliance Database'!$E$2:$E$679,MATCH(492,Engine!$C$2:$C$679,0)))</f>
        <v/>
      </c>
      <c r="F505">
        <f>IF(ISNA(MATCH(492,Engine!$C$2:$C$679,0)),"",INDEX('Compliance Database'!$F$2:$F$679,MATCH(492,Engine!$C$2:$C$679,0)))</f>
        <v/>
      </c>
      <c r="G505">
        <f>IF(ISNA(MATCH(492,Engine!$C$2:$C$679,0)),"",INDEX('Compliance Database'!$G$2:$G$679,MATCH(492,Engine!$C$2:$C$679,0)))</f>
        <v/>
      </c>
      <c r="H505">
        <f>IF(ISNA(MATCH(492,Engine!$C$2:$C$679,0)),"",INDEX('Compliance Database'!$H$2:$H$679,MATCH(492,Engine!$C$2:$C$679,0)))</f>
        <v/>
      </c>
      <c r="I505" s="8">
        <f>IF(ISNA(MATCH(492,Engine!$C$2:$C$679,0)),"",INDEX('Compliance Database'!$I$2:$I$679,MATCH(492,Engine!$C$2:$C$679,0)))</f>
        <v/>
      </c>
      <c r="J505" s="8">
        <f>IF(ISNA(MATCH(492,Engine!$C$2:$C$679,0)),"",INDEX('Compliance Database'!$J$2:$J$679,MATCH(492,Engine!$C$2:$C$679,0)))</f>
        <v/>
      </c>
      <c r="K505">
        <f>IF(ISNA(MATCH(492,Engine!$C$2:$C$679,0)),"",INDEX('Compliance Database'!$K$2:$K$679,MATCH(492,Engine!$C$2:$C$679,0)))</f>
        <v/>
      </c>
      <c r="L505" s="8">
        <f>IF(ISNA(MATCH(492,Engine!$C$2:$C$679,0)),"",INDEX('Compliance Database'!$L$2:$L$679,MATCH(492,Engine!$C$2:$C$679,0)))</f>
        <v/>
      </c>
      <c r="M505" s="8">
        <f>IF(ISNA(MATCH(492,Engine!$C$2:$C$679,0)),"",INDEX('Compliance Database'!$M$2:$M$679,MATCH(492,Engine!$C$2:$C$679,0)))</f>
        <v/>
      </c>
      <c r="N505" s="8">
        <f>IF(ISNA(MATCH(492,Engine!$C$2:$C$679,0)),"",INDEX('Compliance Database'!$N$2:$N$679,MATCH(492,Engine!$C$2:$C$679,0)))</f>
        <v/>
      </c>
      <c r="O505" s="8">
        <f>IF(ISNA(MATCH(492,Engine!$C$2:$C$679,0)),"",INDEX('Compliance Database'!$O$2:$O$679,MATCH(492,Engine!$C$2:$C$679,0)))</f>
        <v/>
      </c>
      <c r="P505">
        <f>IF(ISNA(MATCH(492,Engine!$C$2:$C$679,0)),"",HYPERLINK(INDEX('Compliance Database'!$P$2:$P$679,MATCH(492,Engine!$C$2:$C$679,0)),"Open PDF"))</f>
        <v/>
      </c>
    </row>
    <row r="506">
      <c r="A506">
        <f>IF(ISNA(MATCH(493,Engine!$C$2:$C$679,0)),"",INDEX('Compliance Database'!$A$2:$A$679,MATCH(493,Engine!$C$2:$C$679,0)))</f>
        <v/>
      </c>
      <c r="B506">
        <f>IF(ISNA(MATCH(493,Engine!$C$2:$C$679,0)),"",INDEX('Compliance Database'!$B$2:$B$679,MATCH(493,Engine!$C$2:$C$679,0)))</f>
        <v/>
      </c>
      <c r="C506">
        <f>IF(ISNA(MATCH(493,Engine!$C$2:$C$679,0)),"",INDEX('Compliance Database'!$C$2:$C$679,MATCH(493,Engine!$C$2:$C$679,0)))</f>
        <v/>
      </c>
      <c r="D506" s="8">
        <f>IF(ISNA(MATCH(493,Engine!$C$2:$C$679,0)),"",INDEX('Compliance Database'!$D$2:$D$679,MATCH(493,Engine!$C$2:$C$679,0)))</f>
        <v/>
      </c>
      <c r="E506">
        <f>IF(ISNA(MATCH(493,Engine!$C$2:$C$679,0)),"",INDEX('Compliance Database'!$E$2:$E$679,MATCH(493,Engine!$C$2:$C$679,0)))</f>
        <v/>
      </c>
      <c r="F506">
        <f>IF(ISNA(MATCH(493,Engine!$C$2:$C$679,0)),"",INDEX('Compliance Database'!$F$2:$F$679,MATCH(493,Engine!$C$2:$C$679,0)))</f>
        <v/>
      </c>
      <c r="G506">
        <f>IF(ISNA(MATCH(493,Engine!$C$2:$C$679,0)),"",INDEX('Compliance Database'!$G$2:$G$679,MATCH(493,Engine!$C$2:$C$679,0)))</f>
        <v/>
      </c>
      <c r="H506">
        <f>IF(ISNA(MATCH(493,Engine!$C$2:$C$679,0)),"",INDEX('Compliance Database'!$H$2:$H$679,MATCH(493,Engine!$C$2:$C$679,0)))</f>
        <v/>
      </c>
      <c r="I506" s="8">
        <f>IF(ISNA(MATCH(493,Engine!$C$2:$C$679,0)),"",INDEX('Compliance Database'!$I$2:$I$679,MATCH(493,Engine!$C$2:$C$679,0)))</f>
        <v/>
      </c>
      <c r="J506" s="8">
        <f>IF(ISNA(MATCH(493,Engine!$C$2:$C$679,0)),"",INDEX('Compliance Database'!$J$2:$J$679,MATCH(493,Engine!$C$2:$C$679,0)))</f>
        <v/>
      </c>
      <c r="K506">
        <f>IF(ISNA(MATCH(493,Engine!$C$2:$C$679,0)),"",INDEX('Compliance Database'!$K$2:$K$679,MATCH(493,Engine!$C$2:$C$679,0)))</f>
        <v/>
      </c>
      <c r="L506" s="8">
        <f>IF(ISNA(MATCH(493,Engine!$C$2:$C$679,0)),"",INDEX('Compliance Database'!$L$2:$L$679,MATCH(493,Engine!$C$2:$C$679,0)))</f>
        <v/>
      </c>
      <c r="M506" s="8">
        <f>IF(ISNA(MATCH(493,Engine!$C$2:$C$679,0)),"",INDEX('Compliance Database'!$M$2:$M$679,MATCH(493,Engine!$C$2:$C$679,0)))</f>
        <v/>
      </c>
      <c r="N506" s="8">
        <f>IF(ISNA(MATCH(493,Engine!$C$2:$C$679,0)),"",INDEX('Compliance Database'!$N$2:$N$679,MATCH(493,Engine!$C$2:$C$679,0)))</f>
        <v/>
      </c>
      <c r="O506" s="8">
        <f>IF(ISNA(MATCH(493,Engine!$C$2:$C$679,0)),"",INDEX('Compliance Database'!$O$2:$O$679,MATCH(493,Engine!$C$2:$C$679,0)))</f>
        <v/>
      </c>
      <c r="P506">
        <f>IF(ISNA(MATCH(493,Engine!$C$2:$C$679,0)),"",HYPERLINK(INDEX('Compliance Database'!$P$2:$P$679,MATCH(493,Engine!$C$2:$C$679,0)),"Open PDF"))</f>
        <v/>
      </c>
    </row>
    <row r="507">
      <c r="A507">
        <f>IF(ISNA(MATCH(494,Engine!$C$2:$C$679,0)),"",INDEX('Compliance Database'!$A$2:$A$679,MATCH(494,Engine!$C$2:$C$679,0)))</f>
        <v/>
      </c>
      <c r="B507">
        <f>IF(ISNA(MATCH(494,Engine!$C$2:$C$679,0)),"",INDEX('Compliance Database'!$B$2:$B$679,MATCH(494,Engine!$C$2:$C$679,0)))</f>
        <v/>
      </c>
      <c r="C507">
        <f>IF(ISNA(MATCH(494,Engine!$C$2:$C$679,0)),"",INDEX('Compliance Database'!$C$2:$C$679,MATCH(494,Engine!$C$2:$C$679,0)))</f>
        <v/>
      </c>
      <c r="D507" s="8">
        <f>IF(ISNA(MATCH(494,Engine!$C$2:$C$679,0)),"",INDEX('Compliance Database'!$D$2:$D$679,MATCH(494,Engine!$C$2:$C$679,0)))</f>
        <v/>
      </c>
      <c r="E507">
        <f>IF(ISNA(MATCH(494,Engine!$C$2:$C$679,0)),"",INDEX('Compliance Database'!$E$2:$E$679,MATCH(494,Engine!$C$2:$C$679,0)))</f>
        <v/>
      </c>
      <c r="F507">
        <f>IF(ISNA(MATCH(494,Engine!$C$2:$C$679,0)),"",INDEX('Compliance Database'!$F$2:$F$679,MATCH(494,Engine!$C$2:$C$679,0)))</f>
        <v/>
      </c>
      <c r="G507">
        <f>IF(ISNA(MATCH(494,Engine!$C$2:$C$679,0)),"",INDEX('Compliance Database'!$G$2:$G$679,MATCH(494,Engine!$C$2:$C$679,0)))</f>
        <v/>
      </c>
      <c r="H507">
        <f>IF(ISNA(MATCH(494,Engine!$C$2:$C$679,0)),"",INDEX('Compliance Database'!$H$2:$H$679,MATCH(494,Engine!$C$2:$C$679,0)))</f>
        <v/>
      </c>
      <c r="I507" s="8">
        <f>IF(ISNA(MATCH(494,Engine!$C$2:$C$679,0)),"",INDEX('Compliance Database'!$I$2:$I$679,MATCH(494,Engine!$C$2:$C$679,0)))</f>
        <v/>
      </c>
      <c r="J507" s="8">
        <f>IF(ISNA(MATCH(494,Engine!$C$2:$C$679,0)),"",INDEX('Compliance Database'!$J$2:$J$679,MATCH(494,Engine!$C$2:$C$679,0)))</f>
        <v/>
      </c>
      <c r="K507">
        <f>IF(ISNA(MATCH(494,Engine!$C$2:$C$679,0)),"",INDEX('Compliance Database'!$K$2:$K$679,MATCH(494,Engine!$C$2:$C$679,0)))</f>
        <v/>
      </c>
      <c r="L507" s="8">
        <f>IF(ISNA(MATCH(494,Engine!$C$2:$C$679,0)),"",INDEX('Compliance Database'!$L$2:$L$679,MATCH(494,Engine!$C$2:$C$679,0)))</f>
        <v/>
      </c>
      <c r="M507" s="8">
        <f>IF(ISNA(MATCH(494,Engine!$C$2:$C$679,0)),"",INDEX('Compliance Database'!$M$2:$M$679,MATCH(494,Engine!$C$2:$C$679,0)))</f>
        <v/>
      </c>
      <c r="N507" s="8">
        <f>IF(ISNA(MATCH(494,Engine!$C$2:$C$679,0)),"",INDEX('Compliance Database'!$N$2:$N$679,MATCH(494,Engine!$C$2:$C$679,0)))</f>
        <v/>
      </c>
      <c r="O507" s="8">
        <f>IF(ISNA(MATCH(494,Engine!$C$2:$C$679,0)),"",INDEX('Compliance Database'!$O$2:$O$679,MATCH(494,Engine!$C$2:$C$679,0)))</f>
        <v/>
      </c>
      <c r="P507">
        <f>IF(ISNA(MATCH(494,Engine!$C$2:$C$679,0)),"",HYPERLINK(INDEX('Compliance Database'!$P$2:$P$679,MATCH(494,Engine!$C$2:$C$679,0)),"Open PDF"))</f>
        <v/>
      </c>
    </row>
    <row r="508">
      <c r="A508">
        <f>IF(ISNA(MATCH(495,Engine!$C$2:$C$679,0)),"",INDEX('Compliance Database'!$A$2:$A$679,MATCH(495,Engine!$C$2:$C$679,0)))</f>
        <v/>
      </c>
      <c r="B508">
        <f>IF(ISNA(MATCH(495,Engine!$C$2:$C$679,0)),"",INDEX('Compliance Database'!$B$2:$B$679,MATCH(495,Engine!$C$2:$C$679,0)))</f>
        <v/>
      </c>
      <c r="C508">
        <f>IF(ISNA(MATCH(495,Engine!$C$2:$C$679,0)),"",INDEX('Compliance Database'!$C$2:$C$679,MATCH(495,Engine!$C$2:$C$679,0)))</f>
        <v/>
      </c>
      <c r="D508" s="8">
        <f>IF(ISNA(MATCH(495,Engine!$C$2:$C$679,0)),"",INDEX('Compliance Database'!$D$2:$D$679,MATCH(495,Engine!$C$2:$C$679,0)))</f>
        <v/>
      </c>
      <c r="E508">
        <f>IF(ISNA(MATCH(495,Engine!$C$2:$C$679,0)),"",INDEX('Compliance Database'!$E$2:$E$679,MATCH(495,Engine!$C$2:$C$679,0)))</f>
        <v/>
      </c>
      <c r="F508">
        <f>IF(ISNA(MATCH(495,Engine!$C$2:$C$679,0)),"",INDEX('Compliance Database'!$F$2:$F$679,MATCH(495,Engine!$C$2:$C$679,0)))</f>
        <v/>
      </c>
      <c r="G508">
        <f>IF(ISNA(MATCH(495,Engine!$C$2:$C$679,0)),"",INDEX('Compliance Database'!$G$2:$G$679,MATCH(495,Engine!$C$2:$C$679,0)))</f>
        <v/>
      </c>
      <c r="H508">
        <f>IF(ISNA(MATCH(495,Engine!$C$2:$C$679,0)),"",INDEX('Compliance Database'!$H$2:$H$679,MATCH(495,Engine!$C$2:$C$679,0)))</f>
        <v/>
      </c>
      <c r="I508" s="8">
        <f>IF(ISNA(MATCH(495,Engine!$C$2:$C$679,0)),"",INDEX('Compliance Database'!$I$2:$I$679,MATCH(495,Engine!$C$2:$C$679,0)))</f>
        <v/>
      </c>
      <c r="J508" s="8">
        <f>IF(ISNA(MATCH(495,Engine!$C$2:$C$679,0)),"",INDEX('Compliance Database'!$J$2:$J$679,MATCH(495,Engine!$C$2:$C$679,0)))</f>
        <v/>
      </c>
      <c r="K508">
        <f>IF(ISNA(MATCH(495,Engine!$C$2:$C$679,0)),"",INDEX('Compliance Database'!$K$2:$K$679,MATCH(495,Engine!$C$2:$C$679,0)))</f>
        <v/>
      </c>
      <c r="L508" s="8">
        <f>IF(ISNA(MATCH(495,Engine!$C$2:$C$679,0)),"",INDEX('Compliance Database'!$L$2:$L$679,MATCH(495,Engine!$C$2:$C$679,0)))</f>
        <v/>
      </c>
      <c r="M508" s="8">
        <f>IF(ISNA(MATCH(495,Engine!$C$2:$C$679,0)),"",INDEX('Compliance Database'!$M$2:$M$679,MATCH(495,Engine!$C$2:$C$679,0)))</f>
        <v/>
      </c>
      <c r="N508" s="8">
        <f>IF(ISNA(MATCH(495,Engine!$C$2:$C$679,0)),"",INDEX('Compliance Database'!$N$2:$N$679,MATCH(495,Engine!$C$2:$C$679,0)))</f>
        <v/>
      </c>
      <c r="O508" s="8">
        <f>IF(ISNA(MATCH(495,Engine!$C$2:$C$679,0)),"",INDEX('Compliance Database'!$O$2:$O$679,MATCH(495,Engine!$C$2:$C$679,0)))</f>
        <v/>
      </c>
      <c r="P508">
        <f>IF(ISNA(MATCH(495,Engine!$C$2:$C$679,0)),"",HYPERLINK(INDEX('Compliance Database'!$P$2:$P$679,MATCH(495,Engine!$C$2:$C$679,0)),"Open PDF"))</f>
        <v/>
      </c>
    </row>
    <row r="509">
      <c r="A509">
        <f>IF(ISNA(MATCH(496,Engine!$C$2:$C$679,0)),"",INDEX('Compliance Database'!$A$2:$A$679,MATCH(496,Engine!$C$2:$C$679,0)))</f>
        <v/>
      </c>
      <c r="B509">
        <f>IF(ISNA(MATCH(496,Engine!$C$2:$C$679,0)),"",INDEX('Compliance Database'!$B$2:$B$679,MATCH(496,Engine!$C$2:$C$679,0)))</f>
        <v/>
      </c>
      <c r="C509">
        <f>IF(ISNA(MATCH(496,Engine!$C$2:$C$679,0)),"",INDEX('Compliance Database'!$C$2:$C$679,MATCH(496,Engine!$C$2:$C$679,0)))</f>
        <v/>
      </c>
      <c r="D509" s="8">
        <f>IF(ISNA(MATCH(496,Engine!$C$2:$C$679,0)),"",INDEX('Compliance Database'!$D$2:$D$679,MATCH(496,Engine!$C$2:$C$679,0)))</f>
        <v/>
      </c>
      <c r="E509">
        <f>IF(ISNA(MATCH(496,Engine!$C$2:$C$679,0)),"",INDEX('Compliance Database'!$E$2:$E$679,MATCH(496,Engine!$C$2:$C$679,0)))</f>
        <v/>
      </c>
      <c r="F509">
        <f>IF(ISNA(MATCH(496,Engine!$C$2:$C$679,0)),"",INDEX('Compliance Database'!$F$2:$F$679,MATCH(496,Engine!$C$2:$C$679,0)))</f>
        <v/>
      </c>
      <c r="G509">
        <f>IF(ISNA(MATCH(496,Engine!$C$2:$C$679,0)),"",INDEX('Compliance Database'!$G$2:$G$679,MATCH(496,Engine!$C$2:$C$679,0)))</f>
        <v/>
      </c>
      <c r="H509">
        <f>IF(ISNA(MATCH(496,Engine!$C$2:$C$679,0)),"",INDEX('Compliance Database'!$H$2:$H$679,MATCH(496,Engine!$C$2:$C$679,0)))</f>
        <v/>
      </c>
      <c r="I509" s="8">
        <f>IF(ISNA(MATCH(496,Engine!$C$2:$C$679,0)),"",INDEX('Compliance Database'!$I$2:$I$679,MATCH(496,Engine!$C$2:$C$679,0)))</f>
        <v/>
      </c>
      <c r="J509" s="8">
        <f>IF(ISNA(MATCH(496,Engine!$C$2:$C$679,0)),"",INDEX('Compliance Database'!$J$2:$J$679,MATCH(496,Engine!$C$2:$C$679,0)))</f>
        <v/>
      </c>
      <c r="K509">
        <f>IF(ISNA(MATCH(496,Engine!$C$2:$C$679,0)),"",INDEX('Compliance Database'!$K$2:$K$679,MATCH(496,Engine!$C$2:$C$679,0)))</f>
        <v/>
      </c>
      <c r="L509" s="8">
        <f>IF(ISNA(MATCH(496,Engine!$C$2:$C$679,0)),"",INDEX('Compliance Database'!$L$2:$L$679,MATCH(496,Engine!$C$2:$C$679,0)))</f>
        <v/>
      </c>
      <c r="M509" s="8">
        <f>IF(ISNA(MATCH(496,Engine!$C$2:$C$679,0)),"",INDEX('Compliance Database'!$M$2:$M$679,MATCH(496,Engine!$C$2:$C$679,0)))</f>
        <v/>
      </c>
      <c r="N509" s="8">
        <f>IF(ISNA(MATCH(496,Engine!$C$2:$C$679,0)),"",INDEX('Compliance Database'!$N$2:$N$679,MATCH(496,Engine!$C$2:$C$679,0)))</f>
        <v/>
      </c>
      <c r="O509" s="8">
        <f>IF(ISNA(MATCH(496,Engine!$C$2:$C$679,0)),"",INDEX('Compliance Database'!$O$2:$O$679,MATCH(496,Engine!$C$2:$C$679,0)))</f>
        <v/>
      </c>
      <c r="P509">
        <f>IF(ISNA(MATCH(496,Engine!$C$2:$C$679,0)),"",HYPERLINK(INDEX('Compliance Database'!$P$2:$P$679,MATCH(496,Engine!$C$2:$C$679,0)),"Open PDF"))</f>
        <v/>
      </c>
    </row>
    <row r="510">
      <c r="A510">
        <f>IF(ISNA(MATCH(497,Engine!$C$2:$C$679,0)),"",INDEX('Compliance Database'!$A$2:$A$679,MATCH(497,Engine!$C$2:$C$679,0)))</f>
        <v/>
      </c>
      <c r="B510">
        <f>IF(ISNA(MATCH(497,Engine!$C$2:$C$679,0)),"",INDEX('Compliance Database'!$B$2:$B$679,MATCH(497,Engine!$C$2:$C$679,0)))</f>
        <v/>
      </c>
      <c r="C510">
        <f>IF(ISNA(MATCH(497,Engine!$C$2:$C$679,0)),"",INDEX('Compliance Database'!$C$2:$C$679,MATCH(497,Engine!$C$2:$C$679,0)))</f>
        <v/>
      </c>
      <c r="D510" s="8">
        <f>IF(ISNA(MATCH(497,Engine!$C$2:$C$679,0)),"",INDEX('Compliance Database'!$D$2:$D$679,MATCH(497,Engine!$C$2:$C$679,0)))</f>
        <v/>
      </c>
      <c r="E510">
        <f>IF(ISNA(MATCH(497,Engine!$C$2:$C$679,0)),"",INDEX('Compliance Database'!$E$2:$E$679,MATCH(497,Engine!$C$2:$C$679,0)))</f>
        <v/>
      </c>
      <c r="F510">
        <f>IF(ISNA(MATCH(497,Engine!$C$2:$C$679,0)),"",INDEX('Compliance Database'!$F$2:$F$679,MATCH(497,Engine!$C$2:$C$679,0)))</f>
        <v/>
      </c>
      <c r="G510">
        <f>IF(ISNA(MATCH(497,Engine!$C$2:$C$679,0)),"",INDEX('Compliance Database'!$G$2:$G$679,MATCH(497,Engine!$C$2:$C$679,0)))</f>
        <v/>
      </c>
      <c r="H510">
        <f>IF(ISNA(MATCH(497,Engine!$C$2:$C$679,0)),"",INDEX('Compliance Database'!$H$2:$H$679,MATCH(497,Engine!$C$2:$C$679,0)))</f>
        <v/>
      </c>
      <c r="I510" s="8">
        <f>IF(ISNA(MATCH(497,Engine!$C$2:$C$679,0)),"",INDEX('Compliance Database'!$I$2:$I$679,MATCH(497,Engine!$C$2:$C$679,0)))</f>
        <v/>
      </c>
      <c r="J510" s="8">
        <f>IF(ISNA(MATCH(497,Engine!$C$2:$C$679,0)),"",INDEX('Compliance Database'!$J$2:$J$679,MATCH(497,Engine!$C$2:$C$679,0)))</f>
        <v/>
      </c>
      <c r="K510">
        <f>IF(ISNA(MATCH(497,Engine!$C$2:$C$679,0)),"",INDEX('Compliance Database'!$K$2:$K$679,MATCH(497,Engine!$C$2:$C$679,0)))</f>
        <v/>
      </c>
      <c r="L510" s="8">
        <f>IF(ISNA(MATCH(497,Engine!$C$2:$C$679,0)),"",INDEX('Compliance Database'!$L$2:$L$679,MATCH(497,Engine!$C$2:$C$679,0)))</f>
        <v/>
      </c>
      <c r="M510" s="8">
        <f>IF(ISNA(MATCH(497,Engine!$C$2:$C$679,0)),"",INDEX('Compliance Database'!$M$2:$M$679,MATCH(497,Engine!$C$2:$C$679,0)))</f>
        <v/>
      </c>
      <c r="N510" s="8">
        <f>IF(ISNA(MATCH(497,Engine!$C$2:$C$679,0)),"",INDEX('Compliance Database'!$N$2:$N$679,MATCH(497,Engine!$C$2:$C$679,0)))</f>
        <v/>
      </c>
      <c r="O510" s="8">
        <f>IF(ISNA(MATCH(497,Engine!$C$2:$C$679,0)),"",INDEX('Compliance Database'!$O$2:$O$679,MATCH(497,Engine!$C$2:$C$679,0)))</f>
        <v/>
      </c>
      <c r="P510">
        <f>IF(ISNA(MATCH(497,Engine!$C$2:$C$679,0)),"",HYPERLINK(INDEX('Compliance Database'!$P$2:$P$679,MATCH(497,Engine!$C$2:$C$679,0)),"Open PDF"))</f>
        <v/>
      </c>
    </row>
    <row r="511">
      <c r="A511">
        <f>IF(ISNA(MATCH(498,Engine!$C$2:$C$679,0)),"",INDEX('Compliance Database'!$A$2:$A$679,MATCH(498,Engine!$C$2:$C$679,0)))</f>
        <v/>
      </c>
      <c r="B511">
        <f>IF(ISNA(MATCH(498,Engine!$C$2:$C$679,0)),"",INDEX('Compliance Database'!$B$2:$B$679,MATCH(498,Engine!$C$2:$C$679,0)))</f>
        <v/>
      </c>
      <c r="C511">
        <f>IF(ISNA(MATCH(498,Engine!$C$2:$C$679,0)),"",INDEX('Compliance Database'!$C$2:$C$679,MATCH(498,Engine!$C$2:$C$679,0)))</f>
        <v/>
      </c>
      <c r="D511" s="8">
        <f>IF(ISNA(MATCH(498,Engine!$C$2:$C$679,0)),"",INDEX('Compliance Database'!$D$2:$D$679,MATCH(498,Engine!$C$2:$C$679,0)))</f>
        <v/>
      </c>
      <c r="E511">
        <f>IF(ISNA(MATCH(498,Engine!$C$2:$C$679,0)),"",INDEX('Compliance Database'!$E$2:$E$679,MATCH(498,Engine!$C$2:$C$679,0)))</f>
        <v/>
      </c>
      <c r="F511">
        <f>IF(ISNA(MATCH(498,Engine!$C$2:$C$679,0)),"",INDEX('Compliance Database'!$F$2:$F$679,MATCH(498,Engine!$C$2:$C$679,0)))</f>
        <v/>
      </c>
      <c r="G511">
        <f>IF(ISNA(MATCH(498,Engine!$C$2:$C$679,0)),"",INDEX('Compliance Database'!$G$2:$G$679,MATCH(498,Engine!$C$2:$C$679,0)))</f>
        <v/>
      </c>
      <c r="H511">
        <f>IF(ISNA(MATCH(498,Engine!$C$2:$C$679,0)),"",INDEX('Compliance Database'!$H$2:$H$679,MATCH(498,Engine!$C$2:$C$679,0)))</f>
        <v/>
      </c>
      <c r="I511" s="8">
        <f>IF(ISNA(MATCH(498,Engine!$C$2:$C$679,0)),"",INDEX('Compliance Database'!$I$2:$I$679,MATCH(498,Engine!$C$2:$C$679,0)))</f>
        <v/>
      </c>
      <c r="J511" s="8">
        <f>IF(ISNA(MATCH(498,Engine!$C$2:$C$679,0)),"",INDEX('Compliance Database'!$J$2:$J$679,MATCH(498,Engine!$C$2:$C$679,0)))</f>
        <v/>
      </c>
      <c r="K511">
        <f>IF(ISNA(MATCH(498,Engine!$C$2:$C$679,0)),"",INDEX('Compliance Database'!$K$2:$K$679,MATCH(498,Engine!$C$2:$C$679,0)))</f>
        <v/>
      </c>
      <c r="L511" s="8">
        <f>IF(ISNA(MATCH(498,Engine!$C$2:$C$679,0)),"",INDEX('Compliance Database'!$L$2:$L$679,MATCH(498,Engine!$C$2:$C$679,0)))</f>
        <v/>
      </c>
      <c r="M511" s="8">
        <f>IF(ISNA(MATCH(498,Engine!$C$2:$C$679,0)),"",INDEX('Compliance Database'!$M$2:$M$679,MATCH(498,Engine!$C$2:$C$679,0)))</f>
        <v/>
      </c>
      <c r="N511" s="8">
        <f>IF(ISNA(MATCH(498,Engine!$C$2:$C$679,0)),"",INDEX('Compliance Database'!$N$2:$N$679,MATCH(498,Engine!$C$2:$C$679,0)))</f>
        <v/>
      </c>
      <c r="O511" s="8">
        <f>IF(ISNA(MATCH(498,Engine!$C$2:$C$679,0)),"",INDEX('Compliance Database'!$O$2:$O$679,MATCH(498,Engine!$C$2:$C$679,0)))</f>
        <v/>
      </c>
      <c r="P511">
        <f>IF(ISNA(MATCH(498,Engine!$C$2:$C$679,0)),"",HYPERLINK(INDEX('Compliance Database'!$P$2:$P$679,MATCH(498,Engine!$C$2:$C$679,0)),"Open PDF"))</f>
        <v/>
      </c>
    </row>
    <row r="512">
      <c r="A512">
        <f>IF(ISNA(MATCH(499,Engine!$C$2:$C$679,0)),"",INDEX('Compliance Database'!$A$2:$A$679,MATCH(499,Engine!$C$2:$C$679,0)))</f>
        <v/>
      </c>
      <c r="B512">
        <f>IF(ISNA(MATCH(499,Engine!$C$2:$C$679,0)),"",INDEX('Compliance Database'!$B$2:$B$679,MATCH(499,Engine!$C$2:$C$679,0)))</f>
        <v/>
      </c>
      <c r="C512">
        <f>IF(ISNA(MATCH(499,Engine!$C$2:$C$679,0)),"",INDEX('Compliance Database'!$C$2:$C$679,MATCH(499,Engine!$C$2:$C$679,0)))</f>
        <v/>
      </c>
      <c r="D512" s="8">
        <f>IF(ISNA(MATCH(499,Engine!$C$2:$C$679,0)),"",INDEX('Compliance Database'!$D$2:$D$679,MATCH(499,Engine!$C$2:$C$679,0)))</f>
        <v/>
      </c>
      <c r="E512">
        <f>IF(ISNA(MATCH(499,Engine!$C$2:$C$679,0)),"",INDEX('Compliance Database'!$E$2:$E$679,MATCH(499,Engine!$C$2:$C$679,0)))</f>
        <v/>
      </c>
      <c r="F512">
        <f>IF(ISNA(MATCH(499,Engine!$C$2:$C$679,0)),"",INDEX('Compliance Database'!$F$2:$F$679,MATCH(499,Engine!$C$2:$C$679,0)))</f>
        <v/>
      </c>
      <c r="G512">
        <f>IF(ISNA(MATCH(499,Engine!$C$2:$C$679,0)),"",INDEX('Compliance Database'!$G$2:$G$679,MATCH(499,Engine!$C$2:$C$679,0)))</f>
        <v/>
      </c>
      <c r="H512">
        <f>IF(ISNA(MATCH(499,Engine!$C$2:$C$679,0)),"",INDEX('Compliance Database'!$H$2:$H$679,MATCH(499,Engine!$C$2:$C$679,0)))</f>
        <v/>
      </c>
      <c r="I512" s="8">
        <f>IF(ISNA(MATCH(499,Engine!$C$2:$C$679,0)),"",INDEX('Compliance Database'!$I$2:$I$679,MATCH(499,Engine!$C$2:$C$679,0)))</f>
        <v/>
      </c>
      <c r="J512" s="8">
        <f>IF(ISNA(MATCH(499,Engine!$C$2:$C$679,0)),"",INDEX('Compliance Database'!$J$2:$J$679,MATCH(499,Engine!$C$2:$C$679,0)))</f>
        <v/>
      </c>
      <c r="K512">
        <f>IF(ISNA(MATCH(499,Engine!$C$2:$C$679,0)),"",INDEX('Compliance Database'!$K$2:$K$679,MATCH(499,Engine!$C$2:$C$679,0)))</f>
        <v/>
      </c>
      <c r="L512" s="8">
        <f>IF(ISNA(MATCH(499,Engine!$C$2:$C$679,0)),"",INDEX('Compliance Database'!$L$2:$L$679,MATCH(499,Engine!$C$2:$C$679,0)))</f>
        <v/>
      </c>
      <c r="M512" s="8">
        <f>IF(ISNA(MATCH(499,Engine!$C$2:$C$679,0)),"",INDEX('Compliance Database'!$M$2:$M$679,MATCH(499,Engine!$C$2:$C$679,0)))</f>
        <v/>
      </c>
      <c r="N512" s="8">
        <f>IF(ISNA(MATCH(499,Engine!$C$2:$C$679,0)),"",INDEX('Compliance Database'!$N$2:$N$679,MATCH(499,Engine!$C$2:$C$679,0)))</f>
        <v/>
      </c>
      <c r="O512" s="8">
        <f>IF(ISNA(MATCH(499,Engine!$C$2:$C$679,0)),"",INDEX('Compliance Database'!$O$2:$O$679,MATCH(499,Engine!$C$2:$C$679,0)))</f>
        <v/>
      </c>
      <c r="P512">
        <f>IF(ISNA(MATCH(499,Engine!$C$2:$C$679,0)),"",HYPERLINK(INDEX('Compliance Database'!$P$2:$P$679,MATCH(499,Engine!$C$2:$C$679,0)),"Open PDF"))</f>
        <v/>
      </c>
    </row>
    <row r="513">
      <c r="A513">
        <f>IF(ISNA(MATCH(500,Engine!$C$2:$C$679,0)),"",INDEX('Compliance Database'!$A$2:$A$679,MATCH(500,Engine!$C$2:$C$679,0)))</f>
        <v/>
      </c>
      <c r="B513">
        <f>IF(ISNA(MATCH(500,Engine!$C$2:$C$679,0)),"",INDEX('Compliance Database'!$B$2:$B$679,MATCH(500,Engine!$C$2:$C$679,0)))</f>
        <v/>
      </c>
      <c r="C513">
        <f>IF(ISNA(MATCH(500,Engine!$C$2:$C$679,0)),"",INDEX('Compliance Database'!$C$2:$C$679,MATCH(500,Engine!$C$2:$C$679,0)))</f>
        <v/>
      </c>
      <c r="D513" s="8">
        <f>IF(ISNA(MATCH(500,Engine!$C$2:$C$679,0)),"",INDEX('Compliance Database'!$D$2:$D$679,MATCH(500,Engine!$C$2:$C$679,0)))</f>
        <v/>
      </c>
      <c r="E513">
        <f>IF(ISNA(MATCH(500,Engine!$C$2:$C$679,0)),"",INDEX('Compliance Database'!$E$2:$E$679,MATCH(500,Engine!$C$2:$C$679,0)))</f>
        <v/>
      </c>
      <c r="F513">
        <f>IF(ISNA(MATCH(500,Engine!$C$2:$C$679,0)),"",INDEX('Compliance Database'!$F$2:$F$679,MATCH(500,Engine!$C$2:$C$679,0)))</f>
        <v/>
      </c>
      <c r="G513">
        <f>IF(ISNA(MATCH(500,Engine!$C$2:$C$679,0)),"",INDEX('Compliance Database'!$G$2:$G$679,MATCH(500,Engine!$C$2:$C$679,0)))</f>
        <v/>
      </c>
      <c r="H513">
        <f>IF(ISNA(MATCH(500,Engine!$C$2:$C$679,0)),"",INDEX('Compliance Database'!$H$2:$H$679,MATCH(500,Engine!$C$2:$C$679,0)))</f>
        <v/>
      </c>
      <c r="I513" s="8">
        <f>IF(ISNA(MATCH(500,Engine!$C$2:$C$679,0)),"",INDEX('Compliance Database'!$I$2:$I$679,MATCH(500,Engine!$C$2:$C$679,0)))</f>
        <v/>
      </c>
      <c r="J513" s="8">
        <f>IF(ISNA(MATCH(500,Engine!$C$2:$C$679,0)),"",INDEX('Compliance Database'!$J$2:$J$679,MATCH(500,Engine!$C$2:$C$679,0)))</f>
        <v/>
      </c>
      <c r="K513">
        <f>IF(ISNA(MATCH(500,Engine!$C$2:$C$679,0)),"",INDEX('Compliance Database'!$K$2:$K$679,MATCH(500,Engine!$C$2:$C$679,0)))</f>
        <v/>
      </c>
      <c r="L513" s="8">
        <f>IF(ISNA(MATCH(500,Engine!$C$2:$C$679,0)),"",INDEX('Compliance Database'!$L$2:$L$679,MATCH(500,Engine!$C$2:$C$679,0)))</f>
        <v/>
      </c>
      <c r="M513" s="8">
        <f>IF(ISNA(MATCH(500,Engine!$C$2:$C$679,0)),"",INDEX('Compliance Database'!$M$2:$M$679,MATCH(500,Engine!$C$2:$C$679,0)))</f>
        <v/>
      </c>
      <c r="N513" s="8">
        <f>IF(ISNA(MATCH(500,Engine!$C$2:$C$679,0)),"",INDEX('Compliance Database'!$N$2:$N$679,MATCH(500,Engine!$C$2:$C$679,0)))</f>
        <v/>
      </c>
      <c r="O513" s="8">
        <f>IF(ISNA(MATCH(500,Engine!$C$2:$C$679,0)),"",INDEX('Compliance Database'!$O$2:$O$679,MATCH(500,Engine!$C$2:$C$679,0)))</f>
        <v/>
      </c>
      <c r="P513">
        <f>IF(ISNA(MATCH(500,Engine!$C$2:$C$679,0)),"",HYPERLINK(INDEX('Compliance Database'!$P$2:$P$679,MATCH(500,Engine!$C$2:$C$679,0)),"Open PDF"))</f>
        <v/>
      </c>
    </row>
    <row r="514">
      <c r="A514">
        <f>IF(ISNA(MATCH(501,Engine!$C$2:$C$679,0)),"",INDEX('Compliance Database'!$A$2:$A$679,MATCH(501,Engine!$C$2:$C$679,0)))</f>
        <v/>
      </c>
      <c r="B514">
        <f>IF(ISNA(MATCH(501,Engine!$C$2:$C$679,0)),"",INDEX('Compliance Database'!$B$2:$B$679,MATCH(501,Engine!$C$2:$C$679,0)))</f>
        <v/>
      </c>
      <c r="C514">
        <f>IF(ISNA(MATCH(501,Engine!$C$2:$C$679,0)),"",INDEX('Compliance Database'!$C$2:$C$679,MATCH(501,Engine!$C$2:$C$679,0)))</f>
        <v/>
      </c>
      <c r="D514" s="8">
        <f>IF(ISNA(MATCH(501,Engine!$C$2:$C$679,0)),"",INDEX('Compliance Database'!$D$2:$D$679,MATCH(501,Engine!$C$2:$C$679,0)))</f>
        <v/>
      </c>
      <c r="E514">
        <f>IF(ISNA(MATCH(501,Engine!$C$2:$C$679,0)),"",INDEX('Compliance Database'!$E$2:$E$679,MATCH(501,Engine!$C$2:$C$679,0)))</f>
        <v/>
      </c>
      <c r="F514">
        <f>IF(ISNA(MATCH(501,Engine!$C$2:$C$679,0)),"",INDEX('Compliance Database'!$F$2:$F$679,MATCH(501,Engine!$C$2:$C$679,0)))</f>
        <v/>
      </c>
      <c r="G514">
        <f>IF(ISNA(MATCH(501,Engine!$C$2:$C$679,0)),"",INDEX('Compliance Database'!$G$2:$G$679,MATCH(501,Engine!$C$2:$C$679,0)))</f>
        <v/>
      </c>
      <c r="H514">
        <f>IF(ISNA(MATCH(501,Engine!$C$2:$C$679,0)),"",INDEX('Compliance Database'!$H$2:$H$679,MATCH(501,Engine!$C$2:$C$679,0)))</f>
        <v/>
      </c>
      <c r="I514" s="8">
        <f>IF(ISNA(MATCH(501,Engine!$C$2:$C$679,0)),"",INDEX('Compliance Database'!$I$2:$I$679,MATCH(501,Engine!$C$2:$C$679,0)))</f>
        <v/>
      </c>
      <c r="J514" s="8">
        <f>IF(ISNA(MATCH(501,Engine!$C$2:$C$679,0)),"",INDEX('Compliance Database'!$J$2:$J$679,MATCH(501,Engine!$C$2:$C$679,0)))</f>
        <v/>
      </c>
      <c r="K514">
        <f>IF(ISNA(MATCH(501,Engine!$C$2:$C$679,0)),"",INDEX('Compliance Database'!$K$2:$K$679,MATCH(501,Engine!$C$2:$C$679,0)))</f>
        <v/>
      </c>
      <c r="L514" s="8">
        <f>IF(ISNA(MATCH(501,Engine!$C$2:$C$679,0)),"",INDEX('Compliance Database'!$L$2:$L$679,MATCH(501,Engine!$C$2:$C$679,0)))</f>
        <v/>
      </c>
      <c r="M514" s="8">
        <f>IF(ISNA(MATCH(501,Engine!$C$2:$C$679,0)),"",INDEX('Compliance Database'!$M$2:$M$679,MATCH(501,Engine!$C$2:$C$679,0)))</f>
        <v/>
      </c>
      <c r="N514" s="8">
        <f>IF(ISNA(MATCH(501,Engine!$C$2:$C$679,0)),"",INDEX('Compliance Database'!$N$2:$N$679,MATCH(501,Engine!$C$2:$C$679,0)))</f>
        <v/>
      </c>
      <c r="O514" s="8">
        <f>IF(ISNA(MATCH(501,Engine!$C$2:$C$679,0)),"",INDEX('Compliance Database'!$O$2:$O$679,MATCH(501,Engine!$C$2:$C$679,0)))</f>
        <v/>
      </c>
      <c r="P514">
        <f>IF(ISNA(MATCH(501,Engine!$C$2:$C$679,0)),"",HYPERLINK(INDEX('Compliance Database'!$P$2:$P$679,MATCH(501,Engine!$C$2:$C$679,0)),"Open PDF"))</f>
        <v/>
      </c>
    </row>
    <row r="515">
      <c r="A515">
        <f>IF(ISNA(MATCH(502,Engine!$C$2:$C$679,0)),"",INDEX('Compliance Database'!$A$2:$A$679,MATCH(502,Engine!$C$2:$C$679,0)))</f>
        <v/>
      </c>
      <c r="B515">
        <f>IF(ISNA(MATCH(502,Engine!$C$2:$C$679,0)),"",INDEX('Compliance Database'!$B$2:$B$679,MATCH(502,Engine!$C$2:$C$679,0)))</f>
        <v/>
      </c>
      <c r="C515">
        <f>IF(ISNA(MATCH(502,Engine!$C$2:$C$679,0)),"",INDEX('Compliance Database'!$C$2:$C$679,MATCH(502,Engine!$C$2:$C$679,0)))</f>
        <v/>
      </c>
      <c r="D515" s="8">
        <f>IF(ISNA(MATCH(502,Engine!$C$2:$C$679,0)),"",INDEX('Compliance Database'!$D$2:$D$679,MATCH(502,Engine!$C$2:$C$679,0)))</f>
        <v/>
      </c>
      <c r="E515">
        <f>IF(ISNA(MATCH(502,Engine!$C$2:$C$679,0)),"",INDEX('Compliance Database'!$E$2:$E$679,MATCH(502,Engine!$C$2:$C$679,0)))</f>
        <v/>
      </c>
      <c r="F515">
        <f>IF(ISNA(MATCH(502,Engine!$C$2:$C$679,0)),"",INDEX('Compliance Database'!$F$2:$F$679,MATCH(502,Engine!$C$2:$C$679,0)))</f>
        <v/>
      </c>
      <c r="G515">
        <f>IF(ISNA(MATCH(502,Engine!$C$2:$C$679,0)),"",INDEX('Compliance Database'!$G$2:$G$679,MATCH(502,Engine!$C$2:$C$679,0)))</f>
        <v/>
      </c>
      <c r="H515">
        <f>IF(ISNA(MATCH(502,Engine!$C$2:$C$679,0)),"",INDEX('Compliance Database'!$H$2:$H$679,MATCH(502,Engine!$C$2:$C$679,0)))</f>
        <v/>
      </c>
      <c r="I515" s="8">
        <f>IF(ISNA(MATCH(502,Engine!$C$2:$C$679,0)),"",INDEX('Compliance Database'!$I$2:$I$679,MATCH(502,Engine!$C$2:$C$679,0)))</f>
        <v/>
      </c>
      <c r="J515" s="8">
        <f>IF(ISNA(MATCH(502,Engine!$C$2:$C$679,0)),"",INDEX('Compliance Database'!$J$2:$J$679,MATCH(502,Engine!$C$2:$C$679,0)))</f>
        <v/>
      </c>
      <c r="K515">
        <f>IF(ISNA(MATCH(502,Engine!$C$2:$C$679,0)),"",INDEX('Compliance Database'!$K$2:$K$679,MATCH(502,Engine!$C$2:$C$679,0)))</f>
        <v/>
      </c>
      <c r="L515" s="8">
        <f>IF(ISNA(MATCH(502,Engine!$C$2:$C$679,0)),"",INDEX('Compliance Database'!$L$2:$L$679,MATCH(502,Engine!$C$2:$C$679,0)))</f>
        <v/>
      </c>
      <c r="M515" s="8">
        <f>IF(ISNA(MATCH(502,Engine!$C$2:$C$679,0)),"",INDEX('Compliance Database'!$M$2:$M$679,MATCH(502,Engine!$C$2:$C$679,0)))</f>
        <v/>
      </c>
      <c r="N515" s="8">
        <f>IF(ISNA(MATCH(502,Engine!$C$2:$C$679,0)),"",INDEX('Compliance Database'!$N$2:$N$679,MATCH(502,Engine!$C$2:$C$679,0)))</f>
        <v/>
      </c>
      <c r="O515" s="8">
        <f>IF(ISNA(MATCH(502,Engine!$C$2:$C$679,0)),"",INDEX('Compliance Database'!$O$2:$O$679,MATCH(502,Engine!$C$2:$C$679,0)))</f>
        <v/>
      </c>
      <c r="P515">
        <f>IF(ISNA(MATCH(502,Engine!$C$2:$C$679,0)),"",HYPERLINK(INDEX('Compliance Database'!$P$2:$P$679,MATCH(502,Engine!$C$2:$C$679,0)),"Open PDF"))</f>
        <v/>
      </c>
    </row>
    <row r="516">
      <c r="A516">
        <f>IF(ISNA(MATCH(503,Engine!$C$2:$C$679,0)),"",INDEX('Compliance Database'!$A$2:$A$679,MATCH(503,Engine!$C$2:$C$679,0)))</f>
        <v/>
      </c>
      <c r="B516">
        <f>IF(ISNA(MATCH(503,Engine!$C$2:$C$679,0)),"",INDEX('Compliance Database'!$B$2:$B$679,MATCH(503,Engine!$C$2:$C$679,0)))</f>
        <v/>
      </c>
      <c r="C516">
        <f>IF(ISNA(MATCH(503,Engine!$C$2:$C$679,0)),"",INDEX('Compliance Database'!$C$2:$C$679,MATCH(503,Engine!$C$2:$C$679,0)))</f>
        <v/>
      </c>
      <c r="D516" s="8">
        <f>IF(ISNA(MATCH(503,Engine!$C$2:$C$679,0)),"",INDEX('Compliance Database'!$D$2:$D$679,MATCH(503,Engine!$C$2:$C$679,0)))</f>
        <v/>
      </c>
      <c r="E516">
        <f>IF(ISNA(MATCH(503,Engine!$C$2:$C$679,0)),"",INDEX('Compliance Database'!$E$2:$E$679,MATCH(503,Engine!$C$2:$C$679,0)))</f>
        <v/>
      </c>
      <c r="F516">
        <f>IF(ISNA(MATCH(503,Engine!$C$2:$C$679,0)),"",INDEX('Compliance Database'!$F$2:$F$679,MATCH(503,Engine!$C$2:$C$679,0)))</f>
        <v/>
      </c>
      <c r="G516">
        <f>IF(ISNA(MATCH(503,Engine!$C$2:$C$679,0)),"",INDEX('Compliance Database'!$G$2:$G$679,MATCH(503,Engine!$C$2:$C$679,0)))</f>
        <v/>
      </c>
      <c r="H516">
        <f>IF(ISNA(MATCH(503,Engine!$C$2:$C$679,0)),"",INDEX('Compliance Database'!$H$2:$H$679,MATCH(503,Engine!$C$2:$C$679,0)))</f>
        <v/>
      </c>
      <c r="I516" s="8">
        <f>IF(ISNA(MATCH(503,Engine!$C$2:$C$679,0)),"",INDEX('Compliance Database'!$I$2:$I$679,MATCH(503,Engine!$C$2:$C$679,0)))</f>
        <v/>
      </c>
      <c r="J516" s="8">
        <f>IF(ISNA(MATCH(503,Engine!$C$2:$C$679,0)),"",INDEX('Compliance Database'!$J$2:$J$679,MATCH(503,Engine!$C$2:$C$679,0)))</f>
        <v/>
      </c>
      <c r="K516">
        <f>IF(ISNA(MATCH(503,Engine!$C$2:$C$679,0)),"",INDEX('Compliance Database'!$K$2:$K$679,MATCH(503,Engine!$C$2:$C$679,0)))</f>
        <v/>
      </c>
      <c r="L516" s="8">
        <f>IF(ISNA(MATCH(503,Engine!$C$2:$C$679,0)),"",INDEX('Compliance Database'!$L$2:$L$679,MATCH(503,Engine!$C$2:$C$679,0)))</f>
        <v/>
      </c>
      <c r="M516" s="8">
        <f>IF(ISNA(MATCH(503,Engine!$C$2:$C$679,0)),"",INDEX('Compliance Database'!$M$2:$M$679,MATCH(503,Engine!$C$2:$C$679,0)))</f>
        <v/>
      </c>
      <c r="N516" s="8">
        <f>IF(ISNA(MATCH(503,Engine!$C$2:$C$679,0)),"",INDEX('Compliance Database'!$N$2:$N$679,MATCH(503,Engine!$C$2:$C$679,0)))</f>
        <v/>
      </c>
      <c r="O516" s="8">
        <f>IF(ISNA(MATCH(503,Engine!$C$2:$C$679,0)),"",INDEX('Compliance Database'!$O$2:$O$679,MATCH(503,Engine!$C$2:$C$679,0)))</f>
        <v/>
      </c>
      <c r="P516">
        <f>IF(ISNA(MATCH(503,Engine!$C$2:$C$679,0)),"",HYPERLINK(INDEX('Compliance Database'!$P$2:$P$679,MATCH(503,Engine!$C$2:$C$679,0)),"Open PDF"))</f>
        <v/>
      </c>
    </row>
    <row r="517">
      <c r="A517">
        <f>IF(ISNA(MATCH(504,Engine!$C$2:$C$679,0)),"",INDEX('Compliance Database'!$A$2:$A$679,MATCH(504,Engine!$C$2:$C$679,0)))</f>
        <v/>
      </c>
      <c r="B517">
        <f>IF(ISNA(MATCH(504,Engine!$C$2:$C$679,0)),"",INDEX('Compliance Database'!$B$2:$B$679,MATCH(504,Engine!$C$2:$C$679,0)))</f>
        <v/>
      </c>
      <c r="C517">
        <f>IF(ISNA(MATCH(504,Engine!$C$2:$C$679,0)),"",INDEX('Compliance Database'!$C$2:$C$679,MATCH(504,Engine!$C$2:$C$679,0)))</f>
        <v/>
      </c>
      <c r="D517" s="8">
        <f>IF(ISNA(MATCH(504,Engine!$C$2:$C$679,0)),"",INDEX('Compliance Database'!$D$2:$D$679,MATCH(504,Engine!$C$2:$C$679,0)))</f>
        <v/>
      </c>
      <c r="E517">
        <f>IF(ISNA(MATCH(504,Engine!$C$2:$C$679,0)),"",INDEX('Compliance Database'!$E$2:$E$679,MATCH(504,Engine!$C$2:$C$679,0)))</f>
        <v/>
      </c>
      <c r="F517">
        <f>IF(ISNA(MATCH(504,Engine!$C$2:$C$679,0)),"",INDEX('Compliance Database'!$F$2:$F$679,MATCH(504,Engine!$C$2:$C$679,0)))</f>
        <v/>
      </c>
      <c r="G517">
        <f>IF(ISNA(MATCH(504,Engine!$C$2:$C$679,0)),"",INDEX('Compliance Database'!$G$2:$G$679,MATCH(504,Engine!$C$2:$C$679,0)))</f>
        <v/>
      </c>
      <c r="H517">
        <f>IF(ISNA(MATCH(504,Engine!$C$2:$C$679,0)),"",INDEX('Compliance Database'!$H$2:$H$679,MATCH(504,Engine!$C$2:$C$679,0)))</f>
        <v/>
      </c>
      <c r="I517" s="8">
        <f>IF(ISNA(MATCH(504,Engine!$C$2:$C$679,0)),"",INDEX('Compliance Database'!$I$2:$I$679,MATCH(504,Engine!$C$2:$C$679,0)))</f>
        <v/>
      </c>
      <c r="J517" s="8">
        <f>IF(ISNA(MATCH(504,Engine!$C$2:$C$679,0)),"",INDEX('Compliance Database'!$J$2:$J$679,MATCH(504,Engine!$C$2:$C$679,0)))</f>
        <v/>
      </c>
      <c r="K517">
        <f>IF(ISNA(MATCH(504,Engine!$C$2:$C$679,0)),"",INDEX('Compliance Database'!$K$2:$K$679,MATCH(504,Engine!$C$2:$C$679,0)))</f>
        <v/>
      </c>
      <c r="L517" s="8">
        <f>IF(ISNA(MATCH(504,Engine!$C$2:$C$679,0)),"",INDEX('Compliance Database'!$L$2:$L$679,MATCH(504,Engine!$C$2:$C$679,0)))</f>
        <v/>
      </c>
      <c r="M517" s="8">
        <f>IF(ISNA(MATCH(504,Engine!$C$2:$C$679,0)),"",INDEX('Compliance Database'!$M$2:$M$679,MATCH(504,Engine!$C$2:$C$679,0)))</f>
        <v/>
      </c>
      <c r="N517" s="8">
        <f>IF(ISNA(MATCH(504,Engine!$C$2:$C$679,0)),"",INDEX('Compliance Database'!$N$2:$N$679,MATCH(504,Engine!$C$2:$C$679,0)))</f>
        <v/>
      </c>
      <c r="O517" s="8">
        <f>IF(ISNA(MATCH(504,Engine!$C$2:$C$679,0)),"",INDEX('Compliance Database'!$O$2:$O$679,MATCH(504,Engine!$C$2:$C$679,0)))</f>
        <v/>
      </c>
      <c r="P517">
        <f>IF(ISNA(MATCH(504,Engine!$C$2:$C$679,0)),"",HYPERLINK(INDEX('Compliance Database'!$P$2:$P$679,MATCH(504,Engine!$C$2:$C$679,0)),"Open PDF"))</f>
        <v/>
      </c>
    </row>
    <row r="518">
      <c r="A518">
        <f>IF(ISNA(MATCH(505,Engine!$C$2:$C$679,0)),"",INDEX('Compliance Database'!$A$2:$A$679,MATCH(505,Engine!$C$2:$C$679,0)))</f>
        <v/>
      </c>
      <c r="B518">
        <f>IF(ISNA(MATCH(505,Engine!$C$2:$C$679,0)),"",INDEX('Compliance Database'!$B$2:$B$679,MATCH(505,Engine!$C$2:$C$679,0)))</f>
        <v/>
      </c>
      <c r="C518">
        <f>IF(ISNA(MATCH(505,Engine!$C$2:$C$679,0)),"",INDEX('Compliance Database'!$C$2:$C$679,MATCH(505,Engine!$C$2:$C$679,0)))</f>
        <v/>
      </c>
      <c r="D518" s="8">
        <f>IF(ISNA(MATCH(505,Engine!$C$2:$C$679,0)),"",INDEX('Compliance Database'!$D$2:$D$679,MATCH(505,Engine!$C$2:$C$679,0)))</f>
        <v/>
      </c>
      <c r="E518">
        <f>IF(ISNA(MATCH(505,Engine!$C$2:$C$679,0)),"",INDEX('Compliance Database'!$E$2:$E$679,MATCH(505,Engine!$C$2:$C$679,0)))</f>
        <v/>
      </c>
      <c r="F518">
        <f>IF(ISNA(MATCH(505,Engine!$C$2:$C$679,0)),"",INDEX('Compliance Database'!$F$2:$F$679,MATCH(505,Engine!$C$2:$C$679,0)))</f>
        <v/>
      </c>
      <c r="G518">
        <f>IF(ISNA(MATCH(505,Engine!$C$2:$C$679,0)),"",INDEX('Compliance Database'!$G$2:$G$679,MATCH(505,Engine!$C$2:$C$679,0)))</f>
        <v/>
      </c>
      <c r="H518">
        <f>IF(ISNA(MATCH(505,Engine!$C$2:$C$679,0)),"",INDEX('Compliance Database'!$H$2:$H$679,MATCH(505,Engine!$C$2:$C$679,0)))</f>
        <v/>
      </c>
      <c r="I518" s="8">
        <f>IF(ISNA(MATCH(505,Engine!$C$2:$C$679,0)),"",INDEX('Compliance Database'!$I$2:$I$679,MATCH(505,Engine!$C$2:$C$679,0)))</f>
        <v/>
      </c>
      <c r="J518" s="8">
        <f>IF(ISNA(MATCH(505,Engine!$C$2:$C$679,0)),"",INDEX('Compliance Database'!$J$2:$J$679,MATCH(505,Engine!$C$2:$C$679,0)))</f>
        <v/>
      </c>
      <c r="K518">
        <f>IF(ISNA(MATCH(505,Engine!$C$2:$C$679,0)),"",INDEX('Compliance Database'!$K$2:$K$679,MATCH(505,Engine!$C$2:$C$679,0)))</f>
        <v/>
      </c>
      <c r="L518" s="8">
        <f>IF(ISNA(MATCH(505,Engine!$C$2:$C$679,0)),"",INDEX('Compliance Database'!$L$2:$L$679,MATCH(505,Engine!$C$2:$C$679,0)))</f>
        <v/>
      </c>
      <c r="M518" s="8">
        <f>IF(ISNA(MATCH(505,Engine!$C$2:$C$679,0)),"",INDEX('Compliance Database'!$M$2:$M$679,MATCH(505,Engine!$C$2:$C$679,0)))</f>
        <v/>
      </c>
      <c r="N518" s="8">
        <f>IF(ISNA(MATCH(505,Engine!$C$2:$C$679,0)),"",INDEX('Compliance Database'!$N$2:$N$679,MATCH(505,Engine!$C$2:$C$679,0)))</f>
        <v/>
      </c>
      <c r="O518" s="8">
        <f>IF(ISNA(MATCH(505,Engine!$C$2:$C$679,0)),"",INDEX('Compliance Database'!$O$2:$O$679,MATCH(505,Engine!$C$2:$C$679,0)))</f>
        <v/>
      </c>
      <c r="P518">
        <f>IF(ISNA(MATCH(505,Engine!$C$2:$C$679,0)),"",HYPERLINK(INDEX('Compliance Database'!$P$2:$P$679,MATCH(505,Engine!$C$2:$C$679,0)),"Open PDF"))</f>
        <v/>
      </c>
    </row>
    <row r="519">
      <c r="A519">
        <f>IF(ISNA(MATCH(506,Engine!$C$2:$C$679,0)),"",INDEX('Compliance Database'!$A$2:$A$679,MATCH(506,Engine!$C$2:$C$679,0)))</f>
        <v/>
      </c>
      <c r="B519">
        <f>IF(ISNA(MATCH(506,Engine!$C$2:$C$679,0)),"",INDEX('Compliance Database'!$B$2:$B$679,MATCH(506,Engine!$C$2:$C$679,0)))</f>
        <v/>
      </c>
      <c r="C519">
        <f>IF(ISNA(MATCH(506,Engine!$C$2:$C$679,0)),"",INDEX('Compliance Database'!$C$2:$C$679,MATCH(506,Engine!$C$2:$C$679,0)))</f>
        <v/>
      </c>
      <c r="D519" s="8">
        <f>IF(ISNA(MATCH(506,Engine!$C$2:$C$679,0)),"",INDEX('Compliance Database'!$D$2:$D$679,MATCH(506,Engine!$C$2:$C$679,0)))</f>
        <v/>
      </c>
      <c r="E519">
        <f>IF(ISNA(MATCH(506,Engine!$C$2:$C$679,0)),"",INDEX('Compliance Database'!$E$2:$E$679,MATCH(506,Engine!$C$2:$C$679,0)))</f>
        <v/>
      </c>
      <c r="F519">
        <f>IF(ISNA(MATCH(506,Engine!$C$2:$C$679,0)),"",INDEX('Compliance Database'!$F$2:$F$679,MATCH(506,Engine!$C$2:$C$679,0)))</f>
        <v/>
      </c>
      <c r="G519">
        <f>IF(ISNA(MATCH(506,Engine!$C$2:$C$679,0)),"",INDEX('Compliance Database'!$G$2:$G$679,MATCH(506,Engine!$C$2:$C$679,0)))</f>
        <v/>
      </c>
      <c r="H519">
        <f>IF(ISNA(MATCH(506,Engine!$C$2:$C$679,0)),"",INDEX('Compliance Database'!$H$2:$H$679,MATCH(506,Engine!$C$2:$C$679,0)))</f>
        <v/>
      </c>
      <c r="I519" s="8">
        <f>IF(ISNA(MATCH(506,Engine!$C$2:$C$679,0)),"",INDEX('Compliance Database'!$I$2:$I$679,MATCH(506,Engine!$C$2:$C$679,0)))</f>
        <v/>
      </c>
      <c r="J519" s="8">
        <f>IF(ISNA(MATCH(506,Engine!$C$2:$C$679,0)),"",INDEX('Compliance Database'!$J$2:$J$679,MATCH(506,Engine!$C$2:$C$679,0)))</f>
        <v/>
      </c>
      <c r="K519">
        <f>IF(ISNA(MATCH(506,Engine!$C$2:$C$679,0)),"",INDEX('Compliance Database'!$K$2:$K$679,MATCH(506,Engine!$C$2:$C$679,0)))</f>
        <v/>
      </c>
      <c r="L519" s="8">
        <f>IF(ISNA(MATCH(506,Engine!$C$2:$C$679,0)),"",INDEX('Compliance Database'!$L$2:$L$679,MATCH(506,Engine!$C$2:$C$679,0)))</f>
        <v/>
      </c>
      <c r="M519" s="8">
        <f>IF(ISNA(MATCH(506,Engine!$C$2:$C$679,0)),"",INDEX('Compliance Database'!$M$2:$M$679,MATCH(506,Engine!$C$2:$C$679,0)))</f>
        <v/>
      </c>
      <c r="N519" s="8">
        <f>IF(ISNA(MATCH(506,Engine!$C$2:$C$679,0)),"",INDEX('Compliance Database'!$N$2:$N$679,MATCH(506,Engine!$C$2:$C$679,0)))</f>
        <v/>
      </c>
      <c r="O519" s="8">
        <f>IF(ISNA(MATCH(506,Engine!$C$2:$C$679,0)),"",INDEX('Compliance Database'!$O$2:$O$679,MATCH(506,Engine!$C$2:$C$679,0)))</f>
        <v/>
      </c>
      <c r="P519">
        <f>IF(ISNA(MATCH(506,Engine!$C$2:$C$679,0)),"",HYPERLINK(INDEX('Compliance Database'!$P$2:$P$679,MATCH(506,Engine!$C$2:$C$679,0)),"Open PDF"))</f>
        <v/>
      </c>
    </row>
    <row r="520">
      <c r="A520">
        <f>IF(ISNA(MATCH(507,Engine!$C$2:$C$679,0)),"",INDEX('Compliance Database'!$A$2:$A$679,MATCH(507,Engine!$C$2:$C$679,0)))</f>
        <v/>
      </c>
      <c r="B520">
        <f>IF(ISNA(MATCH(507,Engine!$C$2:$C$679,0)),"",INDEX('Compliance Database'!$B$2:$B$679,MATCH(507,Engine!$C$2:$C$679,0)))</f>
        <v/>
      </c>
      <c r="C520">
        <f>IF(ISNA(MATCH(507,Engine!$C$2:$C$679,0)),"",INDEX('Compliance Database'!$C$2:$C$679,MATCH(507,Engine!$C$2:$C$679,0)))</f>
        <v/>
      </c>
      <c r="D520" s="8">
        <f>IF(ISNA(MATCH(507,Engine!$C$2:$C$679,0)),"",INDEX('Compliance Database'!$D$2:$D$679,MATCH(507,Engine!$C$2:$C$679,0)))</f>
        <v/>
      </c>
      <c r="E520">
        <f>IF(ISNA(MATCH(507,Engine!$C$2:$C$679,0)),"",INDEX('Compliance Database'!$E$2:$E$679,MATCH(507,Engine!$C$2:$C$679,0)))</f>
        <v/>
      </c>
      <c r="F520">
        <f>IF(ISNA(MATCH(507,Engine!$C$2:$C$679,0)),"",INDEX('Compliance Database'!$F$2:$F$679,MATCH(507,Engine!$C$2:$C$679,0)))</f>
        <v/>
      </c>
      <c r="G520">
        <f>IF(ISNA(MATCH(507,Engine!$C$2:$C$679,0)),"",INDEX('Compliance Database'!$G$2:$G$679,MATCH(507,Engine!$C$2:$C$679,0)))</f>
        <v/>
      </c>
      <c r="H520">
        <f>IF(ISNA(MATCH(507,Engine!$C$2:$C$679,0)),"",INDEX('Compliance Database'!$H$2:$H$679,MATCH(507,Engine!$C$2:$C$679,0)))</f>
        <v/>
      </c>
      <c r="I520" s="8">
        <f>IF(ISNA(MATCH(507,Engine!$C$2:$C$679,0)),"",INDEX('Compliance Database'!$I$2:$I$679,MATCH(507,Engine!$C$2:$C$679,0)))</f>
        <v/>
      </c>
      <c r="J520" s="8">
        <f>IF(ISNA(MATCH(507,Engine!$C$2:$C$679,0)),"",INDEX('Compliance Database'!$J$2:$J$679,MATCH(507,Engine!$C$2:$C$679,0)))</f>
        <v/>
      </c>
      <c r="K520">
        <f>IF(ISNA(MATCH(507,Engine!$C$2:$C$679,0)),"",INDEX('Compliance Database'!$K$2:$K$679,MATCH(507,Engine!$C$2:$C$679,0)))</f>
        <v/>
      </c>
      <c r="L520" s="8">
        <f>IF(ISNA(MATCH(507,Engine!$C$2:$C$679,0)),"",INDEX('Compliance Database'!$L$2:$L$679,MATCH(507,Engine!$C$2:$C$679,0)))</f>
        <v/>
      </c>
      <c r="M520" s="8">
        <f>IF(ISNA(MATCH(507,Engine!$C$2:$C$679,0)),"",INDEX('Compliance Database'!$M$2:$M$679,MATCH(507,Engine!$C$2:$C$679,0)))</f>
        <v/>
      </c>
      <c r="N520" s="8">
        <f>IF(ISNA(MATCH(507,Engine!$C$2:$C$679,0)),"",INDEX('Compliance Database'!$N$2:$N$679,MATCH(507,Engine!$C$2:$C$679,0)))</f>
        <v/>
      </c>
      <c r="O520" s="8">
        <f>IF(ISNA(MATCH(507,Engine!$C$2:$C$679,0)),"",INDEX('Compliance Database'!$O$2:$O$679,MATCH(507,Engine!$C$2:$C$679,0)))</f>
        <v/>
      </c>
      <c r="P520">
        <f>IF(ISNA(MATCH(507,Engine!$C$2:$C$679,0)),"",HYPERLINK(INDEX('Compliance Database'!$P$2:$P$679,MATCH(507,Engine!$C$2:$C$679,0)),"Open PDF"))</f>
        <v/>
      </c>
    </row>
    <row r="521">
      <c r="A521">
        <f>IF(ISNA(MATCH(508,Engine!$C$2:$C$679,0)),"",INDEX('Compliance Database'!$A$2:$A$679,MATCH(508,Engine!$C$2:$C$679,0)))</f>
        <v/>
      </c>
      <c r="B521">
        <f>IF(ISNA(MATCH(508,Engine!$C$2:$C$679,0)),"",INDEX('Compliance Database'!$B$2:$B$679,MATCH(508,Engine!$C$2:$C$679,0)))</f>
        <v/>
      </c>
      <c r="C521">
        <f>IF(ISNA(MATCH(508,Engine!$C$2:$C$679,0)),"",INDEX('Compliance Database'!$C$2:$C$679,MATCH(508,Engine!$C$2:$C$679,0)))</f>
        <v/>
      </c>
      <c r="D521" s="8">
        <f>IF(ISNA(MATCH(508,Engine!$C$2:$C$679,0)),"",INDEX('Compliance Database'!$D$2:$D$679,MATCH(508,Engine!$C$2:$C$679,0)))</f>
        <v/>
      </c>
      <c r="E521">
        <f>IF(ISNA(MATCH(508,Engine!$C$2:$C$679,0)),"",INDEX('Compliance Database'!$E$2:$E$679,MATCH(508,Engine!$C$2:$C$679,0)))</f>
        <v/>
      </c>
      <c r="F521">
        <f>IF(ISNA(MATCH(508,Engine!$C$2:$C$679,0)),"",INDEX('Compliance Database'!$F$2:$F$679,MATCH(508,Engine!$C$2:$C$679,0)))</f>
        <v/>
      </c>
      <c r="G521">
        <f>IF(ISNA(MATCH(508,Engine!$C$2:$C$679,0)),"",INDEX('Compliance Database'!$G$2:$G$679,MATCH(508,Engine!$C$2:$C$679,0)))</f>
        <v/>
      </c>
      <c r="H521">
        <f>IF(ISNA(MATCH(508,Engine!$C$2:$C$679,0)),"",INDEX('Compliance Database'!$H$2:$H$679,MATCH(508,Engine!$C$2:$C$679,0)))</f>
        <v/>
      </c>
      <c r="I521" s="8">
        <f>IF(ISNA(MATCH(508,Engine!$C$2:$C$679,0)),"",INDEX('Compliance Database'!$I$2:$I$679,MATCH(508,Engine!$C$2:$C$679,0)))</f>
        <v/>
      </c>
      <c r="J521" s="8">
        <f>IF(ISNA(MATCH(508,Engine!$C$2:$C$679,0)),"",INDEX('Compliance Database'!$J$2:$J$679,MATCH(508,Engine!$C$2:$C$679,0)))</f>
        <v/>
      </c>
      <c r="K521">
        <f>IF(ISNA(MATCH(508,Engine!$C$2:$C$679,0)),"",INDEX('Compliance Database'!$K$2:$K$679,MATCH(508,Engine!$C$2:$C$679,0)))</f>
        <v/>
      </c>
      <c r="L521" s="8">
        <f>IF(ISNA(MATCH(508,Engine!$C$2:$C$679,0)),"",INDEX('Compliance Database'!$L$2:$L$679,MATCH(508,Engine!$C$2:$C$679,0)))</f>
        <v/>
      </c>
      <c r="M521" s="8">
        <f>IF(ISNA(MATCH(508,Engine!$C$2:$C$679,0)),"",INDEX('Compliance Database'!$M$2:$M$679,MATCH(508,Engine!$C$2:$C$679,0)))</f>
        <v/>
      </c>
      <c r="N521" s="8">
        <f>IF(ISNA(MATCH(508,Engine!$C$2:$C$679,0)),"",INDEX('Compliance Database'!$N$2:$N$679,MATCH(508,Engine!$C$2:$C$679,0)))</f>
        <v/>
      </c>
      <c r="O521" s="8">
        <f>IF(ISNA(MATCH(508,Engine!$C$2:$C$679,0)),"",INDEX('Compliance Database'!$O$2:$O$679,MATCH(508,Engine!$C$2:$C$679,0)))</f>
        <v/>
      </c>
      <c r="P521">
        <f>IF(ISNA(MATCH(508,Engine!$C$2:$C$679,0)),"",HYPERLINK(INDEX('Compliance Database'!$P$2:$P$679,MATCH(508,Engine!$C$2:$C$679,0)),"Open PDF"))</f>
        <v/>
      </c>
    </row>
    <row r="522">
      <c r="A522">
        <f>IF(ISNA(MATCH(509,Engine!$C$2:$C$679,0)),"",INDEX('Compliance Database'!$A$2:$A$679,MATCH(509,Engine!$C$2:$C$679,0)))</f>
        <v/>
      </c>
      <c r="B522">
        <f>IF(ISNA(MATCH(509,Engine!$C$2:$C$679,0)),"",INDEX('Compliance Database'!$B$2:$B$679,MATCH(509,Engine!$C$2:$C$679,0)))</f>
        <v/>
      </c>
      <c r="C522">
        <f>IF(ISNA(MATCH(509,Engine!$C$2:$C$679,0)),"",INDEX('Compliance Database'!$C$2:$C$679,MATCH(509,Engine!$C$2:$C$679,0)))</f>
        <v/>
      </c>
      <c r="D522" s="8">
        <f>IF(ISNA(MATCH(509,Engine!$C$2:$C$679,0)),"",INDEX('Compliance Database'!$D$2:$D$679,MATCH(509,Engine!$C$2:$C$679,0)))</f>
        <v/>
      </c>
      <c r="E522">
        <f>IF(ISNA(MATCH(509,Engine!$C$2:$C$679,0)),"",INDEX('Compliance Database'!$E$2:$E$679,MATCH(509,Engine!$C$2:$C$679,0)))</f>
        <v/>
      </c>
      <c r="F522">
        <f>IF(ISNA(MATCH(509,Engine!$C$2:$C$679,0)),"",INDEX('Compliance Database'!$F$2:$F$679,MATCH(509,Engine!$C$2:$C$679,0)))</f>
        <v/>
      </c>
      <c r="G522">
        <f>IF(ISNA(MATCH(509,Engine!$C$2:$C$679,0)),"",INDEX('Compliance Database'!$G$2:$G$679,MATCH(509,Engine!$C$2:$C$679,0)))</f>
        <v/>
      </c>
      <c r="H522">
        <f>IF(ISNA(MATCH(509,Engine!$C$2:$C$679,0)),"",INDEX('Compliance Database'!$H$2:$H$679,MATCH(509,Engine!$C$2:$C$679,0)))</f>
        <v/>
      </c>
      <c r="I522" s="8">
        <f>IF(ISNA(MATCH(509,Engine!$C$2:$C$679,0)),"",INDEX('Compliance Database'!$I$2:$I$679,MATCH(509,Engine!$C$2:$C$679,0)))</f>
        <v/>
      </c>
      <c r="J522" s="8">
        <f>IF(ISNA(MATCH(509,Engine!$C$2:$C$679,0)),"",INDEX('Compliance Database'!$J$2:$J$679,MATCH(509,Engine!$C$2:$C$679,0)))</f>
        <v/>
      </c>
      <c r="K522">
        <f>IF(ISNA(MATCH(509,Engine!$C$2:$C$679,0)),"",INDEX('Compliance Database'!$K$2:$K$679,MATCH(509,Engine!$C$2:$C$679,0)))</f>
        <v/>
      </c>
      <c r="L522" s="8">
        <f>IF(ISNA(MATCH(509,Engine!$C$2:$C$679,0)),"",INDEX('Compliance Database'!$L$2:$L$679,MATCH(509,Engine!$C$2:$C$679,0)))</f>
        <v/>
      </c>
      <c r="M522" s="8">
        <f>IF(ISNA(MATCH(509,Engine!$C$2:$C$679,0)),"",INDEX('Compliance Database'!$M$2:$M$679,MATCH(509,Engine!$C$2:$C$679,0)))</f>
        <v/>
      </c>
      <c r="N522" s="8">
        <f>IF(ISNA(MATCH(509,Engine!$C$2:$C$679,0)),"",INDEX('Compliance Database'!$N$2:$N$679,MATCH(509,Engine!$C$2:$C$679,0)))</f>
        <v/>
      </c>
      <c r="O522" s="8">
        <f>IF(ISNA(MATCH(509,Engine!$C$2:$C$679,0)),"",INDEX('Compliance Database'!$O$2:$O$679,MATCH(509,Engine!$C$2:$C$679,0)))</f>
        <v/>
      </c>
      <c r="P522">
        <f>IF(ISNA(MATCH(509,Engine!$C$2:$C$679,0)),"",HYPERLINK(INDEX('Compliance Database'!$P$2:$P$679,MATCH(509,Engine!$C$2:$C$679,0)),"Open PDF"))</f>
        <v/>
      </c>
    </row>
    <row r="523">
      <c r="A523">
        <f>IF(ISNA(MATCH(510,Engine!$C$2:$C$679,0)),"",INDEX('Compliance Database'!$A$2:$A$679,MATCH(510,Engine!$C$2:$C$679,0)))</f>
        <v/>
      </c>
      <c r="B523">
        <f>IF(ISNA(MATCH(510,Engine!$C$2:$C$679,0)),"",INDEX('Compliance Database'!$B$2:$B$679,MATCH(510,Engine!$C$2:$C$679,0)))</f>
        <v/>
      </c>
      <c r="C523">
        <f>IF(ISNA(MATCH(510,Engine!$C$2:$C$679,0)),"",INDEX('Compliance Database'!$C$2:$C$679,MATCH(510,Engine!$C$2:$C$679,0)))</f>
        <v/>
      </c>
      <c r="D523" s="8">
        <f>IF(ISNA(MATCH(510,Engine!$C$2:$C$679,0)),"",INDEX('Compliance Database'!$D$2:$D$679,MATCH(510,Engine!$C$2:$C$679,0)))</f>
        <v/>
      </c>
      <c r="E523">
        <f>IF(ISNA(MATCH(510,Engine!$C$2:$C$679,0)),"",INDEX('Compliance Database'!$E$2:$E$679,MATCH(510,Engine!$C$2:$C$679,0)))</f>
        <v/>
      </c>
      <c r="F523">
        <f>IF(ISNA(MATCH(510,Engine!$C$2:$C$679,0)),"",INDEX('Compliance Database'!$F$2:$F$679,MATCH(510,Engine!$C$2:$C$679,0)))</f>
        <v/>
      </c>
      <c r="G523">
        <f>IF(ISNA(MATCH(510,Engine!$C$2:$C$679,0)),"",INDEX('Compliance Database'!$G$2:$G$679,MATCH(510,Engine!$C$2:$C$679,0)))</f>
        <v/>
      </c>
      <c r="H523">
        <f>IF(ISNA(MATCH(510,Engine!$C$2:$C$679,0)),"",INDEX('Compliance Database'!$H$2:$H$679,MATCH(510,Engine!$C$2:$C$679,0)))</f>
        <v/>
      </c>
      <c r="I523" s="8">
        <f>IF(ISNA(MATCH(510,Engine!$C$2:$C$679,0)),"",INDEX('Compliance Database'!$I$2:$I$679,MATCH(510,Engine!$C$2:$C$679,0)))</f>
        <v/>
      </c>
      <c r="J523" s="8">
        <f>IF(ISNA(MATCH(510,Engine!$C$2:$C$679,0)),"",INDEX('Compliance Database'!$J$2:$J$679,MATCH(510,Engine!$C$2:$C$679,0)))</f>
        <v/>
      </c>
      <c r="K523">
        <f>IF(ISNA(MATCH(510,Engine!$C$2:$C$679,0)),"",INDEX('Compliance Database'!$K$2:$K$679,MATCH(510,Engine!$C$2:$C$679,0)))</f>
        <v/>
      </c>
      <c r="L523" s="8">
        <f>IF(ISNA(MATCH(510,Engine!$C$2:$C$679,0)),"",INDEX('Compliance Database'!$L$2:$L$679,MATCH(510,Engine!$C$2:$C$679,0)))</f>
        <v/>
      </c>
      <c r="M523" s="8">
        <f>IF(ISNA(MATCH(510,Engine!$C$2:$C$679,0)),"",INDEX('Compliance Database'!$M$2:$M$679,MATCH(510,Engine!$C$2:$C$679,0)))</f>
        <v/>
      </c>
      <c r="N523" s="8">
        <f>IF(ISNA(MATCH(510,Engine!$C$2:$C$679,0)),"",INDEX('Compliance Database'!$N$2:$N$679,MATCH(510,Engine!$C$2:$C$679,0)))</f>
        <v/>
      </c>
      <c r="O523" s="8">
        <f>IF(ISNA(MATCH(510,Engine!$C$2:$C$679,0)),"",INDEX('Compliance Database'!$O$2:$O$679,MATCH(510,Engine!$C$2:$C$679,0)))</f>
        <v/>
      </c>
      <c r="P523">
        <f>IF(ISNA(MATCH(510,Engine!$C$2:$C$679,0)),"",HYPERLINK(INDEX('Compliance Database'!$P$2:$P$679,MATCH(510,Engine!$C$2:$C$679,0)),"Open PDF"))</f>
        <v/>
      </c>
    </row>
    <row r="524">
      <c r="A524">
        <f>IF(ISNA(MATCH(511,Engine!$C$2:$C$679,0)),"",INDEX('Compliance Database'!$A$2:$A$679,MATCH(511,Engine!$C$2:$C$679,0)))</f>
        <v/>
      </c>
      <c r="B524">
        <f>IF(ISNA(MATCH(511,Engine!$C$2:$C$679,0)),"",INDEX('Compliance Database'!$B$2:$B$679,MATCH(511,Engine!$C$2:$C$679,0)))</f>
        <v/>
      </c>
      <c r="C524">
        <f>IF(ISNA(MATCH(511,Engine!$C$2:$C$679,0)),"",INDEX('Compliance Database'!$C$2:$C$679,MATCH(511,Engine!$C$2:$C$679,0)))</f>
        <v/>
      </c>
      <c r="D524" s="8">
        <f>IF(ISNA(MATCH(511,Engine!$C$2:$C$679,0)),"",INDEX('Compliance Database'!$D$2:$D$679,MATCH(511,Engine!$C$2:$C$679,0)))</f>
        <v/>
      </c>
      <c r="E524">
        <f>IF(ISNA(MATCH(511,Engine!$C$2:$C$679,0)),"",INDEX('Compliance Database'!$E$2:$E$679,MATCH(511,Engine!$C$2:$C$679,0)))</f>
        <v/>
      </c>
      <c r="F524">
        <f>IF(ISNA(MATCH(511,Engine!$C$2:$C$679,0)),"",INDEX('Compliance Database'!$F$2:$F$679,MATCH(511,Engine!$C$2:$C$679,0)))</f>
        <v/>
      </c>
      <c r="G524">
        <f>IF(ISNA(MATCH(511,Engine!$C$2:$C$679,0)),"",INDEX('Compliance Database'!$G$2:$G$679,MATCH(511,Engine!$C$2:$C$679,0)))</f>
        <v/>
      </c>
      <c r="H524">
        <f>IF(ISNA(MATCH(511,Engine!$C$2:$C$679,0)),"",INDEX('Compliance Database'!$H$2:$H$679,MATCH(511,Engine!$C$2:$C$679,0)))</f>
        <v/>
      </c>
      <c r="I524" s="8">
        <f>IF(ISNA(MATCH(511,Engine!$C$2:$C$679,0)),"",INDEX('Compliance Database'!$I$2:$I$679,MATCH(511,Engine!$C$2:$C$679,0)))</f>
        <v/>
      </c>
      <c r="J524" s="8">
        <f>IF(ISNA(MATCH(511,Engine!$C$2:$C$679,0)),"",INDEX('Compliance Database'!$J$2:$J$679,MATCH(511,Engine!$C$2:$C$679,0)))</f>
        <v/>
      </c>
      <c r="K524">
        <f>IF(ISNA(MATCH(511,Engine!$C$2:$C$679,0)),"",INDEX('Compliance Database'!$K$2:$K$679,MATCH(511,Engine!$C$2:$C$679,0)))</f>
        <v/>
      </c>
      <c r="L524" s="8">
        <f>IF(ISNA(MATCH(511,Engine!$C$2:$C$679,0)),"",INDEX('Compliance Database'!$L$2:$L$679,MATCH(511,Engine!$C$2:$C$679,0)))</f>
        <v/>
      </c>
      <c r="M524" s="8">
        <f>IF(ISNA(MATCH(511,Engine!$C$2:$C$679,0)),"",INDEX('Compliance Database'!$M$2:$M$679,MATCH(511,Engine!$C$2:$C$679,0)))</f>
        <v/>
      </c>
      <c r="N524" s="8">
        <f>IF(ISNA(MATCH(511,Engine!$C$2:$C$679,0)),"",INDEX('Compliance Database'!$N$2:$N$679,MATCH(511,Engine!$C$2:$C$679,0)))</f>
        <v/>
      </c>
      <c r="O524" s="8">
        <f>IF(ISNA(MATCH(511,Engine!$C$2:$C$679,0)),"",INDEX('Compliance Database'!$O$2:$O$679,MATCH(511,Engine!$C$2:$C$679,0)))</f>
        <v/>
      </c>
      <c r="P524">
        <f>IF(ISNA(MATCH(511,Engine!$C$2:$C$679,0)),"",HYPERLINK(INDEX('Compliance Database'!$P$2:$P$679,MATCH(511,Engine!$C$2:$C$679,0)),"Open PDF"))</f>
        <v/>
      </c>
    </row>
    <row r="525">
      <c r="A525">
        <f>IF(ISNA(MATCH(512,Engine!$C$2:$C$679,0)),"",INDEX('Compliance Database'!$A$2:$A$679,MATCH(512,Engine!$C$2:$C$679,0)))</f>
        <v/>
      </c>
      <c r="B525">
        <f>IF(ISNA(MATCH(512,Engine!$C$2:$C$679,0)),"",INDEX('Compliance Database'!$B$2:$B$679,MATCH(512,Engine!$C$2:$C$679,0)))</f>
        <v/>
      </c>
      <c r="C525">
        <f>IF(ISNA(MATCH(512,Engine!$C$2:$C$679,0)),"",INDEX('Compliance Database'!$C$2:$C$679,MATCH(512,Engine!$C$2:$C$679,0)))</f>
        <v/>
      </c>
      <c r="D525" s="8">
        <f>IF(ISNA(MATCH(512,Engine!$C$2:$C$679,0)),"",INDEX('Compliance Database'!$D$2:$D$679,MATCH(512,Engine!$C$2:$C$679,0)))</f>
        <v/>
      </c>
      <c r="E525">
        <f>IF(ISNA(MATCH(512,Engine!$C$2:$C$679,0)),"",INDEX('Compliance Database'!$E$2:$E$679,MATCH(512,Engine!$C$2:$C$679,0)))</f>
        <v/>
      </c>
      <c r="F525">
        <f>IF(ISNA(MATCH(512,Engine!$C$2:$C$679,0)),"",INDEX('Compliance Database'!$F$2:$F$679,MATCH(512,Engine!$C$2:$C$679,0)))</f>
        <v/>
      </c>
      <c r="G525">
        <f>IF(ISNA(MATCH(512,Engine!$C$2:$C$679,0)),"",INDEX('Compliance Database'!$G$2:$G$679,MATCH(512,Engine!$C$2:$C$679,0)))</f>
        <v/>
      </c>
      <c r="H525">
        <f>IF(ISNA(MATCH(512,Engine!$C$2:$C$679,0)),"",INDEX('Compliance Database'!$H$2:$H$679,MATCH(512,Engine!$C$2:$C$679,0)))</f>
        <v/>
      </c>
      <c r="I525" s="8">
        <f>IF(ISNA(MATCH(512,Engine!$C$2:$C$679,0)),"",INDEX('Compliance Database'!$I$2:$I$679,MATCH(512,Engine!$C$2:$C$679,0)))</f>
        <v/>
      </c>
      <c r="J525" s="8">
        <f>IF(ISNA(MATCH(512,Engine!$C$2:$C$679,0)),"",INDEX('Compliance Database'!$J$2:$J$679,MATCH(512,Engine!$C$2:$C$679,0)))</f>
        <v/>
      </c>
      <c r="K525">
        <f>IF(ISNA(MATCH(512,Engine!$C$2:$C$679,0)),"",INDEX('Compliance Database'!$K$2:$K$679,MATCH(512,Engine!$C$2:$C$679,0)))</f>
        <v/>
      </c>
      <c r="L525" s="8">
        <f>IF(ISNA(MATCH(512,Engine!$C$2:$C$679,0)),"",INDEX('Compliance Database'!$L$2:$L$679,MATCH(512,Engine!$C$2:$C$679,0)))</f>
        <v/>
      </c>
      <c r="M525" s="8">
        <f>IF(ISNA(MATCH(512,Engine!$C$2:$C$679,0)),"",INDEX('Compliance Database'!$M$2:$M$679,MATCH(512,Engine!$C$2:$C$679,0)))</f>
        <v/>
      </c>
      <c r="N525" s="8">
        <f>IF(ISNA(MATCH(512,Engine!$C$2:$C$679,0)),"",INDEX('Compliance Database'!$N$2:$N$679,MATCH(512,Engine!$C$2:$C$679,0)))</f>
        <v/>
      </c>
      <c r="O525" s="8">
        <f>IF(ISNA(MATCH(512,Engine!$C$2:$C$679,0)),"",INDEX('Compliance Database'!$O$2:$O$679,MATCH(512,Engine!$C$2:$C$679,0)))</f>
        <v/>
      </c>
      <c r="P525">
        <f>IF(ISNA(MATCH(512,Engine!$C$2:$C$679,0)),"",HYPERLINK(INDEX('Compliance Database'!$P$2:$P$679,MATCH(512,Engine!$C$2:$C$679,0)),"Open PDF"))</f>
        <v/>
      </c>
    </row>
    <row r="526">
      <c r="A526">
        <f>IF(ISNA(MATCH(513,Engine!$C$2:$C$679,0)),"",INDEX('Compliance Database'!$A$2:$A$679,MATCH(513,Engine!$C$2:$C$679,0)))</f>
        <v/>
      </c>
      <c r="B526">
        <f>IF(ISNA(MATCH(513,Engine!$C$2:$C$679,0)),"",INDEX('Compliance Database'!$B$2:$B$679,MATCH(513,Engine!$C$2:$C$679,0)))</f>
        <v/>
      </c>
      <c r="C526">
        <f>IF(ISNA(MATCH(513,Engine!$C$2:$C$679,0)),"",INDEX('Compliance Database'!$C$2:$C$679,MATCH(513,Engine!$C$2:$C$679,0)))</f>
        <v/>
      </c>
      <c r="D526" s="8">
        <f>IF(ISNA(MATCH(513,Engine!$C$2:$C$679,0)),"",INDEX('Compliance Database'!$D$2:$D$679,MATCH(513,Engine!$C$2:$C$679,0)))</f>
        <v/>
      </c>
      <c r="E526">
        <f>IF(ISNA(MATCH(513,Engine!$C$2:$C$679,0)),"",INDEX('Compliance Database'!$E$2:$E$679,MATCH(513,Engine!$C$2:$C$679,0)))</f>
        <v/>
      </c>
      <c r="F526">
        <f>IF(ISNA(MATCH(513,Engine!$C$2:$C$679,0)),"",INDEX('Compliance Database'!$F$2:$F$679,MATCH(513,Engine!$C$2:$C$679,0)))</f>
        <v/>
      </c>
      <c r="G526">
        <f>IF(ISNA(MATCH(513,Engine!$C$2:$C$679,0)),"",INDEX('Compliance Database'!$G$2:$G$679,MATCH(513,Engine!$C$2:$C$679,0)))</f>
        <v/>
      </c>
      <c r="H526">
        <f>IF(ISNA(MATCH(513,Engine!$C$2:$C$679,0)),"",INDEX('Compliance Database'!$H$2:$H$679,MATCH(513,Engine!$C$2:$C$679,0)))</f>
        <v/>
      </c>
      <c r="I526" s="8">
        <f>IF(ISNA(MATCH(513,Engine!$C$2:$C$679,0)),"",INDEX('Compliance Database'!$I$2:$I$679,MATCH(513,Engine!$C$2:$C$679,0)))</f>
        <v/>
      </c>
      <c r="J526" s="8">
        <f>IF(ISNA(MATCH(513,Engine!$C$2:$C$679,0)),"",INDEX('Compliance Database'!$J$2:$J$679,MATCH(513,Engine!$C$2:$C$679,0)))</f>
        <v/>
      </c>
      <c r="K526">
        <f>IF(ISNA(MATCH(513,Engine!$C$2:$C$679,0)),"",INDEX('Compliance Database'!$K$2:$K$679,MATCH(513,Engine!$C$2:$C$679,0)))</f>
        <v/>
      </c>
      <c r="L526" s="8">
        <f>IF(ISNA(MATCH(513,Engine!$C$2:$C$679,0)),"",INDEX('Compliance Database'!$L$2:$L$679,MATCH(513,Engine!$C$2:$C$679,0)))</f>
        <v/>
      </c>
      <c r="M526" s="8">
        <f>IF(ISNA(MATCH(513,Engine!$C$2:$C$679,0)),"",INDEX('Compliance Database'!$M$2:$M$679,MATCH(513,Engine!$C$2:$C$679,0)))</f>
        <v/>
      </c>
      <c r="N526" s="8">
        <f>IF(ISNA(MATCH(513,Engine!$C$2:$C$679,0)),"",INDEX('Compliance Database'!$N$2:$N$679,MATCH(513,Engine!$C$2:$C$679,0)))</f>
        <v/>
      </c>
      <c r="O526" s="8">
        <f>IF(ISNA(MATCH(513,Engine!$C$2:$C$679,0)),"",INDEX('Compliance Database'!$O$2:$O$679,MATCH(513,Engine!$C$2:$C$679,0)))</f>
        <v/>
      </c>
      <c r="P526">
        <f>IF(ISNA(MATCH(513,Engine!$C$2:$C$679,0)),"",HYPERLINK(INDEX('Compliance Database'!$P$2:$P$679,MATCH(513,Engine!$C$2:$C$679,0)),"Open PDF"))</f>
        <v/>
      </c>
    </row>
    <row r="527">
      <c r="A527">
        <f>IF(ISNA(MATCH(514,Engine!$C$2:$C$679,0)),"",INDEX('Compliance Database'!$A$2:$A$679,MATCH(514,Engine!$C$2:$C$679,0)))</f>
        <v/>
      </c>
      <c r="B527">
        <f>IF(ISNA(MATCH(514,Engine!$C$2:$C$679,0)),"",INDEX('Compliance Database'!$B$2:$B$679,MATCH(514,Engine!$C$2:$C$679,0)))</f>
        <v/>
      </c>
      <c r="C527">
        <f>IF(ISNA(MATCH(514,Engine!$C$2:$C$679,0)),"",INDEX('Compliance Database'!$C$2:$C$679,MATCH(514,Engine!$C$2:$C$679,0)))</f>
        <v/>
      </c>
      <c r="D527" s="8">
        <f>IF(ISNA(MATCH(514,Engine!$C$2:$C$679,0)),"",INDEX('Compliance Database'!$D$2:$D$679,MATCH(514,Engine!$C$2:$C$679,0)))</f>
        <v/>
      </c>
      <c r="E527">
        <f>IF(ISNA(MATCH(514,Engine!$C$2:$C$679,0)),"",INDEX('Compliance Database'!$E$2:$E$679,MATCH(514,Engine!$C$2:$C$679,0)))</f>
        <v/>
      </c>
      <c r="F527">
        <f>IF(ISNA(MATCH(514,Engine!$C$2:$C$679,0)),"",INDEX('Compliance Database'!$F$2:$F$679,MATCH(514,Engine!$C$2:$C$679,0)))</f>
        <v/>
      </c>
      <c r="G527">
        <f>IF(ISNA(MATCH(514,Engine!$C$2:$C$679,0)),"",INDEX('Compliance Database'!$G$2:$G$679,MATCH(514,Engine!$C$2:$C$679,0)))</f>
        <v/>
      </c>
      <c r="H527">
        <f>IF(ISNA(MATCH(514,Engine!$C$2:$C$679,0)),"",INDEX('Compliance Database'!$H$2:$H$679,MATCH(514,Engine!$C$2:$C$679,0)))</f>
        <v/>
      </c>
      <c r="I527" s="8">
        <f>IF(ISNA(MATCH(514,Engine!$C$2:$C$679,0)),"",INDEX('Compliance Database'!$I$2:$I$679,MATCH(514,Engine!$C$2:$C$679,0)))</f>
        <v/>
      </c>
      <c r="J527" s="8">
        <f>IF(ISNA(MATCH(514,Engine!$C$2:$C$679,0)),"",INDEX('Compliance Database'!$J$2:$J$679,MATCH(514,Engine!$C$2:$C$679,0)))</f>
        <v/>
      </c>
      <c r="K527">
        <f>IF(ISNA(MATCH(514,Engine!$C$2:$C$679,0)),"",INDEX('Compliance Database'!$K$2:$K$679,MATCH(514,Engine!$C$2:$C$679,0)))</f>
        <v/>
      </c>
      <c r="L527" s="8">
        <f>IF(ISNA(MATCH(514,Engine!$C$2:$C$679,0)),"",INDEX('Compliance Database'!$L$2:$L$679,MATCH(514,Engine!$C$2:$C$679,0)))</f>
        <v/>
      </c>
      <c r="M527" s="8">
        <f>IF(ISNA(MATCH(514,Engine!$C$2:$C$679,0)),"",INDEX('Compliance Database'!$M$2:$M$679,MATCH(514,Engine!$C$2:$C$679,0)))</f>
        <v/>
      </c>
      <c r="N527" s="8">
        <f>IF(ISNA(MATCH(514,Engine!$C$2:$C$679,0)),"",INDEX('Compliance Database'!$N$2:$N$679,MATCH(514,Engine!$C$2:$C$679,0)))</f>
        <v/>
      </c>
      <c r="O527" s="8">
        <f>IF(ISNA(MATCH(514,Engine!$C$2:$C$679,0)),"",INDEX('Compliance Database'!$O$2:$O$679,MATCH(514,Engine!$C$2:$C$679,0)))</f>
        <v/>
      </c>
      <c r="P527">
        <f>IF(ISNA(MATCH(514,Engine!$C$2:$C$679,0)),"",HYPERLINK(INDEX('Compliance Database'!$P$2:$P$679,MATCH(514,Engine!$C$2:$C$679,0)),"Open PDF"))</f>
        <v/>
      </c>
    </row>
    <row r="528">
      <c r="A528">
        <f>IF(ISNA(MATCH(515,Engine!$C$2:$C$679,0)),"",INDEX('Compliance Database'!$A$2:$A$679,MATCH(515,Engine!$C$2:$C$679,0)))</f>
        <v/>
      </c>
      <c r="B528">
        <f>IF(ISNA(MATCH(515,Engine!$C$2:$C$679,0)),"",INDEX('Compliance Database'!$B$2:$B$679,MATCH(515,Engine!$C$2:$C$679,0)))</f>
        <v/>
      </c>
      <c r="C528">
        <f>IF(ISNA(MATCH(515,Engine!$C$2:$C$679,0)),"",INDEX('Compliance Database'!$C$2:$C$679,MATCH(515,Engine!$C$2:$C$679,0)))</f>
        <v/>
      </c>
      <c r="D528" s="8">
        <f>IF(ISNA(MATCH(515,Engine!$C$2:$C$679,0)),"",INDEX('Compliance Database'!$D$2:$D$679,MATCH(515,Engine!$C$2:$C$679,0)))</f>
        <v/>
      </c>
      <c r="E528">
        <f>IF(ISNA(MATCH(515,Engine!$C$2:$C$679,0)),"",INDEX('Compliance Database'!$E$2:$E$679,MATCH(515,Engine!$C$2:$C$679,0)))</f>
        <v/>
      </c>
      <c r="F528">
        <f>IF(ISNA(MATCH(515,Engine!$C$2:$C$679,0)),"",INDEX('Compliance Database'!$F$2:$F$679,MATCH(515,Engine!$C$2:$C$679,0)))</f>
        <v/>
      </c>
      <c r="G528">
        <f>IF(ISNA(MATCH(515,Engine!$C$2:$C$679,0)),"",INDEX('Compliance Database'!$G$2:$G$679,MATCH(515,Engine!$C$2:$C$679,0)))</f>
        <v/>
      </c>
      <c r="H528">
        <f>IF(ISNA(MATCH(515,Engine!$C$2:$C$679,0)),"",INDEX('Compliance Database'!$H$2:$H$679,MATCH(515,Engine!$C$2:$C$679,0)))</f>
        <v/>
      </c>
      <c r="I528" s="8">
        <f>IF(ISNA(MATCH(515,Engine!$C$2:$C$679,0)),"",INDEX('Compliance Database'!$I$2:$I$679,MATCH(515,Engine!$C$2:$C$679,0)))</f>
        <v/>
      </c>
      <c r="J528" s="8">
        <f>IF(ISNA(MATCH(515,Engine!$C$2:$C$679,0)),"",INDEX('Compliance Database'!$J$2:$J$679,MATCH(515,Engine!$C$2:$C$679,0)))</f>
        <v/>
      </c>
      <c r="K528">
        <f>IF(ISNA(MATCH(515,Engine!$C$2:$C$679,0)),"",INDEX('Compliance Database'!$K$2:$K$679,MATCH(515,Engine!$C$2:$C$679,0)))</f>
        <v/>
      </c>
      <c r="L528" s="8">
        <f>IF(ISNA(MATCH(515,Engine!$C$2:$C$679,0)),"",INDEX('Compliance Database'!$L$2:$L$679,MATCH(515,Engine!$C$2:$C$679,0)))</f>
        <v/>
      </c>
      <c r="M528" s="8">
        <f>IF(ISNA(MATCH(515,Engine!$C$2:$C$679,0)),"",INDEX('Compliance Database'!$M$2:$M$679,MATCH(515,Engine!$C$2:$C$679,0)))</f>
        <v/>
      </c>
      <c r="N528" s="8">
        <f>IF(ISNA(MATCH(515,Engine!$C$2:$C$679,0)),"",INDEX('Compliance Database'!$N$2:$N$679,MATCH(515,Engine!$C$2:$C$679,0)))</f>
        <v/>
      </c>
      <c r="O528" s="8">
        <f>IF(ISNA(MATCH(515,Engine!$C$2:$C$679,0)),"",INDEX('Compliance Database'!$O$2:$O$679,MATCH(515,Engine!$C$2:$C$679,0)))</f>
        <v/>
      </c>
      <c r="P528">
        <f>IF(ISNA(MATCH(515,Engine!$C$2:$C$679,0)),"",HYPERLINK(INDEX('Compliance Database'!$P$2:$P$679,MATCH(515,Engine!$C$2:$C$679,0)),"Open PDF"))</f>
        <v/>
      </c>
    </row>
    <row r="529">
      <c r="A529">
        <f>IF(ISNA(MATCH(516,Engine!$C$2:$C$679,0)),"",INDEX('Compliance Database'!$A$2:$A$679,MATCH(516,Engine!$C$2:$C$679,0)))</f>
        <v/>
      </c>
      <c r="B529">
        <f>IF(ISNA(MATCH(516,Engine!$C$2:$C$679,0)),"",INDEX('Compliance Database'!$B$2:$B$679,MATCH(516,Engine!$C$2:$C$679,0)))</f>
        <v/>
      </c>
      <c r="C529">
        <f>IF(ISNA(MATCH(516,Engine!$C$2:$C$679,0)),"",INDEX('Compliance Database'!$C$2:$C$679,MATCH(516,Engine!$C$2:$C$679,0)))</f>
        <v/>
      </c>
      <c r="D529" s="8">
        <f>IF(ISNA(MATCH(516,Engine!$C$2:$C$679,0)),"",INDEX('Compliance Database'!$D$2:$D$679,MATCH(516,Engine!$C$2:$C$679,0)))</f>
        <v/>
      </c>
      <c r="E529">
        <f>IF(ISNA(MATCH(516,Engine!$C$2:$C$679,0)),"",INDEX('Compliance Database'!$E$2:$E$679,MATCH(516,Engine!$C$2:$C$679,0)))</f>
        <v/>
      </c>
      <c r="F529">
        <f>IF(ISNA(MATCH(516,Engine!$C$2:$C$679,0)),"",INDEX('Compliance Database'!$F$2:$F$679,MATCH(516,Engine!$C$2:$C$679,0)))</f>
        <v/>
      </c>
      <c r="G529">
        <f>IF(ISNA(MATCH(516,Engine!$C$2:$C$679,0)),"",INDEX('Compliance Database'!$G$2:$G$679,MATCH(516,Engine!$C$2:$C$679,0)))</f>
        <v/>
      </c>
      <c r="H529">
        <f>IF(ISNA(MATCH(516,Engine!$C$2:$C$679,0)),"",INDEX('Compliance Database'!$H$2:$H$679,MATCH(516,Engine!$C$2:$C$679,0)))</f>
        <v/>
      </c>
      <c r="I529" s="8">
        <f>IF(ISNA(MATCH(516,Engine!$C$2:$C$679,0)),"",INDEX('Compliance Database'!$I$2:$I$679,MATCH(516,Engine!$C$2:$C$679,0)))</f>
        <v/>
      </c>
      <c r="J529" s="8">
        <f>IF(ISNA(MATCH(516,Engine!$C$2:$C$679,0)),"",INDEX('Compliance Database'!$J$2:$J$679,MATCH(516,Engine!$C$2:$C$679,0)))</f>
        <v/>
      </c>
      <c r="K529">
        <f>IF(ISNA(MATCH(516,Engine!$C$2:$C$679,0)),"",INDEX('Compliance Database'!$K$2:$K$679,MATCH(516,Engine!$C$2:$C$679,0)))</f>
        <v/>
      </c>
      <c r="L529" s="8">
        <f>IF(ISNA(MATCH(516,Engine!$C$2:$C$679,0)),"",INDEX('Compliance Database'!$L$2:$L$679,MATCH(516,Engine!$C$2:$C$679,0)))</f>
        <v/>
      </c>
      <c r="M529" s="8">
        <f>IF(ISNA(MATCH(516,Engine!$C$2:$C$679,0)),"",INDEX('Compliance Database'!$M$2:$M$679,MATCH(516,Engine!$C$2:$C$679,0)))</f>
        <v/>
      </c>
      <c r="N529" s="8">
        <f>IF(ISNA(MATCH(516,Engine!$C$2:$C$679,0)),"",INDEX('Compliance Database'!$N$2:$N$679,MATCH(516,Engine!$C$2:$C$679,0)))</f>
        <v/>
      </c>
      <c r="O529" s="8">
        <f>IF(ISNA(MATCH(516,Engine!$C$2:$C$679,0)),"",INDEX('Compliance Database'!$O$2:$O$679,MATCH(516,Engine!$C$2:$C$679,0)))</f>
        <v/>
      </c>
      <c r="P529">
        <f>IF(ISNA(MATCH(516,Engine!$C$2:$C$679,0)),"",HYPERLINK(INDEX('Compliance Database'!$P$2:$P$679,MATCH(516,Engine!$C$2:$C$679,0)),"Open PDF"))</f>
        <v/>
      </c>
    </row>
    <row r="530">
      <c r="A530">
        <f>IF(ISNA(MATCH(517,Engine!$C$2:$C$679,0)),"",INDEX('Compliance Database'!$A$2:$A$679,MATCH(517,Engine!$C$2:$C$679,0)))</f>
        <v/>
      </c>
      <c r="B530">
        <f>IF(ISNA(MATCH(517,Engine!$C$2:$C$679,0)),"",INDEX('Compliance Database'!$B$2:$B$679,MATCH(517,Engine!$C$2:$C$679,0)))</f>
        <v/>
      </c>
      <c r="C530">
        <f>IF(ISNA(MATCH(517,Engine!$C$2:$C$679,0)),"",INDEX('Compliance Database'!$C$2:$C$679,MATCH(517,Engine!$C$2:$C$679,0)))</f>
        <v/>
      </c>
      <c r="D530" s="8">
        <f>IF(ISNA(MATCH(517,Engine!$C$2:$C$679,0)),"",INDEX('Compliance Database'!$D$2:$D$679,MATCH(517,Engine!$C$2:$C$679,0)))</f>
        <v/>
      </c>
      <c r="E530">
        <f>IF(ISNA(MATCH(517,Engine!$C$2:$C$679,0)),"",INDEX('Compliance Database'!$E$2:$E$679,MATCH(517,Engine!$C$2:$C$679,0)))</f>
        <v/>
      </c>
      <c r="F530">
        <f>IF(ISNA(MATCH(517,Engine!$C$2:$C$679,0)),"",INDEX('Compliance Database'!$F$2:$F$679,MATCH(517,Engine!$C$2:$C$679,0)))</f>
        <v/>
      </c>
      <c r="G530">
        <f>IF(ISNA(MATCH(517,Engine!$C$2:$C$679,0)),"",INDEX('Compliance Database'!$G$2:$G$679,MATCH(517,Engine!$C$2:$C$679,0)))</f>
        <v/>
      </c>
      <c r="H530">
        <f>IF(ISNA(MATCH(517,Engine!$C$2:$C$679,0)),"",INDEX('Compliance Database'!$H$2:$H$679,MATCH(517,Engine!$C$2:$C$679,0)))</f>
        <v/>
      </c>
      <c r="I530" s="8">
        <f>IF(ISNA(MATCH(517,Engine!$C$2:$C$679,0)),"",INDEX('Compliance Database'!$I$2:$I$679,MATCH(517,Engine!$C$2:$C$679,0)))</f>
        <v/>
      </c>
      <c r="J530" s="8">
        <f>IF(ISNA(MATCH(517,Engine!$C$2:$C$679,0)),"",INDEX('Compliance Database'!$J$2:$J$679,MATCH(517,Engine!$C$2:$C$679,0)))</f>
        <v/>
      </c>
      <c r="K530">
        <f>IF(ISNA(MATCH(517,Engine!$C$2:$C$679,0)),"",INDEX('Compliance Database'!$K$2:$K$679,MATCH(517,Engine!$C$2:$C$679,0)))</f>
        <v/>
      </c>
      <c r="L530" s="8">
        <f>IF(ISNA(MATCH(517,Engine!$C$2:$C$679,0)),"",INDEX('Compliance Database'!$L$2:$L$679,MATCH(517,Engine!$C$2:$C$679,0)))</f>
        <v/>
      </c>
      <c r="M530" s="8">
        <f>IF(ISNA(MATCH(517,Engine!$C$2:$C$679,0)),"",INDEX('Compliance Database'!$M$2:$M$679,MATCH(517,Engine!$C$2:$C$679,0)))</f>
        <v/>
      </c>
      <c r="N530" s="8">
        <f>IF(ISNA(MATCH(517,Engine!$C$2:$C$679,0)),"",INDEX('Compliance Database'!$N$2:$N$679,MATCH(517,Engine!$C$2:$C$679,0)))</f>
        <v/>
      </c>
      <c r="O530" s="8">
        <f>IF(ISNA(MATCH(517,Engine!$C$2:$C$679,0)),"",INDEX('Compliance Database'!$O$2:$O$679,MATCH(517,Engine!$C$2:$C$679,0)))</f>
        <v/>
      </c>
      <c r="P530">
        <f>IF(ISNA(MATCH(517,Engine!$C$2:$C$679,0)),"",HYPERLINK(INDEX('Compliance Database'!$P$2:$P$679,MATCH(517,Engine!$C$2:$C$679,0)),"Open PDF"))</f>
        <v/>
      </c>
    </row>
    <row r="531">
      <c r="A531">
        <f>IF(ISNA(MATCH(518,Engine!$C$2:$C$679,0)),"",INDEX('Compliance Database'!$A$2:$A$679,MATCH(518,Engine!$C$2:$C$679,0)))</f>
        <v/>
      </c>
      <c r="B531">
        <f>IF(ISNA(MATCH(518,Engine!$C$2:$C$679,0)),"",INDEX('Compliance Database'!$B$2:$B$679,MATCH(518,Engine!$C$2:$C$679,0)))</f>
        <v/>
      </c>
      <c r="C531">
        <f>IF(ISNA(MATCH(518,Engine!$C$2:$C$679,0)),"",INDEX('Compliance Database'!$C$2:$C$679,MATCH(518,Engine!$C$2:$C$679,0)))</f>
        <v/>
      </c>
      <c r="D531" s="8">
        <f>IF(ISNA(MATCH(518,Engine!$C$2:$C$679,0)),"",INDEX('Compliance Database'!$D$2:$D$679,MATCH(518,Engine!$C$2:$C$679,0)))</f>
        <v/>
      </c>
      <c r="E531">
        <f>IF(ISNA(MATCH(518,Engine!$C$2:$C$679,0)),"",INDEX('Compliance Database'!$E$2:$E$679,MATCH(518,Engine!$C$2:$C$679,0)))</f>
        <v/>
      </c>
      <c r="F531">
        <f>IF(ISNA(MATCH(518,Engine!$C$2:$C$679,0)),"",INDEX('Compliance Database'!$F$2:$F$679,MATCH(518,Engine!$C$2:$C$679,0)))</f>
        <v/>
      </c>
      <c r="G531">
        <f>IF(ISNA(MATCH(518,Engine!$C$2:$C$679,0)),"",INDEX('Compliance Database'!$G$2:$G$679,MATCH(518,Engine!$C$2:$C$679,0)))</f>
        <v/>
      </c>
      <c r="H531">
        <f>IF(ISNA(MATCH(518,Engine!$C$2:$C$679,0)),"",INDEX('Compliance Database'!$H$2:$H$679,MATCH(518,Engine!$C$2:$C$679,0)))</f>
        <v/>
      </c>
      <c r="I531" s="8">
        <f>IF(ISNA(MATCH(518,Engine!$C$2:$C$679,0)),"",INDEX('Compliance Database'!$I$2:$I$679,MATCH(518,Engine!$C$2:$C$679,0)))</f>
        <v/>
      </c>
      <c r="J531" s="8">
        <f>IF(ISNA(MATCH(518,Engine!$C$2:$C$679,0)),"",INDEX('Compliance Database'!$J$2:$J$679,MATCH(518,Engine!$C$2:$C$679,0)))</f>
        <v/>
      </c>
      <c r="K531">
        <f>IF(ISNA(MATCH(518,Engine!$C$2:$C$679,0)),"",INDEX('Compliance Database'!$K$2:$K$679,MATCH(518,Engine!$C$2:$C$679,0)))</f>
        <v/>
      </c>
      <c r="L531" s="8">
        <f>IF(ISNA(MATCH(518,Engine!$C$2:$C$679,0)),"",INDEX('Compliance Database'!$L$2:$L$679,MATCH(518,Engine!$C$2:$C$679,0)))</f>
        <v/>
      </c>
      <c r="M531" s="8">
        <f>IF(ISNA(MATCH(518,Engine!$C$2:$C$679,0)),"",INDEX('Compliance Database'!$M$2:$M$679,MATCH(518,Engine!$C$2:$C$679,0)))</f>
        <v/>
      </c>
      <c r="N531" s="8">
        <f>IF(ISNA(MATCH(518,Engine!$C$2:$C$679,0)),"",INDEX('Compliance Database'!$N$2:$N$679,MATCH(518,Engine!$C$2:$C$679,0)))</f>
        <v/>
      </c>
      <c r="O531" s="8">
        <f>IF(ISNA(MATCH(518,Engine!$C$2:$C$679,0)),"",INDEX('Compliance Database'!$O$2:$O$679,MATCH(518,Engine!$C$2:$C$679,0)))</f>
        <v/>
      </c>
      <c r="P531">
        <f>IF(ISNA(MATCH(518,Engine!$C$2:$C$679,0)),"",HYPERLINK(INDEX('Compliance Database'!$P$2:$P$679,MATCH(518,Engine!$C$2:$C$679,0)),"Open PDF"))</f>
        <v/>
      </c>
    </row>
    <row r="532">
      <c r="A532">
        <f>IF(ISNA(MATCH(519,Engine!$C$2:$C$679,0)),"",INDEX('Compliance Database'!$A$2:$A$679,MATCH(519,Engine!$C$2:$C$679,0)))</f>
        <v/>
      </c>
      <c r="B532">
        <f>IF(ISNA(MATCH(519,Engine!$C$2:$C$679,0)),"",INDEX('Compliance Database'!$B$2:$B$679,MATCH(519,Engine!$C$2:$C$679,0)))</f>
        <v/>
      </c>
      <c r="C532">
        <f>IF(ISNA(MATCH(519,Engine!$C$2:$C$679,0)),"",INDEX('Compliance Database'!$C$2:$C$679,MATCH(519,Engine!$C$2:$C$679,0)))</f>
        <v/>
      </c>
      <c r="D532" s="8">
        <f>IF(ISNA(MATCH(519,Engine!$C$2:$C$679,0)),"",INDEX('Compliance Database'!$D$2:$D$679,MATCH(519,Engine!$C$2:$C$679,0)))</f>
        <v/>
      </c>
      <c r="E532">
        <f>IF(ISNA(MATCH(519,Engine!$C$2:$C$679,0)),"",INDEX('Compliance Database'!$E$2:$E$679,MATCH(519,Engine!$C$2:$C$679,0)))</f>
        <v/>
      </c>
      <c r="F532">
        <f>IF(ISNA(MATCH(519,Engine!$C$2:$C$679,0)),"",INDEX('Compliance Database'!$F$2:$F$679,MATCH(519,Engine!$C$2:$C$679,0)))</f>
        <v/>
      </c>
      <c r="G532">
        <f>IF(ISNA(MATCH(519,Engine!$C$2:$C$679,0)),"",INDEX('Compliance Database'!$G$2:$G$679,MATCH(519,Engine!$C$2:$C$679,0)))</f>
        <v/>
      </c>
      <c r="H532">
        <f>IF(ISNA(MATCH(519,Engine!$C$2:$C$679,0)),"",INDEX('Compliance Database'!$H$2:$H$679,MATCH(519,Engine!$C$2:$C$679,0)))</f>
        <v/>
      </c>
      <c r="I532" s="8">
        <f>IF(ISNA(MATCH(519,Engine!$C$2:$C$679,0)),"",INDEX('Compliance Database'!$I$2:$I$679,MATCH(519,Engine!$C$2:$C$679,0)))</f>
        <v/>
      </c>
      <c r="J532" s="8">
        <f>IF(ISNA(MATCH(519,Engine!$C$2:$C$679,0)),"",INDEX('Compliance Database'!$J$2:$J$679,MATCH(519,Engine!$C$2:$C$679,0)))</f>
        <v/>
      </c>
      <c r="K532">
        <f>IF(ISNA(MATCH(519,Engine!$C$2:$C$679,0)),"",INDEX('Compliance Database'!$K$2:$K$679,MATCH(519,Engine!$C$2:$C$679,0)))</f>
        <v/>
      </c>
      <c r="L532" s="8">
        <f>IF(ISNA(MATCH(519,Engine!$C$2:$C$679,0)),"",INDEX('Compliance Database'!$L$2:$L$679,MATCH(519,Engine!$C$2:$C$679,0)))</f>
        <v/>
      </c>
      <c r="M532" s="8">
        <f>IF(ISNA(MATCH(519,Engine!$C$2:$C$679,0)),"",INDEX('Compliance Database'!$M$2:$M$679,MATCH(519,Engine!$C$2:$C$679,0)))</f>
        <v/>
      </c>
      <c r="N532" s="8">
        <f>IF(ISNA(MATCH(519,Engine!$C$2:$C$679,0)),"",INDEX('Compliance Database'!$N$2:$N$679,MATCH(519,Engine!$C$2:$C$679,0)))</f>
        <v/>
      </c>
      <c r="O532" s="8">
        <f>IF(ISNA(MATCH(519,Engine!$C$2:$C$679,0)),"",INDEX('Compliance Database'!$O$2:$O$679,MATCH(519,Engine!$C$2:$C$679,0)))</f>
        <v/>
      </c>
      <c r="P532">
        <f>IF(ISNA(MATCH(519,Engine!$C$2:$C$679,0)),"",HYPERLINK(INDEX('Compliance Database'!$P$2:$P$679,MATCH(519,Engine!$C$2:$C$679,0)),"Open PDF"))</f>
        <v/>
      </c>
    </row>
    <row r="533">
      <c r="A533">
        <f>IF(ISNA(MATCH(520,Engine!$C$2:$C$679,0)),"",INDEX('Compliance Database'!$A$2:$A$679,MATCH(520,Engine!$C$2:$C$679,0)))</f>
        <v/>
      </c>
      <c r="B533">
        <f>IF(ISNA(MATCH(520,Engine!$C$2:$C$679,0)),"",INDEX('Compliance Database'!$B$2:$B$679,MATCH(520,Engine!$C$2:$C$679,0)))</f>
        <v/>
      </c>
      <c r="C533">
        <f>IF(ISNA(MATCH(520,Engine!$C$2:$C$679,0)),"",INDEX('Compliance Database'!$C$2:$C$679,MATCH(520,Engine!$C$2:$C$679,0)))</f>
        <v/>
      </c>
      <c r="D533" s="8">
        <f>IF(ISNA(MATCH(520,Engine!$C$2:$C$679,0)),"",INDEX('Compliance Database'!$D$2:$D$679,MATCH(520,Engine!$C$2:$C$679,0)))</f>
        <v/>
      </c>
      <c r="E533">
        <f>IF(ISNA(MATCH(520,Engine!$C$2:$C$679,0)),"",INDEX('Compliance Database'!$E$2:$E$679,MATCH(520,Engine!$C$2:$C$679,0)))</f>
        <v/>
      </c>
      <c r="F533">
        <f>IF(ISNA(MATCH(520,Engine!$C$2:$C$679,0)),"",INDEX('Compliance Database'!$F$2:$F$679,MATCH(520,Engine!$C$2:$C$679,0)))</f>
        <v/>
      </c>
      <c r="G533">
        <f>IF(ISNA(MATCH(520,Engine!$C$2:$C$679,0)),"",INDEX('Compliance Database'!$G$2:$G$679,MATCH(520,Engine!$C$2:$C$679,0)))</f>
        <v/>
      </c>
      <c r="H533">
        <f>IF(ISNA(MATCH(520,Engine!$C$2:$C$679,0)),"",INDEX('Compliance Database'!$H$2:$H$679,MATCH(520,Engine!$C$2:$C$679,0)))</f>
        <v/>
      </c>
      <c r="I533" s="8">
        <f>IF(ISNA(MATCH(520,Engine!$C$2:$C$679,0)),"",INDEX('Compliance Database'!$I$2:$I$679,MATCH(520,Engine!$C$2:$C$679,0)))</f>
        <v/>
      </c>
      <c r="J533" s="8">
        <f>IF(ISNA(MATCH(520,Engine!$C$2:$C$679,0)),"",INDEX('Compliance Database'!$J$2:$J$679,MATCH(520,Engine!$C$2:$C$679,0)))</f>
        <v/>
      </c>
      <c r="K533">
        <f>IF(ISNA(MATCH(520,Engine!$C$2:$C$679,0)),"",INDEX('Compliance Database'!$K$2:$K$679,MATCH(520,Engine!$C$2:$C$679,0)))</f>
        <v/>
      </c>
      <c r="L533" s="8">
        <f>IF(ISNA(MATCH(520,Engine!$C$2:$C$679,0)),"",INDEX('Compliance Database'!$L$2:$L$679,MATCH(520,Engine!$C$2:$C$679,0)))</f>
        <v/>
      </c>
      <c r="M533" s="8">
        <f>IF(ISNA(MATCH(520,Engine!$C$2:$C$679,0)),"",INDEX('Compliance Database'!$M$2:$M$679,MATCH(520,Engine!$C$2:$C$679,0)))</f>
        <v/>
      </c>
      <c r="N533" s="8">
        <f>IF(ISNA(MATCH(520,Engine!$C$2:$C$679,0)),"",INDEX('Compliance Database'!$N$2:$N$679,MATCH(520,Engine!$C$2:$C$679,0)))</f>
        <v/>
      </c>
      <c r="O533" s="8">
        <f>IF(ISNA(MATCH(520,Engine!$C$2:$C$679,0)),"",INDEX('Compliance Database'!$O$2:$O$679,MATCH(520,Engine!$C$2:$C$679,0)))</f>
        <v/>
      </c>
      <c r="P533">
        <f>IF(ISNA(MATCH(520,Engine!$C$2:$C$679,0)),"",HYPERLINK(INDEX('Compliance Database'!$P$2:$P$679,MATCH(520,Engine!$C$2:$C$679,0)),"Open PDF"))</f>
        <v/>
      </c>
    </row>
    <row r="534">
      <c r="A534">
        <f>IF(ISNA(MATCH(521,Engine!$C$2:$C$679,0)),"",INDEX('Compliance Database'!$A$2:$A$679,MATCH(521,Engine!$C$2:$C$679,0)))</f>
        <v/>
      </c>
      <c r="B534">
        <f>IF(ISNA(MATCH(521,Engine!$C$2:$C$679,0)),"",INDEX('Compliance Database'!$B$2:$B$679,MATCH(521,Engine!$C$2:$C$679,0)))</f>
        <v/>
      </c>
      <c r="C534">
        <f>IF(ISNA(MATCH(521,Engine!$C$2:$C$679,0)),"",INDEX('Compliance Database'!$C$2:$C$679,MATCH(521,Engine!$C$2:$C$679,0)))</f>
        <v/>
      </c>
      <c r="D534" s="8">
        <f>IF(ISNA(MATCH(521,Engine!$C$2:$C$679,0)),"",INDEX('Compliance Database'!$D$2:$D$679,MATCH(521,Engine!$C$2:$C$679,0)))</f>
        <v/>
      </c>
      <c r="E534">
        <f>IF(ISNA(MATCH(521,Engine!$C$2:$C$679,0)),"",INDEX('Compliance Database'!$E$2:$E$679,MATCH(521,Engine!$C$2:$C$679,0)))</f>
        <v/>
      </c>
      <c r="F534">
        <f>IF(ISNA(MATCH(521,Engine!$C$2:$C$679,0)),"",INDEX('Compliance Database'!$F$2:$F$679,MATCH(521,Engine!$C$2:$C$679,0)))</f>
        <v/>
      </c>
      <c r="G534">
        <f>IF(ISNA(MATCH(521,Engine!$C$2:$C$679,0)),"",INDEX('Compliance Database'!$G$2:$G$679,MATCH(521,Engine!$C$2:$C$679,0)))</f>
        <v/>
      </c>
      <c r="H534">
        <f>IF(ISNA(MATCH(521,Engine!$C$2:$C$679,0)),"",INDEX('Compliance Database'!$H$2:$H$679,MATCH(521,Engine!$C$2:$C$679,0)))</f>
        <v/>
      </c>
      <c r="I534" s="8">
        <f>IF(ISNA(MATCH(521,Engine!$C$2:$C$679,0)),"",INDEX('Compliance Database'!$I$2:$I$679,MATCH(521,Engine!$C$2:$C$679,0)))</f>
        <v/>
      </c>
      <c r="J534" s="8">
        <f>IF(ISNA(MATCH(521,Engine!$C$2:$C$679,0)),"",INDEX('Compliance Database'!$J$2:$J$679,MATCH(521,Engine!$C$2:$C$679,0)))</f>
        <v/>
      </c>
      <c r="K534">
        <f>IF(ISNA(MATCH(521,Engine!$C$2:$C$679,0)),"",INDEX('Compliance Database'!$K$2:$K$679,MATCH(521,Engine!$C$2:$C$679,0)))</f>
        <v/>
      </c>
      <c r="L534" s="8">
        <f>IF(ISNA(MATCH(521,Engine!$C$2:$C$679,0)),"",INDEX('Compliance Database'!$L$2:$L$679,MATCH(521,Engine!$C$2:$C$679,0)))</f>
        <v/>
      </c>
      <c r="M534" s="8">
        <f>IF(ISNA(MATCH(521,Engine!$C$2:$C$679,0)),"",INDEX('Compliance Database'!$M$2:$M$679,MATCH(521,Engine!$C$2:$C$679,0)))</f>
        <v/>
      </c>
      <c r="N534" s="8">
        <f>IF(ISNA(MATCH(521,Engine!$C$2:$C$679,0)),"",INDEX('Compliance Database'!$N$2:$N$679,MATCH(521,Engine!$C$2:$C$679,0)))</f>
        <v/>
      </c>
      <c r="O534" s="8">
        <f>IF(ISNA(MATCH(521,Engine!$C$2:$C$679,0)),"",INDEX('Compliance Database'!$O$2:$O$679,MATCH(521,Engine!$C$2:$C$679,0)))</f>
        <v/>
      </c>
      <c r="P534">
        <f>IF(ISNA(MATCH(521,Engine!$C$2:$C$679,0)),"",HYPERLINK(INDEX('Compliance Database'!$P$2:$P$679,MATCH(521,Engine!$C$2:$C$679,0)),"Open PDF"))</f>
        <v/>
      </c>
    </row>
    <row r="535">
      <c r="A535">
        <f>IF(ISNA(MATCH(522,Engine!$C$2:$C$679,0)),"",INDEX('Compliance Database'!$A$2:$A$679,MATCH(522,Engine!$C$2:$C$679,0)))</f>
        <v/>
      </c>
      <c r="B535">
        <f>IF(ISNA(MATCH(522,Engine!$C$2:$C$679,0)),"",INDEX('Compliance Database'!$B$2:$B$679,MATCH(522,Engine!$C$2:$C$679,0)))</f>
        <v/>
      </c>
      <c r="C535">
        <f>IF(ISNA(MATCH(522,Engine!$C$2:$C$679,0)),"",INDEX('Compliance Database'!$C$2:$C$679,MATCH(522,Engine!$C$2:$C$679,0)))</f>
        <v/>
      </c>
      <c r="D535" s="8">
        <f>IF(ISNA(MATCH(522,Engine!$C$2:$C$679,0)),"",INDEX('Compliance Database'!$D$2:$D$679,MATCH(522,Engine!$C$2:$C$679,0)))</f>
        <v/>
      </c>
      <c r="E535">
        <f>IF(ISNA(MATCH(522,Engine!$C$2:$C$679,0)),"",INDEX('Compliance Database'!$E$2:$E$679,MATCH(522,Engine!$C$2:$C$679,0)))</f>
        <v/>
      </c>
      <c r="F535">
        <f>IF(ISNA(MATCH(522,Engine!$C$2:$C$679,0)),"",INDEX('Compliance Database'!$F$2:$F$679,MATCH(522,Engine!$C$2:$C$679,0)))</f>
        <v/>
      </c>
      <c r="G535">
        <f>IF(ISNA(MATCH(522,Engine!$C$2:$C$679,0)),"",INDEX('Compliance Database'!$G$2:$G$679,MATCH(522,Engine!$C$2:$C$679,0)))</f>
        <v/>
      </c>
      <c r="H535">
        <f>IF(ISNA(MATCH(522,Engine!$C$2:$C$679,0)),"",INDEX('Compliance Database'!$H$2:$H$679,MATCH(522,Engine!$C$2:$C$679,0)))</f>
        <v/>
      </c>
      <c r="I535" s="8">
        <f>IF(ISNA(MATCH(522,Engine!$C$2:$C$679,0)),"",INDEX('Compliance Database'!$I$2:$I$679,MATCH(522,Engine!$C$2:$C$679,0)))</f>
        <v/>
      </c>
      <c r="J535" s="8">
        <f>IF(ISNA(MATCH(522,Engine!$C$2:$C$679,0)),"",INDEX('Compliance Database'!$J$2:$J$679,MATCH(522,Engine!$C$2:$C$679,0)))</f>
        <v/>
      </c>
      <c r="K535">
        <f>IF(ISNA(MATCH(522,Engine!$C$2:$C$679,0)),"",INDEX('Compliance Database'!$K$2:$K$679,MATCH(522,Engine!$C$2:$C$679,0)))</f>
        <v/>
      </c>
      <c r="L535" s="8">
        <f>IF(ISNA(MATCH(522,Engine!$C$2:$C$679,0)),"",INDEX('Compliance Database'!$L$2:$L$679,MATCH(522,Engine!$C$2:$C$679,0)))</f>
        <v/>
      </c>
      <c r="M535" s="8">
        <f>IF(ISNA(MATCH(522,Engine!$C$2:$C$679,0)),"",INDEX('Compliance Database'!$M$2:$M$679,MATCH(522,Engine!$C$2:$C$679,0)))</f>
        <v/>
      </c>
      <c r="N535" s="8">
        <f>IF(ISNA(MATCH(522,Engine!$C$2:$C$679,0)),"",INDEX('Compliance Database'!$N$2:$N$679,MATCH(522,Engine!$C$2:$C$679,0)))</f>
        <v/>
      </c>
      <c r="O535" s="8">
        <f>IF(ISNA(MATCH(522,Engine!$C$2:$C$679,0)),"",INDEX('Compliance Database'!$O$2:$O$679,MATCH(522,Engine!$C$2:$C$679,0)))</f>
        <v/>
      </c>
      <c r="P535">
        <f>IF(ISNA(MATCH(522,Engine!$C$2:$C$679,0)),"",HYPERLINK(INDEX('Compliance Database'!$P$2:$P$679,MATCH(522,Engine!$C$2:$C$679,0)),"Open PDF"))</f>
        <v/>
      </c>
    </row>
    <row r="536">
      <c r="A536">
        <f>IF(ISNA(MATCH(523,Engine!$C$2:$C$679,0)),"",INDEX('Compliance Database'!$A$2:$A$679,MATCH(523,Engine!$C$2:$C$679,0)))</f>
        <v/>
      </c>
      <c r="B536">
        <f>IF(ISNA(MATCH(523,Engine!$C$2:$C$679,0)),"",INDEX('Compliance Database'!$B$2:$B$679,MATCH(523,Engine!$C$2:$C$679,0)))</f>
        <v/>
      </c>
      <c r="C536">
        <f>IF(ISNA(MATCH(523,Engine!$C$2:$C$679,0)),"",INDEX('Compliance Database'!$C$2:$C$679,MATCH(523,Engine!$C$2:$C$679,0)))</f>
        <v/>
      </c>
      <c r="D536" s="8">
        <f>IF(ISNA(MATCH(523,Engine!$C$2:$C$679,0)),"",INDEX('Compliance Database'!$D$2:$D$679,MATCH(523,Engine!$C$2:$C$679,0)))</f>
        <v/>
      </c>
      <c r="E536">
        <f>IF(ISNA(MATCH(523,Engine!$C$2:$C$679,0)),"",INDEX('Compliance Database'!$E$2:$E$679,MATCH(523,Engine!$C$2:$C$679,0)))</f>
        <v/>
      </c>
      <c r="F536">
        <f>IF(ISNA(MATCH(523,Engine!$C$2:$C$679,0)),"",INDEX('Compliance Database'!$F$2:$F$679,MATCH(523,Engine!$C$2:$C$679,0)))</f>
        <v/>
      </c>
      <c r="G536">
        <f>IF(ISNA(MATCH(523,Engine!$C$2:$C$679,0)),"",INDEX('Compliance Database'!$G$2:$G$679,MATCH(523,Engine!$C$2:$C$679,0)))</f>
        <v/>
      </c>
      <c r="H536">
        <f>IF(ISNA(MATCH(523,Engine!$C$2:$C$679,0)),"",INDEX('Compliance Database'!$H$2:$H$679,MATCH(523,Engine!$C$2:$C$679,0)))</f>
        <v/>
      </c>
      <c r="I536" s="8">
        <f>IF(ISNA(MATCH(523,Engine!$C$2:$C$679,0)),"",INDEX('Compliance Database'!$I$2:$I$679,MATCH(523,Engine!$C$2:$C$679,0)))</f>
        <v/>
      </c>
      <c r="J536" s="8">
        <f>IF(ISNA(MATCH(523,Engine!$C$2:$C$679,0)),"",INDEX('Compliance Database'!$J$2:$J$679,MATCH(523,Engine!$C$2:$C$679,0)))</f>
        <v/>
      </c>
      <c r="K536">
        <f>IF(ISNA(MATCH(523,Engine!$C$2:$C$679,0)),"",INDEX('Compliance Database'!$K$2:$K$679,MATCH(523,Engine!$C$2:$C$679,0)))</f>
        <v/>
      </c>
      <c r="L536" s="8">
        <f>IF(ISNA(MATCH(523,Engine!$C$2:$C$679,0)),"",INDEX('Compliance Database'!$L$2:$L$679,MATCH(523,Engine!$C$2:$C$679,0)))</f>
        <v/>
      </c>
      <c r="M536" s="8">
        <f>IF(ISNA(MATCH(523,Engine!$C$2:$C$679,0)),"",INDEX('Compliance Database'!$M$2:$M$679,MATCH(523,Engine!$C$2:$C$679,0)))</f>
        <v/>
      </c>
      <c r="N536" s="8">
        <f>IF(ISNA(MATCH(523,Engine!$C$2:$C$679,0)),"",INDEX('Compliance Database'!$N$2:$N$679,MATCH(523,Engine!$C$2:$C$679,0)))</f>
        <v/>
      </c>
      <c r="O536" s="8">
        <f>IF(ISNA(MATCH(523,Engine!$C$2:$C$679,0)),"",INDEX('Compliance Database'!$O$2:$O$679,MATCH(523,Engine!$C$2:$C$679,0)))</f>
        <v/>
      </c>
      <c r="P536">
        <f>IF(ISNA(MATCH(523,Engine!$C$2:$C$679,0)),"",HYPERLINK(INDEX('Compliance Database'!$P$2:$P$679,MATCH(523,Engine!$C$2:$C$679,0)),"Open PDF"))</f>
        <v/>
      </c>
    </row>
    <row r="537">
      <c r="A537">
        <f>IF(ISNA(MATCH(524,Engine!$C$2:$C$679,0)),"",INDEX('Compliance Database'!$A$2:$A$679,MATCH(524,Engine!$C$2:$C$679,0)))</f>
        <v/>
      </c>
      <c r="B537">
        <f>IF(ISNA(MATCH(524,Engine!$C$2:$C$679,0)),"",INDEX('Compliance Database'!$B$2:$B$679,MATCH(524,Engine!$C$2:$C$679,0)))</f>
        <v/>
      </c>
      <c r="C537">
        <f>IF(ISNA(MATCH(524,Engine!$C$2:$C$679,0)),"",INDEX('Compliance Database'!$C$2:$C$679,MATCH(524,Engine!$C$2:$C$679,0)))</f>
        <v/>
      </c>
      <c r="D537" s="8">
        <f>IF(ISNA(MATCH(524,Engine!$C$2:$C$679,0)),"",INDEX('Compliance Database'!$D$2:$D$679,MATCH(524,Engine!$C$2:$C$679,0)))</f>
        <v/>
      </c>
      <c r="E537">
        <f>IF(ISNA(MATCH(524,Engine!$C$2:$C$679,0)),"",INDEX('Compliance Database'!$E$2:$E$679,MATCH(524,Engine!$C$2:$C$679,0)))</f>
        <v/>
      </c>
      <c r="F537">
        <f>IF(ISNA(MATCH(524,Engine!$C$2:$C$679,0)),"",INDEX('Compliance Database'!$F$2:$F$679,MATCH(524,Engine!$C$2:$C$679,0)))</f>
        <v/>
      </c>
      <c r="G537">
        <f>IF(ISNA(MATCH(524,Engine!$C$2:$C$679,0)),"",INDEX('Compliance Database'!$G$2:$G$679,MATCH(524,Engine!$C$2:$C$679,0)))</f>
        <v/>
      </c>
      <c r="H537">
        <f>IF(ISNA(MATCH(524,Engine!$C$2:$C$679,0)),"",INDEX('Compliance Database'!$H$2:$H$679,MATCH(524,Engine!$C$2:$C$679,0)))</f>
        <v/>
      </c>
      <c r="I537" s="8">
        <f>IF(ISNA(MATCH(524,Engine!$C$2:$C$679,0)),"",INDEX('Compliance Database'!$I$2:$I$679,MATCH(524,Engine!$C$2:$C$679,0)))</f>
        <v/>
      </c>
      <c r="J537" s="8">
        <f>IF(ISNA(MATCH(524,Engine!$C$2:$C$679,0)),"",INDEX('Compliance Database'!$J$2:$J$679,MATCH(524,Engine!$C$2:$C$679,0)))</f>
        <v/>
      </c>
      <c r="K537">
        <f>IF(ISNA(MATCH(524,Engine!$C$2:$C$679,0)),"",INDEX('Compliance Database'!$K$2:$K$679,MATCH(524,Engine!$C$2:$C$679,0)))</f>
        <v/>
      </c>
      <c r="L537" s="8">
        <f>IF(ISNA(MATCH(524,Engine!$C$2:$C$679,0)),"",INDEX('Compliance Database'!$L$2:$L$679,MATCH(524,Engine!$C$2:$C$679,0)))</f>
        <v/>
      </c>
      <c r="M537" s="8">
        <f>IF(ISNA(MATCH(524,Engine!$C$2:$C$679,0)),"",INDEX('Compliance Database'!$M$2:$M$679,MATCH(524,Engine!$C$2:$C$679,0)))</f>
        <v/>
      </c>
      <c r="N537" s="8">
        <f>IF(ISNA(MATCH(524,Engine!$C$2:$C$679,0)),"",INDEX('Compliance Database'!$N$2:$N$679,MATCH(524,Engine!$C$2:$C$679,0)))</f>
        <v/>
      </c>
      <c r="O537" s="8">
        <f>IF(ISNA(MATCH(524,Engine!$C$2:$C$679,0)),"",INDEX('Compliance Database'!$O$2:$O$679,MATCH(524,Engine!$C$2:$C$679,0)))</f>
        <v/>
      </c>
      <c r="P537">
        <f>IF(ISNA(MATCH(524,Engine!$C$2:$C$679,0)),"",HYPERLINK(INDEX('Compliance Database'!$P$2:$P$679,MATCH(524,Engine!$C$2:$C$679,0)),"Open PDF"))</f>
        <v/>
      </c>
    </row>
    <row r="538">
      <c r="A538">
        <f>IF(ISNA(MATCH(525,Engine!$C$2:$C$679,0)),"",INDEX('Compliance Database'!$A$2:$A$679,MATCH(525,Engine!$C$2:$C$679,0)))</f>
        <v/>
      </c>
      <c r="B538">
        <f>IF(ISNA(MATCH(525,Engine!$C$2:$C$679,0)),"",INDEX('Compliance Database'!$B$2:$B$679,MATCH(525,Engine!$C$2:$C$679,0)))</f>
        <v/>
      </c>
      <c r="C538">
        <f>IF(ISNA(MATCH(525,Engine!$C$2:$C$679,0)),"",INDEX('Compliance Database'!$C$2:$C$679,MATCH(525,Engine!$C$2:$C$679,0)))</f>
        <v/>
      </c>
      <c r="D538" s="8">
        <f>IF(ISNA(MATCH(525,Engine!$C$2:$C$679,0)),"",INDEX('Compliance Database'!$D$2:$D$679,MATCH(525,Engine!$C$2:$C$679,0)))</f>
        <v/>
      </c>
      <c r="E538">
        <f>IF(ISNA(MATCH(525,Engine!$C$2:$C$679,0)),"",INDEX('Compliance Database'!$E$2:$E$679,MATCH(525,Engine!$C$2:$C$679,0)))</f>
        <v/>
      </c>
      <c r="F538">
        <f>IF(ISNA(MATCH(525,Engine!$C$2:$C$679,0)),"",INDEX('Compliance Database'!$F$2:$F$679,MATCH(525,Engine!$C$2:$C$679,0)))</f>
        <v/>
      </c>
      <c r="G538">
        <f>IF(ISNA(MATCH(525,Engine!$C$2:$C$679,0)),"",INDEX('Compliance Database'!$G$2:$G$679,MATCH(525,Engine!$C$2:$C$679,0)))</f>
        <v/>
      </c>
      <c r="H538">
        <f>IF(ISNA(MATCH(525,Engine!$C$2:$C$679,0)),"",INDEX('Compliance Database'!$H$2:$H$679,MATCH(525,Engine!$C$2:$C$679,0)))</f>
        <v/>
      </c>
      <c r="I538" s="8">
        <f>IF(ISNA(MATCH(525,Engine!$C$2:$C$679,0)),"",INDEX('Compliance Database'!$I$2:$I$679,MATCH(525,Engine!$C$2:$C$679,0)))</f>
        <v/>
      </c>
      <c r="J538" s="8">
        <f>IF(ISNA(MATCH(525,Engine!$C$2:$C$679,0)),"",INDEX('Compliance Database'!$J$2:$J$679,MATCH(525,Engine!$C$2:$C$679,0)))</f>
        <v/>
      </c>
      <c r="K538">
        <f>IF(ISNA(MATCH(525,Engine!$C$2:$C$679,0)),"",INDEX('Compliance Database'!$K$2:$K$679,MATCH(525,Engine!$C$2:$C$679,0)))</f>
        <v/>
      </c>
      <c r="L538" s="8">
        <f>IF(ISNA(MATCH(525,Engine!$C$2:$C$679,0)),"",INDEX('Compliance Database'!$L$2:$L$679,MATCH(525,Engine!$C$2:$C$679,0)))</f>
        <v/>
      </c>
      <c r="M538" s="8">
        <f>IF(ISNA(MATCH(525,Engine!$C$2:$C$679,0)),"",INDEX('Compliance Database'!$M$2:$M$679,MATCH(525,Engine!$C$2:$C$679,0)))</f>
        <v/>
      </c>
      <c r="N538" s="8">
        <f>IF(ISNA(MATCH(525,Engine!$C$2:$C$679,0)),"",INDEX('Compliance Database'!$N$2:$N$679,MATCH(525,Engine!$C$2:$C$679,0)))</f>
        <v/>
      </c>
      <c r="O538" s="8">
        <f>IF(ISNA(MATCH(525,Engine!$C$2:$C$679,0)),"",INDEX('Compliance Database'!$O$2:$O$679,MATCH(525,Engine!$C$2:$C$679,0)))</f>
        <v/>
      </c>
      <c r="P538">
        <f>IF(ISNA(MATCH(525,Engine!$C$2:$C$679,0)),"",HYPERLINK(INDEX('Compliance Database'!$P$2:$P$679,MATCH(525,Engine!$C$2:$C$679,0)),"Open PDF"))</f>
        <v/>
      </c>
    </row>
    <row r="539">
      <c r="A539">
        <f>IF(ISNA(MATCH(526,Engine!$C$2:$C$679,0)),"",INDEX('Compliance Database'!$A$2:$A$679,MATCH(526,Engine!$C$2:$C$679,0)))</f>
        <v/>
      </c>
      <c r="B539">
        <f>IF(ISNA(MATCH(526,Engine!$C$2:$C$679,0)),"",INDEX('Compliance Database'!$B$2:$B$679,MATCH(526,Engine!$C$2:$C$679,0)))</f>
        <v/>
      </c>
      <c r="C539">
        <f>IF(ISNA(MATCH(526,Engine!$C$2:$C$679,0)),"",INDEX('Compliance Database'!$C$2:$C$679,MATCH(526,Engine!$C$2:$C$679,0)))</f>
        <v/>
      </c>
      <c r="D539" s="8">
        <f>IF(ISNA(MATCH(526,Engine!$C$2:$C$679,0)),"",INDEX('Compliance Database'!$D$2:$D$679,MATCH(526,Engine!$C$2:$C$679,0)))</f>
        <v/>
      </c>
      <c r="E539">
        <f>IF(ISNA(MATCH(526,Engine!$C$2:$C$679,0)),"",INDEX('Compliance Database'!$E$2:$E$679,MATCH(526,Engine!$C$2:$C$679,0)))</f>
        <v/>
      </c>
      <c r="F539">
        <f>IF(ISNA(MATCH(526,Engine!$C$2:$C$679,0)),"",INDEX('Compliance Database'!$F$2:$F$679,MATCH(526,Engine!$C$2:$C$679,0)))</f>
        <v/>
      </c>
      <c r="G539">
        <f>IF(ISNA(MATCH(526,Engine!$C$2:$C$679,0)),"",INDEX('Compliance Database'!$G$2:$G$679,MATCH(526,Engine!$C$2:$C$679,0)))</f>
        <v/>
      </c>
      <c r="H539">
        <f>IF(ISNA(MATCH(526,Engine!$C$2:$C$679,0)),"",INDEX('Compliance Database'!$H$2:$H$679,MATCH(526,Engine!$C$2:$C$679,0)))</f>
        <v/>
      </c>
      <c r="I539" s="8">
        <f>IF(ISNA(MATCH(526,Engine!$C$2:$C$679,0)),"",INDEX('Compliance Database'!$I$2:$I$679,MATCH(526,Engine!$C$2:$C$679,0)))</f>
        <v/>
      </c>
      <c r="J539" s="8">
        <f>IF(ISNA(MATCH(526,Engine!$C$2:$C$679,0)),"",INDEX('Compliance Database'!$J$2:$J$679,MATCH(526,Engine!$C$2:$C$679,0)))</f>
        <v/>
      </c>
      <c r="K539">
        <f>IF(ISNA(MATCH(526,Engine!$C$2:$C$679,0)),"",INDEX('Compliance Database'!$K$2:$K$679,MATCH(526,Engine!$C$2:$C$679,0)))</f>
        <v/>
      </c>
      <c r="L539" s="8">
        <f>IF(ISNA(MATCH(526,Engine!$C$2:$C$679,0)),"",INDEX('Compliance Database'!$L$2:$L$679,MATCH(526,Engine!$C$2:$C$679,0)))</f>
        <v/>
      </c>
      <c r="M539" s="8">
        <f>IF(ISNA(MATCH(526,Engine!$C$2:$C$679,0)),"",INDEX('Compliance Database'!$M$2:$M$679,MATCH(526,Engine!$C$2:$C$679,0)))</f>
        <v/>
      </c>
      <c r="N539" s="8">
        <f>IF(ISNA(MATCH(526,Engine!$C$2:$C$679,0)),"",INDEX('Compliance Database'!$N$2:$N$679,MATCH(526,Engine!$C$2:$C$679,0)))</f>
        <v/>
      </c>
      <c r="O539" s="8">
        <f>IF(ISNA(MATCH(526,Engine!$C$2:$C$679,0)),"",INDEX('Compliance Database'!$O$2:$O$679,MATCH(526,Engine!$C$2:$C$679,0)))</f>
        <v/>
      </c>
      <c r="P539">
        <f>IF(ISNA(MATCH(526,Engine!$C$2:$C$679,0)),"",HYPERLINK(INDEX('Compliance Database'!$P$2:$P$679,MATCH(526,Engine!$C$2:$C$679,0)),"Open PDF"))</f>
        <v/>
      </c>
    </row>
    <row r="540">
      <c r="A540">
        <f>IF(ISNA(MATCH(527,Engine!$C$2:$C$679,0)),"",INDEX('Compliance Database'!$A$2:$A$679,MATCH(527,Engine!$C$2:$C$679,0)))</f>
        <v/>
      </c>
      <c r="B540">
        <f>IF(ISNA(MATCH(527,Engine!$C$2:$C$679,0)),"",INDEX('Compliance Database'!$B$2:$B$679,MATCH(527,Engine!$C$2:$C$679,0)))</f>
        <v/>
      </c>
      <c r="C540">
        <f>IF(ISNA(MATCH(527,Engine!$C$2:$C$679,0)),"",INDEX('Compliance Database'!$C$2:$C$679,MATCH(527,Engine!$C$2:$C$679,0)))</f>
        <v/>
      </c>
      <c r="D540" s="8">
        <f>IF(ISNA(MATCH(527,Engine!$C$2:$C$679,0)),"",INDEX('Compliance Database'!$D$2:$D$679,MATCH(527,Engine!$C$2:$C$679,0)))</f>
        <v/>
      </c>
      <c r="E540">
        <f>IF(ISNA(MATCH(527,Engine!$C$2:$C$679,0)),"",INDEX('Compliance Database'!$E$2:$E$679,MATCH(527,Engine!$C$2:$C$679,0)))</f>
        <v/>
      </c>
      <c r="F540">
        <f>IF(ISNA(MATCH(527,Engine!$C$2:$C$679,0)),"",INDEX('Compliance Database'!$F$2:$F$679,MATCH(527,Engine!$C$2:$C$679,0)))</f>
        <v/>
      </c>
      <c r="G540">
        <f>IF(ISNA(MATCH(527,Engine!$C$2:$C$679,0)),"",INDEX('Compliance Database'!$G$2:$G$679,MATCH(527,Engine!$C$2:$C$679,0)))</f>
        <v/>
      </c>
      <c r="H540">
        <f>IF(ISNA(MATCH(527,Engine!$C$2:$C$679,0)),"",INDEX('Compliance Database'!$H$2:$H$679,MATCH(527,Engine!$C$2:$C$679,0)))</f>
        <v/>
      </c>
      <c r="I540" s="8">
        <f>IF(ISNA(MATCH(527,Engine!$C$2:$C$679,0)),"",INDEX('Compliance Database'!$I$2:$I$679,MATCH(527,Engine!$C$2:$C$679,0)))</f>
        <v/>
      </c>
      <c r="J540" s="8">
        <f>IF(ISNA(MATCH(527,Engine!$C$2:$C$679,0)),"",INDEX('Compliance Database'!$J$2:$J$679,MATCH(527,Engine!$C$2:$C$679,0)))</f>
        <v/>
      </c>
      <c r="K540">
        <f>IF(ISNA(MATCH(527,Engine!$C$2:$C$679,0)),"",INDEX('Compliance Database'!$K$2:$K$679,MATCH(527,Engine!$C$2:$C$679,0)))</f>
        <v/>
      </c>
      <c r="L540" s="8">
        <f>IF(ISNA(MATCH(527,Engine!$C$2:$C$679,0)),"",INDEX('Compliance Database'!$L$2:$L$679,MATCH(527,Engine!$C$2:$C$679,0)))</f>
        <v/>
      </c>
      <c r="M540" s="8">
        <f>IF(ISNA(MATCH(527,Engine!$C$2:$C$679,0)),"",INDEX('Compliance Database'!$M$2:$M$679,MATCH(527,Engine!$C$2:$C$679,0)))</f>
        <v/>
      </c>
      <c r="N540" s="8">
        <f>IF(ISNA(MATCH(527,Engine!$C$2:$C$679,0)),"",INDEX('Compliance Database'!$N$2:$N$679,MATCH(527,Engine!$C$2:$C$679,0)))</f>
        <v/>
      </c>
      <c r="O540" s="8">
        <f>IF(ISNA(MATCH(527,Engine!$C$2:$C$679,0)),"",INDEX('Compliance Database'!$O$2:$O$679,MATCH(527,Engine!$C$2:$C$679,0)))</f>
        <v/>
      </c>
      <c r="P540">
        <f>IF(ISNA(MATCH(527,Engine!$C$2:$C$679,0)),"",HYPERLINK(INDEX('Compliance Database'!$P$2:$P$679,MATCH(527,Engine!$C$2:$C$679,0)),"Open PDF"))</f>
        <v/>
      </c>
    </row>
    <row r="541">
      <c r="A541">
        <f>IF(ISNA(MATCH(528,Engine!$C$2:$C$679,0)),"",INDEX('Compliance Database'!$A$2:$A$679,MATCH(528,Engine!$C$2:$C$679,0)))</f>
        <v/>
      </c>
      <c r="B541">
        <f>IF(ISNA(MATCH(528,Engine!$C$2:$C$679,0)),"",INDEX('Compliance Database'!$B$2:$B$679,MATCH(528,Engine!$C$2:$C$679,0)))</f>
        <v/>
      </c>
      <c r="C541">
        <f>IF(ISNA(MATCH(528,Engine!$C$2:$C$679,0)),"",INDEX('Compliance Database'!$C$2:$C$679,MATCH(528,Engine!$C$2:$C$679,0)))</f>
        <v/>
      </c>
      <c r="D541" s="8">
        <f>IF(ISNA(MATCH(528,Engine!$C$2:$C$679,0)),"",INDEX('Compliance Database'!$D$2:$D$679,MATCH(528,Engine!$C$2:$C$679,0)))</f>
        <v/>
      </c>
      <c r="E541">
        <f>IF(ISNA(MATCH(528,Engine!$C$2:$C$679,0)),"",INDEX('Compliance Database'!$E$2:$E$679,MATCH(528,Engine!$C$2:$C$679,0)))</f>
        <v/>
      </c>
      <c r="F541">
        <f>IF(ISNA(MATCH(528,Engine!$C$2:$C$679,0)),"",INDEX('Compliance Database'!$F$2:$F$679,MATCH(528,Engine!$C$2:$C$679,0)))</f>
        <v/>
      </c>
      <c r="G541">
        <f>IF(ISNA(MATCH(528,Engine!$C$2:$C$679,0)),"",INDEX('Compliance Database'!$G$2:$G$679,MATCH(528,Engine!$C$2:$C$679,0)))</f>
        <v/>
      </c>
      <c r="H541">
        <f>IF(ISNA(MATCH(528,Engine!$C$2:$C$679,0)),"",INDEX('Compliance Database'!$H$2:$H$679,MATCH(528,Engine!$C$2:$C$679,0)))</f>
        <v/>
      </c>
      <c r="I541" s="8">
        <f>IF(ISNA(MATCH(528,Engine!$C$2:$C$679,0)),"",INDEX('Compliance Database'!$I$2:$I$679,MATCH(528,Engine!$C$2:$C$679,0)))</f>
        <v/>
      </c>
      <c r="J541" s="8">
        <f>IF(ISNA(MATCH(528,Engine!$C$2:$C$679,0)),"",INDEX('Compliance Database'!$J$2:$J$679,MATCH(528,Engine!$C$2:$C$679,0)))</f>
        <v/>
      </c>
      <c r="K541">
        <f>IF(ISNA(MATCH(528,Engine!$C$2:$C$679,0)),"",INDEX('Compliance Database'!$K$2:$K$679,MATCH(528,Engine!$C$2:$C$679,0)))</f>
        <v/>
      </c>
      <c r="L541" s="8">
        <f>IF(ISNA(MATCH(528,Engine!$C$2:$C$679,0)),"",INDEX('Compliance Database'!$L$2:$L$679,MATCH(528,Engine!$C$2:$C$679,0)))</f>
        <v/>
      </c>
      <c r="M541" s="8">
        <f>IF(ISNA(MATCH(528,Engine!$C$2:$C$679,0)),"",INDEX('Compliance Database'!$M$2:$M$679,MATCH(528,Engine!$C$2:$C$679,0)))</f>
        <v/>
      </c>
      <c r="N541" s="8">
        <f>IF(ISNA(MATCH(528,Engine!$C$2:$C$679,0)),"",INDEX('Compliance Database'!$N$2:$N$679,MATCH(528,Engine!$C$2:$C$679,0)))</f>
        <v/>
      </c>
      <c r="O541" s="8">
        <f>IF(ISNA(MATCH(528,Engine!$C$2:$C$679,0)),"",INDEX('Compliance Database'!$O$2:$O$679,MATCH(528,Engine!$C$2:$C$679,0)))</f>
        <v/>
      </c>
      <c r="P541">
        <f>IF(ISNA(MATCH(528,Engine!$C$2:$C$679,0)),"",HYPERLINK(INDEX('Compliance Database'!$P$2:$P$679,MATCH(528,Engine!$C$2:$C$679,0)),"Open PDF"))</f>
        <v/>
      </c>
    </row>
    <row r="542">
      <c r="A542">
        <f>IF(ISNA(MATCH(529,Engine!$C$2:$C$679,0)),"",INDEX('Compliance Database'!$A$2:$A$679,MATCH(529,Engine!$C$2:$C$679,0)))</f>
        <v/>
      </c>
      <c r="B542">
        <f>IF(ISNA(MATCH(529,Engine!$C$2:$C$679,0)),"",INDEX('Compliance Database'!$B$2:$B$679,MATCH(529,Engine!$C$2:$C$679,0)))</f>
        <v/>
      </c>
      <c r="C542">
        <f>IF(ISNA(MATCH(529,Engine!$C$2:$C$679,0)),"",INDEX('Compliance Database'!$C$2:$C$679,MATCH(529,Engine!$C$2:$C$679,0)))</f>
        <v/>
      </c>
      <c r="D542" s="8">
        <f>IF(ISNA(MATCH(529,Engine!$C$2:$C$679,0)),"",INDEX('Compliance Database'!$D$2:$D$679,MATCH(529,Engine!$C$2:$C$679,0)))</f>
        <v/>
      </c>
      <c r="E542">
        <f>IF(ISNA(MATCH(529,Engine!$C$2:$C$679,0)),"",INDEX('Compliance Database'!$E$2:$E$679,MATCH(529,Engine!$C$2:$C$679,0)))</f>
        <v/>
      </c>
      <c r="F542">
        <f>IF(ISNA(MATCH(529,Engine!$C$2:$C$679,0)),"",INDEX('Compliance Database'!$F$2:$F$679,MATCH(529,Engine!$C$2:$C$679,0)))</f>
        <v/>
      </c>
      <c r="G542">
        <f>IF(ISNA(MATCH(529,Engine!$C$2:$C$679,0)),"",INDEX('Compliance Database'!$G$2:$G$679,MATCH(529,Engine!$C$2:$C$679,0)))</f>
        <v/>
      </c>
      <c r="H542">
        <f>IF(ISNA(MATCH(529,Engine!$C$2:$C$679,0)),"",INDEX('Compliance Database'!$H$2:$H$679,MATCH(529,Engine!$C$2:$C$679,0)))</f>
        <v/>
      </c>
      <c r="I542" s="8">
        <f>IF(ISNA(MATCH(529,Engine!$C$2:$C$679,0)),"",INDEX('Compliance Database'!$I$2:$I$679,MATCH(529,Engine!$C$2:$C$679,0)))</f>
        <v/>
      </c>
      <c r="J542" s="8">
        <f>IF(ISNA(MATCH(529,Engine!$C$2:$C$679,0)),"",INDEX('Compliance Database'!$J$2:$J$679,MATCH(529,Engine!$C$2:$C$679,0)))</f>
        <v/>
      </c>
      <c r="K542">
        <f>IF(ISNA(MATCH(529,Engine!$C$2:$C$679,0)),"",INDEX('Compliance Database'!$K$2:$K$679,MATCH(529,Engine!$C$2:$C$679,0)))</f>
        <v/>
      </c>
      <c r="L542" s="8">
        <f>IF(ISNA(MATCH(529,Engine!$C$2:$C$679,0)),"",INDEX('Compliance Database'!$L$2:$L$679,MATCH(529,Engine!$C$2:$C$679,0)))</f>
        <v/>
      </c>
      <c r="M542" s="8">
        <f>IF(ISNA(MATCH(529,Engine!$C$2:$C$679,0)),"",INDEX('Compliance Database'!$M$2:$M$679,MATCH(529,Engine!$C$2:$C$679,0)))</f>
        <v/>
      </c>
      <c r="N542" s="8">
        <f>IF(ISNA(MATCH(529,Engine!$C$2:$C$679,0)),"",INDEX('Compliance Database'!$N$2:$N$679,MATCH(529,Engine!$C$2:$C$679,0)))</f>
        <v/>
      </c>
      <c r="O542" s="8">
        <f>IF(ISNA(MATCH(529,Engine!$C$2:$C$679,0)),"",INDEX('Compliance Database'!$O$2:$O$679,MATCH(529,Engine!$C$2:$C$679,0)))</f>
        <v/>
      </c>
      <c r="P542">
        <f>IF(ISNA(MATCH(529,Engine!$C$2:$C$679,0)),"",HYPERLINK(INDEX('Compliance Database'!$P$2:$P$679,MATCH(529,Engine!$C$2:$C$679,0)),"Open PDF"))</f>
        <v/>
      </c>
    </row>
    <row r="543">
      <c r="A543">
        <f>IF(ISNA(MATCH(530,Engine!$C$2:$C$679,0)),"",INDEX('Compliance Database'!$A$2:$A$679,MATCH(530,Engine!$C$2:$C$679,0)))</f>
        <v/>
      </c>
      <c r="B543">
        <f>IF(ISNA(MATCH(530,Engine!$C$2:$C$679,0)),"",INDEX('Compliance Database'!$B$2:$B$679,MATCH(530,Engine!$C$2:$C$679,0)))</f>
        <v/>
      </c>
      <c r="C543">
        <f>IF(ISNA(MATCH(530,Engine!$C$2:$C$679,0)),"",INDEX('Compliance Database'!$C$2:$C$679,MATCH(530,Engine!$C$2:$C$679,0)))</f>
        <v/>
      </c>
      <c r="D543" s="8">
        <f>IF(ISNA(MATCH(530,Engine!$C$2:$C$679,0)),"",INDEX('Compliance Database'!$D$2:$D$679,MATCH(530,Engine!$C$2:$C$679,0)))</f>
        <v/>
      </c>
      <c r="E543">
        <f>IF(ISNA(MATCH(530,Engine!$C$2:$C$679,0)),"",INDEX('Compliance Database'!$E$2:$E$679,MATCH(530,Engine!$C$2:$C$679,0)))</f>
        <v/>
      </c>
      <c r="F543">
        <f>IF(ISNA(MATCH(530,Engine!$C$2:$C$679,0)),"",INDEX('Compliance Database'!$F$2:$F$679,MATCH(530,Engine!$C$2:$C$679,0)))</f>
        <v/>
      </c>
      <c r="G543">
        <f>IF(ISNA(MATCH(530,Engine!$C$2:$C$679,0)),"",INDEX('Compliance Database'!$G$2:$G$679,MATCH(530,Engine!$C$2:$C$679,0)))</f>
        <v/>
      </c>
      <c r="H543">
        <f>IF(ISNA(MATCH(530,Engine!$C$2:$C$679,0)),"",INDEX('Compliance Database'!$H$2:$H$679,MATCH(530,Engine!$C$2:$C$679,0)))</f>
        <v/>
      </c>
      <c r="I543" s="8">
        <f>IF(ISNA(MATCH(530,Engine!$C$2:$C$679,0)),"",INDEX('Compliance Database'!$I$2:$I$679,MATCH(530,Engine!$C$2:$C$679,0)))</f>
        <v/>
      </c>
      <c r="J543" s="8">
        <f>IF(ISNA(MATCH(530,Engine!$C$2:$C$679,0)),"",INDEX('Compliance Database'!$J$2:$J$679,MATCH(530,Engine!$C$2:$C$679,0)))</f>
        <v/>
      </c>
      <c r="K543">
        <f>IF(ISNA(MATCH(530,Engine!$C$2:$C$679,0)),"",INDEX('Compliance Database'!$K$2:$K$679,MATCH(530,Engine!$C$2:$C$679,0)))</f>
        <v/>
      </c>
      <c r="L543" s="8">
        <f>IF(ISNA(MATCH(530,Engine!$C$2:$C$679,0)),"",INDEX('Compliance Database'!$L$2:$L$679,MATCH(530,Engine!$C$2:$C$679,0)))</f>
        <v/>
      </c>
      <c r="M543" s="8">
        <f>IF(ISNA(MATCH(530,Engine!$C$2:$C$679,0)),"",INDEX('Compliance Database'!$M$2:$M$679,MATCH(530,Engine!$C$2:$C$679,0)))</f>
        <v/>
      </c>
      <c r="N543" s="8">
        <f>IF(ISNA(MATCH(530,Engine!$C$2:$C$679,0)),"",INDEX('Compliance Database'!$N$2:$N$679,MATCH(530,Engine!$C$2:$C$679,0)))</f>
        <v/>
      </c>
      <c r="O543" s="8">
        <f>IF(ISNA(MATCH(530,Engine!$C$2:$C$679,0)),"",INDEX('Compliance Database'!$O$2:$O$679,MATCH(530,Engine!$C$2:$C$679,0)))</f>
        <v/>
      </c>
      <c r="P543">
        <f>IF(ISNA(MATCH(530,Engine!$C$2:$C$679,0)),"",HYPERLINK(INDEX('Compliance Database'!$P$2:$P$679,MATCH(530,Engine!$C$2:$C$679,0)),"Open PDF"))</f>
        <v/>
      </c>
    </row>
    <row r="544">
      <c r="A544">
        <f>IF(ISNA(MATCH(531,Engine!$C$2:$C$679,0)),"",INDEX('Compliance Database'!$A$2:$A$679,MATCH(531,Engine!$C$2:$C$679,0)))</f>
        <v/>
      </c>
      <c r="B544">
        <f>IF(ISNA(MATCH(531,Engine!$C$2:$C$679,0)),"",INDEX('Compliance Database'!$B$2:$B$679,MATCH(531,Engine!$C$2:$C$679,0)))</f>
        <v/>
      </c>
      <c r="C544">
        <f>IF(ISNA(MATCH(531,Engine!$C$2:$C$679,0)),"",INDEX('Compliance Database'!$C$2:$C$679,MATCH(531,Engine!$C$2:$C$679,0)))</f>
        <v/>
      </c>
      <c r="D544" s="8">
        <f>IF(ISNA(MATCH(531,Engine!$C$2:$C$679,0)),"",INDEX('Compliance Database'!$D$2:$D$679,MATCH(531,Engine!$C$2:$C$679,0)))</f>
        <v/>
      </c>
      <c r="E544">
        <f>IF(ISNA(MATCH(531,Engine!$C$2:$C$679,0)),"",INDEX('Compliance Database'!$E$2:$E$679,MATCH(531,Engine!$C$2:$C$679,0)))</f>
        <v/>
      </c>
      <c r="F544">
        <f>IF(ISNA(MATCH(531,Engine!$C$2:$C$679,0)),"",INDEX('Compliance Database'!$F$2:$F$679,MATCH(531,Engine!$C$2:$C$679,0)))</f>
        <v/>
      </c>
      <c r="G544">
        <f>IF(ISNA(MATCH(531,Engine!$C$2:$C$679,0)),"",INDEX('Compliance Database'!$G$2:$G$679,MATCH(531,Engine!$C$2:$C$679,0)))</f>
        <v/>
      </c>
      <c r="H544">
        <f>IF(ISNA(MATCH(531,Engine!$C$2:$C$679,0)),"",INDEX('Compliance Database'!$H$2:$H$679,MATCH(531,Engine!$C$2:$C$679,0)))</f>
        <v/>
      </c>
      <c r="I544" s="8">
        <f>IF(ISNA(MATCH(531,Engine!$C$2:$C$679,0)),"",INDEX('Compliance Database'!$I$2:$I$679,MATCH(531,Engine!$C$2:$C$679,0)))</f>
        <v/>
      </c>
      <c r="J544" s="8">
        <f>IF(ISNA(MATCH(531,Engine!$C$2:$C$679,0)),"",INDEX('Compliance Database'!$J$2:$J$679,MATCH(531,Engine!$C$2:$C$679,0)))</f>
        <v/>
      </c>
      <c r="K544">
        <f>IF(ISNA(MATCH(531,Engine!$C$2:$C$679,0)),"",INDEX('Compliance Database'!$K$2:$K$679,MATCH(531,Engine!$C$2:$C$679,0)))</f>
        <v/>
      </c>
      <c r="L544" s="8">
        <f>IF(ISNA(MATCH(531,Engine!$C$2:$C$679,0)),"",INDEX('Compliance Database'!$L$2:$L$679,MATCH(531,Engine!$C$2:$C$679,0)))</f>
        <v/>
      </c>
      <c r="M544" s="8">
        <f>IF(ISNA(MATCH(531,Engine!$C$2:$C$679,0)),"",INDEX('Compliance Database'!$M$2:$M$679,MATCH(531,Engine!$C$2:$C$679,0)))</f>
        <v/>
      </c>
      <c r="N544" s="8">
        <f>IF(ISNA(MATCH(531,Engine!$C$2:$C$679,0)),"",INDEX('Compliance Database'!$N$2:$N$679,MATCH(531,Engine!$C$2:$C$679,0)))</f>
        <v/>
      </c>
      <c r="O544" s="8">
        <f>IF(ISNA(MATCH(531,Engine!$C$2:$C$679,0)),"",INDEX('Compliance Database'!$O$2:$O$679,MATCH(531,Engine!$C$2:$C$679,0)))</f>
        <v/>
      </c>
      <c r="P544">
        <f>IF(ISNA(MATCH(531,Engine!$C$2:$C$679,0)),"",HYPERLINK(INDEX('Compliance Database'!$P$2:$P$679,MATCH(531,Engine!$C$2:$C$679,0)),"Open PDF"))</f>
        <v/>
      </c>
    </row>
    <row r="545">
      <c r="A545">
        <f>IF(ISNA(MATCH(532,Engine!$C$2:$C$679,0)),"",INDEX('Compliance Database'!$A$2:$A$679,MATCH(532,Engine!$C$2:$C$679,0)))</f>
        <v/>
      </c>
      <c r="B545">
        <f>IF(ISNA(MATCH(532,Engine!$C$2:$C$679,0)),"",INDEX('Compliance Database'!$B$2:$B$679,MATCH(532,Engine!$C$2:$C$679,0)))</f>
        <v/>
      </c>
      <c r="C545">
        <f>IF(ISNA(MATCH(532,Engine!$C$2:$C$679,0)),"",INDEX('Compliance Database'!$C$2:$C$679,MATCH(532,Engine!$C$2:$C$679,0)))</f>
        <v/>
      </c>
      <c r="D545" s="8">
        <f>IF(ISNA(MATCH(532,Engine!$C$2:$C$679,0)),"",INDEX('Compliance Database'!$D$2:$D$679,MATCH(532,Engine!$C$2:$C$679,0)))</f>
        <v/>
      </c>
      <c r="E545">
        <f>IF(ISNA(MATCH(532,Engine!$C$2:$C$679,0)),"",INDEX('Compliance Database'!$E$2:$E$679,MATCH(532,Engine!$C$2:$C$679,0)))</f>
        <v/>
      </c>
      <c r="F545">
        <f>IF(ISNA(MATCH(532,Engine!$C$2:$C$679,0)),"",INDEX('Compliance Database'!$F$2:$F$679,MATCH(532,Engine!$C$2:$C$679,0)))</f>
        <v/>
      </c>
      <c r="G545">
        <f>IF(ISNA(MATCH(532,Engine!$C$2:$C$679,0)),"",INDEX('Compliance Database'!$G$2:$G$679,MATCH(532,Engine!$C$2:$C$679,0)))</f>
        <v/>
      </c>
      <c r="H545">
        <f>IF(ISNA(MATCH(532,Engine!$C$2:$C$679,0)),"",INDEX('Compliance Database'!$H$2:$H$679,MATCH(532,Engine!$C$2:$C$679,0)))</f>
        <v/>
      </c>
      <c r="I545" s="8">
        <f>IF(ISNA(MATCH(532,Engine!$C$2:$C$679,0)),"",INDEX('Compliance Database'!$I$2:$I$679,MATCH(532,Engine!$C$2:$C$679,0)))</f>
        <v/>
      </c>
      <c r="J545" s="8">
        <f>IF(ISNA(MATCH(532,Engine!$C$2:$C$679,0)),"",INDEX('Compliance Database'!$J$2:$J$679,MATCH(532,Engine!$C$2:$C$679,0)))</f>
        <v/>
      </c>
      <c r="K545">
        <f>IF(ISNA(MATCH(532,Engine!$C$2:$C$679,0)),"",INDEX('Compliance Database'!$K$2:$K$679,MATCH(532,Engine!$C$2:$C$679,0)))</f>
        <v/>
      </c>
      <c r="L545" s="8">
        <f>IF(ISNA(MATCH(532,Engine!$C$2:$C$679,0)),"",INDEX('Compliance Database'!$L$2:$L$679,MATCH(532,Engine!$C$2:$C$679,0)))</f>
        <v/>
      </c>
      <c r="M545" s="8">
        <f>IF(ISNA(MATCH(532,Engine!$C$2:$C$679,0)),"",INDEX('Compliance Database'!$M$2:$M$679,MATCH(532,Engine!$C$2:$C$679,0)))</f>
        <v/>
      </c>
      <c r="N545" s="8">
        <f>IF(ISNA(MATCH(532,Engine!$C$2:$C$679,0)),"",INDEX('Compliance Database'!$N$2:$N$679,MATCH(532,Engine!$C$2:$C$679,0)))</f>
        <v/>
      </c>
      <c r="O545" s="8">
        <f>IF(ISNA(MATCH(532,Engine!$C$2:$C$679,0)),"",INDEX('Compliance Database'!$O$2:$O$679,MATCH(532,Engine!$C$2:$C$679,0)))</f>
        <v/>
      </c>
      <c r="P545">
        <f>IF(ISNA(MATCH(532,Engine!$C$2:$C$679,0)),"",HYPERLINK(INDEX('Compliance Database'!$P$2:$P$679,MATCH(532,Engine!$C$2:$C$679,0)),"Open PDF"))</f>
        <v/>
      </c>
    </row>
    <row r="546">
      <c r="A546">
        <f>IF(ISNA(MATCH(533,Engine!$C$2:$C$679,0)),"",INDEX('Compliance Database'!$A$2:$A$679,MATCH(533,Engine!$C$2:$C$679,0)))</f>
        <v/>
      </c>
      <c r="B546">
        <f>IF(ISNA(MATCH(533,Engine!$C$2:$C$679,0)),"",INDEX('Compliance Database'!$B$2:$B$679,MATCH(533,Engine!$C$2:$C$679,0)))</f>
        <v/>
      </c>
      <c r="C546">
        <f>IF(ISNA(MATCH(533,Engine!$C$2:$C$679,0)),"",INDEX('Compliance Database'!$C$2:$C$679,MATCH(533,Engine!$C$2:$C$679,0)))</f>
        <v/>
      </c>
      <c r="D546" s="8">
        <f>IF(ISNA(MATCH(533,Engine!$C$2:$C$679,0)),"",INDEX('Compliance Database'!$D$2:$D$679,MATCH(533,Engine!$C$2:$C$679,0)))</f>
        <v/>
      </c>
      <c r="E546">
        <f>IF(ISNA(MATCH(533,Engine!$C$2:$C$679,0)),"",INDEX('Compliance Database'!$E$2:$E$679,MATCH(533,Engine!$C$2:$C$679,0)))</f>
        <v/>
      </c>
      <c r="F546">
        <f>IF(ISNA(MATCH(533,Engine!$C$2:$C$679,0)),"",INDEX('Compliance Database'!$F$2:$F$679,MATCH(533,Engine!$C$2:$C$679,0)))</f>
        <v/>
      </c>
      <c r="G546">
        <f>IF(ISNA(MATCH(533,Engine!$C$2:$C$679,0)),"",INDEX('Compliance Database'!$G$2:$G$679,MATCH(533,Engine!$C$2:$C$679,0)))</f>
        <v/>
      </c>
      <c r="H546">
        <f>IF(ISNA(MATCH(533,Engine!$C$2:$C$679,0)),"",INDEX('Compliance Database'!$H$2:$H$679,MATCH(533,Engine!$C$2:$C$679,0)))</f>
        <v/>
      </c>
      <c r="I546" s="8">
        <f>IF(ISNA(MATCH(533,Engine!$C$2:$C$679,0)),"",INDEX('Compliance Database'!$I$2:$I$679,MATCH(533,Engine!$C$2:$C$679,0)))</f>
        <v/>
      </c>
      <c r="J546" s="8">
        <f>IF(ISNA(MATCH(533,Engine!$C$2:$C$679,0)),"",INDEX('Compliance Database'!$J$2:$J$679,MATCH(533,Engine!$C$2:$C$679,0)))</f>
        <v/>
      </c>
      <c r="K546">
        <f>IF(ISNA(MATCH(533,Engine!$C$2:$C$679,0)),"",INDEX('Compliance Database'!$K$2:$K$679,MATCH(533,Engine!$C$2:$C$679,0)))</f>
        <v/>
      </c>
      <c r="L546" s="8">
        <f>IF(ISNA(MATCH(533,Engine!$C$2:$C$679,0)),"",INDEX('Compliance Database'!$L$2:$L$679,MATCH(533,Engine!$C$2:$C$679,0)))</f>
        <v/>
      </c>
      <c r="M546" s="8">
        <f>IF(ISNA(MATCH(533,Engine!$C$2:$C$679,0)),"",INDEX('Compliance Database'!$M$2:$M$679,MATCH(533,Engine!$C$2:$C$679,0)))</f>
        <v/>
      </c>
      <c r="N546" s="8">
        <f>IF(ISNA(MATCH(533,Engine!$C$2:$C$679,0)),"",INDEX('Compliance Database'!$N$2:$N$679,MATCH(533,Engine!$C$2:$C$679,0)))</f>
        <v/>
      </c>
      <c r="O546" s="8">
        <f>IF(ISNA(MATCH(533,Engine!$C$2:$C$679,0)),"",INDEX('Compliance Database'!$O$2:$O$679,MATCH(533,Engine!$C$2:$C$679,0)))</f>
        <v/>
      </c>
      <c r="P546">
        <f>IF(ISNA(MATCH(533,Engine!$C$2:$C$679,0)),"",HYPERLINK(INDEX('Compliance Database'!$P$2:$P$679,MATCH(533,Engine!$C$2:$C$679,0)),"Open PDF"))</f>
        <v/>
      </c>
    </row>
    <row r="547">
      <c r="A547">
        <f>IF(ISNA(MATCH(534,Engine!$C$2:$C$679,0)),"",INDEX('Compliance Database'!$A$2:$A$679,MATCH(534,Engine!$C$2:$C$679,0)))</f>
        <v/>
      </c>
      <c r="B547">
        <f>IF(ISNA(MATCH(534,Engine!$C$2:$C$679,0)),"",INDEX('Compliance Database'!$B$2:$B$679,MATCH(534,Engine!$C$2:$C$679,0)))</f>
        <v/>
      </c>
      <c r="C547">
        <f>IF(ISNA(MATCH(534,Engine!$C$2:$C$679,0)),"",INDEX('Compliance Database'!$C$2:$C$679,MATCH(534,Engine!$C$2:$C$679,0)))</f>
        <v/>
      </c>
      <c r="D547" s="8">
        <f>IF(ISNA(MATCH(534,Engine!$C$2:$C$679,0)),"",INDEX('Compliance Database'!$D$2:$D$679,MATCH(534,Engine!$C$2:$C$679,0)))</f>
        <v/>
      </c>
      <c r="E547">
        <f>IF(ISNA(MATCH(534,Engine!$C$2:$C$679,0)),"",INDEX('Compliance Database'!$E$2:$E$679,MATCH(534,Engine!$C$2:$C$679,0)))</f>
        <v/>
      </c>
      <c r="F547">
        <f>IF(ISNA(MATCH(534,Engine!$C$2:$C$679,0)),"",INDEX('Compliance Database'!$F$2:$F$679,MATCH(534,Engine!$C$2:$C$679,0)))</f>
        <v/>
      </c>
      <c r="G547">
        <f>IF(ISNA(MATCH(534,Engine!$C$2:$C$679,0)),"",INDEX('Compliance Database'!$G$2:$G$679,MATCH(534,Engine!$C$2:$C$679,0)))</f>
        <v/>
      </c>
      <c r="H547">
        <f>IF(ISNA(MATCH(534,Engine!$C$2:$C$679,0)),"",INDEX('Compliance Database'!$H$2:$H$679,MATCH(534,Engine!$C$2:$C$679,0)))</f>
        <v/>
      </c>
      <c r="I547" s="8">
        <f>IF(ISNA(MATCH(534,Engine!$C$2:$C$679,0)),"",INDEX('Compliance Database'!$I$2:$I$679,MATCH(534,Engine!$C$2:$C$679,0)))</f>
        <v/>
      </c>
      <c r="J547" s="8">
        <f>IF(ISNA(MATCH(534,Engine!$C$2:$C$679,0)),"",INDEX('Compliance Database'!$J$2:$J$679,MATCH(534,Engine!$C$2:$C$679,0)))</f>
        <v/>
      </c>
      <c r="K547">
        <f>IF(ISNA(MATCH(534,Engine!$C$2:$C$679,0)),"",INDEX('Compliance Database'!$K$2:$K$679,MATCH(534,Engine!$C$2:$C$679,0)))</f>
        <v/>
      </c>
      <c r="L547" s="8">
        <f>IF(ISNA(MATCH(534,Engine!$C$2:$C$679,0)),"",INDEX('Compliance Database'!$L$2:$L$679,MATCH(534,Engine!$C$2:$C$679,0)))</f>
        <v/>
      </c>
      <c r="M547" s="8">
        <f>IF(ISNA(MATCH(534,Engine!$C$2:$C$679,0)),"",INDEX('Compliance Database'!$M$2:$M$679,MATCH(534,Engine!$C$2:$C$679,0)))</f>
        <v/>
      </c>
      <c r="N547" s="8">
        <f>IF(ISNA(MATCH(534,Engine!$C$2:$C$679,0)),"",INDEX('Compliance Database'!$N$2:$N$679,MATCH(534,Engine!$C$2:$C$679,0)))</f>
        <v/>
      </c>
      <c r="O547" s="8">
        <f>IF(ISNA(MATCH(534,Engine!$C$2:$C$679,0)),"",INDEX('Compliance Database'!$O$2:$O$679,MATCH(534,Engine!$C$2:$C$679,0)))</f>
        <v/>
      </c>
      <c r="P547">
        <f>IF(ISNA(MATCH(534,Engine!$C$2:$C$679,0)),"",HYPERLINK(INDEX('Compliance Database'!$P$2:$P$679,MATCH(534,Engine!$C$2:$C$679,0)),"Open PDF"))</f>
        <v/>
      </c>
    </row>
    <row r="548">
      <c r="A548">
        <f>IF(ISNA(MATCH(535,Engine!$C$2:$C$679,0)),"",INDEX('Compliance Database'!$A$2:$A$679,MATCH(535,Engine!$C$2:$C$679,0)))</f>
        <v/>
      </c>
      <c r="B548">
        <f>IF(ISNA(MATCH(535,Engine!$C$2:$C$679,0)),"",INDEX('Compliance Database'!$B$2:$B$679,MATCH(535,Engine!$C$2:$C$679,0)))</f>
        <v/>
      </c>
      <c r="C548">
        <f>IF(ISNA(MATCH(535,Engine!$C$2:$C$679,0)),"",INDEX('Compliance Database'!$C$2:$C$679,MATCH(535,Engine!$C$2:$C$679,0)))</f>
        <v/>
      </c>
      <c r="D548" s="8">
        <f>IF(ISNA(MATCH(535,Engine!$C$2:$C$679,0)),"",INDEX('Compliance Database'!$D$2:$D$679,MATCH(535,Engine!$C$2:$C$679,0)))</f>
        <v/>
      </c>
      <c r="E548">
        <f>IF(ISNA(MATCH(535,Engine!$C$2:$C$679,0)),"",INDEX('Compliance Database'!$E$2:$E$679,MATCH(535,Engine!$C$2:$C$679,0)))</f>
        <v/>
      </c>
      <c r="F548">
        <f>IF(ISNA(MATCH(535,Engine!$C$2:$C$679,0)),"",INDEX('Compliance Database'!$F$2:$F$679,MATCH(535,Engine!$C$2:$C$679,0)))</f>
        <v/>
      </c>
      <c r="G548">
        <f>IF(ISNA(MATCH(535,Engine!$C$2:$C$679,0)),"",INDEX('Compliance Database'!$G$2:$G$679,MATCH(535,Engine!$C$2:$C$679,0)))</f>
        <v/>
      </c>
      <c r="H548">
        <f>IF(ISNA(MATCH(535,Engine!$C$2:$C$679,0)),"",INDEX('Compliance Database'!$H$2:$H$679,MATCH(535,Engine!$C$2:$C$679,0)))</f>
        <v/>
      </c>
      <c r="I548" s="8">
        <f>IF(ISNA(MATCH(535,Engine!$C$2:$C$679,0)),"",INDEX('Compliance Database'!$I$2:$I$679,MATCH(535,Engine!$C$2:$C$679,0)))</f>
        <v/>
      </c>
      <c r="J548" s="8">
        <f>IF(ISNA(MATCH(535,Engine!$C$2:$C$679,0)),"",INDEX('Compliance Database'!$J$2:$J$679,MATCH(535,Engine!$C$2:$C$679,0)))</f>
        <v/>
      </c>
      <c r="K548">
        <f>IF(ISNA(MATCH(535,Engine!$C$2:$C$679,0)),"",INDEX('Compliance Database'!$K$2:$K$679,MATCH(535,Engine!$C$2:$C$679,0)))</f>
        <v/>
      </c>
      <c r="L548" s="8">
        <f>IF(ISNA(MATCH(535,Engine!$C$2:$C$679,0)),"",INDEX('Compliance Database'!$L$2:$L$679,MATCH(535,Engine!$C$2:$C$679,0)))</f>
        <v/>
      </c>
      <c r="M548" s="8">
        <f>IF(ISNA(MATCH(535,Engine!$C$2:$C$679,0)),"",INDEX('Compliance Database'!$M$2:$M$679,MATCH(535,Engine!$C$2:$C$679,0)))</f>
        <v/>
      </c>
      <c r="N548" s="8">
        <f>IF(ISNA(MATCH(535,Engine!$C$2:$C$679,0)),"",INDEX('Compliance Database'!$N$2:$N$679,MATCH(535,Engine!$C$2:$C$679,0)))</f>
        <v/>
      </c>
      <c r="O548" s="8">
        <f>IF(ISNA(MATCH(535,Engine!$C$2:$C$679,0)),"",INDEX('Compliance Database'!$O$2:$O$679,MATCH(535,Engine!$C$2:$C$679,0)))</f>
        <v/>
      </c>
      <c r="P548">
        <f>IF(ISNA(MATCH(535,Engine!$C$2:$C$679,0)),"",HYPERLINK(INDEX('Compliance Database'!$P$2:$P$679,MATCH(535,Engine!$C$2:$C$679,0)),"Open PDF"))</f>
        <v/>
      </c>
    </row>
    <row r="549">
      <c r="A549">
        <f>IF(ISNA(MATCH(536,Engine!$C$2:$C$679,0)),"",INDEX('Compliance Database'!$A$2:$A$679,MATCH(536,Engine!$C$2:$C$679,0)))</f>
        <v/>
      </c>
      <c r="B549">
        <f>IF(ISNA(MATCH(536,Engine!$C$2:$C$679,0)),"",INDEX('Compliance Database'!$B$2:$B$679,MATCH(536,Engine!$C$2:$C$679,0)))</f>
        <v/>
      </c>
      <c r="C549">
        <f>IF(ISNA(MATCH(536,Engine!$C$2:$C$679,0)),"",INDEX('Compliance Database'!$C$2:$C$679,MATCH(536,Engine!$C$2:$C$679,0)))</f>
        <v/>
      </c>
      <c r="D549" s="8">
        <f>IF(ISNA(MATCH(536,Engine!$C$2:$C$679,0)),"",INDEX('Compliance Database'!$D$2:$D$679,MATCH(536,Engine!$C$2:$C$679,0)))</f>
        <v/>
      </c>
      <c r="E549">
        <f>IF(ISNA(MATCH(536,Engine!$C$2:$C$679,0)),"",INDEX('Compliance Database'!$E$2:$E$679,MATCH(536,Engine!$C$2:$C$679,0)))</f>
        <v/>
      </c>
      <c r="F549">
        <f>IF(ISNA(MATCH(536,Engine!$C$2:$C$679,0)),"",INDEX('Compliance Database'!$F$2:$F$679,MATCH(536,Engine!$C$2:$C$679,0)))</f>
        <v/>
      </c>
      <c r="G549">
        <f>IF(ISNA(MATCH(536,Engine!$C$2:$C$679,0)),"",INDEX('Compliance Database'!$G$2:$G$679,MATCH(536,Engine!$C$2:$C$679,0)))</f>
        <v/>
      </c>
      <c r="H549">
        <f>IF(ISNA(MATCH(536,Engine!$C$2:$C$679,0)),"",INDEX('Compliance Database'!$H$2:$H$679,MATCH(536,Engine!$C$2:$C$679,0)))</f>
        <v/>
      </c>
      <c r="I549" s="8">
        <f>IF(ISNA(MATCH(536,Engine!$C$2:$C$679,0)),"",INDEX('Compliance Database'!$I$2:$I$679,MATCH(536,Engine!$C$2:$C$679,0)))</f>
        <v/>
      </c>
      <c r="J549" s="8">
        <f>IF(ISNA(MATCH(536,Engine!$C$2:$C$679,0)),"",INDEX('Compliance Database'!$J$2:$J$679,MATCH(536,Engine!$C$2:$C$679,0)))</f>
        <v/>
      </c>
      <c r="K549">
        <f>IF(ISNA(MATCH(536,Engine!$C$2:$C$679,0)),"",INDEX('Compliance Database'!$K$2:$K$679,MATCH(536,Engine!$C$2:$C$679,0)))</f>
        <v/>
      </c>
      <c r="L549" s="8">
        <f>IF(ISNA(MATCH(536,Engine!$C$2:$C$679,0)),"",INDEX('Compliance Database'!$L$2:$L$679,MATCH(536,Engine!$C$2:$C$679,0)))</f>
        <v/>
      </c>
      <c r="M549" s="8">
        <f>IF(ISNA(MATCH(536,Engine!$C$2:$C$679,0)),"",INDEX('Compliance Database'!$M$2:$M$679,MATCH(536,Engine!$C$2:$C$679,0)))</f>
        <v/>
      </c>
      <c r="N549" s="8">
        <f>IF(ISNA(MATCH(536,Engine!$C$2:$C$679,0)),"",INDEX('Compliance Database'!$N$2:$N$679,MATCH(536,Engine!$C$2:$C$679,0)))</f>
        <v/>
      </c>
      <c r="O549" s="8">
        <f>IF(ISNA(MATCH(536,Engine!$C$2:$C$679,0)),"",INDEX('Compliance Database'!$O$2:$O$679,MATCH(536,Engine!$C$2:$C$679,0)))</f>
        <v/>
      </c>
      <c r="P549">
        <f>IF(ISNA(MATCH(536,Engine!$C$2:$C$679,0)),"",HYPERLINK(INDEX('Compliance Database'!$P$2:$P$679,MATCH(536,Engine!$C$2:$C$679,0)),"Open PDF"))</f>
        <v/>
      </c>
    </row>
    <row r="550">
      <c r="A550">
        <f>IF(ISNA(MATCH(537,Engine!$C$2:$C$679,0)),"",INDEX('Compliance Database'!$A$2:$A$679,MATCH(537,Engine!$C$2:$C$679,0)))</f>
        <v/>
      </c>
      <c r="B550">
        <f>IF(ISNA(MATCH(537,Engine!$C$2:$C$679,0)),"",INDEX('Compliance Database'!$B$2:$B$679,MATCH(537,Engine!$C$2:$C$679,0)))</f>
        <v/>
      </c>
      <c r="C550">
        <f>IF(ISNA(MATCH(537,Engine!$C$2:$C$679,0)),"",INDEX('Compliance Database'!$C$2:$C$679,MATCH(537,Engine!$C$2:$C$679,0)))</f>
        <v/>
      </c>
      <c r="D550" s="8">
        <f>IF(ISNA(MATCH(537,Engine!$C$2:$C$679,0)),"",INDEX('Compliance Database'!$D$2:$D$679,MATCH(537,Engine!$C$2:$C$679,0)))</f>
        <v/>
      </c>
      <c r="E550">
        <f>IF(ISNA(MATCH(537,Engine!$C$2:$C$679,0)),"",INDEX('Compliance Database'!$E$2:$E$679,MATCH(537,Engine!$C$2:$C$679,0)))</f>
        <v/>
      </c>
      <c r="F550">
        <f>IF(ISNA(MATCH(537,Engine!$C$2:$C$679,0)),"",INDEX('Compliance Database'!$F$2:$F$679,MATCH(537,Engine!$C$2:$C$679,0)))</f>
        <v/>
      </c>
      <c r="G550">
        <f>IF(ISNA(MATCH(537,Engine!$C$2:$C$679,0)),"",INDEX('Compliance Database'!$G$2:$G$679,MATCH(537,Engine!$C$2:$C$679,0)))</f>
        <v/>
      </c>
      <c r="H550">
        <f>IF(ISNA(MATCH(537,Engine!$C$2:$C$679,0)),"",INDEX('Compliance Database'!$H$2:$H$679,MATCH(537,Engine!$C$2:$C$679,0)))</f>
        <v/>
      </c>
      <c r="I550" s="8">
        <f>IF(ISNA(MATCH(537,Engine!$C$2:$C$679,0)),"",INDEX('Compliance Database'!$I$2:$I$679,MATCH(537,Engine!$C$2:$C$679,0)))</f>
        <v/>
      </c>
      <c r="J550" s="8">
        <f>IF(ISNA(MATCH(537,Engine!$C$2:$C$679,0)),"",INDEX('Compliance Database'!$J$2:$J$679,MATCH(537,Engine!$C$2:$C$679,0)))</f>
        <v/>
      </c>
      <c r="K550">
        <f>IF(ISNA(MATCH(537,Engine!$C$2:$C$679,0)),"",INDEX('Compliance Database'!$K$2:$K$679,MATCH(537,Engine!$C$2:$C$679,0)))</f>
        <v/>
      </c>
      <c r="L550" s="8">
        <f>IF(ISNA(MATCH(537,Engine!$C$2:$C$679,0)),"",INDEX('Compliance Database'!$L$2:$L$679,MATCH(537,Engine!$C$2:$C$679,0)))</f>
        <v/>
      </c>
      <c r="M550" s="8">
        <f>IF(ISNA(MATCH(537,Engine!$C$2:$C$679,0)),"",INDEX('Compliance Database'!$M$2:$M$679,MATCH(537,Engine!$C$2:$C$679,0)))</f>
        <v/>
      </c>
      <c r="N550" s="8">
        <f>IF(ISNA(MATCH(537,Engine!$C$2:$C$679,0)),"",INDEX('Compliance Database'!$N$2:$N$679,MATCH(537,Engine!$C$2:$C$679,0)))</f>
        <v/>
      </c>
      <c r="O550" s="8">
        <f>IF(ISNA(MATCH(537,Engine!$C$2:$C$679,0)),"",INDEX('Compliance Database'!$O$2:$O$679,MATCH(537,Engine!$C$2:$C$679,0)))</f>
        <v/>
      </c>
      <c r="P550">
        <f>IF(ISNA(MATCH(537,Engine!$C$2:$C$679,0)),"",HYPERLINK(INDEX('Compliance Database'!$P$2:$P$679,MATCH(537,Engine!$C$2:$C$679,0)),"Open PDF"))</f>
        <v/>
      </c>
    </row>
    <row r="551">
      <c r="A551">
        <f>IF(ISNA(MATCH(538,Engine!$C$2:$C$679,0)),"",INDEX('Compliance Database'!$A$2:$A$679,MATCH(538,Engine!$C$2:$C$679,0)))</f>
        <v/>
      </c>
      <c r="B551">
        <f>IF(ISNA(MATCH(538,Engine!$C$2:$C$679,0)),"",INDEX('Compliance Database'!$B$2:$B$679,MATCH(538,Engine!$C$2:$C$679,0)))</f>
        <v/>
      </c>
      <c r="C551">
        <f>IF(ISNA(MATCH(538,Engine!$C$2:$C$679,0)),"",INDEX('Compliance Database'!$C$2:$C$679,MATCH(538,Engine!$C$2:$C$679,0)))</f>
        <v/>
      </c>
      <c r="D551" s="8">
        <f>IF(ISNA(MATCH(538,Engine!$C$2:$C$679,0)),"",INDEX('Compliance Database'!$D$2:$D$679,MATCH(538,Engine!$C$2:$C$679,0)))</f>
        <v/>
      </c>
      <c r="E551">
        <f>IF(ISNA(MATCH(538,Engine!$C$2:$C$679,0)),"",INDEX('Compliance Database'!$E$2:$E$679,MATCH(538,Engine!$C$2:$C$679,0)))</f>
        <v/>
      </c>
      <c r="F551">
        <f>IF(ISNA(MATCH(538,Engine!$C$2:$C$679,0)),"",INDEX('Compliance Database'!$F$2:$F$679,MATCH(538,Engine!$C$2:$C$679,0)))</f>
        <v/>
      </c>
      <c r="G551">
        <f>IF(ISNA(MATCH(538,Engine!$C$2:$C$679,0)),"",INDEX('Compliance Database'!$G$2:$G$679,MATCH(538,Engine!$C$2:$C$679,0)))</f>
        <v/>
      </c>
      <c r="H551">
        <f>IF(ISNA(MATCH(538,Engine!$C$2:$C$679,0)),"",INDEX('Compliance Database'!$H$2:$H$679,MATCH(538,Engine!$C$2:$C$679,0)))</f>
        <v/>
      </c>
      <c r="I551" s="8">
        <f>IF(ISNA(MATCH(538,Engine!$C$2:$C$679,0)),"",INDEX('Compliance Database'!$I$2:$I$679,MATCH(538,Engine!$C$2:$C$679,0)))</f>
        <v/>
      </c>
      <c r="J551" s="8">
        <f>IF(ISNA(MATCH(538,Engine!$C$2:$C$679,0)),"",INDEX('Compliance Database'!$J$2:$J$679,MATCH(538,Engine!$C$2:$C$679,0)))</f>
        <v/>
      </c>
      <c r="K551">
        <f>IF(ISNA(MATCH(538,Engine!$C$2:$C$679,0)),"",INDEX('Compliance Database'!$K$2:$K$679,MATCH(538,Engine!$C$2:$C$679,0)))</f>
        <v/>
      </c>
      <c r="L551" s="8">
        <f>IF(ISNA(MATCH(538,Engine!$C$2:$C$679,0)),"",INDEX('Compliance Database'!$L$2:$L$679,MATCH(538,Engine!$C$2:$C$679,0)))</f>
        <v/>
      </c>
      <c r="M551" s="8">
        <f>IF(ISNA(MATCH(538,Engine!$C$2:$C$679,0)),"",INDEX('Compliance Database'!$M$2:$M$679,MATCH(538,Engine!$C$2:$C$679,0)))</f>
        <v/>
      </c>
      <c r="N551" s="8">
        <f>IF(ISNA(MATCH(538,Engine!$C$2:$C$679,0)),"",INDEX('Compliance Database'!$N$2:$N$679,MATCH(538,Engine!$C$2:$C$679,0)))</f>
        <v/>
      </c>
      <c r="O551" s="8">
        <f>IF(ISNA(MATCH(538,Engine!$C$2:$C$679,0)),"",INDEX('Compliance Database'!$O$2:$O$679,MATCH(538,Engine!$C$2:$C$679,0)))</f>
        <v/>
      </c>
      <c r="P551">
        <f>IF(ISNA(MATCH(538,Engine!$C$2:$C$679,0)),"",HYPERLINK(INDEX('Compliance Database'!$P$2:$P$679,MATCH(538,Engine!$C$2:$C$679,0)),"Open PDF"))</f>
        <v/>
      </c>
    </row>
    <row r="552">
      <c r="A552">
        <f>IF(ISNA(MATCH(539,Engine!$C$2:$C$679,0)),"",INDEX('Compliance Database'!$A$2:$A$679,MATCH(539,Engine!$C$2:$C$679,0)))</f>
        <v/>
      </c>
      <c r="B552">
        <f>IF(ISNA(MATCH(539,Engine!$C$2:$C$679,0)),"",INDEX('Compliance Database'!$B$2:$B$679,MATCH(539,Engine!$C$2:$C$679,0)))</f>
        <v/>
      </c>
      <c r="C552">
        <f>IF(ISNA(MATCH(539,Engine!$C$2:$C$679,0)),"",INDEX('Compliance Database'!$C$2:$C$679,MATCH(539,Engine!$C$2:$C$679,0)))</f>
        <v/>
      </c>
      <c r="D552" s="8">
        <f>IF(ISNA(MATCH(539,Engine!$C$2:$C$679,0)),"",INDEX('Compliance Database'!$D$2:$D$679,MATCH(539,Engine!$C$2:$C$679,0)))</f>
        <v/>
      </c>
      <c r="E552">
        <f>IF(ISNA(MATCH(539,Engine!$C$2:$C$679,0)),"",INDEX('Compliance Database'!$E$2:$E$679,MATCH(539,Engine!$C$2:$C$679,0)))</f>
        <v/>
      </c>
      <c r="F552">
        <f>IF(ISNA(MATCH(539,Engine!$C$2:$C$679,0)),"",INDEX('Compliance Database'!$F$2:$F$679,MATCH(539,Engine!$C$2:$C$679,0)))</f>
        <v/>
      </c>
      <c r="G552">
        <f>IF(ISNA(MATCH(539,Engine!$C$2:$C$679,0)),"",INDEX('Compliance Database'!$G$2:$G$679,MATCH(539,Engine!$C$2:$C$679,0)))</f>
        <v/>
      </c>
      <c r="H552">
        <f>IF(ISNA(MATCH(539,Engine!$C$2:$C$679,0)),"",INDEX('Compliance Database'!$H$2:$H$679,MATCH(539,Engine!$C$2:$C$679,0)))</f>
        <v/>
      </c>
      <c r="I552" s="8">
        <f>IF(ISNA(MATCH(539,Engine!$C$2:$C$679,0)),"",INDEX('Compliance Database'!$I$2:$I$679,MATCH(539,Engine!$C$2:$C$679,0)))</f>
        <v/>
      </c>
      <c r="J552" s="8">
        <f>IF(ISNA(MATCH(539,Engine!$C$2:$C$679,0)),"",INDEX('Compliance Database'!$J$2:$J$679,MATCH(539,Engine!$C$2:$C$679,0)))</f>
        <v/>
      </c>
      <c r="K552">
        <f>IF(ISNA(MATCH(539,Engine!$C$2:$C$679,0)),"",INDEX('Compliance Database'!$K$2:$K$679,MATCH(539,Engine!$C$2:$C$679,0)))</f>
        <v/>
      </c>
      <c r="L552" s="8">
        <f>IF(ISNA(MATCH(539,Engine!$C$2:$C$679,0)),"",INDEX('Compliance Database'!$L$2:$L$679,MATCH(539,Engine!$C$2:$C$679,0)))</f>
        <v/>
      </c>
      <c r="M552" s="8">
        <f>IF(ISNA(MATCH(539,Engine!$C$2:$C$679,0)),"",INDEX('Compliance Database'!$M$2:$M$679,MATCH(539,Engine!$C$2:$C$679,0)))</f>
        <v/>
      </c>
      <c r="N552" s="8">
        <f>IF(ISNA(MATCH(539,Engine!$C$2:$C$679,0)),"",INDEX('Compliance Database'!$N$2:$N$679,MATCH(539,Engine!$C$2:$C$679,0)))</f>
        <v/>
      </c>
      <c r="O552" s="8">
        <f>IF(ISNA(MATCH(539,Engine!$C$2:$C$679,0)),"",INDEX('Compliance Database'!$O$2:$O$679,MATCH(539,Engine!$C$2:$C$679,0)))</f>
        <v/>
      </c>
      <c r="P552">
        <f>IF(ISNA(MATCH(539,Engine!$C$2:$C$679,0)),"",HYPERLINK(INDEX('Compliance Database'!$P$2:$P$679,MATCH(539,Engine!$C$2:$C$679,0)),"Open PDF"))</f>
        <v/>
      </c>
    </row>
    <row r="553">
      <c r="A553">
        <f>IF(ISNA(MATCH(540,Engine!$C$2:$C$679,0)),"",INDEX('Compliance Database'!$A$2:$A$679,MATCH(540,Engine!$C$2:$C$679,0)))</f>
        <v/>
      </c>
      <c r="B553">
        <f>IF(ISNA(MATCH(540,Engine!$C$2:$C$679,0)),"",INDEX('Compliance Database'!$B$2:$B$679,MATCH(540,Engine!$C$2:$C$679,0)))</f>
        <v/>
      </c>
      <c r="C553">
        <f>IF(ISNA(MATCH(540,Engine!$C$2:$C$679,0)),"",INDEX('Compliance Database'!$C$2:$C$679,MATCH(540,Engine!$C$2:$C$679,0)))</f>
        <v/>
      </c>
      <c r="D553" s="8">
        <f>IF(ISNA(MATCH(540,Engine!$C$2:$C$679,0)),"",INDEX('Compliance Database'!$D$2:$D$679,MATCH(540,Engine!$C$2:$C$679,0)))</f>
        <v/>
      </c>
      <c r="E553">
        <f>IF(ISNA(MATCH(540,Engine!$C$2:$C$679,0)),"",INDEX('Compliance Database'!$E$2:$E$679,MATCH(540,Engine!$C$2:$C$679,0)))</f>
        <v/>
      </c>
      <c r="F553">
        <f>IF(ISNA(MATCH(540,Engine!$C$2:$C$679,0)),"",INDEX('Compliance Database'!$F$2:$F$679,MATCH(540,Engine!$C$2:$C$679,0)))</f>
        <v/>
      </c>
      <c r="G553">
        <f>IF(ISNA(MATCH(540,Engine!$C$2:$C$679,0)),"",INDEX('Compliance Database'!$G$2:$G$679,MATCH(540,Engine!$C$2:$C$679,0)))</f>
        <v/>
      </c>
      <c r="H553">
        <f>IF(ISNA(MATCH(540,Engine!$C$2:$C$679,0)),"",INDEX('Compliance Database'!$H$2:$H$679,MATCH(540,Engine!$C$2:$C$679,0)))</f>
        <v/>
      </c>
      <c r="I553" s="8">
        <f>IF(ISNA(MATCH(540,Engine!$C$2:$C$679,0)),"",INDEX('Compliance Database'!$I$2:$I$679,MATCH(540,Engine!$C$2:$C$679,0)))</f>
        <v/>
      </c>
      <c r="J553" s="8">
        <f>IF(ISNA(MATCH(540,Engine!$C$2:$C$679,0)),"",INDEX('Compliance Database'!$J$2:$J$679,MATCH(540,Engine!$C$2:$C$679,0)))</f>
        <v/>
      </c>
      <c r="K553">
        <f>IF(ISNA(MATCH(540,Engine!$C$2:$C$679,0)),"",INDEX('Compliance Database'!$K$2:$K$679,MATCH(540,Engine!$C$2:$C$679,0)))</f>
        <v/>
      </c>
      <c r="L553" s="8">
        <f>IF(ISNA(MATCH(540,Engine!$C$2:$C$679,0)),"",INDEX('Compliance Database'!$L$2:$L$679,MATCH(540,Engine!$C$2:$C$679,0)))</f>
        <v/>
      </c>
      <c r="M553" s="8">
        <f>IF(ISNA(MATCH(540,Engine!$C$2:$C$679,0)),"",INDEX('Compliance Database'!$M$2:$M$679,MATCH(540,Engine!$C$2:$C$679,0)))</f>
        <v/>
      </c>
      <c r="N553" s="8">
        <f>IF(ISNA(MATCH(540,Engine!$C$2:$C$679,0)),"",INDEX('Compliance Database'!$N$2:$N$679,MATCH(540,Engine!$C$2:$C$679,0)))</f>
        <v/>
      </c>
      <c r="O553" s="8">
        <f>IF(ISNA(MATCH(540,Engine!$C$2:$C$679,0)),"",INDEX('Compliance Database'!$O$2:$O$679,MATCH(540,Engine!$C$2:$C$679,0)))</f>
        <v/>
      </c>
      <c r="P553">
        <f>IF(ISNA(MATCH(540,Engine!$C$2:$C$679,0)),"",HYPERLINK(INDEX('Compliance Database'!$P$2:$P$679,MATCH(540,Engine!$C$2:$C$679,0)),"Open PDF"))</f>
        <v/>
      </c>
    </row>
    <row r="554">
      <c r="A554">
        <f>IF(ISNA(MATCH(541,Engine!$C$2:$C$679,0)),"",INDEX('Compliance Database'!$A$2:$A$679,MATCH(541,Engine!$C$2:$C$679,0)))</f>
        <v/>
      </c>
      <c r="B554">
        <f>IF(ISNA(MATCH(541,Engine!$C$2:$C$679,0)),"",INDEX('Compliance Database'!$B$2:$B$679,MATCH(541,Engine!$C$2:$C$679,0)))</f>
        <v/>
      </c>
      <c r="C554">
        <f>IF(ISNA(MATCH(541,Engine!$C$2:$C$679,0)),"",INDEX('Compliance Database'!$C$2:$C$679,MATCH(541,Engine!$C$2:$C$679,0)))</f>
        <v/>
      </c>
      <c r="D554" s="8">
        <f>IF(ISNA(MATCH(541,Engine!$C$2:$C$679,0)),"",INDEX('Compliance Database'!$D$2:$D$679,MATCH(541,Engine!$C$2:$C$679,0)))</f>
        <v/>
      </c>
      <c r="E554">
        <f>IF(ISNA(MATCH(541,Engine!$C$2:$C$679,0)),"",INDEX('Compliance Database'!$E$2:$E$679,MATCH(541,Engine!$C$2:$C$679,0)))</f>
        <v/>
      </c>
      <c r="F554">
        <f>IF(ISNA(MATCH(541,Engine!$C$2:$C$679,0)),"",INDEX('Compliance Database'!$F$2:$F$679,MATCH(541,Engine!$C$2:$C$679,0)))</f>
        <v/>
      </c>
      <c r="G554">
        <f>IF(ISNA(MATCH(541,Engine!$C$2:$C$679,0)),"",INDEX('Compliance Database'!$G$2:$G$679,MATCH(541,Engine!$C$2:$C$679,0)))</f>
        <v/>
      </c>
      <c r="H554">
        <f>IF(ISNA(MATCH(541,Engine!$C$2:$C$679,0)),"",INDEX('Compliance Database'!$H$2:$H$679,MATCH(541,Engine!$C$2:$C$679,0)))</f>
        <v/>
      </c>
      <c r="I554" s="8">
        <f>IF(ISNA(MATCH(541,Engine!$C$2:$C$679,0)),"",INDEX('Compliance Database'!$I$2:$I$679,MATCH(541,Engine!$C$2:$C$679,0)))</f>
        <v/>
      </c>
      <c r="J554" s="8">
        <f>IF(ISNA(MATCH(541,Engine!$C$2:$C$679,0)),"",INDEX('Compliance Database'!$J$2:$J$679,MATCH(541,Engine!$C$2:$C$679,0)))</f>
        <v/>
      </c>
      <c r="K554">
        <f>IF(ISNA(MATCH(541,Engine!$C$2:$C$679,0)),"",INDEX('Compliance Database'!$K$2:$K$679,MATCH(541,Engine!$C$2:$C$679,0)))</f>
        <v/>
      </c>
      <c r="L554" s="8">
        <f>IF(ISNA(MATCH(541,Engine!$C$2:$C$679,0)),"",INDEX('Compliance Database'!$L$2:$L$679,MATCH(541,Engine!$C$2:$C$679,0)))</f>
        <v/>
      </c>
      <c r="M554" s="8">
        <f>IF(ISNA(MATCH(541,Engine!$C$2:$C$679,0)),"",INDEX('Compliance Database'!$M$2:$M$679,MATCH(541,Engine!$C$2:$C$679,0)))</f>
        <v/>
      </c>
      <c r="N554" s="8">
        <f>IF(ISNA(MATCH(541,Engine!$C$2:$C$679,0)),"",INDEX('Compliance Database'!$N$2:$N$679,MATCH(541,Engine!$C$2:$C$679,0)))</f>
        <v/>
      </c>
      <c r="O554" s="8">
        <f>IF(ISNA(MATCH(541,Engine!$C$2:$C$679,0)),"",INDEX('Compliance Database'!$O$2:$O$679,MATCH(541,Engine!$C$2:$C$679,0)))</f>
        <v/>
      </c>
      <c r="P554">
        <f>IF(ISNA(MATCH(541,Engine!$C$2:$C$679,0)),"",HYPERLINK(INDEX('Compliance Database'!$P$2:$P$679,MATCH(541,Engine!$C$2:$C$679,0)),"Open PDF"))</f>
        <v/>
      </c>
    </row>
    <row r="555">
      <c r="A555">
        <f>IF(ISNA(MATCH(542,Engine!$C$2:$C$679,0)),"",INDEX('Compliance Database'!$A$2:$A$679,MATCH(542,Engine!$C$2:$C$679,0)))</f>
        <v/>
      </c>
      <c r="B555">
        <f>IF(ISNA(MATCH(542,Engine!$C$2:$C$679,0)),"",INDEX('Compliance Database'!$B$2:$B$679,MATCH(542,Engine!$C$2:$C$679,0)))</f>
        <v/>
      </c>
      <c r="C555">
        <f>IF(ISNA(MATCH(542,Engine!$C$2:$C$679,0)),"",INDEX('Compliance Database'!$C$2:$C$679,MATCH(542,Engine!$C$2:$C$679,0)))</f>
        <v/>
      </c>
      <c r="D555" s="8">
        <f>IF(ISNA(MATCH(542,Engine!$C$2:$C$679,0)),"",INDEX('Compliance Database'!$D$2:$D$679,MATCH(542,Engine!$C$2:$C$679,0)))</f>
        <v/>
      </c>
      <c r="E555">
        <f>IF(ISNA(MATCH(542,Engine!$C$2:$C$679,0)),"",INDEX('Compliance Database'!$E$2:$E$679,MATCH(542,Engine!$C$2:$C$679,0)))</f>
        <v/>
      </c>
      <c r="F555">
        <f>IF(ISNA(MATCH(542,Engine!$C$2:$C$679,0)),"",INDEX('Compliance Database'!$F$2:$F$679,MATCH(542,Engine!$C$2:$C$679,0)))</f>
        <v/>
      </c>
      <c r="G555">
        <f>IF(ISNA(MATCH(542,Engine!$C$2:$C$679,0)),"",INDEX('Compliance Database'!$G$2:$G$679,MATCH(542,Engine!$C$2:$C$679,0)))</f>
        <v/>
      </c>
      <c r="H555">
        <f>IF(ISNA(MATCH(542,Engine!$C$2:$C$679,0)),"",INDEX('Compliance Database'!$H$2:$H$679,MATCH(542,Engine!$C$2:$C$679,0)))</f>
        <v/>
      </c>
      <c r="I555" s="8">
        <f>IF(ISNA(MATCH(542,Engine!$C$2:$C$679,0)),"",INDEX('Compliance Database'!$I$2:$I$679,MATCH(542,Engine!$C$2:$C$679,0)))</f>
        <v/>
      </c>
      <c r="J555" s="8">
        <f>IF(ISNA(MATCH(542,Engine!$C$2:$C$679,0)),"",INDEX('Compliance Database'!$J$2:$J$679,MATCH(542,Engine!$C$2:$C$679,0)))</f>
        <v/>
      </c>
      <c r="K555">
        <f>IF(ISNA(MATCH(542,Engine!$C$2:$C$679,0)),"",INDEX('Compliance Database'!$K$2:$K$679,MATCH(542,Engine!$C$2:$C$679,0)))</f>
        <v/>
      </c>
      <c r="L555" s="8">
        <f>IF(ISNA(MATCH(542,Engine!$C$2:$C$679,0)),"",INDEX('Compliance Database'!$L$2:$L$679,MATCH(542,Engine!$C$2:$C$679,0)))</f>
        <v/>
      </c>
      <c r="M555" s="8">
        <f>IF(ISNA(MATCH(542,Engine!$C$2:$C$679,0)),"",INDEX('Compliance Database'!$M$2:$M$679,MATCH(542,Engine!$C$2:$C$679,0)))</f>
        <v/>
      </c>
      <c r="N555" s="8">
        <f>IF(ISNA(MATCH(542,Engine!$C$2:$C$679,0)),"",INDEX('Compliance Database'!$N$2:$N$679,MATCH(542,Engine!$C$2:$C$679,0)))</f>
        <v/>
      </c>
      <c r="O555" s="8">
        <f>IF(ISNA(MATCH(542,Engine!$C$2:$C$679,0)),"",INDEX('Compliance Database'!$O$2:$O$679,MATCH(542,Engine!$C$2:$C$679,0)))</f>
        <v/>
      </c>
      <c r="P555">
        <f>IF(ISNA(MATCH(542,Engine!$C$2:$C$679,0)),"",HYPERLINK(INDEX('Compliance Database'!$P$2:$P$679,MATCH(542,Engine!$C$2:$C$679,0)),"Open PDF"))</f>
        <v/>
      </c>
    </row>
    <row r="556">
      <c r="A556">
        <f>IF(ISNA(MATCH(543,Engine!$C$2:$C$679,0)),"",INDEX('Compliance Database'!$A$2:$A$679,MATCH(543,Engine!$C$2:$C$679,0)))</f>
        <v/>
      </c>
      <c r="B556">
        <f>IF(ISNA(MATCH(543,Engine!$C$2:$C$679,0)),"",INDEX('Compliance Database'!$B$2:$B$679,MATCH(543,Engine!$C$2:$C$679,0)))</f>
        <v/>
      </c>
      <c r="C556">
        <f>IF(ISNA(MATCH(543,Engine!$C$2:$C$679,0)),"",INDEX('Compliance Database'!$C$2:$C$679,MATCH(543,Engine!$C$2:$C$679,0)))</f>
        <v/>
      </c>
      <c r="D556" s="8">
        <f>IF(ISNA(MATCH(543,Engine!$C$2:$C$679,0)),"",INDEX('Compliance Database'!$D$2:$D$679,MATCH(543,Engine!$C$2:$C$679,0)))</f>
        <v/>
      </c>
      <c r="E556">
        <f>IF(ISNA(MATCH(543,Engine!$C$2:$C$679,0)),"",INDEX('Compliance Database'!$E$2:$E$679,MATCH(543,Engine!$C$2:$C$679,0)))</f>
        <v/>
      </c>
      <c r="F556">
        <f>IF(ISNA(MATCH(543,Engine!$C$2:$C$679,0)),"",INDEX('Compliance Database'!$F$2:$F$679,MATCH(543,Engine!$C$2:$C$679,0)))</f>
        <v/>
      </c>
      <c r="G556">
        <f>IF(ISNA(MATCH(543,Engine!$C$2:$C$679,0)),"",INDEX('Compliance Database'!$G$2:$G$679,MATCH(543,Engine!$C$2:$C$679,0)))</f>
        <v/>
      </c>
      <c r="H556">
        <f>IF(ISNA(MATCH(543,Engine!$C$2:$C$679,0)),"",INDEX('Compliance Database'!$H$2:$H$679,MATCH(543,Engine!$C$2:$C$679,0)))</f>
        <v/>
      </c>
      <c r="I556" s="8">
        <f>IF(ISNA(MATCH(543,Engine!$C$2:$C$679,0)),"",INDEX('Compliance Database'!$I$2:$I$679,MATCH(543,Engine!$C$2:$C$679,0)))</f>
        <v/>
      </c>
      <c r="J556" s="8">
        <f>IF(ISNA(MATCH(543,Engine!$C$2:$C$679,0)),"",INDEX('Compliance Database'!$J$2:$J$679,MATCH(543,Engine!$C$2:$C$679,0)))</f>
        <v/>
      </c>
      <c r="K556">
        <f>IF(ISNA(MATCH(543,Engine!$C$2:$C$679,0)),"",INDEX('Compliance Database'!$K$2:$K$679,MATCH(543,Engine!$C$2:$C$679,0)))</f>
        <v/>
      </c>
      <c r="L556" s="8">
        <f>IF(ISNA(MATCH(543,Engine!$C$2:$C$679,0)),"",INDEX('Compliance Database'!$L$2:$L$679,MATCH(543,Engine!$C$2:$C$679,0)))</f>
        <v/>
      </c>
      <c r="M556" s="8">
        <f>IF(ISNA(MATCH(543,Engine!$C$2:$C$679,0)),"",INDEX('Compliance Database'!$M$2:$M$679,MATCH(543,Engine!$C$2:$C$679,0)))</f>
        <v/>
      </c>
      <c r="N556" s="8">
        <f>IF(ISNA(MATCH(543,Engine!$C$2:$C$679,0)),"",INDEX('Compliance Database'!$N$2:$N$679,MATCH(543,Engine!$C$2:$C$679,0)))</f>
        <v/>
      </c>
      <c r="O556" s="8">
        <f>IF(ISNA(MATCH(543,Engine!$C$2:$C$679,0)),"",INDEX('Compliance Database'!$O$2:$O$679,MATCH(543,Engine!$C$2:$C$679,0)))</f>
        <v/>
      </c>
      <c r="P556">
        <f>IF(ISNA(MATCH(543,Engine!$C$2:$C$679,0)),"",HYPERLINK(INDEX('Compliance Database'!$P$2:$P$679,MATCH(543,Engine!$C$2:$C$679,0)),"Open PDF"))</f>
        <v/>
      </c>
    </row>
    <row r="557">
      <c r="A557">
        <f>IF(ISNA(MATCH(544,Engine!$C$2:$C$679,0)),"",INDEX('Compliance Database'!$A$2:$A$679,MATCH(544,Engine!$C$2:$C$679,0)))</f>
        <v/>
      </c>
      <c r="B557">
        <f>IF(ISNA(MATCH(544,Engine!$C$2:$C$679,0)),"",INDEX('Compliance Database'!$B$2:$B$679,MATCH(544,Engine!$C$2:$C$679,0)))</f>
        <v/>
      </c>
      <c r="C557">
        <f>IF(ISNA(MATCH(544,Engine!$C$2:$C$679,0)),"",INDEX('Compliance Database'!$C$2:$C$679,MATCH(544,Engine!$C$2:$C$679,0)))</f>
        <v/>
      </c>
      <c r="D557" s="8">
        <f>IF(ISNA(MATCH(544,Engine!$C$2:$C$679,0)),"",INDEX('Compliance Database'!$D$2:$D$679,MATCH(544,Engine!$C$2:$C$679,0)))</f>
        <v/>
      </c>
      <c r="E557">
        <f>IF(ISNA(MATCH(544,Engine!$C$2:$C$679,0)),"",INDEX('Compliance Database'!$E$2:$E$679,MATCH(544,Engine!$C$2:$C$679,0)))</f>
        <v/>
      </c>
      <c r="F557">
        <f>IF(ISNA(MATCH(544,Engine!$C$2:$C$679,0)),"",INDEX('Compliance Database'!$F$2:$F$679,MATCH(544,Engine!$C$2:$C$679,0)))</f>
        <v/>
      </c>
      <c r="G557">
        <f>IF(ISNA(MATCH(544,Engine!$C$2:$C$679,0)),"",INDEX('Compliance Database'!$G$2:$G$679,MATCH(544,Engine!$C$2:$C$679,0)))</f>
        <v/>
      </c>
      <c r="H557">
        <f>IF(ISNA(MATCH(544,Engine!$C$2:$C$679,0)),"",INDEX('Compliance Database'!$H$2:$H$679,MATCH(544,Engine!$C$2:$C$679,0)))</f>
        <v/>
      </c>
      <c r="I557" s="8">
        <f>IF(ISNA(MATCH(544,Engine!$C$2:$C$679,0)),"",INDEX('Compliance Database'!$I$2:$I$679,MATCH(544,Engine!$C$2:$C$679,0)))</f>
        <v/>
      </c>
      <c r="J557" s="8">
        <f>IF(ISNA(MATCH(544,Engine!$C$2:$C$679,0)),"",INDEX('Compliance Database'!$J$2:$J$679,MATCH(544,Engine!$C$2:$C$679,0)))</f>
        <v/>
      </c>
      <c r="K557">
        <f>IF(ISNA(MATCH(544,Engine!$C$2:$C$679,0)),"",INDEX('Compliance Database'!$K$2:$K$679,MATCH(544,Engine!$C$2:$C$679,0)))</f>
        <v/>
      </c>
      <c r="L557" s="8">
        <f>IF(ISNA(MATCH(544,Engine!$C$2:$C$679,0)),"",INDEX('Compliance Database'!$L$2:$L$679,MATCH(544,Engine!$C$2:$C$679,0)))</f>
        <v/>
      </c>
      <c r="M557" s="8">
        <f>IF(ISNA(MATCH(544,Engine!$C$2:$C$679,0)),"",INDEX('Compliance Database'!$M$2:$M$679,MATCH(544,Engine!$C$2:$C$679,0)))</f>
        <v/>
      </c>
      <c r="N557" s="8">
        <f>IF(ISNA(MATCH(544,Engine!$C$2:$C$679,0)),"",INDEX('Compliance Database'!$N$2:$N$679,MATCH(544,Engine!$C$2:$C$679,0)))</f>
        <v/>
      </c>
      <c r="O557" s="8">
        <f>IF(ISNA(MATCH(544,Engine!$C$2:$C$679,0)),"",INDEX('Compliance Database'!$O$2:$O$679,MATCH(544,Engine!$C$2:$C$679,0)))</f>
        <v/>
      </c>
      <c r="P557">
        <f>IF(ISNA(MATCH(544,Engine!$C$2:$C$679,0)),"",HYPERLINK(INDEX('Compliance Database'!$P$2:$P$679,MATCH(544,Engine!$C$2:$C$679,0)),"Open PDF"))</f>
        <v/>
      </c>
    </row>
    <row r="558">
      <c r="A558">
        <f>IF(ISNA(MATCH(545,Engine!$C$2:$C$679,0)),"",INDEX('Compliance Database'!$A$2:$A$679,MATCH(545,Engine!$C$2:$C$679,0)))</f>
        <v/>
      </c>
      <c r="B558">
        <f>IF(ISNA(MATCH(545,Engine!$C$2:$C$679,0)),"",INDEX('Compliance Database'!$B$2:$B$679,MATCH(545,Engine!$C$2:$C$679,0)))</f>
        <v/>
      </c>
      <c r="C558">
        <f>IF(ISNA(MATCH(545,Engine!$C$2:$C$679,0)),"",INDEX('Compliance Database'!$C$2:$C$679,MATCH(545,Engine!$C$2:$C$679,0)))</f>
        <v/>
      </c>
      <c r="D558" s="8">
        <f>IF(ISNA(MATCH(545,Engine!$C$2:$C$679,0)),"",INDEX('Compliance Database'!$D$2:$D$679,MATCH(545,Engine!$C$2:$C$679,0)))</f>
        <v/>
      </c>
      <c r="E558">
        <f>IF(ISNA(MATCH(545,Engine!$C$2:$C$679,0)),"",INDEX('Compliance Database'!$E$2:$E$679,MATCH(545,Engine!$C$2:$C$679,0)))</f>
        <v/>
      </c>
      <c r="F558">
        <f>IF(ISNA(MATCH(545,Engine!$C$2:$C$679,0)),"",INDEX('Compliance Database'!$F$2:$F$679,MATCH(545,Engine!$C$2:$C$679,0)))</f>
        <v/>
      </c>
      <c r="G558">
        <f>IF(ISNA(MATCH(545,Engine!$C$2:$C$679,0)),"",INDEX('Compliance Database'!$G$2:$G$679,MATCH(545,Engine!$C$2:$C$679,0)))</f>
        <v/>
      </c>
      <c r="H558">
        <f>IF(ISNA(MATCH(545,Engine!$C$2:$C$679,0)),"",INDEX('Compliance Database'!$H$2:$H$679,MATCH(545,Engine!$C$2:$C$679,0)))</f>
        <v/>
      </c>
      <c r="I558" s="8">
        <f>IF(ISNA(MATCH(545,Engine!$C$2:$C$679,0)),"",INDEX('Compliance Database'!$I$2:$I$679,MATCH(545,Engine!$C$2:$C$679,0)))</f>
        <v/>
      </c>
      <c r="J558" s="8">
        <f>IF(ISNA(MATCH(545,Engine!$C$2:$C$679,0)),"",INDEX('Compliance Database'!$J$2:$J$679,MATCH(545,Engine!$C$2:$C$679,0)))</f>
        <v/>
      </c>
      <c r="K558">
        <f>IF(ISNA(MATCH(545,Engine!$C$2:$C$679,0)),"",INDEX('Compliance Database'!$K$2:$K$679,MATCH(545,Engine!$C$2:$C$679,0)))</f>
        <v/>
      </c>
      <c r="L558" s="8">
        <f>IF(ISNA(MATCH(545,Engine!$C$2:$C$679,0)),"",INDEX('Compliance Database'!$L$2:$L$679,MATCH(545,Engine!$C$2:$C$679,0)))</f>
        <v/>
      </c>
      <c r="M558" s="8">
        <f>IF(ISNA(MATCH(545,Engine!$C$2:$C$679,0)),"",INDEX('Compliance Database'!$M$2:$M$679,MATCH(545,Engine!$C$2:$C$679,0)))</f>
        <v/>
      </c>
      <c r="N558" s="8">
        <f>IF(ISNA(MATCH(545,Engine!$C$2:$C$679,0)),"",INDEX('Compliance Database'!$N$2:$N$679,MATCH(545,Engine!$C$2:$C$679,0)))</f>
        <v/>
      </c>
      <c r="O558" s="8">
        <f>IF(ISNA(MATCH(545,Engine!$C$2:$C$679,0)),"",INDEX('Compliance Database'!$O$2:$O$679,MATCH(545,Engine!$C$2:$C$679,0)))</f>
        <v/>
      </c>
      <c r="P558">
        <f>IF(ISNA(MATCH(545,Engine!$C$2:$C$679,0)),"",HYPERLINK(INDEX('Compliance Database'!$P$2:$P$679,MATCH(545,Engine!$C$2:$C$679,0)),"Open PDF"))</f>
        <v/>
      </c>
    </row>
    <row r="559">
      <c r="A559">
        <f>IF(ISNA(MATCH(546,Engine!$C$2:$C$679,0)),"",INDEX('Compliance Database'!$A$2:$A$679,MATCH(546,Engine!$C$2:$C$679,0)))</f>
        <v/>
      </c>
      <c r="B559">
        <f>IF(ISNA(MATCH(546,Engine!$C$2:$C$679,0)),"",INDEX('Compliance Database'!$B$2:$B$679,MATCH(546,Engine!$C$2:$C$679,0)))</f>
        <v/>
      </c>
      <c r="C559">
        <f>IF(ISNA(MATCH(546,Engine!$C$2:$C$679,0)),"",INDEX('Compliance Database'!$C$2:$C$679,MATCH(546,Engine!$C$2:$C$679,0)))</f>
        <v/>
      </c>
      <c r="D559" s="8">
        <f>IF(ISNA(MATCH(546,Engine!$C$2:$C$679,0)),"",INDEX('Compliance Database'!$D$2:$D$679,MATCH(546,Engine!$C$2:$C$679,0)))</f>
        <v/>
      </c>
      <c r="E559">
        <f>IF(ISNA(MATCH(546,Engine!$C$2:$C$679,0)),"",INDEX('Compliance Database'!$E$2:$E$679,MATCH(546,Engine!$C$2:$C$679,0)))</f>
        <v/>
      </c>
      <c r="F559">
        <f>IF(ISNA(MATCH(546,Engine!$C$2:$C$679,0)),"",INDEX('Compliance Database'!$F$2:$F$679,MATCH(546,Engine!$C$2:$C$679,0)))</f>
        <v/>
      </c>
      <c r="G559">
        <f>IF(ISNA(MATCH(546,Engine!$C$2:$C$679,0)),"",INDEX('Compliance Database'!$G$2:$G$679,MATCH(546,Engine!$C$2:$C$679,0)))</f>
        <v/>
      </c>
      <c r="H559">
        <f>IF(ISNA(MATCH(546,Engine!$C$2:$C$679,0)),"",INDEX('Compliance Database'!$H$2:$H$679,MATCH(546,Engine!$C$2:$C$679,0)))</f>
        <v/>
      </c>
      <c r="I559" s="8">
        <f>IF(ISNA(MATCH(546,Engine!$C$2:$C$679,0)),"",INDEX('Compliance Database'!$I$2:$I$679,MATCH(546,Engine!$C$2:$C$679,0)))</f>
        <v/>
      </c>
      <c r="J559" s="8">
        <f>IF(ISNA(MATCH(546,Engine!$C$2:$C$679,0)),"",INDEX('Compliance Database'!$J$2:$J$679,MATCH(546,Engine!$C$2:$C$679,0)))</f>
        <v/>
      </c>
      <c r="K559">
        <f>IF(ISNA(MATCH(546,Engine!$C$2:$C$679,0)),"",INDEX('Compliance Database'!$K$2:$K$679,MATCH(546,Engine!$C$2:$C$679,0)))</f>
        <v/>
      </c>
      <c r="L559" s="8">
        <f>IF(ISNA(MATCH(546,Engine!$C$2:$C$679,0)),"",INDEX('Compliance Database'!$L$2:$L$679,MATCH(546,Engine!$C$2:$C$679,0)))</f>
        <v/>
      </c>
      <c r="M559" s="8">
        <f>IF(ISNA(MATCH(546,Engine!$C$2:$C$679,0)),"",INDEX('Compliance Database'!$M$2:$M$679,MATCH(546,Engine!$C$2:$C$679,0)))</f>
        <v/>
      </c>
      <c r="N559" s="8">
        <f>IF(ISNA(MATCH(546,Engine!$C$2:$C$679,0)),"",INDEX('Compliance Database'!$N$2:$N$679,MATCH(546,Engine!$C$2:$C$679,0)))</f>
        <v/>
      </c>
      <c r="O559" s="8">
        <f>IF(ISNA(MATCH(546,Engine!$C$2:$C$679,0)),"",INDEX('Compliance Database'!$O$2:$O$679,MATCH(546,Engine!$C$2:$C$679,0)))</f>
        <v/>
      </c>
      <c r="P559">
        <f>IF(ISNA(MATCH(546,Engine!$C$2:$C$679,0)),"",HYPERLINK(INDEX('Compliance Database'!$P$2:$P$679,MATCH(546,Engine!$C$2:$C$679,0)),"Open PDF"))</f>
        <v/>
      </c>
    </row>
    <row r="560">
      <c r="A560">
        <f>IF(ISNA(MATCH(547,Engine!$C$2:$C$679,0)),"",INDEX('Compliance Database'!$A$2:$A$679,MATCH(547,Engine!$C$2:$C$679,0)))</f>
        <v/>
      </c>
      <c r="B560">
        <f>IF(ISNA(MATCH(547,Engine!$C$2:$C$679,0)),"",INDEX('Compliance Database'!$B$2:$B$679,MATCH(547,Engine!$C$2:$C$679,0)))</f>
        <v/>
      </c>
      <c r="C560">
        <f>IF(ISNA(MATCH(547,Engine!$C$2:$C$679,0)),"",INDEX('Compliance Database'!$C$2:$C$679,MATCH(547,Engine!$C$2:$C$679,0)))</f>
        <v/>
      </c>
      <c r="D560" s="8">
        <f>IF(ISNA(MATCH(547,Engine!$C$2:$C$679,0)),"",INDEX('Compliance Database'!$D$2:$D$679,MATCH(547,Engine!$C$2:$C$679,0)))</f>
        <v/>
      </c>
      <c r="E560">
        <f>IF(ISNA(MATCH(547,Engine!$C$2:$C$679,0)),"",INDEX('Compliance Database'!$E$2:$E$679,MATCH(547,Engine!$C$2:$C$679,0)))</f>
        <v/>
      </c>
      <c r="F560">
        <f>IF(ISNA(MATCH(547,Engine!$C$2:$C$679,0)),"",INDEX('Compliance Database'!$F$2:$F$679,MATCH(547,Engine!$C$2:$C$679,0)))</f>
        <v/>
      </c>
      <c r="G560">
        <f>IF(ISNA(MATCH(547,Engine!$C$2:$C$679,0)),"",INDEX('Compliance Database'!$G$2:$G$679,MATCH(547,Engine!$C$2:$C$679,0)))</f>
        <v/>
      </c>
      <c r="H560">
        <f>IF(ISNA(MATCH(547,Engine!$C$2:$C$679,0)),"",INDEX('Compliance Database'!$H$2:$H$679,MATCH(547,Engine!$C$2:$C$679,0)))</f>
        <v/>
      </c>
      <c r="I560" s="8">
        <f>IF(ISNA(MATCH(547,Engine!$C$2:$C$679,0)),"",INDEX('Compliance Database'!$I$2:$I$679,MATCH(547,Engine!$C$2:$C$679,0)))</f>
        <v/>
      </c>
      <c r="J560" s="8">
        <f>IF(ISNA(MATCH(547,Engine!$C$2:$C$679,0)),"",INDEX('Compliance Database'!$J$2:$J$679,MATCH(547,Engine!$C$2:$C$679,0)))</f>
        <v/>
      </c>
      <c r="K560">
        <f>IF(ISNA(MATCH(547,Engine!$C$2:$C$679,0)),"",INDEX('Compliance Database'!$K$2:$K$679,MATCH(547,Engine!$C$2:$C$679,0)))</f>
        <v/>
      </c>
      <c r="L560" s="8">
        <f>IF(ISNA(MATCH(547,Engine!$C$2:$C$679,0)),"",INDEX('Compliance Database'!$L$2:$L$679,MATCH(547,Engine!$C$2:$C$679,0)))</f>
        <v/>
      </c>
      <c r="M560" s="8">
        <f>IF(ISNA(MATCH(547,Engine!$C$2:$C$679,0)),"",INDEX('Compliance Database'!$M$2:$M$679,MATCH(547,Engine!$C$2:$C$679,0)))</f>
        <v/>
      </c>
      <c r="N560" s="8">
        <f>IF(ISNA(MATCH(547,Engine!$C$2:$C$679,0)),"",INDEX('Compliance Database'!$N$2:$N$679,MATCH(547,Engine!$C$2:$C$679,0)))</f>
        <v/>
      </c>
      <c r="O560" s="8">
        <f>IF(ISNA(MATCH(547,Engine!$C$2:$C$679,0)),"",INDEX('Compliance Database'!$O$2:$O$679,MATCH(547,Engine!$C$2:$C$679,0)))</f>
        <v/>
      </c>
      <c r="P560">
        <f>IF(ISNA(MATCH(547,Engine!$C$2:$C$679,0)),"",HYPERLINK(INDEX('Compliance Database'!$P$2:$P$679,MATCH(547,Engine!$C$2:$C$679,0)),"Open PDF"))</f>
        <v/>
      </c>
    </row>
    <row r="561">
      <c r="A561">
        <f>IF(ISNA(MATCH(548,Engine!$C$2:$C$679,0)),"",INDEX('Compliance Database'!$A$2:$A$679,MATCH(548,Engine!$C$2:$C$679,0)))</f>
        <v/>
      </c>
      <c r="B561">
        <f>IF(ISNA(MATCH(548,Engine!$C$2:$C$679,0)),"",INDEX('Compliance Database'!$B$2:$B$679,MATCH(548,Engine!$C$2:$C$679,0)))</f>
        <v/>
      </c>
      <c r="C561">
        <f>IF(ISNA(MATCH(548,Engine!$C$2:$C$679,0)),"",INDEX('Compliance Database'!$C$2:$C$679,MATCH(548,Engine!$C$2:$C$679,0)))</f>
        <v/>
      </c>
      <c r="D561" s="8">
        <f>IF(ISNA(MATCH(548,Engine!$C$2:$C$679,0)),"",INDEX('Compliance Database'!$D$2:$D$679,MATCH(548,Engine!$C$2:$C$679,0)))</f>
        <v/>
      </c>
      <c r="E561">
        <f>IF(ISNA(MATCH(548,Engine!$C$2:$C$679,0)),"",INDEX('Compliance Database'!$E$2:$E$679,MATCH(548,Engine!$C$2:$C$679,0)))</f>
        <v/>
      </c>
      <c r="F561">
        <f>IF(ISNA(MATCH(548,Engine!$C$2:$C$679,0)),"",INDEX('Compliance Database'!$F$2:$F$679,MATCH(548,Engine!$C$2:$C$679,0)))</f>
        <v/>
      </c>
      <c r="G561">
        <f>IF(ISNA(MATCH(548,Engine!$C$2:$C$679,0)),"",INDEX('Compliance Database'!$G$2:$G$679,MATCH(548,Engine!$C$2:$C$679,0)))</f>
        <v/>
      </c>
      <c r="H561">
        <f>IF(ISNA(MATCH(548,Engine!$C$2:$C$679,0)),"",INDEX('Compliance Database'!$H$2:$H$679,MATCH(548,Engine!$C$2:$C$679,0)))</f>
        <v/>
      </c>
      <c r="I561" s="8">
        <f>IF(ISNA(MATCH(548,Engine!$C$2:$C$679,0)),"",INDEX('Compliance Database'!$I$2:$I$679,MATCH(548,Engine!$C$2:$C$679,0)))</f>
        <v/>
      </c>
      <c r="J561" s="8">
        <f>IF(ISNA(MATCH(548,Engine!$C$2:$C$679,0)),"",INDEX('Compliance Database'!$J$2:$J$679,MATCH(548,Engine!$C$2:$C$679,0)))</f>
        <v/>
      </c>
      <c r="K561">
        <f>IF(ISNA(MATCH(548,Engine!$C$2:$C$679,0)),"",INDEX('Compliance Database'!$K$2:$K$679,MATCH(548,Engine!$C$2:$C$679,0)))</f>
        <v/>
      </c>
      <c r="L561" s="8">
        <f>IF(ISNA(MATCH(548,Engine!$C$2:$C$679,0)),"",INDEX('Compliance Database'!$L$2:$L$679,MATCH(548,Engine!$C$2:$C$679,0)))</f>
        <v/>
      </c>
      <c r="M561" s="8">
        <f>IF(ISNA(MATCH(548,Engine!$C$2:$C$679,0)),"",INDEX('Compliance Database'!$M$2:$M$679,MATCH(548,Engine!$C$2:$C$679,0)))</f>
        <v/>
      </c>
      <c r="N561" s="8">
        <f>IF(ISNA(MATCH(548,Engine!$C$2:$C$679,0)),"",INDEX('Compliance Database'!$N$2:$N$679,MATCH(548,Engine!$C$2:$C$679,0)))</f>
        <v/>
      </c>
      <c r="O561" s="8">
        <f>IF(ISNA(MATCH(548,Engine!$C$2:$C$679,0)),"",INDEX('Compliance Database'!$O$2:$O$679,MATCH(548,Engine!$C$2:$C$679,0)))</f>
        <v/>
      </c>
      <c r="P561">
        <f>IF(ISNA(MATCH(548,Engine!$C$2:$C$679,0)),"",HYPERLINK(INDEX('Compliance Database'!$P$2:$P$679,MATCH(548,Engine!$C$2:$C$679,0)),"Open PDF"))</f>
        <v/>
      </c>
    </row>
    <row r="562">
      <c r="A562">
        <f>IF(ISNA(MATCH(549,Engine!$C$2:$C$679,0)),"",INDEX('Compliance Database'!$A$2:$A$679,MATCH(549,Engine!$C$2:$C$679,0)))</f>
        <v/>
      </c>
      <c r="B562">
        <f>IF(ISNA(MATCH(549,Engine!$C$2:$C$679,0)),"",INDEX('Compliance Database'!$B$2:$B$679,MATCH(549,Engine!$C$2:$C$679,0)))</f>
        <v/>
      </c>
      <c r="C562">
        <f>IF(ISNA(MATCH(549,Engine!$C$2:$C$679,0)),"",INDEX('Compliance Database'!$C$2:$C$679,MATCH(549,Engine!$C$2:$C$679,0)))</f>
        <v/>
      </c>
      <c r="D562" s="8">
        <f>IF(ISNA(MATCH(549,Engine!$C$2:$C$679,0)),"",INDEX('Compliance Database'!$D$2:$D$679,MATCH(549,Engine!$C$2:$C$679,0)))</f>
        <v/>
      </c>
      <c r="E562">
        <f>IF(ISNA(MATCH(549,Engine!$C$2:$C$679,0)),"",INDEX('Compliance Database'!$E$2:$E$679,MATCH(549,Engine!$C$2:$C$679,0)))</f>
        <v/>
      </c>
      <c r="F562">
        <f>IF(ISNA(MATCH(549,Engine!$C$2:$C$679,0)),"",INDEX('Compliance Database'!$F$2:$F$679,MATCH(549,Engine!$C$2:$C$679,0)))</f>
        <v/>
      </c>
      <c r="G562">
        <f>IF(ISNA(MATCH(549,Engine!$C$2:$C$679,0)),"",INDEX('Compliance Database'!$G$2:$G$679,MATCH(549,Engine!$C$2:$C$679,0)))</f>
        <v/>
      </c>
      <c r="H562">
        <f>IF(ISNA(MATCH(549,Engine!$C$2:$C$679,0)),"",INDEX('Compliance Database'!$H$2:$H$679,MATCH(549,Engine!$C$2:$C$679,0)))</f>
        <v/>
      </c>
      <c r="I562" s="8">
        <f>IF(ISNA(MATCH(549,Engine!$C$2:$C$679,0)),"",INDEX('Compliance Database'!$I$2:$I$679,MATCH(549,Engine!$C$2:$C$679,0)))</f>
        <v/>
      </c>
      <c r="J562" s="8">
        <f>IF(ISNA(MATCH(549,Engine!$C$2:$C$679,0)),"",INDEX('Compliance Database'!$J$2:$J$679,MATCH(549,Engine!$C$2:$C$679,0)))</f>
        <v/>
      </c>
      <c r="K562">
        <f>IF(ISNA(MATCH(549,Engine!$C$2:$C$679,0)),"",INDEX('Compliance Database'!$K$2:$K$679,MATCH(549,Engine!$C$2:$C$679,0)))</f>
        <v/>
      </c>
      <c r="L562" s="8">
        <f>IF(ISNA(MATCH(549,Engine!$C$2:$C$679,0)),"",INDEX('Compliance Database'!$L$2:$L$679,MATCH(549,Engine!$C$2:$C$679,0)))</f>
        <v/>
      </c>
      <c r="M562" s="8">
        <f>IF(ISNA(MATCH(549,Engine!$C$2:$C$679,0)),"",INDEX('Compliance Database'!$M$2:$M$679,MATCH(549,Engine!$C$2:$C$679,0)))</f>
        <v/>
      </c>
      <c r="N562" s="8">
        <f>IF(ISNA(MATCH(549,Engine!$C$2:$C$679,0)),"",INDEX('Compliance Database'!$N$2:$N$679,MATCH(549,Engine!$C$2:$C$679,0)))</f>
        <v/>
      </c>
      <c r="O562" s="8">
        <f>IF(ISNA(MATCH(549,Engine!$C$2:$C$679,0)),"",INDEX('Compliance Database'!$O$2:$O$679,MATCH(549,Engine!$C$2:$C$679,0)))</f>
        <v/>
      </c>
      <c r="P562">
        <f>IF(ISNA(MATCH(549,Engine!$C$2:$C$679,0)),"",HYPERLINK(INDEX('Compliance Database'!$P$2:$P$679,MATCH(549,Engine!$C$2:$C$679,0)),"Open PDF"))</f>
        <v/>
      </c>
    </row>
    <row r="563">
      <c r="A563">
        <f>IF(ISNA(MATCH(550,Engine!$C$2:$C$679,0)),"",INDEX('Compliance Database'!$A$2:$A$679,MATCH(550,Engine!$C$2:$C$679,0)))</f>
        <v/>
      </c>
      <c r="B563">
        <f>IF(ISNA(MATCH(550,Engine!$C$2:$C$679,0)),"",INDEX('Compliance Database'!$B$2:$B$679,MATCH(550,Engine!$C$2:$C$679,0)))</f>
        <v/>
      </c>
      <c r="C563">
        <f>IF(ISNA(MATCH(550,Engine!$C$2:$C$679,0)),"",INDEX('Compliance Database'!$C$2:$C$679,MATCH(550,Engine!$C$2:$C$679,0)))</f>
        <v/>
      </c>
      <c r="D563" s="8">
        <f>IF(ISNA(MATCH(550,Engine!$C$2:$C$679,0)),"",INDEX('Compliance Database'!$D$2:$D$679,MATCH(550,Engine!$C$2:$C$679,0)))</f>
        <v/>
      </c>
      <c r="E563">
        <f>IF(ISNA(MATCH(550,Engine!$C$2:$C$679,0)),"",INDEX('Compliance Database'!$E$2:$E$679,MATCH(550,Engine!$C$2:$C$679,0)))</f>
        <v/>
      </c>
      <c r="F563">
        <f>IF(ISNA(MATCH(550,Engine!$C$2:$C$679,0)),"",INDEX('Compliance Database'!$F$2:$F$679,MATCH(550,Engine!$C$2:$C$679,0)))</f>
        <v/>
      </c>
      <c r="G563">
        <f>IF(ISNA(MATCH(550,Engine!$C$2:$C$679,0)),"",INDEX('Compliance Database'!$G$2:$G$679,MATCH(550,Engine!$C$2:$C$679,0)))</f>
        <v/>
      </c>
      <c r="H563">
        <f>IF(ISNA(MATCH(550,Engine!$C$2:$C$679,0)),"",INDEX('Compliance Database'!$H$2:$H$679,MATCH(550,Engine!$C$2:$C$679,0)))</f>
        <v/>
      </c>
      <c r="I563" s="8">
        <f>IF(ISNA(MATCH(550,Engine!$C$2:$C$679,0)),"",INDEX('Compliance Database'!$I$2:$I$679,MATCH(550,Engine!$C$2:$C$679,0)))</f>
        <v/>
      </c>
      <c r="J563" s="8">
        <f>IF(ISNA(MATCH(550,Engine!$C$2:$C$679,0)),"",INDEX('Compliance Database'!$J$2:$J$679,MATCH(550,Engine!$C$2:$C$679,0)))</f>
        <v/>
      </c>
      <c r="K563">
        <f>IF(ISNA(MATCH(550,Engine!$C$2:$C$679,0)),"",INDEX('Compliance Database'!$K$2:$K$679,MATCH(550,Engine!$C$2:$C$679,0)))</f>
        <v/>
      </c>
      <c r="L563" s="8">
        <f>IF(ISNA(MATCH(550,Engine!$C$2:$C$679,0)),"",INDEX('Compliance Database'!$L$2:$L$679,MATCH(550,Engine!$C$2:$C$679,0)))</f>
        <v/>
      </c>
      <c r="M563" s="8">
        <f>IF(ISNA(MATCH(550,Engine!$C$2:$C$679,0)),"",INDEX('Compliance Database'!$M$2:$M$679,MATCH(550,Engine!$C$2:$C$679,0)))</f>
        <v/>
      </c>
      <c r="N563" s="8">
        <f>IF(ISNA(MATCH(550,Engine!$C$2:$C$679,0)),"",INDEX('Compliance Database'!$N$2:$N$679,MATCH(550,Engine!$C$2:$C$679,0)))</f>
        <v/>
      </c>
      <c r="O563" s="8">
        <f>IF(ISNA(MATCH(550,Engine!$C$2:$C$679,0)),"",INDEX('Compliance Database'!$O$2:$O$679,MATCH(550,Engine!$C$2:$C$679,0)))</f>
        <v/>
      </c>
      <c r="P563">
        <f>IF(ISNA(MATCH(550,Engine!$C$2:$C$679,0)),"",HYPERLINK(INDEX('Compliance Database'!$P$2:$P$679,MATCH(550,Engine!$C$2:$C$679,0)),"Open PDF"))</f>
        <v/>
      </c>
    </row>
    <row r="564">
      <c r="A564">
        <f>IF(ISNA(MATCH(551,Engine!$C$2:$C$679,0)),"",INDEX('Compliance Database'!$A$2:$A$679,MATCH(551,Engine!$C$2:$C$679,0)))</f>
        <v/>
      </c>
      <c r="B564">
        <f>IF(ISNA(MATCH(551,Engine!$C$2:$C$679,0)),"",INDEX('Compliance Database'!$B$2:$B$679,MATCH(551,Engine!$C$2:$C$679,0)))</f>
        <v/>
      </c>
      <c r="C564">
        <f>IF(ISNA(MATCH(551,Engine!$C$2:$C$679,0)),"",INDEX('Compliance Database'!$C$2:$C$679,MATCH(551,Engine!$C$2:$C$679,0)))</f>
        <v/>
      </c>
      <c r="D564" s="8">
        <f>IF(ISNA(MATCH(551,Engine!$C$2:$C$679,0)),"",INDEX('Compliance Database'!$D$2:$D$679,MATCH(551,Engine!$C$2:$C$679,0)))</f>
        <v/>
      </c>
      <c r="E564">
        <f>IF(ISNA(MATCH(551,Engine!$C$2:$C$679,0)),"",INDEX('Compliance Database'!$E$2:$E$679,MATCH(551,Engine!$C$2:$C$679,0)))</f>
        <v/>
      </c>
      <c r="F564">
        <f>IF(ISNA(MATCH(551,Engine!$C$2:$C$679,0)),"",INDEX('Compliance Database'!$F$2:$F$679,MATCH(551,Engine!$C$2:$C$679,0)))</f>
        <v/>
      </c>
      <c r="G564">
        <f>IF(ISNA(MATCH(551,Engine!$C$2:$C$679,0)),"",INDEX('Compliance Database'!$G$2:$G$679,MATCH(551,Engine!$C$2:$C$679,0)))</f>
        <v/>
      </c>
      <c r="H564">
        <f>IF(ISNA(MATCH(551,Engine!$C$2:$C$679,0)),"",INDEX('Compliance Database'!$H$2:$H$679,MATCH(551,Engine!$C$2:$C$679,0)))</f>
        <v/>
      </c>
      <c r="I564" s="8">
        <f>IF(ISNA(MATCH(551,Engine!$C$2:$C$679,0)),"",INDEX('Compliance Database'!$I$2:$I$679,MATCH(551,Engine!$C$2:$C$679,0)))</f>
        <v/>
      </c>
      <c r="J564" s="8">
        <f>IF(ISNA(MATCH(551,Engine!$C$2:$C$679,0)),"",INDEX('Compliance Database'!$J$2:$J$679,MATCH(551,Engine!$C$2:$C$679,0)))</f>
        <v/>
      </c>
      <c r="K564">
        <f>IF(ISNA(MATCH(551,Engine!$C$2:$C$679,0)),"",INDEX('Compliance Database'!$K$2:$K$679,MATCH(551,Engine!$C$2:$C$679,0)))</f>
        <v/>
      </c>
      <c r="L564" s="8">
        <f>IF(ISNA(MATCH(551,Engine!$C$2:$C$679,0)),"",INDEX('Compliance Database'!$L$2:$L$679,MATCH(551,Engine!$C$2:$C$679,0)))</f>
        <v/>
      </c>
      <c r="M564" s="8">
        <f>IF(ISNA(MATCH(551,Engine!$C$2:$C$679,0)),"",INDEX('Compliance Database'!$M$2:$M$679,MATCH(551,Engine!$C$2:$C$679,0)))</f>
        <v/>
      </c>
      <c r="N564" s="8">
        <f>IF(ISNA(MATCH(551,Engine!$C$2:$C$679,0)),"",INDEX('Compliance Database'!$N$2:$N$679,MATCH(551,Engine!$C$2:$C$679,0)))</f>
        <v/>
      </c>
      <c r="O564" s="8">
        <f>IF(ISNA(MATCH(551,Engine!$C$2:$C$679,0)),"",INDEX('Compliance Database'!$O$2:$O$679,MATCH(551,Engine!$C$2:$C$679,0)))</f>
        <v/>
      </c>
      <c r="P564">
        <f>IF(ISNA(MATCH(551,Engine!$C$2:$C$679,0)),"",HYPERLINK(INDEX('Compliance Database'!$P$2:$P$679,MATCH(551,Engine!$C$2:$C$679,0)),"Open PDF"))</f>
        <v/>
      </c>
    </row>
    <row r="565">
      <c r="A565">
        <f>IF(ISNA(MATCH(552,Engine!$C$2:$C$679,0)),"",INDEX('Compliance Database'!$A$2:$A$679,MATCH(552,Engine!$C$2:$C$679,0)))</f>
        <v/>
      </c>
      <c r="B565">
        <f>IF(ISNA(MATCH(552,Engine!$C$2:$C$679,0)),"",INDEX('Compliance Database'!$B$2:$B$679,MATCH(552,Engine!$C$2:$C$679,0)))</f>
        <v/>
      </c>
      <c r="C565">
        <f>IF(ISNA(MATCH(552,Engine!$C$2:$C$679,0)),"",INDEX('Compliance Database'!$C$2:$C$679,MATCH(552,Engine!$C$2:$C$679,0)))</f>
        <v/>
      </c>
      <c r="D565" s="8">
        <f>IF(ISNA(MATCH(552,Engine!$C$2:$C$679,0)),"",INDEX('Compliance Database'!$D$2:$D$679,MATCH(552,Engine!$C$2:$C$679,0)))</f>
        <v/>
      </c>
      <c r="E565">
        <f>IF(ISNA(MATCH(552,Engine!$C$2:$C$679,0)),"",INDEX('Compliance Database'!$E$2:$E$679,MATCH(552,Engine!$C$2:$C$679,0)))</f>
        <v/>
      </c>
      <c r="F565">
        <f>IF(ISNA(MATCH(552,Engine!$C$2:$C$679,0)),"",INDEX('Compliance Database'!$F$2:$F$679,MATCH(552,Engine!$C$2:$C$679,0)))</f>
        <v/>
      </c>
      <c r="G565">
        <f>IF(ISNA(MATCH(552,Engine!$C$2:$C$679,0)),"",INDEX('Compliance Database'!$G$2:$G$679,MATCH(552,Engine!$C$2:$C$679,0)))</f>
        <v/>
      </c>
      <c r="H565">
        <f>IF(ISNA(MATCH(552,Engine!$C$2:$C$679,0)),"",INDEX('Compliance Database'!$H$2:$H$679,MATCH(552,Engine!$C$2:$C$679,0)))</f>
        <v/>
      </c>
      <c r="I565" s="8">
        <f>IF(ISNA(MATCH(552,Engine!$C$2:$C$679,0)),"",INDEX('Compliance Database'!$I$2:$I$679,MATCH(552,Engine!$C$2:$C$679,0)))</f>
        <v/>
      </c>
      <c r="J565" s="8">
        <f>IF(ISNA(MATCH(552,Engine!$C$2:$C$679,0)),"",INDEX('Compliance Database'!$J$2:$J$679,MATCH(552,Engine!$C$2:$C$679,0)))</f>
        <v/>
      </c>
      <c r="K565">
        <f>IF(ISNA(MATCH(552,Engine!$C$2:$C$679,0)),"",INDEX('Compliance Database'!$K$2:$K$679,MATCH(552,Engine!$C$2:$C$679,0)))</f>
        <v/>
      </c>
      <c r="L565" s="8">
        <f>IF(ISNA(MATCH(552,Engine!$C$2:$C$679,0)),"",INDEX('Compliance Database'!$L$2:$L$679,MATCH(552,Engine!$C$2:$C$679,0)))</f>
        <v/>
      </c>
      <c r="M565" s="8">
        <f>IF(ISNA(MATCH(552,Engine!$C$2:$C$679,0)),"",INDEX('Compliance Database'!$M$2:$M$679,MATCH(552,Engine!$C$2:$C$679,0)))</f>
        <v/>
      </c>
      <c r="N565" s="8">
        <f>IF(ISNA(MATCH(552,Engine!$C$2:$C$679,0)),"",INDEX('Compliance Database'!$N$2:$N$679,MATCH(552,Engine!$C$2:$C$679,0)))</f>
        <v/>
      </c>
      <c r="O565" s="8">
        <f>IF(ISNA(MATCH(552,Engine!$C$2:$C$679,0)),"",INDEX('Compliance Database'!$O$2:$O$679,MATCH(552,Engine!$C$2:$C$679,0)))</f>
        <v/>
      </c>
      <c r="P565">
        <f>IF(ISNA(MATCH(552,Engine!$C$2:$C$679,0)),"",HYPERLINK(INDEX('Compliance Database'!$P$2:$P$679,MATCH(552,Engine!$C$2:$C$679,0)),"Open PDF"))</f>
        <v/>
      </c>
    </row>
    <row r="566">
      <c r="A566">
        <f>IF(ISNA(MATCH(553,Engine!$C$2:$C$679,0)),"",INDEX('Compliance Database'!$A$2:$A$679,MATCH(553,Engine!$C$2:$C$679,0)))</f>
        <v/>
      </c>
      <c r="B566">
        <f>IF(ISNA(MATCH(553,Engine!$C$2:$C$679,0)),"",INDEX('Compliance Database'!$B$2:$B$679,MATCH(553,Engine!$C$2:$C$679,0)))</f>
        <v/>
      </c>
      <c r="C566">
        <f>IF(ISNA(MATCH(553,Engine!$C$2:$C$679,0)),"",INDEX('Compliance Database'!$C$2:$C$679,MATCH(553,Engine!$C$2:$C$679,0)))</f>
        <v/>
      </c>
      <c r="D566" s="8">
        <f>IF(ISNA(MATCH(553,Engine!$C$2:$C$679,0)),"",INDEX('Compliance Database'!$D$2:$D$679,MATCH(553,Engine!$C$2:$C$679,0)))</f>
        <v/>
      </c>
      <c r="E566">
        <f>IF(ISNA(MATCH(553,Engine!$C$2:$C$679,0)),"",INDEX('Compliance Database'!$E$2:$E$679,MATCH(553,Engine!$C$2:$C$679,0)))</f>
        <v/>
      </c>
      <c r="F566">
        <f>IF(ISNA(MATCH(553,Engine!$C$2:$C$679,0)),"",INDEX('Compliance Database'!$F$2:$F$679,MATCH(553,Engine!$C$2:$C$679,0)))</f>
        <v/>
      </c>
      <c r="G566">
        <f>IF(ISNA(MATCH(553,Engine!$C$2:$C$679,0)),"",INDEX('Compliance Database'!$G$2:$G$679,MATCH(553,Engine!$C$2:$C$679,0)))</f>
        <v/>
      </c>
      <c r="H566">
        <f>IF(ISNA(MATCH(553,Engine!$C$2:$C$679,0)),"",INDEX('Compliance Database'!$H$2:$H$679,MATCH(553,Engine!$C$2:$C$679,0)))</f>
        <v/>
      </c>
      <c r="I566" s="8">
        <f>IF(ISNA(MATCH(553,Engine!$C$2:$C$679,0)),"",INDEX('Compliance Database'!$I$2:$I$679,MATCH(553,Engine!$C$2:$C$679,0)))</f>
        <v/>
      </c>
      <c r="J566" s="8">
        <f>IF(ISNA(MATCH(553,Engine!$C$2:$C$679,0)),"",INDEX('Compliance Database'!$J$2:$J$679,MATCH(553,Engine!$C$2:$C$679,0)))</f>
        <v/>
      </c>
      <c r="K566">
        <f>IF(ISNA(MATCH(553,Engine!$C$2:$C$679,0)),"",INDEX('Compliance Database'!$K$2:$K$679,MATCH(553,Engine!$C$2:$C$679,0)))</f>
        <v/>
      </c>
      <c r="L566" s="8">
        <f>IF(ISNA(MATCH(553,Engine!$C$2:$C$679,0)),"",INDEX('Compliance Database'!$L$2:$L$679,MATCH(553,Engine!$C$2:$C$679,0)))</f>
        <v/>
      </c>
      <c r="M566" s="8">
        <f>IF(ISNA(MATCH(553,Engine!$C$2:$C$679,0)),"",INDEX('Compliance Database'!$M$2:$M$679,MATCH(553,Engine!$C$2:$C$679,0)))</f>
        <v/>
      </c>
      <c r="N566" s="8">
        <f>IF(ISNA(MATCH(553,Engine!$C$2:$C$679,0)),"",INDEX('Compliance Database'!$N$2:$N$679,MATCH(553,Engine!$C$2:$C$679,0)))</f>
        <v/>
      </c>
      <c r="O566" s="8">
        <f>IF(ISNA(MATCH(553,Engine!$C$2:$C$679,0)),"",INDEX('Compliance Database'!$O$2:$O$679,MATCH(553,Engine!$C$2:$C$679,0)))</f>
        <v/>
      </c>
      <c r="P566">
        <f>IF(ISNA(MATCH(553,Engine!$C$2:$C$679,0)),"",HYPERLINK(INDEX('Compliance Database'!$P$2:$P$679,MATCH(553,Engine!$C$2:$C$679,0)),"Open PDF"))</f>
        <v/>
      </c>
    </row>
    <row r="567">
      <c r="A567">
        <f>IF(ISNA(MATCH(554,Engine!$C$2:$C$679,0)),"",INDEX('Compliance Database'!$A$2:$A$679,MATCH(554,Engine!$C$2:$C$679,0)))</f>
        <v/>
      </c>
      <c r="B567">
        <f>IF(ISNA(MATCH(554,Engine!$C$2:$C$679,0)),"",INDEX('Compliance Database'!$B$2:$B$679,MATCH(554,Engine!$C$2:$C$679,0)))</f>
        <v/>
      </c>
      <c r="C567">
        <f>IF(ISNA(MATCH(554,Engine!$C$2:$C$679,0)),"",INDEX('Compliance Database'!$C$2:$C$679,MATCH(554,Engine!$C$2:$C$679,0)))</f>
        <v/>
      </c>
      <c r="D567" s="8">
        <f>IF(ISNA(MATCH(554,Engine!$C$2:$C$679,0)),"",INDEX('Compliance Database'!$D$2:$D$679,MATCH(554,Engine!$C$2:$C$679,0)))</f>
        <v/>
      </c>
      <c r="E567">
        <f>IF(ISNA(MATCH(554,Engine!$C$2:$C$679,0)),"",INDEX('Compliance Database'!$E$2:$E$679,MATCH(554,Engine!$C$2:$C$679,0)))</f>
        <v/>
      </c>
      <c r="F567">
        <f>IF(ISNA(MATCH(554,Engine!$C$2:$C$679,0)),"",INDEX('Compliance Database'!$F$2:$F$679,MATCH(554,Engine!$C$2:$C$679,0)))</f>
        <v/>
      </c>
      <c r="G567">
        <f>IF(ISNA(MATCH(554,Engine!$C$2:$C$679,0)),"",INDEX('Compliance Database'!$G$2:$G$679,MATCH(554,Engine!$C$2:$C$679,0)))</f>
        <v/>
      </c>
      <c r="H567">
        <f>IF(ISNA(MATCH(554,Engine!$C$2:$C$679,0)),"",INDEX('Compliance Database'!$H$2:$H$679,MATCH(554,Engine!$C$2:$C$679,0)))</f>
        <v/>
      </c>
      <c r="I567" s="8">
        <f>IF(ISNA(MATCH(554,Engine!$C$2:$C$679,0)),"",INDEX('Compliance Database'!$I$2:$I$679,MATCH(554,Engine!$C$2:$C$679,0)))</f>
        <v/>
      </c>
      <c r="J567" s="8">
        <f>IF(ISNA(MATCH(554,Engine!$C$2:$C$679,0)),"",INDEX('Compliance Database'!$J$2:$J$679,MATCH(554,Engine!$C$2:$C$679,0)))</f>
        <v/>
      </c>
      <c r="K567">
        <f>IF(ISNA(MATCH(554,Engine!$C$2:$C$679,0)),"",INDEX('Compliance Database'!$K$2:$K$679,MATCH(554,Engine!$C$2:$C$679,0)))</f>
        <v/>
      </c>
      <c r="L567" s="8">
        <f>IF(ISNA(MATCH(554,Engine!$C$2:$C$679,0)),"",INDEX('Compliance Database'!$L$2:$L$679,MATCH(554,Engine!$C$2:$C$679,0)))</f>
        <v/>
      </c>
      <c r="M567" s="8">
        <f>IF(ISNA(MATCH(554,Engine!$C$2:$C$679,0)),"",INDEX('Compliance Database'!$M$2:$M$679,MATCH(554,Engine!$C$2:$C$679,0)))</f>
        <v/>
      </c>
      <c r="N567" s="8">
        <f>IF(ISNA(MATCH(554,Engine!$C$2:$C$679,0)),"",INDEX('Compliance Database'!$N$2:$N$679,MATCH(554,Engine!$C$2:$C$679,0)))</f>
        <v/>
      </c>
      <c r="O567" s="8">
        <f>IF(ISNA(MATCH(554,Engine!$C$2:$C$679,0)),"",INDEX('Compliance Database'!$O$2:$O$679,MATCH(554,Engine!$C$2:$C$679,0)))</f>
        <v/>
      </c>
      <c r="P567">
        <f>IF(ISNA(MATCH(554,Engine!$C$2:$C$679,0)),"",HYPERLINK(INDEX('Compliance Database'!$P$2:$P$679,MATCH(554,Engine!$C$2:$C$679,0)),"Open PDF"))</f>
        <v/>
      </c>
    </row>
    <row r="568">
      <c r="A568">
        <f>IF(ISNA(MATCH(555,Engine!$C$2:$C$679,0)),"",INDEX('Compliance Database'!$A$2:$A$679,MATCH(555,Engine!$C$2:$C$679,0)))</f>
        <v/>
      </c>
      <c r="B568">
        <f>IF(ISNA(MATCH(555,Engine!$C$2:$C$679,0)),"",INDEX('Compliance Database'!$B$2:$B$679,MATCH(555,Engine!$C$2:$C$679,0)))</f>
        <v/>
      </c>
      <c r="C568">
        <f>IF(ISNA(MATCH(555,Engine!$C$2:$C$679,0)),"",INDEX('Compliance Database'!$C$2:$C$679,MATCH(555,Engine!$C$2:$C$679,0)))</f>
        <v/>
      </c>
      <c r="D568" s="8">
        <f>IF(ISNA(MATCH(555,Engine!$C$2:$C$679,0)),"",INDEX('Compliance Database'!$D$2:$D$679,MATCH(555,Engine!$C$2:$C$679,0)))</f>
        <v/>
      </c>
      <c r="E568">
        <f>IF(ISNA(MATCH(555,Engine!$C$2:$C$679,0)),"",INDEX('Compliance Database'!$E$2:$E$679,MATCH(555,Engine!$C$2:$C$679,0)))</f>
        <v/>
      </c>
      <c r="F568">
        <f>IF(ISNA(MATCH(555,Engine!$C$2:$C$679,0)),"",INDEX('Compliance Database'!$F$2:$F$679,MATCH(555,Engine!$C$2:$C$679,0)))</f>
        <v/>
      </c>
      <c r="G568">
        <f>IF(ISNA(MATCH(555,Engine!$C$2:$C$679,0)),"",INDEX('Compliance Database'!$G$2:$G$679,MATCH(555,Engine!$C$2:$C$679,0)))</f>
        <v/>
      </c>
      <c r="H568">
        <f>IF(ISNA(MATCH(555,Engine!$C$2:$C$679,0)),"",INDEX('Compliance Database'!$H$2:$H$679,MATCH(555,Engine!$C$2:$C$679,0)))</f>
        <v/>
      </c>
      <c r="I568" s="8">
        <f>IF(ISNA(MATCH(555,Engine!$C$2:$C$679,0)),"",INDEX('Compliance Database'!$I$2:$I$679,MATCH(555,Engine!$C$2:$C$679,0)))</f>
        <v/>
      </c>
      <c r="J568" s="8">
        <f>IF(ISNA(MATCH(555,Engine!$C$2:$C$679,0)),"",INDEX('Compliance Database'!$J$2:$J$679,MATCH(555,Engine!$C$2:$C$679,0)))</f>
        <v/>
      </c>
      <c r="K568">
        <f>IF(ISNA(MATCH(555,Engine!$C$2:$C$679,0)),"",INDEX('Compliance Database'!$K$2:$K$679,MATCH(555,Engine!$C$2:$C$679,0)))</f>
        <v/>
      </c>
      <c r="L568" s="8">
        <f>IF(ISNA(MATCH(555,Engine!$C$2:$C$679,0)),"",INDEX('Compliance Database'!$L$2:$L$679,MATCH(555,Engine!$C$2:$C$679,0)))</f>
        <v/>
      </c>
      <c r="M568" s="8">
        <f>IF(ISNA(MATCH(555,Engine!$C$2:$C$679,0)),"",INDEX('Compliance Database'!$M$2:$M$679,MATCH(555,Engine!$C$2:$C$679,0)))</f>
        <v/>
      </c>
      <c r="N568" s="8">
        <f>IF(ISNA(MATCH(555,Engine!$C$2:$C$679,0)),"",INDEX('Compliance Database'!$N$2:$N$679,MATCH(555,Engine!$C$2:$C$679,0)))</f>
        <v/>
      </c>
      <c r="O568" s="8">
        <f>IF(ISNA(MATCH(555,Engine!$C$2:$C$679,0)),"",INDEX('Compliance Database'!$O$2:$O$679,MATCH(555,Engine!$C$2:$C$679,0)))</f>
        <v/>
      </c>
      <c r="P568">
        <f>IF(ISNA(MATCH(555,Engine!$C$2:$C$679,0)),"",HYPERLINK(INDEX('Compliance Database'!$P$2:$P$679,MATCH(555,Engine!$C$2:$C$679,0)),"Open PDF"))</f>
        <v/>
      </c>
    </row>
    <row r="569">
      <c r="A569">
        <f>IF(ISNA(MATCH(556,Engine!$C$2:$C$679,0)),"",INDEX('Compliance Database'!$A$2:$A$679,MATCH(556,Engine!$C$2:$C$679,0)))</f>
        <v/>
      </c>
      <c r="B569">
        <f>IF(ISNA(MATCH(556,Engine!$C$2:$C$679,0)),"",INDEX('Compliance Database'!$B$2:$B$679,MATCH(556,Engine!$C$2:$C$679,0)))</f>
        <v/>
      </c>
      <c r="C569">
        <f>IF(ISNA(MATCH(556,Engine!$C$2:$C$679,0)),"",INDEX('Compliance Database'!$C$2:$C$679,MATCH(556,Engine!$C$2:$C$679,0)))</f>
        <v/>
      </c>
      <c r="D569" s="8">
        <f>IF(ISNA(MATCH(556,Engine!$C$2:$C$679,0)),"",INDEX('Compliance Database'!$D$2:$D$679,MATCH(556,Engine!$C$2:$C$679,0)))</f>
        <v/>
      </c>
      <c r="E569">
        <f>IF(ISNA(MATCH(556,Engine!$C$2:$C$679,0)),"",INDEX('Compliance Database'!$E$2:$E$679,MATCH(556,Engine!$C$2:$C$679,0)))</f>
        <v/>
      </c>
      <c r="F569">
        <f>IF(ISNA(MATCH(556,Engine!$C$2:$C$679,0)),"",INDEX('Compliance Database'!$F$2:$F$679,MATCH(556,Engine!$C$2:$C$679,0)))</f>
        <v/>
      </c>
      <c r="G569">
        <f>IF(ISNA(MATCH(556,Engine!$C$2:$C$679,0)),"",INDEX('Compliance Database'!$G$2:$G$679,MATCH(556,Engine!$C$2:$C$679,0)))</f>
        <v/>
      </c>
      <c r="H569">
        <f>IF(ISNA(MATCH(556,Engine!$C$2:$C$679,0)),"",INDEX('Compliance Database'!$H$2:$H$679,MATCH(556,Engine!$C$2:$C$679,0)))</f>
        <v/>
      </c>
      <c r="I569" s="8">
        <f>IF(ISNA(MATCH(556,Engine!$C$2:$C$679,0)),"",INDEX('Compliance Database'!$I$2:$I$679,MATCH(556,Engine!$C$2:$C$679,0)))</f>
        <v/>
      </c>
      <c r="J569" s="8">
        <f>IF(ISNA(MATCH(556,Engine!$C$2:$C$679,0)),"",INDEX('Compliance Database'!$J$2:$J$679,MATCH(556,Engine!$C$2:$C$679,0)))</f>
        <v/>
      </c>
      <c r="K569">
        <f>IF(ISNA(MATCH(556,Engine!$C$2:$C$679,0)),"",INDEX('Compliance Database'!$K$2:$K$679,MATCH(556,Engine!$C$2:$C$679,0)))</f>
        <v/>
      </c>
      <c r="L569" s="8">
        <f>IF(ISNA(MATCH(556,Engine!$C$2:$C$679,0)),"",INDEX('Compliance Database'!$L$2:$L$679,MATCH(556,Engine!$C$2:$C$679,0)))</f>
        <v/>
      </c>
      <c r="M569" s="8">
        <f>IF(ISNA(MATCH(556,Engine!$C$2:$C$679,0)),"",INDEX('Compliance Database'!$M$2:$M$679,MATCH(556,Engine!$C$2:$C$679,0)))</f>
        <v/>
      </c>
      <c r="N569" s="8">
        <f>IF(ISNA(MATCH(556,Engine!$C$2:$C$679,0)),"",INDEX('Compliance Database'!$N$2:$N$679,MATCH(556,Engine!$C$2:$C$679,0)))</f>
        <v/>
      </c>
      <c r="O569" s="8">
        <f>IF(ISNA(MATCH(556,Engine!$C$2:$C$679,0)),"",INDEX('Compliance Database'!$O$2:$O$679,MATCH(556,Engine!$C$2:$C$679,0)))</f>
        <v/>
      </c>
      <c r="P569">
        <f>IF(ISNA(MATCH(556,Engine!$C$2:$C$679,0)),"",HYPERLINK(INDEX('Compliance Database'!$P$2:$P$679,MATCH(556,Engine!$C$2:$C$679,0)),"Open PDF"))</f>
        <v/>
      </c>
    </row>
    <row r="570">
      <c r="A570">
        <f>IF(ISNA(MATCH(557,Engine!$C$2:$C$679,0)),"",INDEX('Compliance Database'!$A$2:$A$679,MATCH(557,Engine!$C$2:$C$679,0)))</f>
        <v/>
      </c>
      <c r="B570">
        <f>IF(ISNA(MATCH(557,Engine!$C$2:$C$679,0)),"",INDEX('Compliance Database'!$B$2:$B$679,MATCH(557,Engine!$C$2:$C$679,0)))</f>
        <v/>
      </c>
      <c r="C570">
        <f>IF(ISNA(MATCH(557,Engine!$C$2:$C$679,0)),"",INDEX('Compliance Database'!$C$2:$C$679,MATCH(557,Engine!$C$2:$C$679,0)))</f>
        <v/>
      </c>
      <c r="D570" s="8">
        <f>IF(ISNA(MATCH(557,Engine!$C$2:$C$679,0)),"",INDEX('Compliance Database'!$D$2:$D$679,MATCH(557,Engine!$C$2:$C$679,0)))</f>
        <v/>
      </c>
      <c r="E570">
        <f>IF(ISNA(MATCH(557,Engine!$C$2:$C$679,0)),"",INDEX('Compliance Database'!$E$2:$E$679,MATCH(557,Engine!$C$2:$C$679,0)))</f>
        <v/>
      </c>
      <c r="F570">
        <f>IF(ISNA(MATCH(557,Engine!$C$2:$C$679,0)),"",INDEX('Compliance Database'!$F$2:$F$679,MATCH(557,Engine!$C$2:$C$679,0)))</f>
        <v/>
      </c>
      <c r="G570">
        <f>IF(ISNA(MATCH(557,Engine!$C$2:$C$679,0)),"",INDEX('Compliance Database'!$G$2:$G$679,MATCH(557,Engine!$C$2:$C$679,0)))</f>
        <v/>
      </c>
      <c r="H570">
        <f>IF(ISNA(MATCH(557,Engine!$C$2:$C$679,0)),"",INDEX('Compliance Database'!$H$2:$H$679,MATCH(557,Engine!$C$2:$C$679,0)))</f>
        <v/>
      </c>
      <c r="I570" s="8">
        <f>IF(ISNA(MATCH(557,Engine!$C$2:$C$679,0)),"",INDEX('Compliance Database'!$I$2:$I$679,MATCH(557,Engine!$C$2:$C$679,0)))</f>
        <v/>
      </c>
      <c r="J570" s="8">
        <f>IF(ISNA(MATCH(557,Engine!$C$2:$C$679,0)),"",INDEX('Compliance Database'!$J$2:$J$679,MATCH(557,Engine!$C$2:$C$679,0)))</f>
        <v/>
      </c>
      <c r="K570">
        <f>IF(ISNA(MATCH(557,Engine!$C$2:$C$679,0)),"",INDEX('Compliance Database'!$K$2:$K$679,MATCH(557,Engine!$C$2:$C$679,0)))</f>
        <v/>
      </c>
      <c r="L570" s="8">
        <f>IF(ISNA(MATCH(557,Engine!$C$2:$C$679,0)),"",INDEX('Compliance Database'!$L$2:$L$679,MATCH(557,Engine!$C$2:$C$679,0)))</f>
        <v/>
      </c>
      <c r="M570" s="8">
        <f>IF(ISNA(MATCH(557,Engine!$C$2:$C$679,0)),"",INDEX('Compliance Database'!$M$2:$M$679,MATCH(557,Engine!$C$2:$C$679,0)))</f>
        <v/>
      </c>
      <c r="N570" s="8">
        <f>IF(ISNA(MATCH(557,Engine!$C$2:$C$679,0)),"",INDEX('Compliance Database'!$N$2:$N$679,MATCH(557,Engine!$C$2:$C$679,0)))</f>
        <v/>
      </c>
      <c r="O570" s="8">
        <f>IF(ISNA(MATCH(557,Engine!$C$2:$C$679,0)),"",INDEX('Compliance Database'!$O$2:$O$679,MATCH(557,Engine!$C$2:$C$679,0)))</f>
        <v/>
      </c>
      <c r="P570">
        <f>IF(ISNA(MATCH(557,Engine!$C$2:$C$679,0)),"",HYPERLINK(INDEX('Compliance Database'!$P$2:$P$679,MATCH(557,Engine!$C$2:$C$679,0)),"Open PDF"))</f>
        <v/>
      </c>
    </row>
    <row r="571">
      <c r="A571">
        <f>IF(ISNA(MATCH(558,Engine!$C$2:$C$679,0)),"",INDEX('Compliance Database'!$A$2:$A$679,MATCH(558,Engine!$C$2:$C$679,0)))</f>
        <v/>
      </c>
      <c r="B571">
        <f>IF(ISNA(MATCH(558,Engine!$C$2:$C$679,0)),"",INDEX('Compliance Database'!$B$2:$B$679,MATCH(558,Engine!$C$2:$C$679,0)))</f>
        <v/>
      </c>
      <c r="C571">
        <f>IF(ISNA(MATCH(558,Engine!$C$2:$C$679,0)),"",INDEX('Compliance Database'!$C$2:$C$679,MATCH(558,Engine!$C$2:$C$679,0)))</f>
        <v/>
      </c>
      <c r="D571" s="8">
        <f>IF(ISNA(MATCH(558,Engine!$C$2:$C$679,0)),"",INDEX('Compliance Database'!$D$2:$D$679,MATCH(558,Engine!$C$2:$C$679,0)))</f>
        <v/>
      </c>
      <c r="E571">
        <f>IF(ISNA(MATCH(558,Engine!$C$2:$C$679,0)),"",INDEX('Compliance Database'!$E$2:$E$679,MATCH(558,Engine!$C$2:$C$679,0)))</f>
        <v/>
      </c>
      <c r="F571">
        <f>IF(ISNA(MATCH(558,Engine!$C$2:$C$679,0)),"",INDEX('Compliance Database'!$F$2:$F$679,MATCH(558,Engine!$C$2:$C$679,0)))</f>
        <v/>
      </c>
      <c r="G571">
        <f>IF(ISNA(MATCH(558,Engine!$C$2:$C$679,0)),"",INDEX('Compliance Database'!$G$2:$G$679,MATCH(558,Engine!$C$2:$C$679,0)))</f>
        <v/>
      </c>
      <c r="H571">
        <f>IF(ISNA(MATCH(558,Engine!$C$2:$C$679,0)),"",INDEX('Compliance Database'!$H$2:$H$679,MATCH(558,Engine!$C$2:$C$679,0)))</f>
        <v/>
      </c>
      <c r="I571" s="8">
        <f>IF(ISNA(MATCH(558,Engine!$C$2:$C$679,0)),"",INDEX('Compliance Database'!$I$2:$I$679,MATCH(558,Engine!$C$2:$C$679,0)))</f>
        <v/>
      </c>
      <c r="J571" s="8">
        <f>IF(ISNA(MATCH(558,Engine!$C$2:$C$679,0)),"",INDEX('Compliance Database'!$J$2:$J$679,MATCH(558,Engine!$C$2:$C$679,0)))</f>
        <v/>
      </c>
      <c r="K571">
        <f>IF(ISNA(MATCH(558,Engine!$C$2:$C$679,0)),"",INDEX('Compliance Database'!$K$2:$K$679,MATCH(558,Engine!$C$2:$C$679,0)))</f>
        <v/>
      </c>
      <c r="L571" s="8">
        <f>IF(ISNA(MATCH(558,Engine!$C$2:$C$679,0)),"",INDEX('Compliance Database'!$L$2:$L$679,MATCH(558,Engine!$C$2:$C$679,0)))</f>
        <v/>
      </c>
      <c r="M571" s="8">
        <f>IF(ISNA(MATCH(558,Engine!$C$2:$C$679,0)),"",INDEX('Compliance Database'!$M$2:$M$679,MATCH(558,Engine!$C$2:$C$679,0)))</f>
        <v/>
      </c>
      <c r="N571" s="8">
        <f>IF(ISNA(MATCH(558,Engine!$C$2:$C$679,0)),"",INDEX('Compliance Database'!$N$2:$N$679,MATCH(558,Engine!$C$2:$C$679,0)))</f>
        <v/>
      </c>
      <c r="O571" s="8">
        <f>IF(ISNA(MATCH(558,Engine!$C$2:$C$679,0)),"",INDEX('Compliance Database'!$O$2:$O$679,MATCH(558,Engine!$C$2:$C$679,0)))</f>
        <v/>
      </c>
      <c r="P571">
        <f>IF(ISNA(MATCH(558,Engine!$C$2:$C$679,0)),"",HYPERLINK(INDEX('Compliance Database'!$P$2:$P$679,MATCH(558,Engine!$C$2:$C$679,0)),"Open PDF"))</f>
        <v/>
      </c>
    </row>
    <row r="572">
      <c r="A572">
        <f>IF(ISNA(MATCH(559,Engine!$C$2:$C$679,0)),"",INDEX('Compliance Database'!$A$2:$A$679,MATCH(559,Engine!$C$2:$C$679,0)))</f>
        <v/>
      </c>
      <c r="B572">
        <f>IF(ISNA(MATCH(559,Engine!$C$2:$C$679,0)),"",INDEX('Compliance Database'!$B$2:$B$679,MATCH(559,Engine!$C$2:$C$679,0)))</f>
        <v/>
      </c>
      <c r="C572">
        <f>IF(ISNA(MATCH(559,Engine!$C$2:$C$679,0)),"",INDEX('Compliance Database'!$C$2:$C$679,MATCH(559,Engine!$C$2:$C$679,0)))</f>
        <v/>
      </c>
      <c r="D572" s="8">
        <f>IF(ISNA(MATCH(559,Engine!$C$2:$C$679,0)),"",INDEX('Compliance Database'!$D$2:$D$679,MATCH(559,Engine!$C$2:$C$679,0)))</f>
        <v/>
      </c>
      <c r="E572">
        <f>IF(ISNA(MATCH(559,Engine!$C$2:$C$679,0)),"",INDEX('Compliance Database'!$E$2:$E$679,MATCH(559,Engine!$C$2:$C$679,0)))</f>
        <v/>
      </c>
      <c r="F572">
        <f>IF(ISNA(MATCH(559,Engine!$C$2:$C$679,0)),"",INDEX('Compliance Database'!$F$2:$F$679,MATCH(559,Engine!$C$2:$C$679,0)))</f>
        <v/>
      </c>
      <c r="G572">
        <f>IF(ISNA(MATCH(559,Engine!$C$2:$C$679,0)),"",INDEX('Compliance Database'!$G$2:$G$679,MATCH(559,Engine!$C$2:$C$679,0)))</f>
        <v/>
      </c>
      <c r="H572">
        <f>IF(ISNA(MATCH(559,Engine!$C$2:$C$679,0)),"",INDEX('Compliance Database'!$H$2:$H$679,MATCH(559,Engine!$C$2:$C$679,0)))</f>
        <v/>
      </c>
      <c r="I572" s="8">
        <f>IF(ISNA(MATCH(559,Engine!$C$2:$C$679,0)),"",INDEX('Compliance Database'!$I$2:$I$679,MATCH(559,Engine!$C$2:$C$679,0)))</f>
        <v/>
      </c>
      <c r="J572" s="8">
        <f>IF(ISNA(MATCH(559,Engine!$C$2:$C$679,0)),"",INDEX('Compliance Database'!$J$2:$J$679,MATCH(559,Engine!$C$2:$C$679,0)))</f>
        <v/>
      </c>
      <c r="K572">
        <f>IF(ISNA(MATCH(559,Engine!$C$2:$C$679,0)),"",INDEX('Compliance Database'!$K$2:$K$679,MATCH(559,Engine!$C$2:$C$679,0)))</f>
        <v/>
      </c>
      <c r="L572" s="8">
        <f>IF(ISNA(MATCH(559,Engine!$C$2:$C$679,0)),"",INDEX('Compliance Database'!$L$2:$L$679,MATCH(559,Engine!$C$2:$C$679,0)))</f>
        <v/>
      </c>
      <c r="M572" s="8">
        <f>IF(ISNA(MATCH(559,Engine!$C$2:$C$679,0)),"",INDEX('Compliance Database'!$M$2:$M$679,MATCH(559,Engine!$C$2:$C$679,0)))</f>
        <v/>
      </c>
      <c r="N572" s="8">
        <f>IF(ISNA(MATCH(559,Engine!$C$2:$C$679,0)),"",INDEX('Compliance Database'!$N$2:$N$679,MATCH(559,Engine!$C$2:$C$679,0)))</f>
        <v/>
      </c>
      <c r="O572" s="8">
        <f>IF(ISNA(MATCH(559,Engine!$C$2:$C$679,0)),"",INDEX('Compliance Database'!$O$2:$O$679,MATCH(559,Engine!$C$2:$C$679,0)))</f>
        <v/>
      </c>
      <c r="P572">
        <f>IF(ISNA(MATCH(559,Engine!$C$2:$C$679,0)),"",HYPERLINK(INDEX('Compliance Database'!$P$2:$P$679,MATCH(559,Engine!$C$2:$C$679,0)),"Open PDF"))</f>
        <v/>
      </c>
    </row>
    <row r="573">
      <c r="A573">
        <f>IF(ISNA(MATCH(560,Engine!$C$2:$C$679,0)),"",INDEX('Compliance Database'!$A$2:$A$679,MATCH(560,Engine!$C$2:$C$679,0)))</f>
        <v/>
      </c>
      <c r="B573">
        <f>IF(ISNA(MATCH(560,Engine!$C$2:$C$679,0)),"",INDEX('Compliance Database'!$B$2:$B$679,MATCH(560,Engine!$C$2:$C$679,0)))</f>
        <v/>
      </c>
      <c r="C573">
        <f>IF(ISNA(MATCH(560,Engine!$C$2:$C$679,0)),"",INDEX('Compliance Database'!$C$2:$C$679,MATCH(560,Engine!$C$2:$C$679,0)))</f>
        <v/>
      </c>
      <c r="D573" s="8">
        <f>IF(ISNA(MATCH(560,Engine!$C$2:$C$679,0)),"",INDEX('Compliance Database'!$D$2:$D$679,MATCH(560,Engine!$C$2:$C$679,0)))</f>
        <v/>
      </c>
      <c r="E573">
        <f>IF(ISNA(MATCH(560,Engine!$C$2:$C$679,0)),"",INDEX('Compliance Database'!$E$2:$E$679,MATCH(560,Engine!$C$2:$C$679,0)))</f>
        <v/>
      </c>
      <c r="F573">
        <f>IF(ISNA(MATCH(560,Engine!$C$2:$C$679,0)),"",INDEX('Compliance Database'!$F$2:$F$679,MATCH(560,Engine!$C$2:$C$679,0)))</f>
        <v/>
      </c>
      <c r="G573">
        <f>IF(ISNA(MATCH(560,Engine!$C$2:$C$679,0)),"",INDEX('Compliance Database'!$G$2:$G$679,MATCH(560,Engine!$C$2:$C$679,0)))</f>
        <v/>
      </c>
      <c r="H573">
        <f>IF(ISNA(MATCH(560,Engine!$C$2:$C$679,0)),"",INDEX('Compliance Database'!$H$2:$H$679,MATCH(560,Engine!$C$2:$C$679,0)))</f>
        <v/>
      </c>
      <c r="I573" s="8">
        <f>IF(ISNA(MATCH(560,Engine!$C$2:$C$679,0)),"",INDEX('Compliance Database'!$I$2:$I$679,MATCH(560,Engine!$C$2:$C$679,0)))</f>
        <v/>
      </c>
      <c r="J573" s="8">
        <f>IF(ISNA(MATCH(560,Engine!$C$2:$C$679,0)),"",INDEX('Compliance Database'!$J$2:$J$679,MATCH(560,Engine!$C$2:$C$679,0)))</f>
        <v/>
      </c>
      <c r="K573">
        <f>IF(ISNA(MATCH(560,Engine!$C$2:$C$679,0)),"",INDEX('Compliance Database'!$K$2:$K$679,MATCH(560,Engine!$C$2:$C$679,0)))</f>
        <v/>
      </c>
      <c r="L573" s="8">
        <f>IF(ISNA(MATCH(560,Engine!$C$2:$C$679,0)),"",INDEX('Compliance Database'!$L$2:$L$679,MATCH(560,Engine!$C$2:$C$679,0)))</f>
        <v/>
      </c>
      <c r="M573" s="8">
        <f>IF(ISNA(MATCH(560,Engine!$C$2:$C$679,0)),"",INDEX('Compliance Database'!$M$2:$M$679,MATCH(560,Engine!$C$2:$C$679,0)))</f>
        <v/>
      </c>
      <c r="N573" s="8">
        <f>IF(ISNA(MATCH(560,Engine!$C$2:$C$679,0)),"",INDEX('Compliance Database'!$N$2:$N$679,MATCH(560,Engine!$C$2:$C$679,0)))</f>
        <v/>
      </c>
      <c r="O573" s="8">
        <f>IF(ISNA(MATCH(560,Engine!$C$2:$C$679,0)),"",INDEX('Compliance Database'!$O$2:$O$679,MATCH(560,Engine!$C$2:$C$679,0)))</f>
        <v/>
      </c>
      <c r="P573">
        <f>IF(ISNA(MATCH(560,Engine!$C$2:$C$679,0)),"",HYPERLINK(INDEX('Compliance Database'!$P$2:$P$679,MATCH(560,Engine!$C$2:$C$679,0)),"Open PDF"))</f>
        <v/>
      </c>
    </row>
    <row r="574">
      <c r="A574">
        <f>IF(ISNA(MATCH(561,Engine!$C$2:$C$679,0)),"",INDEX('Compliance Database'!$A$2:$A$679,MATCH(561,Engine!$C$2:$C$679,0)))</f>
        <v/>
      </c>
      <c r="B574">
        <f>IF(ISNA(MATCH(561,Engine!$C$2:$C$679,0)),"",INDEX('Compliance Database'!$B$2:$B$679,MATCH(561,Engine!$C$2:$C$679,0)))</f>
        <v/>
      </c>
      <c r="C574">
        <f>IF(ISNA(MATCH(561,Engine!$C$2:$C$679,0)),"",INDEX('Compliance Database'!$C$2:$C$679,MATCH(561,Engine!$C$2:$C$679,0)))</f>
        <v/>
      </c>
      <c r="D574" s="8">
        <f>IF(ISNA(MATCH(561,Engine!$C$2:$C$679,0)),"",INDEX('Compliance Database'!$D$2:$D$679,MATCH(561,Engine!$C$2:$C$679,0)))</f>
        <v/>
      </c>
      <c r="E574">
        <f>IF(ISNA(MATCH(561,Engine!$C$2:$C$679,0)),"",INDEX('Compliance Database'!$E$2:$E$679,MATCH(561,Engine!$C$2:$C$679,0)))</f>
        <v/>
      </c>
      <c r="F574">
        <f>IF(ISNA(MATCH(561,Engine!$C$2:$C$679,0)),"",INDEX('Compliance Database'!$F$2:$F$679,MATCH(561,Engine!$C$2:$C$679,0)))</f>
        <v/>
      </c>
      <c r="G574">
        <f>IF(ISNA(MATCH(561,Engine!$C$2:$C$679,0)),"",INDEX('Compliance Database'!$G$2:$G$679,MATCH(561,Engine!$C$2:$C$679,0)))</f>
        <v/>
      </c>
      <c r="H574">
        <f>IF(ISNA(MATCH(561,Engine!$C$2:$C$679,0)),"",INDEX('Compliance Database'!$H$2:$H$679,MATCH(561,Engine!$C$2:$C$679,0)))</f>
        <v/>
      </c>
      <c r="I574" s="8">
        <f>IF(ISNA(MATCH(561,Engine!$C$2:$C$679,0)),"",INDEX('Compliance Database'!$I$2:$I$679,MATCH(561,Engine!$C$2:$C$679,0)))</f>
        <v/>
      </c>
      <c r="J574" s="8">
        <f>IF(ISNA(MATCH(561,Engine!$C$2:$C$679,0)),"",INDEX('Compliance Database'!$J$2:$J$679,MATCH(561,Engine!$C$2:$C$679,0)))</f>
        <v/>
      </c>
      <c r="K574">
        <f>IF(ISNA(MATCH(561,Engine!$C$2:$C$679,0)),"",INDEX('Compliance Database'!$K$2:$K$679,MATCH(561,Engine!$C$2:$C$679,0)))</f>
        <v/>
      </c>
      <c r="L574" s="8">
        <f>IF(ISNA(MATCH(561,Engine!$C$2:$C$679,0)),"",INDEX('Compliance Database'!$L$2:$L$679,MATCH(561,Engine!$C$2:$C$679,0)))</f>
        <v/>
      </c>
      <c r="M574" s="8">
        <f>IF(ISNA(MATCH(561,Engine!$C$2:$C$679,0)),"",INDEX('Compliance Database'!$M$2:$M$679,MATCH(561,Engine!$C$2:$C$679,0)))</f>
        <v/>
      </c>
      <c r="N574" s="8">
        <f>IF(ISNA(MATCH(561,Engine!$C$2:$C$679,0)),"",INDEX('Compliance Database'!$N$2:$N$679,MATCH(561,Engine!$C$2:$C$679,0)))</f>
        <v/>
      </c>
      <c r="O574" s="8">
        <f>IF(ISNA(MATCH(561,Engine!$C$2:$C$679,0)),"",INDEX('Compliance Database'!$O$2:$O$679,MATCH(561,Engine!$C$2:$C$679,0)))</f>
        <v/>
      </c>
      <c r="P574">
        <f>IF(ISNA(MATCH(561,Engine!$C$2:$C$679,0)),"",HYPERLINK(INDEX('Compliance Database'!$P$2:$P$679,MATCH(561,Engine!$C$2:$C$679,0)),"Open PDF"))</f>
        <v/>
      </c>
    </row>
    <row r="575">
      <c r="A575">
        <f>IF(ISNA(MATCH(562,Engine!$C$2:$C$679,0)),"",INDEX('Compliance Database'!$A$2:$A$679,MATCH(562,Engine!$C$2:$C$679,0)))</f>
        <v/>
      </c>
      <c r="B575">
        <f>IF(ISNA(MATCH(562,Engine!$C$2:$C$679,0)),"",INDEX('Compliance Database'!$B$2:$B$679,MATCH(562,Engine!$C$2:$C$679,0)))</f>
        <v/>
      </c>
      <c r="C575">
        <f>IF(ISNA(MATCH(562,Engine!$C$2:$C$679,0)),"",INDEX('Compliance Database'!$C$2:$C$679,MATCH(562,Engine!$C$2:$C$679,0)))</f>
        <v/>
      </c>
      <c r="D575" s="8">
        <f>IF(ISNA(MATCH(562,Engine!$C$2:$C$679,0)),"",INDEX('Compliance Database'!$D$2:$D$679,MATCH(562,Engine!$C$2:$C$679,0)))</f>
        <v/>
      </c>
      <c r="E575">
        <f>IF(ISNA(MATCH(562,Engine!$C$2:$C$679,0)),"",INDEX('Compliance Database'!$E$2:$E$679,MATCH(562,Engine!$C$2:$C$679,0)))</f>
        <v/>
      </c>
      <c r="F575">
        <f>IF(ISNA(MATCH(562,Engine!$C$2:$C$679,0)),"",INDEX('Compliance Database'!$F$2:$F$679,MATCH(562,Engine!$C$2:$C$679,0)))</f>
        <v/>
      </c>
      <c r="G575">
        <f>IF(ISNA(MATCH(562,Engine!$C$2:$C$679,0)),"",INDEX('Compliance Database'!$G$2:$G$679,MATCH(562,Engine!$C$2:$C$679,0)))</f>
        <v/>
      </c>
      <c r="H575">
        <f>IF(ISNA(MATCH(562,Engine!$C$2:$C$679,0)),"",INDEX('Compliance Database'!$H$2:$H$679,MATCH(562,Engine!$C$2:$C$679,0)))</f>
        <v/>
      </c>
      <c r="I575" s="8">
        <f>IF(ISNA(MATCH(562,Engine!$C$2:$C$679,0)),"",INDEX('Compliance Database'!$I$2:$I$679,MATCH(562,Engine!$C$2:$C$679,0)))</f>
        <v/>
      </c>
      <c r="J575" s="8">
        <f>IF(ISNA(MATCH(562,Engine!$C$2:$C$679,0)),"",INDEX('Compliance Database'!$J$2:$J$679,MATCH(562,Engine!$C$2:$C$679,0)))</f>
        <v/>
      </c>
      <c r="K575">
        <f>IF(ISNA(MATCH(562,Engine!$C$2:$C$679,0)),"",INDEX('Compliance Database'!$K$2:$K$679,MATCH(562,Engine!$C$2:$C$679,0)))</f>
        <v/>
      </c>
      <c r="L575" s="8">
        <f>IF(ISNA(MATCH(562,Engine!$C$2:$C$679,0)),"",INDEX('Compliance Database'!$L$2:$L$679,MATCH(562,Engine!$C$2:$C$679,0)))</f>
        <v/>
      </c>
      <c r="M575" s="8">
        <f>IF(ISNA(MATCH(562,Engine!$C$2:$C$679,0)),"",INDEX('Compliance Database'!$M$2:$M$679,MATCH(562,Engine!$C$2:$C$679,0)))</f>
        <v/>
      </c>
      <c r="N575" s="8">
        <f>IF(ISNA(MATCH(562,Engine!$C$2:$C$679,0)),"",INDEX('Compliance Database'!$N$2:$N$679,MATCH(562,Engine!$C$2:$C$679,0)))</f>
        <v/>
      </c>
      <c r="O575" s="8">
        <f>IF(ISNA(MATCH(562,Engine!$C$2:$C$679,0)),"",INDEX('Compliance Database'!$O$2:$O$679,MATCH(562,Engine!$C$2:$C$679,0)))</f>
        <v/>
      </c>
      <c r="P575">
        <f>IF(ISNA(MATCH(562,Engine!$C$2:$C$679,0)),"",HYPERLINK(INDEX('Compliance Database'!$P$2:$P$679,MATCH(562,Engine!$C$2:$C$679,0)),"Open PDF"))</f>
        <v/>
      </c>
    </row>
    <row r="576">
      <c r="A576">
        <f>IF(ISNA(MATCH(563,Engine!$C$2:$C$679,0)),"",INDEX('Compliance Database'!$A$2:$A$679,MATCH(563,Engine!$C$2:$C$679,0)))</f>
        <v/>
      </c>
      <c r="B576">
        <f>IF(ISNA(MATCH(563,Engine!$C$2:$C$679,0)),"",INDEX('Compliance Database'!$B$2:$B$679,MATCH(563,Engine!$C$2:$C$679,0)))</f>
        <v/>
      </c>
      <c r="C576">
        <f>IF(ISNA(MATCH(563,Engine!$C$2:$C$679,0)),"",INDEX('Compliance Database'!$C$2:$C$679,MATCH(563,Engine!$C$2:$C$679,0)))</f>
        <v/>
      </c>
      <c r="D576" s="8">
        <f>IF(ISNA(MATCH(563,Engine!$C$2:$C$679,0)),"",INDEX('Compliance Database'!$D$2:$D$679,MATCH(563,Engine!$C$2:$C$679,0)))</f>
        <v/>
      </c>
      <c r="E576">
        <f>IF(ISNA(MATCH(563,Engine!$C$2:$C$679,0)),"",INDEX('Compliance Database'!$E$2:$E$679,MATCH(563,Engine!$C$2:$C$679,0)))</f>
        <v/>
      </c>
      <c r="F576">
        <f>IF(ISNA(MATCH(563,Engine!$C$2:$C$679,0)),"",INDEX('Compliance Database'!$F$2:$F$679,MATCH(563,Engine!$C$2:$C$679,0)))</f>
        <v/>
      </c>
      <c r="G576">
        <f>IF(ISNA(MATCH(563,Engine!$C$2:$C$679,0)),"",INDEX('Compliance Database'!$G$2:$G$679,MATCH(563,Engine!$C$2:$C$679,0)))</f>
        <v/>
      </c>
      <c r="H576">
        <f>IF(ISNA(MATCH(563,Engine!$C$2:$C$679,0)),"",INDEX('Compliance Database'!$H$2:$H$679,MATCH(563,Engine!$C$2:$C$679,0)))</f>
        <v/>
      </c>
      <c r="I576" s="8">
        <f>IF(ISNA(MATCH(563,Engine!$C$2:$C$679,0)),"",INDEX('Compliance Database'!$I$2:$I$679,MATCH(563,Engine!$C$2:$C$679,0)))</f>
        <v/>
      </c>
      <c r="J576" s="8">
        <f>IF(ISNA(MATCH(563,Engine!$C$2:$C$679,0)),"",INDEX('Compliance Database'!$J$2:$J$679,MATCH(563,Engine!$C$2:$C$679,0)))</f>
        <v/>
      </c>
      <c r="K576">
        <f>IF(ISNA(MATCH(563,Engine!$C$2:$C$679,0)),"",INDEX('Compliance Database'!$K$2:$K$679,MATCH(563,Engine!$C$2:$C$679,0)))</f>
        <v/>
      </c>
      <c r="L576" s="8">
        <f>IF(ISNA(MATCH(563,Engine!$C$2:$C$679,0)),"",INDEX('Compliance Database'!$L$2:$L$679,MATCH(563,Engine!$C$2:$C$679,0)))</f>
        <v/>
      </c>
      <c r="M576" s="8">
        <f>IF(ISNA(MATCH(563,Engine!$C$2:$C$679,0)),"",INDEX('Compliance Database'!$M$2:$M$679,MATCH(563,Engine!$C$2:$C$679,0)))</f>
        <v/>
      </c>
      <c r="N576" s="8">
        <f>IF(ISNA(MATCH(563,Engine!$C$2:$C$679,0)),"",INDEX('Compliance Database'!$N$2:$N$679,MATCH(563,Engine!$C$2:$C$679,0)))</f>
        <v/>
      </c>
      <c r="O576" s="8">
        <f>IF(ISNA(MATCH(563,Engine!$C$2:$C$679,0)),"",INDEX('Compliance Database'!$O$2:$O$679,MATCH(563,Engine!$C$2:$C$679,0)))</f>
        <v/>
      </c>
      <c r="P576">
        <f>IF(ISNA(MATCH(563,Engine!$C$2:$C$679,0)),"",HYPERLINK(INDEX('Compliance Database'!$P$2:$P$679,MATCH(563,Engine!$C$2:$C$679,0)),"Open PDF"))</f>
        <v/>
      </c>
    </row>
    <row r="577">
      <c r="A577">
        <f>IF(ISNA(MATCH(564,Engine!$C$2:$C$679,0)),"",INDEX('Compliance Database'!$A$2:$A$679,MATCH(564,Engine!$C$2:$C$679,0)))</f>
        <v/>
      </c>
      <c r="B577">
        <f>IF(ISNA(MATCH(564,Engine!$C$2:$C$679,0)),"",INDEX('Compliance Database'!$B$2:$B$679,MATCH(564,Engine!$C$2:$C$679,0)))</f>
        <v/>
      </c>
      <c r="C577">
        <f>IF(ISNA(MATCH(564,Engine!$C$2:$C$679,0)),"",INDEX('Compliance Database'!$C$2:$C$679,MATCH(564,Engine!$C$2:$C$679,0)))</f>
        <v/>
      </c>
      <c r="D577" s="8">
        <f>IF(ISNA(MATCH(564,Engine!$C$2:$C$679,0)),"",INDEX('Compliance Database'!$D$2:$D$679,MATCH(564,Engine!$C$2:$C$679,0)))</f>
        <v/>
      </c>
      <c r="E577">
        <f>IF(ISNA(MATCH(564,Engine!$C$2:$C$679,0)),"",INDEX('Compliance Database'!$E$2:$E$679,MATCH(564,Engine!$C$2:$C$679,0)))</f>
        <v/>
      </c>
      <c r="F577">
        <f>IF(ISNA(MATCH(564,Engine!$C$2:$C$679,0)),"",INDEX('Compliance Database'!$F$2:$F$679,MATCH(564,Engine!$C$2:$C$679,0)))</f>
        <v/>
      </c>
      <c r="G577">
        <f>IF(ISNA(MATCH(564,Engine!$C$2:$C$679,0)),"",INDEX('Compliance Database'!$G$2:$G$679,MATCH(564,Engine!$C$2:$C$679,0)))</f>
        <v/>
      </c>
      <c r="H577">
        <f>IF(ISNA(MATCH(564,Engine!$C$2:$C$679,0)),"",INDEX('Compliance Database'!$H$2:$H$679,MATCH(564,Engine!$C$2:$C$679,0)))</f>
        <v/>
      </c>
      <c r="I577" s="8">
        <f>IF(ISNA(MATCH(564,Engine!$C$2:$C$679,0)),"",INDEX('Compliance Database'!$I$2:$I$679,MATCH(564,Engine!$C$2:$C$679,0)))</f>
        <v/>
      </c>
      <c r="J577" s="8">
        <f>IF(ISNA(MATCH(564,Engine!$C$2:$C$679,0)),"",INDEX('Compliance Database'!$J$2:$J$679,MATCH(564,Engine!$C$2:$C$679,0)))</f>
        <v/>
      </c>
      <c r="K577">
        <f>IF(ISNA(MATCH(564,Engine!$C$2:$C$679,0)),"",INDEX('Compliance Database'!$K$2:$K$679,MATCH(564,Engine!$C$2:$C$679,0)))</f>
        <v/>
      </c>
      <c r="L577" s="8">
        <f>IF(ISNA(MATCH(564,Engine!$C$2:$C$679,0)),"",INDEX('Compliance Database'!$L$2:$L$679,MATCH(564,Engine!$C$2:$C$679,0)))</f>
        <v/>
      </c>
      <c r="M577" s="8">
        <f>IF(ISNA(MATCH(564,Engine!$C$2:$C$679,0)),"",INDEX('Compliance Database'!$M$2:$M$679,MATCH(564,Engine!$C$2:$C$679,0)))</f>
        <v/>
      </c>
      <c r="N577" s="8">
        <f>IF(ISNA(MATCH(564,Engine!$C$2:$C$679,0)),"",INDEX('Compliance Database'!$N$2:$N$679,MATCH(564,Engine!$C$2:$C$679,0)))</f>
        <v/>
      </c>
      <c r="O577" s="8">
        <f>IF(ISNA(MATCH(564,Engine!$C$2:$C$679,0)),"",INDEX('Compliance Database'!$O$2:$O$679,MATCH(564,Engine!$C$2:$C$679,0)))</f>
        <v/>
      </c>
      <c r="P577">
        <f>IF(ISNA(MATCH(564,Engine!$C$2:$C$679,0)),"",HYPERLINK(INDEX('Compliance Database'!$P$2:$P$679,MATCH(564,Engine!$C$2:$C$679,0)),"Open PDF"))</f>
        <v/>
      </c>
    </row>
    <row r="578">
      <c r="A578">
        <f>IF(ISNA(MATCH(565,Engine!$C$2:$C$679,0)),"",INDEX('Compliance Database'!$A$2:$A$679,MATCH(565,Engine!$C$2:$C$679,0)))</f>
        <v/>
      </c>
      <c r="B578">
        <f>IF(ISNA(MATCH(565,Engine!$C$2:$C$679,0)),"",INDEX('Compliance Database'!$B$2:$B$679,MATCH(565,Engine!$C$2:$C$679,0)))</f>
        <v/>
      </c>
      <c r="C578">
        <f>IF(ISNA(MATCH(565,Engine!$C$2:$C$679,0)),"",INDEX('Compliance Database'!$C$2:$C$679,MATCH(565,Engine!$C$2:$C$679,0)))</f>
        <v/>
      </c>
      <c r="D578" s="8">
        <f>IF(ISNA(MATCH(565,Engine!$C$2:$C$679,0)),"",INDEX('Compliance Database'!$D$2:$D$679,MATCH(565,Engine!$C$2:$C$679,0)))</f>
        <v/>
      </c>
      <c r="E578">
        <f>IF(ISNA(MATCH(565,Engine!$C$2:$C$679,0)),"",INDEX('Compliance Database'!$E$2:$E$679,MATCH(565,Engine!$C$2:$C$679,0)))</f>
        <v/>
      </c>
      <c r="F578">
        <f>IF(ISNA(MATCH(565,Engine!$C$2:$C$679,0)),"",INDEX('Compliance Database'!$F$2:$F$679,MATCH(565,Engine!$C$2:$C$679,0)))</f>
        <v/>
      </c>
      <c r="G578">
        <f>IF(ISNA(MATCH(565,Engine!$C$2:$C$679,0)),"",INDEX('Compliance Database'!$G$2:$G$679,MATCH(565,Engine!$C$2:$C$679,0)))</f>
        <v/>
      </c>
      <c r="H578">
        <f>IF(ISNA(MATCH(565,Engine!$C$2:$C$679,0)),"",INDEX('Compliance Database'!$H$2:$H$679,MATCH(565,Engine!$C$2:$C$679,0)))</f>
        <v/>
      </c>
      <c r="I578" s="8">
        <f>IF(ISNA(MATCH(565,Engine!$C$2:$C$679,0)),"",INDEX('Compliance Database'!$I$2:$I$679,MATCH(565,Engine!$C$2:$C$679,0)))</f>
        <v/>
      </c>
      <c r="J578" s="8">
        <f>IF(ISNA(MATCH(565,Engine!$C$2:$C$679,0)),"",INDEX('Compliance Database'!$J$2:$J$679,MATCH(565,Engine!$C$2:$C$679,0)))</f>
        <v/>
      </c>
      <c r="K578">
        <f>IF(ISNA(MATCH(565,Engine!$C$2:$C$679,0)),"",INDEX('Compliance Database'!$K$2:$K$679,MATCH(565,Engine!$C$2:$C$679,0)))</f>
        <v/>
      </c>
      <c r="L578" s="8">
        <f>IF(ISNA(MATCH(565,Engine!$C$2:$C$679,0)),"",INDEX('Compliance Database'!$L$2:$L$679,MATCH(565,Engine!$C$2:$C$679,0)))</f>
        <v/>
      </c>
      <c r="M578" s="8">
        <f>IF(ISNA(MATCH(565,Engine!$C$2:$C$679,0)),"",INDEX('Compliance Database'!$M$2:$M$679,MATCH(565,Engine!$C$2:$C$679,0)))</f>
        <v/>
      </c>
      <c r="N578" s="8">
        <f>IF(ISNA(MATCH(565,Engine!$C$2:$C$679,0)),"",INDEX('Compliance Database'!$N$2:$N$679,MATCH(565,Engine!$C$2:$C$679,0)))</f>
        <v/>
      </c>
      <c r="O578" s="8">
        <f>IF(ISNA(MATCH(565,Engine!$C$2:$C$679,0)),"",INDEX('Compliance Database'!$O$2:$O$679,MATCH(565,Engine!$C$2:$C$679,0)))</f>
        <v/>
      </c>
      <c r="P578">
        <f>IF(ISNA(MATCH(565,Engine!$C$2:$C$679,0)),"",HYPERLINK(INDEX('Compliance Database'!$P$2:$P$679,MATCH(565,Engine!$C$2:$C$679,0)),"Open PDF"))</f>
        <v/>
      </c>
    </row>
    <row r="579">
      <c r="A579">
        <f>IF(ISNA(MATCH(566,Engine!$C$2:$C$679,0)),"",INDEX('Compliance Database'!$A$2:$A$679,MATCH(566,Engine!$C$2:$C$679,0)))</f>
        <v/>
      </c>
      <c r="B579">
        <f>IF(ISNA(MATCH(566,Engine!$C$2:$C$679,0)),"",INDEX('Compliance Database'!$B$2:$B$679,MATCH(566,Engine!$C$2:$C$679,0)))</f>
        <v/>
      </c>
      <c r="C579">
        <f>IF(ISNA(MATCH(566,Engine!$C$2:$C$679,0)),"",INDEX('Compliance Database'!$C$2:$C$679,MATCH(566,Engine!$C$2:$C$679,0)))</f>
        <v/>
      </c>
      <c r="D579" s="8">
        <f>IF(ISNA(MATCH(566,Engine!$C$2:$C$679,0)),"",INDEX('Compliance Database'!$D$2:$D$679,MATCH(566,Engine!$C$2:$C$679,0)))</f>
        <v/>
      </c>
      <c r="E579">
        <f>IF(ISNA(MATCH(566,Engine!$C$2:$C$679,0)),"",INDEX('Compliance Database'!$E$2:$E$679,MATCH(566,Engine!$C$2:$C$679,0)))</f>
        <v/>
      </c>
      <c r="F579">
        <f>IF(ISNA(MATCH(566,Engine!$C$2:$C$679,0)),"",INDEX('Compliance Database'!$F$2:$F$679,MATCH(566,Engine!$C$2:$C$679,0)))</f>
        <v/>
      </c>
      <c r="G579">
        <f>IF(ISNA(MATCH(566,Engine!$C$2:$C$679,0)),"",INDEX('Compliance Database'!$G$2:$G$679,MATCH(566,Engine!$C$2:$C$679,0)))</f>
        <v/>
      </c>
      <c r="H579">
        <f>IF(ISNA(MATCH(566,Engine!$C$2:$C$679,0)),"",INDEX('Compliance Database'!$H$2:$H$679,MATCH(566,Engine!$C$2:$C$679,0)))</f>
        <v/>
      </c>
      <c r="I579" s="8">
        <f>IF(ISNA(MATCH(566,Engine!$C$2:$C$679,0)),"",INDEX('Compliance Database'!$I$2:$I$679,MATCH(566,Engine!$C$2:$C$679,0)))</f>
        <v/>
      </c>
      <c r="J579" s="8">
        <f>IF(ISNA(MATCH(566,Engine!$C$2:$C$679,0)),"",INDEX('Compliance Database'!$J$2:$J$679,MATCH(566,Engine!$C$2:$C$679,0)))</f>
        <v/>
      </c>
      <c r="K579">
        <f>IF(ISNA(MATCH(566,Engine!$C$2:$C$679,0)),"",INDEX('Compliance Database'!$K$2:$K$679,MATCH(566,Engine!$C$2:$C$679,0)))</f>
        <v/>
      </c>
      <c r="L579" s="8">
        <f>IF(ISNA(MATCH(566,Engine!$C$2:$C$679,0)),"",INDEX('Compliance Database'!$L$2:$L$679,MATCH(566,Engine!$C$2:$C$679,0)))</f>
        <v/>
      </c>
      <c r="M579" s="8">
        <f>IF(ISNA(MATCH(566,Engine!$C$2:$C$679,0)),"",INDEX('Compliance Database'!$M$2:$M$679,MATCH(566,Engine!$C$2:$C$679,0)))</f>
        <v/>
      </c>
      <c r="N579" s="8">
        <f>IF(ISNA(MATCH(566,Engine!$C$2:$C$679,0)),"",INDEX('Compliance Database'!$N$2:$N$679,MATCH(566,Engine!$C$2:$C$679,0)))</f>
        <v/>
      </c>
      <c r="O579" s="8">
        <f>IF(ISNA(MATCH(566,Engine!$C$2:$C$679,0)),"",INDEX('Compliance Database'!$O$2:$O$679,MATCH(566,Engine!$C$2:$C$679,0)))</f>
        <v/>
      </c>
      <c r="P579">
        <f>IF(ISNA(MATCH(566,Engine!$C$2:$C$679,0)),"",HYPERLINK(INDEX('Compliance Database'!$P$2:$P$679,MATCH(566,Engine!$C$2:$C$679,0)),"Open PDF"))</f>
        <v/>
      </c>
    </row>
    <row r="580">
      <c r="A580">
        <f>IF(ISNA(MATCH(567,Engine!$C$2:$C$679,0)),"",INDEX('Compliance Database'!$A$2:$A$679,MATCH(567,Engine!$C$2:$C$679,0)))</f>
        <v/>
      </c>
      <c r="B580">
        <f>IF(ISNA(MATCH(567,Engine!$C$2:$C$679,0)),"",INDEX('Compliance Database'!$B$2:$B$679,MATCH(567,Engine!$C$2:$C$679,0)))</f>
        <v/>
      </c>
      <c r="C580">
        <f>IF(ISNA(MATCH(567,Engine!$C$2:$C$679,0)),"",INDEX('Compliance Database'!$C$2:$C$679,MATCH(567,Engine!$C$2:$C$679,0)))</f>
        <v/>
      </c>
      <c r="D580" s="8">
        <f>IF(ISNA(MATCH(567,Engine!$C$2:$C$679,0)),"",INDEX('Compliance Database'!$D$2:$D$679,MATCH(567,Engine!$C$2:$C$679,0)))</f>
        <v/>
      </c>
      <c r="E580">
        <f>IF(ISNA(MATCH(567,Engine!$C$2:$C$679,0)),"",INDEX('Compliance Database'!$E$2:$E$679,MATCH(567,Engine!$C$2:$C$679,0)))</f>
        <v/>
      </c>
      <c r="F580">
        <f>IF(ISNA(MATCH(567,Engine!$C$2:$C$679,0)),"",INDEX('Compliance Database'!$F$2:$F$679,MATCH(567,Engine!$C$2:$C$679,0)))</f>
        <v/>
      </c>
      <c r="G580">
        <f>IF(ISNA(MATCH(567,Engine!$C$2:$C$679,0)),"",INDEX('Compliance Database'!$G$2:$G$679,MATCH(567,Engine!$C$2:$C$679,0)))</f>
        <v/>
      </c>
      <c r="H580">
        <f>IF(ISNA(MATCH(567,Engine!$C$2:$C$679,0)),"",INDEX('Compliance Database'!$H$2:$H$679,MATCH(567,Engine!$C$2:$C$679,0)))</f>
        <v/>
      </c>
      <c r="I580" s="8">
        <f>IF(ISNA(MATCH(567,Engine!$C$2:$C$679,0)),"",INDEX('Compliance Database'!$I$2:$I$679,MATCH(567,Engine!$C$2:$C$679,0)))</f>
        <v/>
      </c>
      <c r="J580" s="8">
        <f>IF(ISNA(MATCH(567,Engine!$C$2:$C$679,0)),"",INDEX('Compliance Database'!$J$2:$J$679,MATCH(567,Engine!$C$2:$C$679,0)))</f>
        <v/>
      </c>
      <c r="K580">
        <f>IF(ISNA(MATCH(567,Engine!$C$2:$C$679,0)),"",INDEX('Compliance Database'!$K$2:$K$679,MATCH(567,Engine!$C$2:$C$679,0)))</f>
        <v/>
      </c>
      <c r="L580" s="8">
        <f>IF(ISNA(MATCH(567,Engine!$C$2:$C$679,0)),"",INDEX('Compliance Database'!$L$2:$L$679,MATCH(567,Engine!$C$2:$C$679,0)))</f>
        <v/>
      </c>
      <c r="M580" s="8">
        <f>IF(ISNA(MATCH(567,Engine!$C$2:$C$679,0)),"",INDEX('Compliance Database'!$M$2:$M$679,MATCH(567,Engine!$C$2:$C$679,0)))</f>
        <v/>
      </c>
      <c r="N580" s="8">
        <f>IF(ISNA(MATCH(567,Engine!$C$2:$C$679,0)),"",INDEX('Compliance Database'!$N$2:$N$679,MATCH(567,Engine!$C$2:$C$679,0)))</f>
        <v/>
      </c>
      <c r="O580" s="8">
        <f>IF(ISNA(MATCH(567,Engine!$C$2:$C$679,0)),"",INDEX('Compliance Database'!$O$2:$O$679,MATCH(567,Engine!$C$2:$C$679,0)))</f>
        <v/>
      </c>
      <c r="P580">
        <f>IF(ISNA(MATCH(567,Engine!$C$2:$C$679,0)),"",HYPERLINK(INDEX('Compliance Database'!$P$2:$P$679,MATCH(567,Engine!$C$2:$C$679,0)),"Open PDF"))</f>
        <v/>
      </c>
    </row>
    <row r="581">
      <c r="A581">
        <f>IF(ISNA(MATCH(568,Engine!$C$2:$C$679,0)),"",INDEX('Compliance Database'!$A$2:$A$679,MATCH(568,Engine!$C$2:$C$679,0)))</f>
        <v/>
      </c>
      <c r="B581">
        <f>IF(ISNA(MATCH(568,Engine!$C$2:$C$679,0)),"",INDEX('Compliance Database'!$B$2:$B$679,MATCH(568,Engine!$C$2:$C$679,0)))</f>
        <v/>
      </c>
      <c r="C581">
        <f>IF(ISNA(MATCH(568,Engine!$C$2:$C$679,0)),"",INDEX('Compliance Database'!$C$2:$C$679,MATCH(568,Engine!$C$2:$C$679,0)))</f>
        <v/>
      </c>
      <c r="D581" s="8">
        <f>IF(ISNA(MATCH(568,Engine!$C$2:$C$679,0)),"",INDEX('Compliance Database'!$D$2:$D$679,MATCH(568,Engine!$C$2:$C$679,0)))</f>
        <v/>
      </c>
      <c r="E581">
        <f>IF(ISNA(MATCH(568,Engine!$C$2:$C$679,0)),"",INDEX('Compliance Database'!$E$2:$E$679,MATCH(568,Engine!$C$2:$C$679,0)))</f>
        <v/>
      </c>
      <c r="F581">
        <f>IF(ISNA(MATCH(568,Engine!$C$2:$C$679,0)),"",INDEX('Compliance Database'!$F$2:$F$679,MATCH(568,Engine!$C$2:$C$679,0)))</f>
        <v/>
      </c>
      <c r="G581">
        <f>IF(ISNA(MATCH(568,Engine!$C$2:$C$679,0)),"",INDEX('Compliance Database'!$G$2:$G$679,MATCH(568,Engine!$C$2:$C$679,0)))</f>
        <v/>
      </c>
      <c r="H581">
        <f>IF(ISNA(MATCH(568,Engine!$C$2:$C$679,0)),"",INDEX('Compliance Database'!$H$2:$H$679,MATCH(568,Engine!$C$2:$C$679,0)))</f>
        <v/>
      </c>
      <c r="I581" s="8">
        <f>IF(ISNA(MATCH(568,Engine!$C$2:$C$679,0)),"",INDEX('Compliance Database'!$I$2:$I$679,MATCH(568,Engine!$C$2:$C$679,0)))</f>
        <v/>
      </c>
      <c r="J581" s="8">
        <f>IF(ISNA(MATCH(568,Engine!$C$2:$C$679,0)),"",INDEX('Compliance Database'!$J$2:$J$679,MATCH(568,Engine!$C$2:$C$679,0)))</f>
        <v/>
      </c>
      <c r="K581">
        <f>IF(ISNA(MATCH(568,Engine!$C$2:$C$679,0)),"",INDEX('Compliance Database'!$K$2:$K$679,MATCH(568,Engine!$C$2:$C$679,0)))</f>
        <v/>
      </c>
      <c r="L581" s="8">
        <f>IF(ISNA(MATCH(568,Engine!$C$2:$C$679,0)),"",INDEX('Compliance Database'!$L$2:$L$679,MATCH(568,Engine!$C$2:$C$679,0)))</f>
        <v/>
      </c>
      <c r="M581" s="8">
        <f>IF(ISNA(MATCH(568,Engine!$C$2:$C$679,0)),"",INDEX('Compliance Database'!$M$2:$M$679,MATCH(568,Engine!$C$2:$C$679,0)))</f>
        <v/>
      </c>
      <c r="N581" s="8">
        <f>IF(ISNA(MATCH(568,Engine!$C$2:$C$679,0)),"",INDEX('Compliance Database'!$N$2:$N$679,MATCH(568,Engine!$C$2:$C$679,0)))</f>
        <v/>
      </c>
      <c r="O581" s="8">
        <f>IF(ISNA(MATCH(568,Engine!$C$2:$C$679,0)),"",INDEX('Compliance Database'!$O$2:$O$679,MATCH(568,Engine!$C$2:$C$679,0)))</f>
        <v/>
      </c>
      <c r="P581">
        <f>IF(ISNA(MATCH(568,Engine!$C$2:$C$679,0)),"",HYPERLINK(INDEX('Compliance Database'!$P$2:$P$679,MATCH(568,Engine!$C$2:$C$679,0)),"Open PDF"))</f>
        <v/>
      </c>
    </row>
    <row r="582">
      <c r="A582">
        <f>IF(ISNA(MATCH(569,Engine!$C$2:$C$679,0)),"",INDEX('Compliance Database'!$A$2:$A$679,MATCH(569,Engine!$C$2:$C$679,0)))</f>
        <v/>
      </c>
      <c r="B582">
        <f>IF(ISNA(MATCH(569,Engine!$C$2:$C$679,0)),"",INDEX('Compliance Database'!$B$2:$B$679,MATCH(569,Engine!$C$2:$C$679,0)))</f>
        <v/>
      </c>
      <c r="C582">
        <f>IF(ISNA(MATCH(569,Engine!$C$2:$C$679,0)),"",INDEX('Compliance Database'!$C$2:$C$679,MATCH(569,Engine!$C$2:$C$679,0)))</f>
        <v/>
      </c>
      <c r="D582" s="8">
        <f>IF(ISNA(MATCH(569,Engine!$C$2:$C$679,0)),"",INDEX('Compliance Database'!$D$2:$D$679,MATCH(569,Engine!$C$2:$C$679,0)))</f>
        <v/>
      </c>
      <c r="E582">
        <f>IF(ISNA(MATCH(569,Engine!$C$2:$C$679,0)),"",INDEX('Compliance Database'!$E$2:$E$679,MATCH(569,Engine!$C$2:$C$679,0)))</f>
        <v/>
      </c>
      <c r="F582">
        <f>IF(ISNA(MATCH(569,Engine!$C$2:$C$679,0)),"",INDEX('Compliance Database'!$F$2:$F$679,MATCH(569,Engine!$C$2:$C$679,0)))</f>
        <v/>
      </c>
      <c r="G582">
        <f>IF(ISNA(MATCH(569,Engine!$C$2:$C$679,0)),"",INDEX('Compliance Database'!$G$2:$G$679,MATCH(569,Engine!$C$2:$C$679,0)))</f>
        <v/>
      </c>
      <c r="H582">
        <f>IF(ISNA(MATCH(569,Engine!$C$2:$C$679,0)),"",INDEX('Compliance Database'!$H$2:$H$679,MATCH(569,Engine!$C$2:$C$679,0)))</f>
        <v/>
      </c>
      <c r="I582" s="8">
        <f>IF(ISNA(MATCH(569,Engine!$C$2:$C$679,0)),"",INDEX('Compliance Database'!$I$2:$I$679,MATCH(569,Engine!$C$2:$C$679,0)))</f>
        <v/>
      </c>
      <c r="J582" s="8">
        <f>IF(ISNA(MATCH(569,Engine!$C$2:$C$679,0)),"",INDEX('Compliance Database'!$J$2:$J$679,MATCH(569,Engine!$C$2:$C$679,0)))</f>
        <v/>
      </c>
      <c r="K582">
        <f>IF(ISNA(MATCH(569,Engine!$C$2:$C$679,0)),"",INDEX('Compliance Database'!$K$2:$K$679,MATCH(569,Engine!$C$2:$C$679,0)))</f>
        <v/>
      </c>
      <c r="L582" s="8">
        <f>IF(ISNA(MATCH(569,Engine!$C$2:$C$679,0)),"",INDEX('Compliance Database'!$L$2:$L$679,MATCH(569,Engine!$C$2:$C$679,0)))</f>
        <v/>
      </c>
      <c r="M582" s="8">
        <f>IF(ISNA(MATCH(569,Engine!$C$2:$C$679,0)),"",INDEX('Compliance Database'!$M$2:$M$679,MATCH(569,Engine!$C$2:$C$679,0)))</f>
        <v/>
      </c>
      <c r="N582" s="8">
        <f>IF(ISNA(MATCH(569,Engine!$C$2:$C$679,0)),"",INDEX('Compliance Database'!$N$2:$N$679,MATCH(569,Engine!$C$2:$C$679,0)))</f>
        <v/>
      </c>
      <c r="O582" s="8">
        <f>IF(ISNA(MATCH(569,Engine!$C$2:$C$679,0)),"",INDEX('Compliance Database'!$O$2:$O$679,MATCH(569,Engine!$C$2:$C$679,0)))</f>
        <v/>
      </c>
      <c r="P582">
        <f>IF(ISNA(MATCH(569,Engine!$C$2:$C$679,0)),"",HYPERLINK(INDEX('Compliance Database'!$P$2:$P$679,MATCH(569,Engine!$C$2:$C$679,0)),"Open PDF"))</f>
        <v/>
      </c>
    </row>
    <row r="583">
      <c r="A583">
        <f>IF(ISNA(MATCH(570,Engine!$C$2:$C$679,0)),"",INDEX('Compliance Database'!$A$2:$A$679,MATCH(570,Engine!$C$2:$C$679,0)))</f>
        <v/>
      </c>
      <c r="B583">
        <f>IF(ISNA(MATCH(570,Engine!$C$2:$C$679,0)),"",INDEX('Compliance Database'!$B$2:$B$679,MATCH(570,Engine!$C$2:$C$679,0)))</f>
        <v/>
      </c>
      <c r="C583">
        <f>IF(ISNA(MATCH(570,Engine!$C$2:$C$679,0)),"",INDEX('Compliance Database'!$C$2:$C$679,MATCH(570,Engine!$C$2:$C$679,0)))</f>
        <v/>
      </c>
      <c r="D583" s="8">
        <f>IF(ISNA(MATCH(570,Engine!$C$2:$C$679,0)),"",INDEX('Compliance Database'!$D$2:$D$679,MATCH(570,Engine!$C$2:$C$679,0)))</f>
        <v/>
      </c>
      <c r="E583">
        <f>IF(ISNA(MATCH(570,Engine!$C$2:$C$679,0)),"",INDEX('Compliance Database'!$E$2:$E$679,MATCH(570,Engine!$C$2:$C$679,0)))</f>
        <v/>
      </c>
      <c r="F583">
        <f>IF(ISNA(MATCH(570,Engine!$C$2:$C$679,0)),"",INDEX('Compliance Database'!$F$2:$F$679,MATCH(570,Engine!$C$2:$C$679,0)))</f>
        <v/>
      </c>
      <c r="G583">
        <f>IF(ISNA(MATCH(570,Engine!$C$2:$C$679,0)),"",INDEX('Compliance Database'!$G$2:$G$679,MATCH(570,Engine!$C$2:$C$679,0)))</f>
        <v/>
      </c>
      <c r="H583">
        <f>IF(ISNA(MATCH(570,Engine!$C$2:$C$679,0)),"",INDEX('Compliance Database'!$H$2:$H$679,MATCH(570,Engine!$C$2:$C$679,0)))</f>
        <v/>
      </c>
      <c r="I583" s="8">
        <f>IF(ISNA(MATCH(570,Engine!$C$2:$C$679,0)),"",INDEX('Compliance Database'!$I$2:$I$679,MATCH(570,Engine!$C$2:$C$679,0)))</f>
        <v/>
      </c>
      <c r="J583" s="8">
        <f>IF(ISNA(MATCH(570,Engine!$C$2:$C$679,0)),"",INDEX('Compliance Database'!$J$2:$J$679,MATCH(570,Engine!$C$2:$C$679,0)))</f>
        <v/>
      </c>
      <c r="K583">
        <f>IF(ISNA(MATCH(570,Engine!$C$2:$C$679,0)),"",INDEX('Compliance Database'!$K$2:$K$679,MATCH(570,Engine!$C$2:$C$679,0)))</f>
        <v/>
      </c>
      <c r="L583" s="8">
        <f>IF(ISNA(MATCH(570,Engine!$C$2:$C$679,0)),"",INDEX('Compliance Database'!$L$2:$L$679,MATCH(570,Engine!$C$2:$C$679,0)))</f>
        <v/>
      </c>
      <c r="M583" s="8">
        <f>IF(ISNA(MATCH(570,Engine!$C$2:$C$679,0)),"",INDEX('Compliance Database'!$M$2:$M$679,MATCH(570,Engine!$C$2:$C$679,0)))</f>
        <v/>
      </c>
      <c r="N583" s="8">
        <f>IF(ISNA(MATCH(570,Engine!$C$2:$C$679,0)),"",INDEX('Compliance Database'!$N$2:$N$679,MATCH(570,Engine!$C$2:$C$679,0)))</f>
        <v/>
      </c>
      <c r="O583" s="8">
        <f>IF(ISNA(MATCH(570,Engine!$C$2:$C$679,0)),"",INDEX('Compliance Database'!$O$2:$O$679,MATCH(570,Engine!$C$2:$C$679,0)))</f>
        <v/>
      </c>
      <c r="P583">
        <f>IF(ISNA(MATCH(570,Engine!$C$2:$C$679,0)),"",HYPERLINK(INDEX('Compliance Database'!$P$2:$P$679,MATCH(570,Engine!$C$2:$C$679,0)),"Open PDF"))</f>
        <v/>
      </c>
    </row>
    <row r="584">
      <c r="A584">
        <f>IF(ISNA(MATCH(571,Engine!$C$2:$C$679,0)),"",INDEX('Compliance Database'!$A$2:$A$679,MATCH(571,Engine!$C$2:$C$679,0)))</f>
        <v/>
      </c>
      <c r="B584">
        <f>IF(ISNA(MATCH(571,Engine!$C$2:$C$679,0)),"",INDEX('Compliance Database'!$B$2:$B$679,MATCH(571,Engine!$C$2:$C$679,0)))</f>
        <v/>
      </c>
      <c r="C584">
        <f>IF(ISNA(MATCH(571,Engine!$C$2:$C$679,0)),"",INDEX('Compliance Database'!$C$2:$C$679,MATCH(571,Engine!$C$2:$C$679,0)))</f>
        <v/>
      </c>
      <c r="D584" s="8">
        <f>IF(ISNA(MATCH(571,Engine!$C$2:$C$679,0)),"",INDEX('Compliance Database'!$D$2:$D$679,MATCH(571,Engine!$C$2:$C$679,0)))</f>
        <v/>
      </c>
      <c r="E584">
        <f>IF(ISNA(MATCH(571,Engine!$C$2:$C$679,0)),"",INDEX('Compliance Database'!$E$2:$E$679,MATCH(571,Engine!$C$2:$C$679,0)))</f>
        <v/>
      </c>
      <c r="F584">
        <f>IF(ISNA(MATCH(571,Engine!$C$2:$C$679,0)),"",INDEX('Compliance Database'!$F$2:$F$679,MATCH(571,Engine!$C$2:$C$679,0)))</f>
        <v/>
      </c>
      <c r="G584">
        <f>IF(ISNA(MATCH(571,Engine!$C$2:$C$679,0)),"",INDEX('Compliance Database'!$G$2:$G$679,MATCH(571,Engine!$C$2:$C$679,0)))</f>
        <v/>
      </c>
      <c r="H584">
        <f>IF(ISNA(MATCH(571,Engine!$C$2:$C$679,0)),"",INDEX('Compliance Database'!$H$2:$H$679,MATCH(571,Engine!$C$2:$C$679,0)))</f>
        <v/>
      </c>
      <c r="I584" s="8">
        <f>IF(ISNA(MATCH(571,Engine!$C$2:$C$679,0)),"",INDEX('Compliance Database'!$I$2:$I$679,MATCH(571,Engine!$C$2:$C$679,0)))</f>
        <v/>
      </c>
      <c r="J584" s="8">
        <f>IF(ISNA(MATCH(571,Engine!$C$2:$C$679,0)),"",INDEX('Compliance Database'!$J$2:$J$679,MATCH(571,Engine!$C$2:$C$679,0)))</f>
        <v/>
      </c>
      <c r="K584">
        <f>IF(ISNA(MATCH(571,Engine!$C$2:$C$679,0)),"",INDEX('Compliance Database'!$K$2:$K$679,MATCH(571,Engine!$C$2:$C$679,0)))</f>
        <v/>
      </c>
      <c r="L584" s="8">
        <f>IF(ISNA(MATCH(571,Engine!$C$2:$C$679,0)),"",INDEX('Compliance Database'!$L$2:$L$679,MATCH(571,Engine!$C$2:$C$679,0)))</f>
        <v/>
      </c>
      <c r="M584" s="8">
        <f>IF(ISNA(MATCH(571,Engine!$C$2:$C$679,0)),"",INDEX('Compliance Database'!$M$2:$M$679,MATCH(571,Engine!$C$2:$C$679,0)))</f>
        <v/>
      </c>
      <c r="N584" s="8">
        <f>IF(ISNA(MATCH(571,Engine!$C$2:$C$679,0)),"",INDEX('Compliance Database'!$N$2:$N$679,MATCH(571,Engine!$C$2:$C$679,0)))</f>
        <v/>
      </c>
      <c r="O584" s="8">
        <f>IF(ISNA(MATCH(571,Engine!$C$2:$C$679,0)),"",INDEX('Compliance Database'!$O$2:$O$679,MATCH(571,Engine!$C$2:$C$679,0)))</f>
        <v/>
      </c>
      <c r="P584">
        <f>IF(ISNA(MATCH(571,Engine!$C$2:$C$679,0)),"",HYPERLINK(INDEX('Compliance Database'!$P$2:$P$679,MATCH(571,Engine!$C$2:$C$679,0)),"Open PDF"))</f>
        <v/>
      </c>
    </row>
    <row r="585">
      <c r="A585">
        <f>IF(ISNA(MATCH(572,Engine!$C$2:$C$679,0)),"",INDEX('Compliance Database'!$A$2:$A$679,MATCH(572,Engine!$C$2:$C$679,0)))</f>
        <v/>
      </c>
      <c r="B585">
        <f>IF(ISNA(MATCH(572,Engine!$C$2:$C$679,0)),"",INDEX('Compliance Database'!$B$2:$B$679,MATCH(572,Engine!$C$2:$C$679,0)))</f>
        <v/>
      </c>
      <c r="C585">
        <f>IF(ISNA(MATCH(572,Engine!$C$2:$C$679,0)),"",INDEX('Compliance Database'!$C$2:$C$679,MATCH(572,Engine!$C$2:$C$679,0)))</f>
        <v/>
      </c>
      <c r="D585" s="8">
        <f>IF(ISNA(MATCH(572,Engine!$C$2:$C$679,0)),"",INDEX('Compliance Database'!$D$2:$D$679,MATCH(572,Engine!$C$2:$C$679,0)))</f>
        <v/>
      </c>
      <c r="E585">
        <f>IF(ISNA(MATCH(572,Engine!$C$2:$C$679,0)),"",INDEX('Compliance Database'!$E$2:$E$679,MATCH(572,Engine!$C$2:$C$679,0)))</f>
        <v/>
      </c>
      <c r="F585">
        <f>IF(ISNA(MATCH(572,Engine!$C$2:$C$679,0)),"",INDEX('Compliance Database'!$F$2:$F$679,MATCH(572,Engine!$C$2:$C$679,0)))</f>
        <v/>
      </c>
      <c r="G585">
        <f>IF(ISNA(MATCH(572,Engine!$C$2:$C$679,0)),"",INDEX('Compliance Database'!$G$2:$G$679,MATCH(572,Engine!$C$2:$C$679,0)))</f>
        <v/>
      </c>
      <c r="H585">
        <f>IF(ISNA(MATCH(572,Engine!$C$2:$C$679,0)),"",INDEX('Compliance Database'!$H$2:$H$679,MATCH(572,Engine!$C$2:$C$679,0)))</f>
        <v/>
      </c>
      <c r="I585" s="8">
        <f>IF(ISNA(MATCH(572,Engine!$C$2:$C$679,0)),"",INDEX('Compliance Database'!$I$2:$I$679,MATCH(572,Engine!$C$2:$C$679,0)))</f>
        <v/>
      </c>
      <c r="J585" s="8">
        <f>IF(ISNA(MATCH(572,Engine!$C$2:$C$679,0)),"",INDEX('Compliance Database'!$J$2:$J$679,MATCH(572,Engine!$C$2:$C$679,0)))</f>
        <v/>
      </c>
      <c r="K585">
        <f>IF(ISNA(MATCH(572,Engine!$C$2:$C$679,0)),"",INDEX('Compliance Database'!$K$2:$K$679,MATCH(572,Engine!$C$2:$C$679,0)))</f>
        <v/>
      </c>
      <c r="L585" s="8">
        <f>IF(ISNA(MATCH(572,Engine!$C$2:$C$679,0)),"",INDEX('Compliance Database'!$L$2:$L$679,MATCH(572,Engine!$C$2:$C$679,0)))</f>
        <v/>
      </c>
      <c r="M585" s="8">
        <f>IF(ISNA(MATCH(572,Engine!$C$2:$C$679,0)),"",INDEX('Compliance Database'!$M$2:$M$679,MATCH(572,Engine!$C$2:$C$679,0)))</f>
        <v/>
      </c>
      <c r="N585" s="8">
        <f>IF(ISNA(MATCH(572,Engine!$C$2:$C$679,0)),"",INDEX('Compliance Database'!$N$2:$N$679,MATCH(572,Engine!$C$2:$C$679,0)))</f>
        <v/>
      </c>
      <c r="O585" s="8">
        <f>IF(ISNA(MATCH(572,Engine!$C$2:$C$679,0)),"",INDEX('Compliance Database'!$O$2:$O$679,MATCH(572,Engine!$C$2:$C$679,0)))</f>
        <v/>
      </c>
      <c r="P585">
        <f>IF(ISNA(MATCH(572,Engine!$C$2:$C$679,0)),"",HYPERLINK(INDEX('Compliance Database'!$P$2:$P$679,MATCH(572,Engine!$C$2:$C$679,0)),"Open PDF"))</f>
        <v/>
      </c>
    </row>
    <row r="586">
      <c r="A586">
        <f>IF(ISNA(MATCH(573,Engine!$C$2:$C$679,0)),"",INDEX('Compliance Database'!$A$2:$A$679,MATCH(573,Engine!$C$2:$C$679,0)))</f>
        <v/>
      </c>
      <c r="B586">
        <f>IF(ISNA(MATCH(573,Engine!$C$2:$C$679,0)),"",INDEX('Compliance Database'!$B$2:$B$679,MATCH(573,Engine!$C$2:$C$679,0)))</f>
        <v/>
      </c>
      <c r="C586">
        <f>IF(ISNA(MATCH(573,Engine!$C$2:$C$679,0)),"",INDEX('Compliance Database'!$C$2:$C$679,MATCH(573,Engine!$C$2:$C$679,0)))</f>
        <v/>
      </c>
      <c r="D586" s="8">
        <f>IF(ISNA(MATCH(573,Engine!$C$2:$C$679,0)),"",INDEX('Compliance Database'!$D$2:$D$679,MATCH(573,Engine!$C$2:$C$679,0)))</f>
        <v/>
      </c>
      <c r="E586">
        <f>IF(ISNA(MATCH(573,Engine!$C$2:$C$679,0)),"",INDEX('Compliance Database'!$E$2:$E$679,MATCH(573,Engine!$C$2:$C$679,0)))</f>
        <v/>
      </c>
      <c r="F586">
        <f>IF(ISNA(MATCH(573,Engine!$C$2:$C$679,0)),"",INDEX('Compliance Database'!$F$2:$F$679,MATCH(573,Engine!$C$2:$C$679,0)))</f>
        <v/>
      </c>
      <c r="G586">
        <f>IF(ISNA(MATCH(573,Engine!$C$2:$C$679,0)),"",INDEX('Compliance Database'!$G$2:$G$679,MATCH(573,Engine!$C$2:$C$679,0)))</f>
        <v/>
      </c>
      <c r="H586">
        <f>IF(ISNA(MATCH(573,Engine!$C$2:$C$679,0)),"",INDEX('Compliance Database'!$H$2:$H$679,MATCH(573,Engine!$C$2:$C$679,0)))</f>
        <v/>
      </c>
      <c r="I586" s="8">
        <f>IF(ISNA(MATCH(573,Engine!$C$2:$C$679,0)),"",INDEX('Compliance Database'!$I$2:$I$679,MATCH(573,Engine!$C$2:$C$679,0)))</f>
        <v/>
      </c>
      <c r="J586" s="8">
        <f>IF(ISNA(MATCH(573,Engine!$C$2:$C$679,0)),"",INDEX('Compliance Database'!$J$2:$J$679,MATCH(573,Engine!$C$2:$C$679,0)))</f>
        <v/>
      </c>
      <c r="K586">
        <f>IF(ISNA(MATCH(573,Engine!$C$2:$C$679,0)),"",INDEX('Compliance Database'!$K$2:$K$679,MATCH(573,Engine!$C$2:$C$679,0)))</f>
        <v/>
      </c>
      <c r="L586" s="8">
        <f>IF(ISNA(MATCH(573,Engine!$C$2:$C$679,0)),"",INDEX('Compliance Database'!$L$2:$L$679,MATCH(573,Engine!$C$2:$C$679,0)))</f>
        <v/>
      </c>
      <c r="M586" s="8">
        <f>IF(ISNA(MATCH(573,Engine!$C$2:$C$679,0)),"",INDEX('Compliance Database'!$M$2:$M$679,MATCH(573,Engine!$C$2:$C$679,0)))</f>
        <v/>
      </c>
      <c r="N586" s="8">
        <f>IF(ISNA(MATCH(573,Engine!$C$2:$C$679,0)),"",INDEX('Compliance Database'!$N$2:$N$679,MATCH(573,Engine!$C$2:$C$679,0)))</f>
        <v/>
      </c>
      <c r="O586" s="8">
        <f>IF(ISNA(MATCH(573,Engine!$C$2:$C$679,0)),"",INDEX('Compliance Database'!$O$2:$O$679,MATCH(573,Engine!$C$2:$C$679,0)))</f>
        <v/>
      </c>
      <c r="P586">
        <f>IF(ISNA(MATCH(573,Engine!$C$2:$C$679,0)),"",HYPERLINK(INDEX('Compliance Database'!$P$2:$P$679,MATCH(573,Engine!$C$2:$C$679,0)),"Open PDF"))</f>
        <v/>
      </c>
    </row>
    <row r="587">
      <c r="A587">
        <f>IF(ISNA(MATCH(574,Engine!$C$2:$C$679,0)),"",INDEX('Compliance Database'!$A$2:$A$679,MATCH(574,Engine!$C$2:$C$679,0)))</f>
        <v/>
      </c>
      <c r="B587">
        <f>IF(ISNA(MATCH(574,Engine!$C$2:$C$679,0)),"",INDEX('Compliance Database'!$B$2:$B$679,MATCH(574,Engine!$C$2:$C$679,0)))</f>
        <v/>
      </c>
      <c r="C587">
        <f>IF(ISNA(MATCH(574,Engine!$C$2:$C$679,0)),"",INDEX('Compliance Database'!$C$2:$C$679,MATCH(574,Engine!$C$2:$C$679,0)))</f>
        <v/>
      </c>
      <c r="D587" s="8">
        <f>IF(ISNA(MATCH(574,Engine!$C$2:$C$679,0)),"",INDEX('Compliance Database'!$D$2:$D$679,MATCH(574,Engine!$C$2:$C$679,0)))</f>
        <v/>
      </c>
      <c r="E587">
        <f>IF(ISNA(MATCH(574,Engine!$C$2:$C$679,0)),"",INDEX('Compliance Database'!$E$2:$E$679,MATCH(574,Engine!$C$2:$C$679,0)))</f>
        <v/>
      </c>
      <c r="F587">
        <f>IF(ISNA(MATCH(574,Engine!$C$2:$C$679,0)),"",INDEX('Compliance Database'!$F$2:$F$679,MATCH(574,Engine!$C$2:$C$679,0)))</f>
        <v/>
      </c>
      <c r="G587">
        <f>IF(ISNA(MATCH(574,Engine!$C$2:$C$679,0)),"",INDEX('Compliance Database'!$G$2:$G$679,MATCH(574,Engine!$C$2:$C$679,0)))</f>
        <v/>
      </c>
      <c r="H587">
        <f>IF(ISNA(MATCH(574,Engine!$C$2:$C$679,0)),"",INDEX('Compliance Database'!$H$2:$H$679,MATCH(574,Engine!$C$2:$C$679,0)))</f>
        <v/>
      </c>
      <c r="I587" s="8">
        <f>IF(ISNA(MATCH(574,Engine!$C$2:$C$679,0)),"",INDEX('Compliance Database'!$I$2:$I$679,MATCH(574,Engine!$C$2:$C$679,0)))</f>
        <v/>
      </c>
      <c r="J587" s="8">
        <f>IF(ISNA(MATCH(574,Engine!$C$2:$C$679,0)),"",INDEX('Compliance Database'!$J$2:$J$679,MATCH(574,Engine!$C$2:$C$679,0)))</f>
        <v/>
      </c>
      <c r="K587">
        <f>IF(ISNA(MATCH(574,Engine!$C$2:$C$679,0)),"",INDEX('Compliance Database'!$K$2:$K$679,MATCH(574,Engine!$C$2:$C$679,0)))</f>
        <v/>
      </c>
      <c r="L587" s="8">
        <f>IF(ISNA(MATCH(574,Engine!$C$2:$C$679,0)),"",INDEX('Compliance Database'!$L$2:$L$679,MATCH(574,Engine!$C$2:$C$679,0)))</f>
        <v/>
      </c>
      <c r="M587" s="8">
        <f>IF(ISNA(MATCH(574,Engine!$C$2:$C$679,0)),"",INDEX('Compliance Database'!$M$2:$M$679,MATCH(574,Engine!$C$2:$C$679,0)))</f>
        <v/>
      </c>
      <c r="N587" s="8">
        <f>IF(ISNA(MATCH(574,Engine!$C$2:$C$679,0)),"",INDEX('Compliance Database'!$N$2:$N$679,MATCH(574,Engine!$C$2:$C$679,0)))</f>
        <v/>
      </c>
      <c r="O587" s="8">
        <f>IF(ISNA(MATCH(574,Engine!$C$2:$C$679,0)),"",INDEX('Compliance Database'!$O$2:$O$679,MATCH(574,Engine!$C$2:$C$679,0)))</f>
        <v/>
      </c>
      <c r="P587">
        <f>IF(ISNA(MATCH(574,Engine!$C$2:$C$679,0)),"",HYPERLINK(INDEX('Compliance Database'!$P$2:$P$679,MATCH(574,Engine!$C$2:$C$679,0)),"Open PDF"))</f>
        <v/>
      </c>
    </row>
    <row r="588">
      <c r="A588">
        <f>IF(ISNA(MATCH(575,Engine!$C$2:$C$679,0)),"",INDEX('Compliance Database'!$A$2:$A$679,MATCH(575,Engine!$C$2:$C$679,0)))</f>
        <v/>
      </c>
      <c r="B588">
        <f>IF(ISNA(MATCH(575,Engine!$C$2:$C$679,0)),"",INDEX('Compliance Database'!$B$2:$B$679,MATCH(575,Engine!$C$2:$C$679,0)))</f>
        <v/>
      </c>
      <c r="C588">
        <f>IF(ISNA(MATCH(575,Engine!$C$2:$C$679,0)),"",INDEX('Compliance Database'!$C$2:$C$679,MATCH(575,Engine!$C$2:$C$679,0)))</f>
        <v/>
      </c>
      <c r="D588" s="8">
        <f>IF(ISNA(MATCH(575,Engine!$C$2:$C$679,0)),"",INDEX('Compliance Database'!$D$2:$D$679,MATCH(575,Engine!$C$2:$C$679,0)))</f>
        <v/>
      </c>
      <c r="E588">
        <f>IF(ISNA(MATCH(575,Engine!$C$2:$C$679,0)),"",INDEX('Compliance Database'!$E$2:$E$679,MATCH(575,Engine!$C$2:$C$679,0)))</f>
        <v/>
      </c>
      <c r="F588">
        <f>IF(ISNA(MATCH(575,Engine!$C$2:$C$679,0)),"",INDEX('Compliance Database'!$F$2:$F$679,MATCH(575,Engine!$C$2:$C$679,0)))</f>
        <v/>
      </c>
      <c r="G588">
        <f>IF(ISNA(MATCH(575,Engine!$C$2:$C$679,0)),"",INDEX('Compliance Database'!$G$2:$G$679,MATCH(575,Engine!$C$2:$C$679,0)))</f>
        <v/>
      </c>
      <c r="H588">
        <f>IF(ISNA(MATCH(575,Engine!$C$2:$C$679,0)),"",INDEX('Compliance Database'!$H$2:$H$679,MATCH(575,Engine!$C$2:$C$679,0)))</f>
        <v/>
      </c>
      <c r="I588" s="8">
        <f>IF(ISNA(MATCH(575,Engine!$C$2:$C$679,0)),"",INDEX('Compliance Database'!$I$2:$I$679,MATCH(575,Engine!$C$2:$C$679,0)))</f>
        <v/>
      </c>
      <c r="J588" s="8">
        <f>IF(ISNA(MATCH(575,Engine!$C$2:$C$679,0)),"",INDEX('Compliance Database'!$J$2:$J$679,MATCH(575,Engine!$C$2:$C$679,0)))</f>
        <v/>
      </c>
      <c r="K588">
        <f>IF(ISNA(MATCH(575,Engine!$C$2:$C$679,0)),"",INDEX('Compliance Database'!$K$2:$K$679,MATCH(575,Engine!$C$2:$C$679,0)))</f>
        <v/>
      </c>
      <c r="L588" s="8">
        <f>IF(ISNA(MATCH(575,Engine!$C$2:$C$679,0)),"",INDEX('Compliance Database'!$L$2:$L$679,MATCH(575,Engine!$C$2:$C$679,0)))</f>
        <v/>
      </c>
      <c r="M588" s="8">
        <f>IF(ISNA(MATCH(575,Engine!$C$2:$C$679,0)),"",INDEX('Compliance Database'!$M$2:$M$679,MATCH(575,Engine!$C$2:$C$679,0)))</f>
        <v/>
      </c>
      <c r="N588" s="8">
        <f>IF(ISNA(MATCH(575,Engine!$C$2:$C$679,0)),"",INDEX('Compliance Database'!$N$2:$N$679,MATCH(575,Engine!$C$2:$C$679,0)))</f>
        <v/>
      </c>
      <c r="O588" s="8">
        <f>IF(ISNA(MATCH(575,Engine!$C$2:$C$679,0)),"",INDEX('Compliance Database'!$O$2:$O$679,MATCH(575,Engine!$C$2:$C$679,0)))</f>
        <v/>
      </c>
      <c r="P588">
        <f>IF(ISNA(MATCH(575,Engine!$C$2:$C$679,0)),"",HYPERLINK(INDEX('Compliance Database'!$P$2:$P$679,MATCH(575,Engine!$C$2:$C$679,0)),"Open PDF"))</f>
        <v/>
      </c>
    </row>
    <row r="589">
      <c r="A589">
        <f>IF(ISNA(MATCH(576,Engine!$C$2:$C$679,0)),"",INDEX('Compliance Database'!$A$2:$A$679,MATCH(576,Engine!$C$2:$C$679,0)))</f>
        <v/>
      </c>
      <c r="B589">
        <f>IF(ISNA(MATCH(576,Engine!$C$2:$C$679,0)),"",INDEX('Compliance Database'!$B$2:$B$679,MATCH(576,Engine!$C$2:$C$679,0)))</f>
        <v/>
      </c>
      <c r="C589">
        <f>IF(ISNA(MATCH(576,Engine!$C$2:$C$679,0)),"",INDEX('Compliance Database'!$C$2:$C$679,MATCH(576,Engine!$C$2:$C$679,0)))</f>
        <v/>
      </c>
      <c r="D589" s="8">
        <f>IF(ISNA(MATCH(576,Engine!$C$2:$C$679,0)),"",INDEX('Compliance Database'!$D$2:$D$679,MATCH(576,Engine!$C$2:$C$679,0)))</f>
        <v/>
      </c>
      <c r="E589">
        <f>IF(ISNA(MATCH(576,Engine!$C$2:$C$679,0)),"",INDEX('Compliance Database'!$E$2:$E$679,MATCH(576,Engine!$C$2:$C$679,0)))</f>
        <v/>
      </c>
      <c r="F589">
        <f>IF(ISNA(MATCH(576,Engine!$C$2:$C$679,0)),"",INDEX('Compliance Database'!$F$2:$F$679,MATCH(576,Engine!$C$2:$C$679,0)))</f>
        <v/>
      </c>
      <c r="G589">
        <f>IF(ISNA(MATCH(576,Engine!$C$2:$C$679,0)),"",INDEX('Compliance Database'!$G$2:$G$679,MATCH(576,Engine!$C$2:$C$679,0)))</f>
        <v/>
      </c>
      <c r="H589">
        <f>IF(ISNA(MATCH(576,Engine!$C$2:$C$679,0)),"",INDEX('Compliance Database'!$H$2:$H$679,MATCH(576,Engine!$C$2:$C$679,0)))</f>
        <v/>
      </c>
      <c r="I589" s="8">
        <f>IF(ISNA(MATCH(576,Engine!$C$2:$C$679,0)),"",INDEX('Compliance Database'!$I$2:$I$679,MATCH(576,Engine!$C$2:$C$679,0)))</f>
        <v/>
      </c>
      <c r="J589" s="8">
        <f>IF(ISNA(MATCH(576,Engine!$C$2:$C$679,0)),"",INDEX('Compliance Database'!$J$2:$J$679,MATCH(576,Engine!$C$2:$C$679,0)))</f>
        <v/>
      </c>
      <c r="K589">
        <f>IF(ISNA(MATCH(576,Engine!$C$2:$C$679,0)),"",INDEX('Compliance Database'!$K$2:$K$679,MATCH(576,Engine!$C$2:$C$679,0)))</f>
        <v/>
      </c>
      <c r="L589" s="8">
        <f>IF(ISNA(MATCH(576,Engine!$C$2:$C$679,0)),"",INDEX('Compliance Database'!$L$2:$L$679,MATCH(576,Engine!$C$2:$C$679,0)))</f>
        <v/>
      </c>
      <c r="M589" s="8">
        <f>IF(ISNA(MATCH(576,Engine!$C$2:$C$679,0)),"",INDEX('Compliance Database'!$M$2:$M$679,MATCH(576,Engine!$C$2:$C$679,0)))</f>
        <v/>
      </c>
      <c r="N589" s="8">
        <f>IF(ISNA(MATCH(576,Engine!$C$2:$C$679,0)),"",INDEX('Compliance Database'!$N$2:$N$679,MATCH(576,Engine!$C$2:$C$679,0)))</f>
        <v/>
      </c>
      <c r="O589" s="8">
        <f>IF(ISNA(MATCH(576,Engine!$C$2:$C$679,0)),"",INDEX('Compliance Database'!$O$2:$O$679,MATCH(576,Engine!$C$2:$C$679,0)))</f>
        <v/>
      </c>
      <c r="P589">
        <f>IF(ISNA(MATCH(576,Engine!$C$2:$C$679,0)),"",HYPERLINK(INDEX('Compliance Database'!$P$2:$P$679,MATCH(576,Engine!$C$2:$C$679,0)),"Open PDF"))</f>
        <v/>
      </c>
    </row>
    <row r="590">
      <c r="A590">
        <f>IF(ISNA(MATCH(577,Engine!$C$2:$C$679,0)),"",INDEX('Compliance Database'!$A$2:$A$679,MATCH(577,Engine!$C$2:$C$679,0)))</f>
        <v/>
      </c>
      <c r="B590">
        <f>IF(ISNA(MATCH(577,Engine!$C$2:$C$679,0)),"",INDEX('Compliance Database'!$B$2:$B$679,MATCH(577,Engine!$C$2:$C$679,0)))</f>
        <v/>
      </c>
      <c r="C590">
        <f>IF(ISNA(MATCH(577,Engine!$C$2:$C$679,0)),"",INDEX('Compliance Database'!$C$2:$C$679,MATCH(577,Engine!$C$2:$C$679,0)))</f>
        <v/>
      </c>
      <c r="D590" s="8">
        <f>IF(ISNA(MATCH(577,Engine!$C$2:$C$679,0)),"",INDEX('Compliance Database'!$D$2:$D$679,MATCH(577,Engine!$C$2:$C$679,0)))</f>
        <v/>
      </c>
      <c r="E590">
        <f>IF(ISNA(MATCH(577,Engine!$C$2:$C$679,0)),"",INDEX('Compliance Database'!$E$2:$E$679,MATCH(577,Engine!$C$2:$C$679,0)))</f>
        <v/>
      </c>
      <c r="F590">
        <f>IF(ISNA(MATCH(577,Engine!$C$2:$C$679,0)),"",INDEX('Compliance Database'!$F$2:$F$679,MATCH(577,Engine!$C$2:$C$679,0)))</f>
        <v/>
      </c>
      <c r="G590">
        <f>IF(ISNA(MATCH(577,Engine!$C$2:$C$679,0)),"",INDEX('Compliance Database'!$G$2:$G$679,MATCH(577,Engine!$C$2:$C$679,0)))</f>
        <v/>
      </c>
      <c r="H590">
        <f>IF(ISNA(MATCH(577,Engine!$C$2:$C$679,0)),"",INDEX('Compliance Database'!$H$2:$H$679,MATCH(577,Engine!$C$2:$C$679,0)))</f>
        <v/>
      </c>
      <c r="I590" s="8">
        <f>IF(ISNA(MATCH(577,Engine!$C$2:$C$679,0)),"",INDEX('Compliance Database'!$I$2:$I$679,MATCH(577,Engine!$C$2:$C$679,0)))</f>
        <v/>
      </c>
      <c r="J590" s="8">
        <f>IF(ISNA(MATCH(577,Engine!$C$2:$C$679,0)),"",INDEX('Compliance Database'!$J$2:$J$679,MATCH(577,Engine!$C$2:$C$679,0)))</f>
        <v/>
      </c>
      <c r="K590">
        <f>IF(ISNA(MATCH(577,Engine!$C$2:$C$679,0)),"",INDEX('Compliance Database'!$K$2:$K$679,MATCH(577,Engine!$C$2:$C$679,0)))</f>
        <v/>
      </c>
      <c r="L590" s="8">
        <f>IF(ISNA(MATCH(577,Engine!$C$2:$C$679,0)),"",INDEX('Compliance Database'!$L$2:$L$679,MATCH(577,Engine!$C$2:$C$679,0)))</f>
        <v/>
      </c>
      <c r="M590" s="8">
        <f>IF(ISNA(MATCH(577,Engine!$C$2:$C$679,0)),"",INDEX('Compliance Database'!$M$2:$M$679,MATCH(577,Engine!$C$2:$C$679,0)))</f>
        <v/>
      </c>
      <c r="N590" s="8">
        <f>IF(ISNA(MATCH(577,Engine!$C$2:$C$679,0)),"",INDEX('Compliance Database'!$N$2:$N$679,MATCH(577,Engine!$C$2:$C$679,0)))</f>
        <v/>
      </c>
      <c r="O590" s="8">
        <f>IF(ISNA(MATCH(577,Engine!$C$2:$C$679,0)),"",INDEX('Compliance Database'!$O$2:$O$679,MATCH(577,Engine!$C$2:$C$679,0)))</f>
        <v/>
      </c>
      <c r="P590">
        <f>IF(ISNA(MATCH(577,Engine!$C$2:$C$679,0)),"",HYPERLINK(INDEX('Compliance Database'!$P$2:$P$679,MATCH(577,Engine!$C$2:$C$679,0)),"Open PDF"))</f>
        <v/>
      </c>
    </row>
    <row r="591">
      <c r="A591">
        <f>IF(ISNA(MATCH(578,Engine!$C$2:$C$679,0)),"",INDEX('Compliance Database'!$A$2:$A$679,MATCH(578,Engine!$C$2:$C$679,0)))</f>
        <v/>
      </c>
      <c r="B591">
        <f>IF(ISNA(MATCH(578,Engine!$C$2:$C$679,0)),"",INDEX('Compliance Database'!$B$2:$B$679,MATCH(578,Engine!$C$2:$C$679,0)))</f>
        <v/>
      </c>
      <c r="C591">
        <f>IF(ISNA(MATCH(578,Engine!$C$2:$C$679,0)),"",INDEX('Compliance Database'!$C$2:$C$679,MATCH(578,Engine!$C$2:$C$679,0)))</f>
        <v/>
      </c>
      <c r="D591" s="8">
        <f>IF(ISNA(MATCH(578,Engine!$C$2:$C$679,0)),"",INDEX('Compliance Database'!$D$2:$D$679,MATCH(578,Engine!$C$2:$C$679,0)))</f>
        <v/>
      </c>
      <c r="E591">
        <f>IF(ISNA(MATCH(578,Engine!$C$2:$C$679,0)),"",INDEX('Compliance Database'!$E$2:$E$679,MATCH(578,Engine!$C$2:$C$679,0)))</f>
        <v/>
      </c>
      <c r="F591">
        <f>IF(ISNA(MATCH(578,Engine!$C$2:$C$679,0)),"",INDEX('Compliance Database'!$F$2:$F$679,MATCH(578,Engine!$C$2:$C$679,0)))</f>
        <v/>
      </c>
      <c r="G591">
        <f>IF(ISNA(MATCH(578,Engine!$C$2:$C$679,0)),"",INDEX('Compliance Database'!$G$2:$G$679,MATCH(578,Engine!$C$2:$C$679,0)))</f>
        <v/>
      </c>
      <c r="H591">
        <f>IF(ISNA(MATCH(578,Engine!$C$2:$C$679,0)),"",INDEX('Compliance Database'!$H$2:$H$679,MATCH(578,Engine!$C$2:$C$679,0)))</f>
        <v/>
      </c>
      <c r="I591" s="8">
        <f>IF(ISNA(MATCH(578,Engine!$C$2:$C$679,0)),"",INDEX('Compliance Database'!$I$2:$I$679,MATCH(578,Engine!$C$2:$C$679,0)))</f>
        <v/>
      </c>
      <c r="J591" s="8">
        <f>IF(ISNA(MATCH(578,Engine!$C$2:$C$679,0)),"",INDEX('Compliance Database'!$J$2:$J$679,MATCH(578,Engine!$C$2:$C$679,0)))</f>
        <v/>
      </c>
      <c r="K591">
        <f>IF(ISNA(MATCH(578,Engine!$C$2:$C$679,0)),"",INDEX('Compliance Database'!$K$2:$K$679,MATCH(578,Engine!$C$2:$C$679,0)))</f>
        <v/>
      </c>
      <c r="L591" s="8">
        <f>IF(ISNA(MATCH(578,Engine!$C$2:$C$679,0)),"",INDEX('Compliance Database'!$L$2:$L$679,MATCH(578,Engine!$C$2:$C$679,0)))</f>
        <v/>
      </c>
      <c r="M591" s="8">
        <f>IF(ISNA(MATCH(578,Engine!$C$2:$C$679,0)),"",INDEX('Compliance Database'!$M$2:$M$679,MATCH(578,Engine!$C$2:$C$679,0)))</f>
        <v/>
      </c>
      <c r="N591" s="8">
        <f>IF(ISNA(MATCH(578,Engine!$C$2:$C$679,0)),"",INDEX('Compliance Database'!$N$2:$N$679,MATCH(578,Engine!$C$2:$C$679,0)))</f>
        <v/>
      </c>
      <c r="O591" s="8">
        <f>IF(ISNA(MATCH(578,Engine!$C$2:$C$679,0)),"",INDEX('Compliance Database'!$O$2:$O$679,MATCH(578,Engine!$C$2:$C$679,0)))</f>
        <v/>
      </c>
      <c r="P591">
        <f>IF(ISNA(MATCH(578,Engine!$C$2:$C$679,0)),"",HYPERLINK(INDEX('Compliance Database'!$P$2:$P$679,MATCH(578,Engine!$C$2:$C$679,0)),"Open PDF"))</f>
        <v/>
      </c>
    </row>
    <row r="592">
      <c r="A592">
        <f>IF(ISNA(MATCH(579,Engine!$C$2:$C$679,0)),"",INDEX('Compliance Database'!$A$2:$A$679,MATCH(579,Engine!$C$2:$C$679,0)))</f>
        <v/>
      </c>
      <c r="B592">
        <f>IF(ISNA(MATCH(579,Engine!$C$2:$C$679,0)),"",INDEX('Compliance Database'!$B$2:$B$679,MATCH(579,Engine!$C$2:$C$679,0)))</f>
        <v/>
      </c>
      <c r="C592">
        <f>IF(ISNA(MATCH(579,Engine!$C$2:$C$679,0)),"",INDEX('Compliance Database'!$C$2:$C$679,MATCH(579,Engine!$C$2:$C$679,0)))</f>
        <v/>
      </c>
      <c r="D592" s="8">
        <f>IF(ISNA(MATCH(579,Engine!$C$2:$C$679,0)),"",INDEX('Compliance Database'!$D$2:$D$679,MATCH(579,Engine!$C$2:$C$679,0)))</f>
        <v/>
      </c>
      <c r="E592">
        <f>IF(ISNA(MATCH(579,Engine!$C$2:$C$679,0)),"",INDEX('Compliance Database'!$E$2:$E$679,MATCH(579,Engine!$C$2:$C$679,0)))</f>
        <v/>
      </c>
      <c r="F592">
        <f>IF(ISNA(MATCH(579,Engine!$C$2:$C$679,0)),"",INDEX('Compliance Database'!$F$2:$F$679,MATCH(579,Engine!$C$2:$C$679,0)))</f>
        <v/>
      </c>
      <c r="G592">
        <f>IF(ISNA(MATCH(579,Engine!$C$2:$C$679,0)),"",INDEX('Compliance Database'!$G$2:$G$679,MATCH(579,Engine!$C$2:$C$679,0)))</f>
        <v/>
      </c>
      <c r="H592">
        <f>IF(ISNA(MATCH(579,Engine!$C$2:$C$679,0)),"",INDEX('Compliance Database'!$H$2:$H$679,MATCH(579,Engine!$C$2:$C$679,0)))</f>
        <v/>
      </c>
      <c r="I592" s="8">
        <f>IF(ISNA(MATCH(579,Engine!$C$2:$C$679,0)),"",INDEX('Compliance Database'!$I$2:$I$679,MATCH(579,Engine!$C$2:$C$679,0)))</f>
        <v/>
      </c>
      <c r="J592" s="8">
        <f>IF(ISNA(MATCH(579,Engine!$C$2:$C$679,0)),"",INDEX('Compliance Database'!$J$2:$J$679,MATCH(579,Engine!$C$2:$C$679,0)))</f>
        <v/>
      </c>
      <c r="K592">
        <f>IF(ISNA(MATCH(579,Engine!$C$2:$C$679,0)),"",INDEX('Compliance Database'!$K$2:$K$679,MATCH(579,Engine!$C$2:$C$679,0)))</f>
        <v/>
      </c>
      <c r="L592" s="8">
        <f>IF(ISNA(MATCH(579,Engine!$C$2:$C$679,0)),"",INDEX('Compliance Database'!$L$2:$L$679,MATCH(579,Engine!$C$2:$C$679,0)))</f>
        <v/>
      </c>
      <c r="M592" s="8">
        <f>IF(ISNA(MATCH(579,Engine!$C$2:$C$679,0)),"",INDEX('Compliance Database'!$M$2:$M$679,MATCH(579,Engine!$C$2:$C$679,0)))</f>
        <v/>
      </c>
      <c r="N592" s="8">
        <f>IF(ISNA(MATCH(579,Engine!$C$2:$C$679,0)),"",INDEX('Compliance Database'!$N$2:$N$679,MATCH(579,Engine!$C$2:$C$679,0)))</f>
        <v/>
      </c>
      <c r="O592" s="8">
        <f>IF(ISNA(MATCH(579,Engine!$C$2:$C$679,0)),"",INDEX('Compliance Database'!$O$2:$O$679,MATCH(579,Engine!$C$2:$C$679,0)))</f>
        <v/>
      </c>
      <c r="P592">
        <f>IF(ISNA(MATCH(579,Engine!$C$2:$C$679,0)),"",HYPERLINK(INDEX('Compliance Database'!$P$2:$P$679,MATCH(579,Engine!$C$2:$C$679,0)),"Open PDF"))</f>
        <v/>
      </c>
    </row>
    <row r="593">
      <c r="A593">
        <f>IF(ISNA(MATCH(580,Engine!$C$2:$C$679,0)),"",INDEX('Compliance Database'!$A$2:$A$679,MATCH(580,Engine!$C$2:$C$679,0)))</f>
        <v/>
      </c>
      <c r="B593">
        <f>IF(ISNA(MATCH(580,Engine!$C$2:$C$679,0)),"",INDEX('Compliance Database'!$B$2:$B$679,MATCH(580,Engine!$C$2:$C$679,0)))</f>
        <v/>
      </c>
      <c r="C593">
        <f>IF(ISNA(MATCH(580,Engine!$C$2:$C$679,0)),"",INDEX('Compliance Database'!$C$2:$C$679,MATCH(580,Engine!$C$2:$C$679,0)))</f>
        <v/>
      </c>
      <c r="D593" s="8">
        <f>IF(ISNA(MATCH(580,Engine!$C$2:$C$679,0)),"",INDEX('Compliance Database'!$D$2:$D$679,MATCH(580,Engine!$C$2:$C$679,0)))</f>
        <v/>
      </c>
      <c r="E593">
        <f>IF(ISNA(MATCH(580,Engine!$C$2:$C$679,0)),"",INDEX('Compliance Database'!$E$2:$E$679,MATCH(580,Engine!$C$2:$C$679,0)))</f>
        <v/>
      </c>
      <c r="F593">
        <f>IF(ISNA(MATCH(580,Engine!$C$2:$C$679,0)),"",INDEX('Compliance Database'!$F$2:$F$679,MATCH(580,Engine!$C$2:$C$679,0)))</f>
        <v/>
      </c>
      <c r="G593">
        <f>IF(ISNA(MATCH(580,Engine!$C$2:$C$679,0)),"",INDEX('Compliance Database'!$G$2:$G$679,MATCH(580,Engine!$C$2:$C$679,0)))</f>
        <v/>
      </c>
      <c r="H593">
        <f>IF(ISNA(MATCH(580,Engine!$C$2:$C$679,0)),"",INDEX('Compliance Database'!$H$2:$H$679,MATCH(580,Engine!$C$2:$C$679,0)))</f>
        <v/>
      </c>
      <c r="I593" s="8">
        <f>IF(ISNA(MATCH(580,Engine!$C$2:$C$679,0)),"",INDEX('Compliance Database'!$I$2:$I$679,MATCH(580,Engine!$C$2:$C$679,0)))</f>
        <v/>
      </c>
      <c r="J593" s="8">
        <f>IF(ISNA(MATCH(580,Engine!$C$2:$C$679,0)),"",INDEX('Compliance Database'!$J$2:$J$679,MATCH(580,Engine!$C$2:$C$679,0)))</f>
        <v/>
      </c>
      <c r="K593">
        <f>IF(ISNA(MATCH(580,Engine!$C$2:$C$679,0)),"",INDEX('Compliance Database'!$K$2:$K$679,MATCH(580,Engine!$C$2:$C$679,0)))</f>
        <v/>
      </c>
      <c r="L593" s="8">
        <f>IF(ISNA(MATCH(580,Engine!$C$2:$C$679,0)),"",INDEX('Compliance Database'!$L$2:$L$679,MATCH(580,Engine!$C$2:$C$679,0)))</f>
        <v/>
      </c>
      <c r="M593" s="8">
        <f>IF(ISNA(MATCH(580,Engine!$C$2:$C$679,0)),"",INDEX('Compliance Database'!$M$2:$M$679,MATCH(580,Engine!$C$2:$C$679,0)))</f>
        <v/>
      </c>
      <c r="N593" s="8">
        <f>IF(ISNA(MATCH(580,Engine!$C$2:$C$679,0)),"",INDEX('Compliance Database'!$N$2:$N$679,MATCH(580,Engine!$C$2:$C$679,0)))</f>
        <v/>
      </c>
      <c r="O593" s="8">
        <f>IF(ISNA(MATCH(580,Engine!$C$2:$C$679,0)),"",INDEX('Compliance Database'!$O$2:$O$679,MATCH(580,Engine!$C$2:$C$679,0)))</f>
        <v/>
      </c>
      <c r="P593">
        <f>IF(ISNA(MATCH(580,Engine!$C$2:$C$679,0)),"",HYPERLINK(INDEX('Compliance Database'!$P$2:$P$679,MATCH(580,Engine!$C$2:$C$679,0)),"Open PDF"))</f>
        <v/>
      </c>
    </row>
    <row r="594">
      <c r="A594">
        <f>IF(ISNA(MATCH(581,Engine!$C$2:$C$679,0)),"",INDEX('Compliance Database'!$A$2:$A$679,MATCH(581,Engine!$C$2:$C$679,0)))</f>
        <v/>
      </c>
      <c r="B594">
        <f>IF(ISNA(MATCH(581,Engine!$C$2:$C$679,0)),"",INDEX('Compliance Database'!$B$2:$B$679,MATCH(581,Engine!$C$2:$C$679,0)))</f>
        <v/>
      </c>
      <c r="C594">
        <f>IF(ISNA(MATCH(581,Engine!$C$2:$C$679,0)),"",INDEX('Compliance Database'!$C$2:$C$679,MATCH(581,Engine!$C$2:$C$679,0)))</f>
        <v/>
      </c>
      <c r="D594" s="8">
        <f>IF(ISNA(MATCH(581,Engine!$C$2:$C$679,0)),"",INDEX('Compliance Database'!$D$2:$D$679,MATCH(581,Engine!$C$2:$C$679,0)))</f>
        <v/>
      </c>
      <c r="E594">
        <f>IF(ISNA(MATCH(581,Engine!$C$2:$C$679,0)),"",INDEX('Compliance Database'!$E$2:$E$679,MATCH(581,Engine!$C$2:$C$679,0)))</f>
        <v/>
      </c>
      <c r="F594">
        <f>IF(ISNA(MATCH(581,Engine!$C$2:$C$679,0)),"",INDEX('Compliance Database'!$F$2:$F$679,MATCH(581,Engine!$C$2:$C$679,0)))</f>
        <v/>
      </c>
      <c r="G594">
        <f>IF(ISNA(MATCH(581,Engine!$C$2:$C$679,0)),"",INDEX('Compliance Database'!$G$2:$G$679,MATCH(581,Engine!$C$2:$C$679,0)))</f>
        <v/>
      </c>
      <c r="H594">
        <f>IF(ISNA(MATCH(581,Engine!$C$2:$C$679,0)),"",INDEX('Compliance Database'!$H$2:$H$679,MATCH(581,Engine!$C$2:$C$679,0)))</f>
        <v/>
      </c>
      <c r="I594" s="8">
        <f>IF(ISNA(MATCH(581,Engine!$C$2:$C$679,0)),"",INDEX('Compliance Database'!$I$2:$I$679,MATCH(581,Engine!$C$2:$C$679,0)))</f>
        <v/>
      </c>
      <c r="J594" s="8">
        <f>IF(ISNA(MATCH(581,Engine!$C$2:$C$679,0)),"",INDEX('Compliance Database'!$J$2:$J$679,MATCH(581,Engine!$C$2:$C$679,0)))</f>
        <v/>
      </c>
      <c r="K594">
        <f>IF(ISNA(MATCH(581,Engine!$C$2:$C$679,0)),"",INDEX('Compliance Database'!$K$2:$K$679,MATCH(581,Engine!$C$2:$C$679,0)))</f>
        <v/>
      </c>
      <c r="L594" s="8">
        <f>IF(ISNA(MATCH(581,Engine!$C$2:$C$679,0)),"",INDEX('Compliance Database'!$L$2:$L$679,MATCH(581,Engine!$C$2:$C$679,0)))</f>
        <v/>
      </c>
      <c r="M594" s="8">
        <f>IF(ISNA(MATCH(581,Engine!$C$2:$C$679,0)),"",INDEX('Compliance Database'!$M$2:$M$679,MATCH(581,Engine!$C$2:$C$679,0)))</f>
        <v/>
      </c>
      <c r="N594" s="8">
        <f>IF(ISNA(MATCH(581,Engine!$C$2:$C$679,0)),"",INDEX('Compliance Database'!$N$2:$N$679,MATCH(581,Engine!$C$2:$C$679,0)))</f>
        <v/>
      </c>
      <c r="O594" s="8">
        <f>IF(ISNA(MATCH(581,Engine!$C$2:$C$679,0)),"",INDEX('Compliance Database'!$O$2:$O$679,MATCH(581,Engine!$C$2:$C$679,0)))</f>
        <v/>
      </c>
      <c r="P594">
        <f>IF(ISNA(MATCH(581,Engine!$C$2:$C$679,0)),"",HYPERLINK(INDEX('Compliance Database'!$P$2:$P$679,MATCH(581,Engine!$C$2:$C$679,0)),"Open PDF"))</f>
        <v/>
      </c>
    </row>
    <row r="595">
      <c r="A595">
        <f>IF(ISNA(MATCH(582,Engine!$C$2:$C$679,0)),"",INDEX('Compliance Database'!$A$2:$A$679,MATCH(582,Engine!$C$2:$C$679,0)))</f>
        <v/>
      </c>
      <c r="B595">
        <f>IF(ISNA(MATCH(582,Engine!$C$2:$C$679,0)),"",INDEX('Compliance Database'!$B$2:$B$679,MATCH(582,Engine!$C$2:$C$679,0)))</f>
        <v/>
      </c>
      <c r="C595">
        <f>IF(ISNA(MATCH(582,Engine!$C$2:$C$679,0)),"",INDEX('Compliance Database'!$C$2:$C$679,MATCH(582,Engine!$C$2:$C$679,0)))</f>
        <v/>
      </c>
      <c r="D595" s="8">
        <f>IF(ISNA(MATCH(582,Engine!$C$2:$C$679,0)),"",INDEX('Compliance Database'!$D$2:$D$679,MATCH(582,Engine!$C$2:$C$679,0)))</f>
        <v/>
      </c>
      <c r="E595">
        <f>IF(ISNA(MATCH(582,Engine!$C$2:$C$679,0)),"",INDEX('Compliance Database'!$E$2:$E$679,MATCH(582,Engine!$C$2:$C$679,0)))</f>
        <v/>
      </c>
      <c r="F595">
        <f>IF(ISNA(MATCH(582,Engine!$C$2:$C$679,0)),"",INDEX('Compliance Database'!$F$2:$F$679,MATCH(582,Engine!$C$2:$C$679,0)))</f>
        <v/>
      </c>
      <c r="G595">
        <f>IF(ISNA(MATCH(582,Engine!$C$2:$C$679,0)),"",INDEX('Compliance Database'!$G$2:$G$679,MATCH(582,Engine!$C$2:$C$679,0)))</f>
        <v/>
      </c>
      <c r="H595">
        <f>IF(ISNA(MATCH(582,Engine!$C$2:$C$679,0)),"",INDEX('Compliance Database'!$H$2:$H$679,MATCH(582,Engine!$C$2:$C$679,0)))</f>
        <v/>
      </c>
      <c r="I595" s="8">
        <f>IF(ISNA(MATCH(582,Engine!$C$2:$C$679,0)),"",INDEX('Compliance Database'!$I$2:$I$679,MATCH(582,Engine!$C$2:$C$679,0)))</f>
        <v/>
      </c>
      <c r="J595" s="8">
        <f>IF(ISNA(MATCH(582,Engine!$C$2:$C$679,0)),"",INDEX('Compliance Database'!$J$2:$J$679,MATCH(582,Engine!$C$2:$C$679,0)))</f>
        <v/>
      </c>
      <c r="K595">
        <f>IF(ISNA(MATCH(582,Engine!$C$2:$C$679,0)),"",INDEX('Compliance Database'!$K$2:$K$679,MATCH(582,Engine!$C$2:$C$679,0)))</f>
        <v/>
      </c>
      <c r="L595" s="8">
        <f>IF(ISNA(MATCH(582,Engine!$C$2:$C$679,0)),"",INDEX('Compliance Database'!$L$2:$L$679,MATCH(582,Engine!$C$2:$C$679,0)))</f>
        <v/>
      </c>
      <c r="M595" s="8">
        <f>IF(ISNA(MATCH(582,Engine!$C$2:$C$679,0)),"",INDEX('Compliance Database'!$M$2:$M$679,MATCH(582,Engine!$C$2:$C$679,0)))</f>
        <v/>
      </c>
      <c r="N595" s="8">
        <f>IF(ISNA(MATCH(582,Engine!$C$2:$C$679,0)),"",INDEX('Compliance Database'!$N$2:$N$679,MATCH(582,Engine!$C$2:$C$679,0)))</f>
        <v/>
      </c>
      <c r="O595" s="8">
        <f>IF(ISNA(MATCH(582,Engine!$C$2:$C$679,0)),"",INDEX('Compliance Database'!$O$2:$O$679,MATCH(582,Engine!$C$2:$C$679,0)))</f>
        <v/>
      </c>
      <c r="P595">
        <f>IF(ISNA(MATCH(582,Engine!$C$2:$C$679,0)),"",HYPERLINK(INDEX('Compliance Database'!$P$2:$P$679,MATCH(582,Engine!$C$2:$C$679,0)),"Open PDF"))</f>
        <v/>
      </c>
    </row>
    <row r="596">
      <c r="A596">
        <f>IF(ISNA(MATCH(583,Engine!$C$2:$C$679,0)),"",INDEX('Compliance Database'!$A$2:$A$679,MATCH(583,Engine!$C$2:$C$679,0)))</f>
        <v/>
      </c>
      <c r="B596">
        <f>IF(ISNA(MATCH(583,Engine!$C$2:$C$679,0)),"",INDEX('Compliance Database'!$B$2:$B$679,MATCH(583,Engine!$C$2:$C$679,0)))</f>
        <v/>
      </c>
      <c r="C596">
        <f>IF(ISNA(MATCH(583,Engine!$C$2:$C$679,0)),"",INDEX('Compliance Database'!$C$2:$C$679,MATCH(583,Engine!$C$2:$C$679,0)))</f>
        <v/>
      </c>
      <c r="D596" s="8">
        <f>IF(ISNA(MATCH(583,Engine!$C$2:$C$679,0)),"",INDEX('Compliance Database'!$D$2:$D$679,MATCH(583,Engine!$C$2:$C$679,0)))</f>
        <v/>
      </c>
      <c r="E596">
        <f>IF(ISNA(MATCH(583,Engine!$C$2:$C$679,0)),"",INDEX('Compliance Database'!$E$2:$E$679,MATCH(583,Engine!$C$2:$C$679,0)))</f>
        <v/>
      </c>
      <c r="F596">
        <f>IF(ISNA(MATCH(583,Engine!$C$2:$C$679,0)),"",INDEX('Compliance Database'!$F$2:$F$679,MATCH(583,Engine!$C$2:$C$679,0)))</f>
        <v/>
      </c>
      <c r="G596">
        <f>IF(ISNA(MATCH(583,Engine!$C$2:$C$679,0)),"",INDEX('Compliance Database'!$G$2:$G$679,MATCH(583,Engine!$C$2:$C$679,0)))</f>
        <v/>
      </c>
      <c r="H596">
        <f>IF(ISNA(MATCH(583,Engine!$C$2:$C$679,0)),"",INDEX('Compliance Database'!$H$2:$H$679,MATCH(583,Engine!$C$2:$C$679,0)))</f>
        <v/>
      </c>
      <c r="I596" s="8">
        <f>IF(ISNA(MATCH(583,Engine!$C$2:$C$679,0)),"",INDEX('Compliance Database'!$I$2:$I$679,MATCH(583,Engine!$C$2:$C$679,0)))</f>
        <v/>
      </c>
      <c r="J596" s="8">
        <f>IF(ISNA(MATCH(583,Engine!$C$2:$C$679,0)),"",INDEX('Compliance Database'!$J$2:$J$679,MATCH(583,Engine!$C$2:$C$679,0)))</f>
        <v/>
      </c>
      <c r="K596">
        <f>IF(ISNA(MATCH(583,Engine!$C$2:$C$679,0)),"",INDEX('Compliance Database'!$K$2:$K$679,MATCH(583,Engine!$C$2:$C$679,0)))</f>
        <v/>
      </c>
      <c r="L596" s="8">
        <f>IF(ISNA(MATCH(583,Engine!$C$2:$C$679,0)),"",INDEX('Compliance Database'!$L$2:$L$679,MATCH(583,Engine!$C$2:$C$679,0)))</f>
        <v/>
      </c>
      <c r="M596" s="8">
        <f>IF(ISNA(MATCH(583,Engine!$C$2:$C$679,0)),"",INDEX('Compliance Database'!$M$2:$M$679,MATCH(583,Engine!$C$2:$C$679,0)))</f>
        <v/>
      </c>
      <c r="N596" s="8">
        <f>IF(ISNA(MATCH(583,Engine!$C$2:$C$679,0)),"",INDEX('Compliance Database'!$N$2:$N$679,MATCH(583,Engine!$C$2:$C$679,0)))</f>
        <v/>
      </c>
      <c r="O596" s="8">
        <f>IF(ISNA(MATCH(583,Engine!$C$2:$C$679,0)),"",INDEX('Compliance Database'!$O$2:$O$679,MATCH(583,Engine!$C$2:$C$679,0)))</f>
        <v/>
      </c>
      <c r="P596">
        <f>IF(ISNA(MATCH(583,Engine!$C$2:$C$679,0)),"",HYPERLINK(INDEX('Compliance Database'!$P$2:$P$679,MATCH(583,Engine!$C$2:$C$679,0)),"Open PDF"))</f>
        <v/>
      </c>
    </row>
    <row r="597">
      <c r="A597">
        <f>IF(ISNA(MATCH(584,Engine!$C$2:$C$679,0)),"",INDEX('Compliance Database'!$A$2:$A$679,MATCH(584,Engine!$C$2:$C$679,0)))</f>
        <v/>
      </c>
      <c r="B597">
        <f>IF(ISNA(MATCH(584,Engine!$C$2:$C$679,0)),"",INDEX('Compliance Database'!$B$2:$B$679,MATCH(584,Engine!$C$2:$C$679,0)))</f>
        <v/>
      </c>
      <c r="C597">
        <f>IF(ISNA(MATCH(584,Engine!$C$2:$C$679,0)),"",INDEX('Compliance Database'!$C$2:$C$679,MATCH(584,Engine!$C$2:$C$679,0)))</f>
        <v/>
      </c>
      <c r="D597" s="8">
        <f>IF(ISNA(MATCH(584,Engine!$C$2:$C$679,0)),"",INDEX('Compliance Database'!$D$2:$D$679,MATCH(584,Engine!$C$2:$C$679,0)))</f>
        <v/>
      </c>
      <c r="E597">
        <f>IF(ISNA(MATCH(584,Engine!$C$2:$C$679,0)),"",INDEX('Compliance Database'!$E$2:$E$679,MATCH(584,Engine!$C$2:$C$679,0)))</f>
        <v/>
      </c>
      <c r="F597">
        <f>IF(ISNA(MATCH(584,Engine!$C$2:$C$679,0)),"",INDEX('Compliance Database'!$F$2:$F$679,MATCH(584,Engine!$C$2:$C$679,0)))</f>
        <v/>
      </c>
      <c r="G597">
        <f>IF(ISNA(MATCH(584,Engine!$C$2:$C$679,0)),"",INDEX('Compliance Database'!$G$2:$G$679,MATCH(584,Engine!$C$2:$C$679,0)))</f>
        <v/>
      </c>
      <c r="H597">
        <f>IF(ISNA(MATCH(584,Engine!$C$2:$C$679,0)),"",INDEX('Compliance Database'!$H$2:$H$679,MATCH(584,Engine!$C$2:$C$679,0)))</f>
        <v/>
      </c>
      <c r="I597" s="8">
        <f>IF(ISNA(MATCH(584,Engine!$C$2:$C$679,0)),"",INDEX('Compliance Database'!$I$2:$I$679,MATCH(584,Engine!$C$2:$C$679,0)))</f>
        <v/>
      </c>
      <c r="J597" s="8">
        <f>IF(ISNA(MATCH(584,Engine!$C$2:$C$679,0)),"",INDEX('Compliance Database'!$J$2:$J$679,MATCH(584,Engine!$C$2:$C$679,0)))</f>
        <v/>
      </c>
      <c r="K597">
        <f>IF(ISNA(MATCH(584,Engine!$C$2:$C$679,0)),"",INDEX('Compliance Database'!$K$2:$K$679,MATCH(584,Engine!$C$2:$C$679,0)))</f>
        <v/>
      </c>
      <c r="L597" s="8">
        <f>IF(ISNA(MATCH(584,Engine!$C$2:$C$679,0)),"",INDEX('Compliance Database'!$L$2:$L$679,MATCH(584,Engine!$C$2:$C$679,0)))</f>
        <v/>
      </c>
      <c r="M597" s="8">
        <f>IF(ISNA(MATCH(584,Engine!$C$2:$C$679,0)),"",INDEX('Compliance Database'!$M$2:$M$679,MATCH(584,Engine!$C$2:$C$679,0)))</f>
        <v/>
      </c>
      <c r="N597" s="8">
        <f>IF(ISNA(MATCH(584,Engine!$C$2:$C$679,0)),"",INDEX('Compliance Database'!$N$2:$N$679,MATCH(584,Engine!$C$2:$C$679,0)))</f>
        <v/>
      </c>
      <c r="O597" s="8">
        <f>IF(ISNA(MATCH(584,Engine!$C$2:$C$679,0)),"",INDEX('Compliance Database'!$O$2:$O$679,MATCH(584,Engine!$C$2:$C$679,0)))</f>
        <v/>
      </c>
      <c r="P597">
        <f>IF(ISNA(MATCH(584,Engine!$C$2:$C$679,0)),"",HYPERLINK(INDEX('Compliance Database'!$P$2:$P$679,MATCH(584,Engine!$C$2:$C$679,0)),"Open PDF"))</f>
        <v/>
      </c>
    </row>
    <row r="598">
      <c r="A598">
        <f>IF(ISNA(MATCH(585,Engine!$C$2:$C$679,0)),"",INDEX('Compliance Database'!$A$2:$A$679,MATCH(585,Engine!$C$2:$C$679,0)))</f>
        <v/>
      </c>
      <c r="B598">
        <f>IF(ISNA(MATCH(585,Engine!$C$2:$C$679,0)),"",INDEX('Compliance Database'!$B$2:$B$679,MATCH(585,Engine!$C$2:$C$679,0)))</f>
        <v/>
      </c>
      <c r="C598">
        <f>IF(ISNA(MATCH(585,Engine!$C$2:$C$679,0)),"",INDEX('Compliance Database'!$C$2:$C$679,MATCH(585,Engine!$C$2:$C$679,0)))</f>
        <v/>
      </c>
      <c r="D598" s="8">
        <f>IF(ISNA(MATCH(585,Engine!$C$2:$C$679,0)),"",INDEX('Compliance Database'!$D$2:$D$679,MATCH(585,Engine!$C$2:$C$679,0)))</f>
        <v/>
      </c>
      <c r="E598">
        <f>IF(ISNA(MATCH(585,Engine!$C$2:$C$679,0)),"",INDEX('Compliance Database'!$E$2:$E$679,MATCH(585,Engine!$C$2:$C$679,0)))</f>
        <v/>
      </c>
      <c r="F598">
        <f>IF(ISNA(MATCH(585,Engine!$C$2:$C$679,0)),"",INDEX('Compliance Database'!$F$2:$F$679,MATCH(585,Engine!$C$2:$C$679,0)))</f>
        <v/>
      </c>
      <c r="G598">
        <f>IF(ISNA(MATCH(585,Engine!$C$2:$C$679,0)),"",INDEX('Compliance Database'!$G$2:$G$679,MATCH(585,Engine!$C$2:$C$679,0)))</f>
        <v/>
      </c>
      <c r="H598">
        <f>IF(ISNA(MATCH(585,Engine!$C$2:$C$679,0)),"",INDEX('Compliance Database'!$H$2:$H$679,MATCH(585,Engine!$C$2:$C$679,0)))</f>
        <v/>
      </c>
      <c r="I598" s="8">
        <f>IF(ISNA(MATCH(585,Engine!$C$2:$C$679,0)),"",INDEX('Compliance Database'!$I$2:$I$679,MATCH(585,Engine!$C$2:$C$679,0)))</f>
        <v/>
      </c>
      <c r="J598" s="8">
        <f>IF(ISNA(MATCH(585,Engine!$C$2:$C$679,0)),"",INDEX('Compliance Database'!$J$2:$J$679,MATCH(585,Engine!$C$2:$C$679,0)))</f>
        <v/>
      </c>
      <c r="K598">
        <f>IF(ISNA(MATCH(585,Engine!$C$2:$C$679,0)),"",INDEX('Compliance Database'!$K$2:$K$679,MATCH(585,Engine!$C$2:$C$679,0)))</f>
        <v/>
      </c>
      <c r="L598" s="8">
        <f>IF(ISNA(MATCH(585,Engine!$C$2:$C$679,0)),"",INDEX('Compliance Database'!$L$2:$L$679,MATCH(585,Engine!$C$2:$C$679,0)))</f>
        <v/>
      </c>
      <c r="M598" s="8">
        <f>IF(ISNA(MATCH(585,Engine!$C$2:$C$679,0)),"",INDEX('Compliance Database'!$M$2:$M$679,MATCH(585,Engine!$C$2:$C$679,0)))</f>
        <v/>
      </c>
      <c r="N598" s="8">
        <f>IF(ISNA(MATCH(585,Engine!$C$2:$C$679,0)),"",INDEX('Compliance Database'!$N$2:$N$679,MATCH(585,Engine!$C$2:$C$679,0)))</f>
        <v/>
      </c>
      <c r="O598" s="8">
        <f>IF(ISNA(MATCH(585,Engine!$C$2:$C$679,0)),"",INDEX('Compliance Database'!$O$2:$O$679,MATCH(585,Engine!$C$2:$C$679,0)))</f>
        <v/>
      </c>
      <c r="P598">
        <f>IF(ISNA(MATCH(585,Engine!$C$2:$C$679,0)),"",HYPERLINK(INDEX('Compliance Database'!$P$2:$P$679,MATCH(585,Engine!$C$2:$C$679,0)),"Open PDF"))</f>
        <v/>
      </c>
    </row>
    <row r="599">
      <c r="A599">
        <f>IF(ISNA(MATCH(586,Engine!$C$2:$C$679,0)),"",INDEX('Compliance Database'!$A$2:$A$679,MATCH(586,Engine!$C$2:$C$679,0)))</f>
        <v/>
      </c>
      <c r="B599">
        <f>IF(ISNA(MATCH(586,Engine!$C$2:$C$679,0)),"",INDEX('Compliance Database'!$B$2:$B$679,MATCH(586,Engine!$C$2:$C$679,0)))</f>
        <v/>
      </c>
      <c r="C599">
        <f>IF(ISNA(MATCH(586,Engine!$C$2:$C$679,0)),"",INDEX('Compliance Database'!$C$2:$C$679,MATCH(586,Engine!$C$2:$C$679,0)))</f>
        <v/>
      </c>
      <c r="D599" s="8">
        <f>IF(ISNA(MATCH(586,Engine!$C$2:$C$679,0)),"",INDEX('Compliance Database'!$D$2:$D$679,MATCH(586,Engine!$C$2:$C$679,0)))</f>
        <v/>
      </c>
      <c r="E599">
        <f>IF(ISNA(MATCH(586,Engine!$C$2:$C$679,0)),"",INDEX('Compliance Database'!$E$2:$E$679,MATCH(586,Engine!$C$2:$C$679,0)))</f>
        <v/>
      </c>
      <c r="F599">
        <f>IF(ISNA(MATCH(586,Engine!$C$2:$C$679,0)),"",INDEX('Compliance Database'!$F$2:$F$679,MATCH(586,Engine!$C$2:$C$679,0)))</f>
        <v/>
      </c>
      <c r="G599">
        <f>IF(ISNA(MATCH(586,Engine!$C$2:$C$679,0)),"",INDEX('Compliance Database'!$G$2:$G$679,MATCH(586,Engine!$C$2:$C$679,0)))</f>
        <v/>
      </c>
      <c r="H599">
        <f>IF(ISNA(MATCH(586,Engine!$C$2:$C$679,0)),"",INDEX('Compliance Database'!$H$2:$H$679,MATCH(586,Engine!$C$2:$C$679,0)))</f>
        <v/>
      </c>
      <c r="I599" s="8">
        <f>IF(ISNA(MATCH(586,Engine!$C$2:$C$679,0)),"",INDEX('Compliance Database'!$I$2:$I$679,MATCH(586,Engine!$C$2:$C$679,0)))</f>
        <v/>
      </c>
      <c r="J599" s="8">
        <f>IF(ISNA(MATCH(586,Engine!$C$2:$C$679,0)),"",INDEX('Compliance Database'!$J$2:$J$679,MATCH(586,Engine!$C$2:$C$679,0)))</f>
        <v/>
      </c>
      <c r="K599">
        <f>IF(ISNA(MATCH(586,Engine!$C$2:$C$679,0)),"",INDEX('Compliance Database'!$K$2:$K$679,MATCH(586,Engine!$C$2:$C$679,0)))</f>
        <v/>
      </c>
      <c r="L599" s="8">
        <f>IF(ISNA(MATCH(586,Engine!$C$2:$C$679,0)),"",INDEX('Compliance Database'!$L$2:$L$679,MATCH(586,Engine!$C$2:$C$679,0)))</f>
        <v/>
      </c>
      <c r="M599" s="8">
        <f>IF(ISNA(MATCH(586,Engine!$C$2:$C$679,0)),"",INDEX('Compliance Database'!$M$2:$M$679,MATCH(586,Engine!$C$2:$C$679,0)))</f>
        <v/>
      </c>
      <c r="N599" s="8">
        <f>IF(ISNA(MATCH(586,Engine!$C$2:$C$679,0)),"",INDEX('Compliance Database'!$N$2:$N$679,MATCH(586,Engine!$C$2:$C$679,0)))</f>
        <v/>
      </c>
      <c r="O599" s="8">
        <f>IF(ISNA(MATCH(586,Engine!$C$2:$C$679,0)),"",INDEX('Compliance Database'!$O$2:$O$679,MATCH(586,Engine!$C$2:$C$679,0)))</f>
        <v/>
      </c>
      <c r="P599">
        <f>IF(ISNA(MATCH(586,Engine!$C$2:$C$679,0)),"",HYPERLINK(INDEX('Compliance Database'!$P$2:$P$679,MATCH(586,Engine!$C$2:$C$679,0)),"Open PDF"))</f>
        <v/>
      </c>
    </row>
    <row r="600">
      <c r="A600">
        <f>IF(ISNA(MATCH(587,Engine!$C$2:$C$679,0)),"",INDEX('Compliance Database'!$A$2:$A$679,MATCH(587,Engine!$C$2:$C$679,0)))</f>
        <v/>
      </c>
      <c r="B600">
        <f>IF(ISNA(MATCH(587,Engine!$C$2:$C$679,0)),"",INDEX('Compliance Database'!$B$2:$B$679,MATCH(587,Engine!$C$2:$C$679,0)))</f>
        <v/>
      </c>
      <c r="C600">
        <f>IF(ISNA(MATCH(587,Engine!$C$2:$C$679,0)),"",INDEX('Compliance Database'!$C$2:$C$679,MATCH(587,Engine!$C$2:$C$679,0)))</f>
        <v/>
      </c>
      <c r="D600" s="8">
        <f>IF(ISNA(MATCH(587,Engine!$C$2:$C$679,0)),"",INDEX('Compliance Database'!$D$2:$D$679,MATCH(587,Engine!$C$2:$C$679,0)))</f>
        <v/>
      </c>
      <c r="E600">
        <f>IF(ISNA(MATCH(587,Engine!$C$2:$C$679,0)),"",INDEX('Compliance Database'!$E$2:$E$679,MATCH(587,Engine!$C$2:$C$679,0)))</f>
        <v/>
      </c>
      <c r="F600">
        <f>IF(ISNA(MATCH(587,Engine!$C$2:$C$679,0)),"",INDEX('Compliance Database'!$F$2:$F$679,MATCH(587,Engine!$C$2:$C$679,0)))</f>
        <v/>
      </c>
      <c r="G600">
        <f>IF(ISNA(MATCH(587,Engine!$C$2:$C$679,0)),"",INDEX('Compliance Database'!$G$2:$G$679,MATCH(587,Engine!$C$2:$C$679,0)))</f>
        <v/>
      </c>
      <c r="H600">
        <f>IF(ISNA(MATCH(587,Engine!$C$2:$C$679,0)),"",INDEX('Compliance Database'!$H$2:$H$679,MATCH(587,Engine!$C$2:$C$679,0)))</f>
        <v/>
      </c>
      <c r="I600" s="8">
        <f>IF(ISNA(MATCH(587,Engine!$C$2:$C$679,0)),"",INDEX('Compliance Database'!$I$2:$I$679,MATCH(587,Engine!$C$2:$C$679,0)))</f>
        <v/>
      </c>
      <c r="J600" s="8">
        <f>IF(ISNA(MATCH(587,Engine!$C$2:$C$679,0)),"",INDEX('Compliance Database'!$J$2:$J$679,MATCH(587,Engine!$C$2:$C$679,0)))</f>
        <v/>
      </c>
      <c r="K600">
        <f>IF(ISNA(MATCH(587,Engine!$C$2:$C$679,0)),"",INDEX('Compliance Database'!$K$2:$K$679,MATCH(587,Engine!$C$2:$C$679,0)))</f>
        <v/>
      </c>
      <c r="L600" s="8">
        <f>IF(ISNA(MATCH(587,Engine!$C$2:$C$679,0)),"",INDEX('Compliance Database'!$L$2:$L$679,MATCH(587,Engine!$C$2:$C$679,0)))</f>
        <v/>
      </c>
      <c r="M600" s="8">
        <f>IF(ISNA(MATCH(587,Engine!$C$2:$C$679,0)),"",INDEX('Compliance Database'!$M$2:$M$679,MATCH(587,Engine!$C$2:$C$679,0)))</f>
        <v/>
      </c>
      <c r="N600" s="8">
        <f>IF(ISNA(MATCH(587,Engine!$C$2:$C$679,0)),"",INDEX('Compliance Database'!$N$2:$N$679,MATCH(587,Engine!$C$2:$C$679,0)))</f>
        <v/>
      </c>
      <c r="O600" s="8">
        <f>IF(ISNA(MATCH(587,Engine!$C$2:$C$679,0)),"",INDEX('Compliance Database'!$O$2:$O$679,MATCH(587,Engine!$C$2:$C$679,0)))</f>
        <v/>
      </c>
      <c r="P600">
        <f>IF(ISNA(MATCH(587,Engine!$C$2:$C$679,0)),"",HYPERLINK(INDEX('Compliance Database'!$P$2:$P$679,MATCH(587,Engine!$C$2:$C$679,0)),"Open PDF"))</f>
        <v/>
      </c>
    </row>
    <row r="601">
      <c r="A601">
        <f>IF(ISNA(MATCH(588,Engine!$C$2:$C$679,0)),"",INDEX('Compliance Database'!$A$2:$A$679,MATCH(588,Engine!$C$2:$C$679,0)))</f>
        <v/>
      </c>
      <c r="B601">
        <f>IF(ISNA(MATCH(588,Engine!$C$2:$C$679,0)),"",INDEX('Compliance Database'!$B$2:$B$679,MATCH(588,Engine!$C$2:$C$679,0)))</f>
        <v/>
      </c>
      <c r="C601">
        <f>IF(ISNA(MATCH(588,Engine!$C$2:$C$679,0)),"",INDEX('Compliance Database'!$C$2:$C$679,MATCH(588,Engine!$C$2:$C$679,0)))</f>
        <v/>
      </c>
      <c r="D601" s="8">
        <f>IF(ISNA(MATCH(588,Engine!$C$2:$C$679,0)),"",INDEX('Compliance Database'!$D$2:$D$679,MATCH(588,Engine!$C$2:$C$679,0)))</f>
        <v/>
      </c>
      <c r="E601">
        <f>IF(ISNA(MATCH(588,Engine!$C$2:$C$679,0)),"",INDEX('Compliance Database'!$E$2:$E$679,MATCH(588,Engine!$C$2:$C$679,0)))</f>
        <v/>
      </c>
      <c r="F601">
        <f>IF(ISNA(MATCH(588,Engine!$C$2:$C$679,0)),"",INDEX('Compliance Database'!$F$2:$F$679,MATCH(588,Engine!$C$2:$C$679,0)))</f>
        <v/>
      </c>
      <c r="G601">
        <f>IF(ISNA(MATCH(588,Engine!$C$2:$C$679,0)),"",INDEX('Compliance Database'!$G$2:$G$679,MATCH(588,Engine!$C$2:$C$679,0)))</f>
        <v/>
      </c>
      <c r="H601">
        <f>IF(ISNA(MATCH(588,Engine!$C$2:$C$679,0)),"",INDEX('Compliance Database'!$H$2:$H$679,MATCH(588,Engine!$C$2:$C$679,0)))</f>
        <v/>
      </c>
      <c r="I601" s="8">
        <f>IF(ISNA(MATCH(588,Engine!$C$2:$C$679,0)),"",INDEX('Compliance Database'!$I$2:$I$679,MATCH(588,Engine!$C$2:$C$679,0)))</f>
        <v/>
      </c>
      <c r="J601" s="8">
        <f>IF(ISNA(MATCH(588,Engine!$C$2:$C$679,0)),"",INDEX('Compliance Database'!$J$2:$J$679,MATCH(588,Engine!$C$2:$C$679,0)))</f>
        <v/>
      </c>
      <c r="K601">
        <f>IF(ISNA(MATCH(588,Engine!$C$2:$C$679,0)),"",INDEX('Compliance Database'!$K$2:$K$679,MATCH(588,Engine!$C$2:$C$679,0)))</f>
        <v/>
      </c>
      <c r="L601" s="8">
        <f>IF(ISNA(MATCH(588,Engine!$C$2:$C$679,0)),"",INDEX('Compliance Database'!$L$2:$L$679,MATCH(588,Engine!$C$2:$C$679,0)))</f>
        <v/>
      </c>
      <c r="M601" s="8">
        <f>IF(ISNA(MATCH(588,Engine!$C$2:$C$679,0)),"",INDEX('Compliance Database'!$M$2:$M$679,MATCH(588,Engine!$C$2:$C$679,0)))</f>
        <v/>
      </c>
      <c r="N601" s="8">
        <f>IF(ISNA(MATCH(588,Engine!$C$2:$C$679,0)),"",INDEX('Compliance Database'!$N$2:$N$679,MATCH(588,Engine!$C$2:$C$679,0)))</f>
        <v/>
      </c>
      <c r="O601" s="8">
        <f>IF(ISNA(MATCH(588,Engine!$C$2:$C$679,0)),"",INDEX('Compliance Database'!$O$2:$O$679,MATCH(588,Engine!$C$2:$C$679,0)))</f>
        <v/>
      </c>
      <c r="P601">
        <f>IF(ISNA(MATCH(588,Engine!$C$2:$C$679,0)),"",HYPERLINK(INDEX('Compliance Database'!$P$2:$P$679,MATCH(588,Engine!$C$2:$C$679,0)),"Open PDF"))</f>
        <v/>
      </c>
    </row>
    <row r="602">
      <c r="A602">
        <f>IF(ISNA(MATCH(589,Engine!$C$2:$C$679,0)),"",INDEX('Compliance Database'!$A$2:$A$679,MATCH(589,Engine!$C$2:$C$679,0)))</f>
        <v/>
      </c>
      <c r="B602">
        <f>IF(ISNA(MATCH(589,Engine!$C$2:$C$679,0)),"",INDEX('Compliance Database'!$B$2:$B$679,MATCH(589,Engine!$C$2:$C$679,0)))</f>
        <v/>
      </c>
      <c r="C602">
        <f>IF(ISNA(MATCH(589,Engine!$C$2:$C$679,0)),"",INDEX('Compliance Database'!$C$2:$C$679,MATCH(589,Engine!$C$2:$C$679,0)))</f>
        <v/>
      </c>
      <c r="D602" s="8">
        <f>IF(ISNA(MATCH(589,Engine!$C$2:$C$679,0)),"",INDEX('Compliance Database'!$D$2:$D$679,MATCH(589,Engine!$C$2:$C$679,0)))</f>
        <v/>
      </c>
      <c r="E602">
        <f>IF(ISNA(MATCH(589,Engine!$C$2:$C$679,0)),"",INDEX('Compliance Database'!$E$2:$E$679,MATCH(589,Engine!$C$2:$C$679,0)))</f>
        <v/>
      </c>
      <c r="F602">
        <f>IF(ISNA(MATCH(589,Engine!$C$2:$C$679,0)),"",INDEX('Compliance Database'!$F$2:$F$679,MATCH(589,Engine!$C$2:$C$679,0)))</f>
        <v/>
      </c>
      <c r="G602">
        <f>IF(ISNA(MATCH(589,Engine!$C$2:$C$679,0)),"",INDEX('Compliance Database'!$G$2:$G$679,MATCH(589,Engine!$C$2:$C$679,0)))</f>
        <v/>
      </c>
      <c r="H602">
        <f>IF(ISNA(MATCH(589,Engine!$C$2:$C$679,0)),"",INDEX('Compliance Database'!$H$2:$H$679,MATCH(589,Engine!$C$2:$C$679,0)))</f>
        <v/>
      </c>
      <c r="I602" s="8">
        <f>IF(ISNA(MATCH(589,Engine!$C$2:$C$679,0)),"",INDEX('Compliance Database'!$I$2:$I$679,MATCH(589,Engine!$C$2:$C$679,0)))</f>
        <v/>
      </c>
      <c r="J602" s="8">
        <f>IF(ISNA(MATCH(589,Engine!$C$2:$C$679,0)),"",INDEX('Compliance Database'!$J$2:$J$679,MATCH(589,Engine!$C$2:$C$679,0)))</f>
        <v/>
      </c>
      <c r="K602">
        <f>IF(ISNA(MATCH(589,Engine!$C$2:$C$679,0)),"",INDEX('Compliance Database'!$K$2:$K$679,MATCH(589,Engine!$C$2:$C$679,0)))</f>
        <v/>
      </c>
      <c r="L602" s="8">
        <f>IF(ISNA(MATCH(589,Engine!$C$2:$C$679,0)),"",INDEX('Compliance Database'!$L$2:$L$679,MATCH(589,Engine!$C$2:$C$679,0)))</f>
        <v/>
      </c>
      <c r="M602" s="8">
        <f>IF(ISNA(MATCH(589,Engine!$C$2:$C$679,0)),"",INDEX('Compliance Database'!$M$2:$M$679,MATCH(589,Engine!$C$2:$C$679,0)))</f>
        <v/>
      </c>
      <c r="N602" s="8">
        <f>IF(ISNA(MATCH(589,Engine!$C$2:$C$679,0)),"",INDEX('Compliance Database'!$N$2:$N$679,MATCH(589,Engine!$C$2:$C$679,0)))</f>
        <v/>
      </c>
      <c r="O602" s="8">
        <f>IF(ISNA(MATCH(589,Engine!$C$2:$C$679,0)),"",INDEX('Compliance Database'!$O$2:$O$679,MATCH(589,Engine!$C$2:$C$679,0)))</f>
        <v/>
      </c>
      <c r="P602">
        <f>IF(ISNA(MATCH(589,Engine!$C$2:$C$679,0)),"",HYPERLINK(INDEX('Compliance Database'!$P$2:$P$679,MATCH(589,Engine!$C$2:$C$679,0)),"Open PDF"))</f>
        <v/>
      </c>
    </row>
    <row r="603">
      <c r="A603">
        <f>IF(ISNA(MATCH(590,Engine!$C$2:$C$679,0)),"",INDEX('Compliance Database'!$A$2:$A$679,MATCH(590,Engine!$C$2:$C$679,0)))</f>
        <v/>
      </c>
      <c r="B603">
        <f>IF(ISNA(MATCH(590,Engine!$C$2:$C$679,0)),"",INDEX('Compliance Database'!$B$2:$B$679,MATCH(590,Engine!$C$2:$C$679,0)))</f>
        <v/>
      </c>
      <c r="C603">
        <f>IF(ISNA(MATCH(590,Engine!$C$2:$C$679,0)),"",INDEX('Compliance Database'!$C$2:$C$679,MATCH(590,Engine!$C$2:$C$679,0)))</f>
        <v/>
      </c>
      <c r="D603" s="8">
        <f>IF(ISNA(MATCH(590,Engine!$C$2:$C$679,0)),"",INDEX('Compliance Database'!$D$2:$D$679,MATCH(590,Engine!$C$2:$C$679,0)))</f>
        <v/>
      </c>
      <c r="E603">
        <f>IF(ISNA(MATCH(590,Engine!$C$2:$C$679,0)),"",INDEX('Compliance Database'!$E$2:$E$679,MATCH(590,Engine!$C$2:$C$679,0)))</f>
        <v/>
      </c>
      <c r="F603">
        <f>IF(ISNA(MATCH(590,Engine!$C$2:$C$679,0)),"",INDEX('Compliance Database'!$F$2:$F$679,MATCH(590,Engine!$C$2:$C$679,0)))</f>
        <v/>
      </c>
      <c r="G603">
        <f>IF(ISNA(MATCH(590,Engine!$C$2:$C$679,0)),"",INDEX('Compliance Database'!$G$2:$G$679,MATCH(590,Engine!$C$2:$C$679,0)))</f>
        <v/>
      </c>
      <c r="H603">
        <f>IF(ISNA(MATCH(590,Engine!$C$2:$C$679,0)),"",INDEX('Compliance Database'!$H$2:$H$679,MATCH(590,Engine!$C$2:$C$679,0)))</f>
        <v/>
      </c>
      <c r="I603" s="8">
        <f>IF(ISNA(MATCH(590,Engine!$C$2:$C$679,0)),"",INDEX('Compliance Database'!$I$2:$I$679,MATCH(590,Engine!$C$2:$C$679,0)))</f>
        <v/>
      </c>
      <c r="J603" s="8">
        <f>IF(ISNA(MATCH(590,Engine!$C$2:$C$679,0)),"",INDEX('Compliance Database'!$J$2:$J$679,MATCH(590,Engine!$C$2:$C$679,0)))</f>
        <v/>
      </c>
      <c r="K603">
        <f>IF(ISNA(MATCH(590,Engine!$C$2:$C$679,0)),"",INDEX('Compliance Database'!$K$2:$K$679,MATCH(590,Engine!$C$2:$C$679,0)))</f>
        <v/>
      </c>
      <c r="L603" s="8">
        <f>IF(ISNA(MATCH(590,Engine!$C$2:$C$679,0)),"",INDEX('Compliance Database'!$L$2:$L$679,MATCH(590,Engine!$C$2:$C$679,0)))</f>
        <v/>
      </c>
      <c r="M603" s="8">
        <f>IF(ISNA(MATCH(590,Engine!$C$2:$C$679,0)),"",INDEX('Compliance Database'!$M$2:$M$679,MATCH(590,Engine!$C$2:$C$679,0)))</f>
        <v/>
      </c>
      <c r="N603" s="8">
        <f>IF(ISNA(MATCH(590,Engine!$C$2:$C$679,0)),"",INDEX('Compliance Database'!$N$2:$N$679,MATCH(590,Engine!$C$2:$C$679,0)))</f>
        <v/>
      </c>
      <c r="O603" s="8">
        <f>IF(ISNA(MATCH(590,Engine!$C$2:$C$679,0)),"",INDEX('Compliance Database'!$O$2:$O$679,MATCH(590,Engine!$C$2:$C$679,0)))</f>
        <v/>
      </c>
      <c r="P603">
        <f>IF(ISNA(MATCH(590,Engine!$C$2:$C$679,0)),"",HYPERLINK(INDEX('Compliance Database'!$P$2:$P$679,MATCH(590,Engine!$C$2:$C$679,0)),"Open PDF"))</f>
        <v/>
      </c>
    </row>
    <row r="604">
      <c r="A604">
        <f>IF(ISNA(MATCH(591,Engine!$C$2:$C$679,0)),"",INDEX('Compliance Database'!$A$2:$A$679,MATCH(591,Engine!$C$2:$C$679,0)))</f>
        <v/>
      </c>
      <c r="B604">
        <f>IF(ISNA(MATCH(591,Engine!$C$2:$C$679,0)),"",INDEX('Compliance Database'!$B$2:$B$679,MATCH(591,Engine!$C$2:$C$679,0)))</f>
        <v/>
      </c>
      <c r="C604">
        <f>IF(ISNA(MATCH(591,Engine!$C$2:$C$679,0)),"",INDEX('Compliance Database'!$C$2:$C$679,MATCH(591,Engine!$C$2:$C$679,0)))</f>
        <v/>
      </c>
      <c r="D604" s="8">
        <f>IF(ISNA(MATCH(591,Engine!$C$2:$C$679,0)),"",INDEX('Compliance Database'!$D$2:$D$679,MATCH(591,Engine!$C$2:$C$679,0)))</f>
        <v/>
      </c>
      <c r="E604">
        <f>IF(ISNA(MATCH(591,Engine!$C$2:$C$679,0)),"",INDEX('Compliance Database'!$E$2:$E$679,MATCH(591,Engine!$C$2:$C$679,0)))</f>
        <v/>
      </c>
      <c r="F604">
        <f>IF(ISNA(MATCH(591,Engine!$C$2:$C$679,0)),"",INDEX('Compliance Database'!$F$2:$F$679,MATCH(591,Engine!$C$2:$C$679,0)))</f>
        <v/>
      </c>
      <c r="G604">
        <f>IF(ISNA(MATCH(591,Engine!$C$2:$C$679,0)),"",INDEX('Compliance Database'!$G$2:$G$679,MATCH(591,Engine!$C$2:$C$679,0)))</f>
        <v/>
      </c>
      <c r="H604">
        <f>IF(ISNA(MATCH(591,Engine!$C$2:$C$679,0)),"",INDEX('Compliance Database'!$H$2:$H$679,MATCH(591,Engine!$C$2:$C$679,0)))</f>
        <v/>
      </c>
      <c r="I604" s="8">
        <f>IF(ISNA(MATCH(591,Engine!$C$2:$C$679,0)),"",INDEX('Compliance Database'!$I$2:$I$679,MATCH(591,Engine!$C$2:$C$679,0)))</f>
        <v/>
      </c>
      <c r="J604" s="8">
        <f>IF(ISNA(MATCH(591,Engine!$C$2:$C$679,0)),"",INDEX('Compliance Database'!$J$2:$J$679,MATCH(591,Engine!$C$2:$C$679,0)))</f>
        <v/>
      </c>
      <c r="K604">
        <f>IF(ISNA(MATCH(591,Engine!$C$2:$C$679,0)),"",INDEX('Compliance Database'!$K$2:$K$679,MATCH(591,Engine!$C$2:$C$679,0)))</f>
        <v/>
      </c>
      <c r="L604" s="8">
        <f>IF(ISNA(MATCH(591,Engine!$C$2:$C$679,0)),"",INDEX('Compliance Database'!$L$2:$L$679,MATCH(591,Engine!$C$2:$C$679,0)))</f>
        <v/>
      </c>
      <c r="M604" s="8">
        <f>IF(ISNA(MATCH(591,Engine!$C$2:$C$679,0)),"",INDEX('Compliance Database'!$M$2:$M$679,MATCH(591,Engine!$C$2:$C$679,0)))</f>
        <v/>
      </c>
      <c r="N604" s="8">
        <f>IF(ISNA(MATCH(591,Engine!$C$2:$C$679,0)),"",INDEX('Compliance Database'!$N$2:$N$679,MATCH(591,Engine!$C$2:$C$679,0)))</f>
        <v/>
      </c>
      <c r="O604" s="8">
        <f>IF(ISNA(MATCH(591,Engine!$C$2:$C$679,0)),"",INDEX('Compliance Database'!$O$2:$O$679,MATCH(591,Engine!$C$2:$C$679,0)))</f>
        <v/>
      </c>
      <c r="P604">
        <f>IF(ISNA(MATCH(591,Engine!$C$2:$C$679,0)),"",HYPERLINK(INDEX('Compliance Database'!$P$2:$P$679,MATCH(591,Engine!$C$2:$C$679,0)),"Open PDF"))</f>
        <v/>
      </c>
    </row>
    <row r="605">
      <c r="A605">
        <f>IF(ISNA(MATCH(592,Engine!$C$2:$C$679,0)),"",INDEX('Compliance Database'!$A$2:$A$679,MATCH(592,Engine!$C$2:$C$679,0)))</f>
        <v/>
      </c>
      <c r="B605">
        <f>IF(ISNA(MATCH(592,Engine!$C$2:$C$679,0)),"",INDEX('Compliance Database'!$B$2:$B$679,MATCH(592,Engine!$C$2:$C$679,0)))</f>
        <v/>
      </c>
      <c r="C605">
        <f>IF(ISNA(MATCH(592,Engine!$C$2:$C$679,0)),"",INDEX('Compliance Database'!$C$2:$C$679,MATCH(592,Engine!$C$2:$C$679,0)))</f>
        <v/>
      </c>
      <c r="D605" s="8">
        <f>IF(ISNA(MATCH(592,Engine!$C$2:$C$679,0)),"",INDEX('Compliance Database'!$D$2:$D$679,MATCH(592,Engine!$C$2:$C$679,0)))</f>
        <v/>
      </c>
      <c r="E605">
        <f>IF(ISNA(MATCH(592,Engine!$C$2:$C$679,0)),"",INDEX('Compliance Database'!$E$2:$E$679,MATCH(592,Engine!$C$2:$C$679,0)))</f>
        <v/>
      </c>
      <c r="F605">
        <f>IF(ISNA(MATCH(592,Engine!$C$2:$C$679,0)),"",INDEX('Compliance Database'!$F$2:$F$679,MATCH(592,Engine!$C$2:$C$679,0)))</f>
        <v/>
      </c>
      <c r="G605">
        <f>IF(ISNA(MATCH(592,Engine!$C$2:$C$679,0)),"",INDEX('Compliance Database'!$G$2:$G$679,MATCH(592,Engine!$C$2:$C$679,0)))</f>
        <v/>
      </c>
      <c r="H605">
        <f>IF(ISNA(MATCH(592,Engine!$C$2:$C$679,0)),"",INDEX('Compliance Database'!$H$2:$H$679,MATCH(592,Engine!$C$2:$C$679,0)))</f>
        <v/>
      </c>
      <c r="I605" s="8">
        <f>IF(ISNA(MATCH(592,Engine!$C$2:$C$679,0)),"",INDEX('Compliance Database'!$I$2:$I$679,MATCH(592,Engine!$C$2:$C$679,0)))</f>
        <v/>
      </c>
      <c r="J605" s="8">
        <f>IF(ISNA(MATCH(592,Engine!$C$2:$C$679,0)),"",INDEX('Compliance Database'!$J$2:$J$679,MATCH(592,Engine!$C$2:$C$679,0)))</f>
        <v/>
      </c>
      <c r="K605">
        <f>IF(ISNA(MATCH(592,Engine!$C$2:$C$679,0)),"",INDEX('Compliance Database'!$K$2:$K$679,MATCH(592,Engine!$C$2:$C$679,0)))</f>
        <v/>
      </c>
      <c r="L605" s="8">
        <f>IF(ISNA(MATCH(592,Engine!$C$2:$C$679,0)),"",INDEX('Compliance Database'!$L$2:$L$679,MATCH(592,Engine!$C$2:$C$679,0)))</f>
        <v/>
      </c>
      <c r="M605" s="8">
        <f>IF(ISNA(MATCH(592,Engine!$C$2:$C$679,0)),"",INDEX('Compliance Database'!$M$2:$M$679,MATCH(592,Engine!$C$2:$C$679,0)))</f>
        <v/>
      </c>
      <c r="N605" s="8">
        <f>IF(ISNA(MATCH(592,Engine!$C$2:$C$679,0)),"",INDEX('Compliance Database'!$N$2:$N$679,MATCH(592,Engine!$C$2:$C$679,0)))</f>
        <v/>
      </c>
      <c r="O605" s="8">
        <f>IF(ISNA(MATCH(592,Engine!$C$2:$C$679,0)),"",INDEX('Compliance Database'!$O$2:$O$679,MATCH(592,Engine!$C$2:$C$679,0)))</f>
        <v/>
      </c>
      <c r="P605">
        <f>IF(ISNA(MATCH(592,Engine!$C$2:$C$679,0)),"",HYPERLINK(INDEX('Compliance Database'!$P$2:$P$679,MATCH(592,Engine!$C$2:$C$679,0)),"Open PDF"))</f>
        <v/>
      </c>
    </row>
    <row r="606">
      <c r="A606">
        <f>IF(ISNA(MATCH(593,Engine!$C$2:$C$679,0)),"",INDEX('Compliance Database'!$A$2:$A$679,MATCH(593,Engine!$C$2:$C$679,0)))</f>
        <v/>
      </c>
      <c r="B606">
        <f>IF(ISNA(MATCH(593,Engine!$C$2:$C$679,0)),"",INDEX('Compliance Database'!$B$2:$B$679,MATCH(593,Engine!$C$2:$C$679,0)))</f>
        <v/>
      </c>
      <c r="C606">
        <f>IF(ISNA(MATCH(593,Engine!$C$2:$C$679,0)),"",INDEX('Compliance Database'!$C$2:$C$679,MATCH(593,Engine!$C$2:$C$679,0)))</f>
        <v/>
      </c>
      <c r="D606" s="8">
        <f>IF(ISNA(MATCH(593,Engine!$C$2:$C$679,0)),"",INDEX('Compliance Database'!$D$2:$D$679,MATCH(593,Engine!$C$2:$C$679,0)))</f>
        <v/>
      </c>
      <c r="E606">
        <f>IF(ISNA(MATCH(593,Engine!$C$2:$C$679,0)),"",INDEX('Compliance Database'!$E$2:$E$679,MATCH(593,Engine!$C$2:$C$679,0)))</f>
        <v/>
      </c>
      <c r="F606">
        <f>IF(ISNA(MATCH(593,Engine!$C$2:$C$679,0)),"",INDEX('Compliance Database'!$F$2:$F$679,MATCH(593,Engine!$C$2:$C$679,0)))</f>
        <v/>
      </c>
      <c r="G606">
        <f>IF(ISNA(MATCH(593,Engine!$C$2:$C$679,0)),"",INDEX('Compliance Database'!$G$2:$G$679,MATCH(593,Engine!$C$2:$C$679,0)))</f>
        <v/>
      </c>
      <c r="H606">
        <f>IF(ISNA(MATCH(593,Engine!$C$2:$C$679,0)),"",INDEX('Compliance Database'!$H$2:$H$679,MATCH(593,Engine!$C$2:$C$679,0)))</f>
        <v/>
      </c>
      <c r="I606" s="8">
        <f>IF(ISNA(MATCH(593,Engine!$C$2:$C$679,0)),"",INDEX('Compliance Database'!$I$2:$I$679,MATCH(593,Engine!$C$2:$C$679,0)))</f>
        <v/>
      </c>
      <c r="J606" s="8">
        <f>IF(ISNA(MATCH(593,Engine!$C$2:$C$679,0)),"",INDEX('Compliance Database'!$J$2:$J$679,MATCH(593,Engine!$C$2:$C$679,0)))</f>
        <v/>
      </c>
      <c r="K606">
        <f>IF(ISNA(MATCH(593,Engine!$C$2:$C$679,0)),"",INDEX('Compliance Database'!$K$2:$K$679,MATCH(593,Engine!$C$2:$C$679,0)))</f>
        <v/>
      </c>
      <c r="L606" s="8">
        <f>IF(ISNA(MATCH(593,Engine!$C$2:$C$679,0)),"",INDEX('Compliance Database'!$L$2:$L$679,MATCH(593,Engine!$C$2:$C$679,0)))</f>
        <v/>
      </c>
      <c r="M606" s="8">
        <f>IF(ISNA(MATCH(593,Engine!$C$2:$C$679,0)),"",INDEX('Compliance Database'!$M$2:$M$679,MATCH(593,Engine!$C$2:$C$679,0)))</f>
        <v/>
      </c>
      <c r="N606" s="8">
        <f>IF(ISNA(MATCH(593,Engine!$C$2:$C$679,0)),"",INDEX('Compliance Database'!$N$2:$N$679,MATCH(593,Engine!$C$2:$C$679,0)))</f>
        <v/>
      </c>
      <c r="O606" s="8">
        <f>IF(ISNA(MATCH(593,Engine!$C$2:$C$679,0)),"",INDEX('Compliance Database'!$O$2:$O$679,MATCH(593,Engine!$C$2:$C$679,0)))</f>
        <v/>
      </c>
      <c r="P606">
        <f>IF(ISNA(MATCH(593,Engine!$C$2:$C$679,0)),"",HYPERLINK(INDEX('Compliance Database'!$P$2:$P$679,MATCH(593,Engine!$C$2:$C$679,0)),"Open PDF"))</f>
        <v/>
      </c>
    </row>
    <row r="607">
      <c r="A607">
        <f>IF(ISNA(MATCH(594,Engine!$C$2:$C$679,0)),"",INDEX('Compliance Database'!$A$2:$A$679,MATCH(594,Engine!$C$2:$C$679,0)))</f>
        <v/>
      </c>
      <c r="B607">
        <f>IF(ISNA(MATCH(594,Engine!$C$2:$C$679,0)),"",INDEX('Compliance Database'!$B$2:$B$679,MATCH(594,Engine!$C$2:$C$679,0)))</f>
        <v/>
      </c>
      <c r="C607">
        <f>IF(ISNA(MATCH(594,Engine!$C$2:$C$679,0)),"",INDEX('Compliance Database'!$C$2:$C$679,MATCH(594,Engine!$C$2:$C$679,0)))</f>
        <v/>
      </c>
      <c r="D607" s="8">
        <f>IF(ISNA(MATCH(594,Engine!$C$2:$C$679,0)),"",INDEX('Compliance Database'!$D$2:$D$679,MATCH(594,Engine!$C$2:$C$679,0)))</f>
        <v/>
      </c>
      <c r="E607">
        <f>IF(ISNA(MATCH(594,Engine!$C$2:$C$679,0)),"",INDEX('Compliance Database'!$E$2:$E$679,MATCH(594,Engine!$C$2:$C$679,0)))</f>
        <v/>
      </c>
      <c r="F607">
        <f>IF(ISNA(MATCH(594,Engine!$C$2:$C$679,0)),"",INDEX('Compliance Database'!$F$2:$F$679,MATCH(594,Engine!$C$2:$C$679,0)))</f>
        <v/>
      </c>
      <c r="G607">
        <f>IF(ISNA(MATCH(594,Engine!$C$2:$C$679,0)),"",INDEX('Compliance Database'!$G$2:$G$679,MATCH(594,Engine!$C$2:$C$679,0)))</f>
        <v/>
      </c>
      <c r="H607">
        <f>IF(ISNA(MATCH(594,Engine!$C$2:$C$679,0)),"",INDEX('Compliance Database'!$H$2:$H$679,MATCH(594,Engine!$C$2:$C$679,0)))</f>
        <v/>
      </c>
      <c r="I607" s="8">
        <f>IF(ISNA(MATCH(594,Engine!$C$2:$C$679,0)),"",INDEX('Compliance Database'!$I$2:$I$679,MATCH(594,Engine!$C$2:$C$679,0)))</f>
        <v/>
      </c>
      <c r="J607" s="8">
        <f>IF(ISNA(MATCH(594,Engine!$C$2:$C$679,0)),"",INDEX('Compliance Database'!$J$2:$J$679,MATCH(594,Engine!$C$2:$C$679,0)))</f>
        <v/>
      </c>
      <c r="K607">
        <f>IF(ISNA(MATCH(594,Engine!$C$2:$C$679,0)),"",INDEX('Compliance Database'!$K$2:$K$679,MATCH(594,Engine!$C$2:$C$679,0)))</f>
        <v/>
      </c>
      <c r="L607" s="8">
        <f>IF(ISNA(MATCH(594,Engine!$C$2:$C$679,0)),"",INDEX('Compliance Database'!$L$2:$L$679,MATCH(594,Engine!$C$2:$C$679,0)))</f>
        <v/>
      </c>
      <c r="M607" s="8">
        <f>IF(ISNA(MATCH(594,Engine!$C$2:$C$679,0)),"",INDEX('Compliance Database'!$M$2:$M$679,MATCH(594,Engine!$C$2:$C$679,0)))</f>
        <v/>
      </c>
      <c r="N607" s="8">
        <f>IF(ISNA(MATCH(594,Engine!$C$2:$C$679,0)),"",INDEX('Compliance Database'!$N$2:$N$679,MATCH(594,Engine!$C$2:$C$679,0)))</f>
        <v/>
      </c>
      <c r="O607" s="8">
        <f>IF(ISNA(MATCH(594,Engine!$C$2:$C$679,0)),"",INDEX('Compliance Database'!$O$2:$O$679,MATCH(594,Engine!$C$2:$C$679,0)))</f>
        <v/>
      </c>
      <c r="P607">
        <f>IF(ISNA(MATCH(594,Engine!$C$2:$C$679,0)),"",HYPERLINK(INDEX('Compliance Database'!$P$2:$P$679,MATCH(594,Engine!$C$2:$C$679,0)),"Open PDF"))</f>
        <v/>
      </c>
    </row>
    <row r="608">
      <c r="A608">
        <f>IF(ISNA(MATCH(595,Engine!$C$2:$C$679,0)),"",INDEX('Compliance Database'!$A$2:$A$679,MATCH(595,Engine!$C$2:$C$679,0)))</f>
        <v/>
      </c>
      <c r="B608">
        <f>IF(ISNA(MATCH(595,Engine!$C$2:$C$679,0)),"",INDEX('Compliance Database'!$B$2:$B$679,MATCH(595,Engine!$C$2:$C$679,0)))</f>
        <v/>
      </c>
      <c r="C608">
        <f>IF(ISNA(MATCH(595,Engine!$C$2:$C$679,0)),"",INDEX('Compliance Database'!$C$2:$C$679,MATCH(595,Engine!$C$2:$C$679,0)))</f>
        <v/>
      </c>
      <c r="D608" s="8">
        <f>IF(ISNA(MATCH(595,Engine!$C$2:$C$679,0)),"",INDEX('Compliance Database'!$D$2:$D$679,MATCH(595,Engine!$C$2:$C$679,0)))</f>
        <v/>
      </c>
      <c r="E608">
        <f>IF(ISNA(MATCH(595,Engine!$C$2:$C$679,0)),"",INDEX('Compliance Database'!$E$2:$E$679,MATCH(595,Engine!$C$2:$C$679,0)))</f>
        <v/>
      </c>
      <c r="F608">
        <f>IF(ISNA(MATCH(595,Engine!$C$2:$C$679,0)),"",INDEX('Compliance Database'!$F$2:$F$679,MATCH(595,Engine!$C$2:$C$679,0)))</f>
        <v/>
      </c>
      <c r="G608">
        <f>IF(ISNA(MATCH(595,Engine!$C$2:$C$679,0)),"",INDEX('Compliance Database'!$G$2:$G$679,MATCH(595,Engine!$C$2:$C$679,0)))</f>
        <v/>
      </c>
      <c r="H608">
        <f>IF(ISNA(MATCH(595,Engine!$C$2:$C$679,0)),"",INDEX('Compliance Database'!$H$2:$H$679,MATCH(595,Engine!$C$2:$C$679,0)))</f>
        <v/>
      </c>
      <c r="I608" s="8">
        <f>IF(ISNA(MATCH(595,Engine!$C$2:$C$679,0)),"",INDEX('Compliance Database'!$I$2:$I$679,MATCH(595,Engine!$C$2:$C$679,0)))</f>
        <v/>
      </c>
      <c r="J608" s="8">
        <f>IF(ISNA(MATCH(595,Engine!$C$2:$C$679,0)),"",INDEX('Compliance Database'!$J$2:$J$679,MATCH(595,Engine!$C$2:$C$679,0)))</f>
        <v/>
      </c>
      <c r="K608">
        <f>IF(ISNA(MATCH(595,Engine!$C$2:$C$679,0)),"",INDEX('Compliance Database'!$K$2:$K$679,MATCH(595,Engine!$C$2:$C$679,0)))</f>
        <v/>
      </c>
      <c r="L608" s="8">
        <f>IF(ISNA(MATCH(595,Engine!$C$2:$C$679,0)),"",INDEX('Compliance Database'!$L$2:$L$679,MATCH(595,Engine!$C$2:$C$679,0)))</f>
        <v/>
      </c>
      <c r="M608" s="8">
        <f>IF(ISNA(MATCH(595,Engine!$C$2:$C$679,0)),"",INDEX('Compliance Database'!$M$2:$M$679,MATCH(595,Engine!$C$2:$C$679,0)))</f>
        <v/>
      </c>
      <c r="N608" s="8">
        <f>IF(ISNA(MATCH(595,Engine!$C$2:$C$679,0)),"",INDEX('Compliance Database'!$N$2:$N$679,MATCH(595,Engine!$C$2:$C$679,0)))</f>
        <v/>
      </c>
      <c r="O608" s="8">
        <f>IF(ISNA(MATCH(595,Engine!$C$2:$C$679,0)),"",INDEX('Compliance Database'!$O$2:$O$679,MATCH(595,Engine!$C$2:$C$679,0)))</f>
        <v/>
      </c>
      <c r="P608">
        <f>IF(ISNA(MATCH(595,Engine!$C$2:$C$679,0)),"",HYPERLINK(INDEX('Compliance Database'!$P$2:$P$679,MATCH(595,Engine!$C$2:$C$679,0)),"Open PDF"))</f>
        <v/>
      </c>
    </row>
    <row r="609">
      <c r="A609">
        <f>IF(ISNA(MATCH(596,Engine!$C$2:$C$679,0)),"",INDEX('Compliance Database'!$A$2:$A$679,MATCH(596,Engine!$C$2:$C$679,0)))</f>
        <v/>
      </c>
      <c r="B609">
        <f>IF(ISNA(MATCH(596,Engine!$C$2:$C$679,0)),"",INDEX('Compliance Database'!$B$2:$B$679,MATCH(596,Engine!$C$2:$C$679,0)))</f>
        <v/>
      </c>
      <c r="C609">
        <f>IF(ISNA(MATCH(596,Engine!$C$2:$C$679,0)),"",INDEX('Compliance Database'!$C$2:$C$679,MATCH(596,Engine!$C$2:$C$679,0)))</f>
        <v/>
      </c>
      <c r="D609" s="8">
        <f>IF(ISNA(MATCH(596,Engine!$C$2:$C$679,0)),"",INDEX('Compliance Database'!$D$2:$D$679,MATCH(596,Engine!$C$2:$C$679,0)))</f>
        <v/>
      </c>
      <c r="E609">
        <f>IF(ISNA(MATCH(596,Engine!$C$2:$C$679,0)),"",INDEX('Compliance Database'!$E$2:$E$679,MATCH(596,Engine!$C$2:$C$679,0)))</f>
        <v/>
      </c>
      <c r="F609">
        <f>IF(ISNA(MATCH(596,Engine!$C$2:$C$679,0)),"",INDEX('Compliance Database'!$F$2:$F$679,MATCH(596,Engine!$C$2:$C$679,0)))</f>
        <v/>
      </c>
      <c r="G609">
        <f>IF(ISNA(MATCH(596,Engine!$C$2:$C$679,0)),"",INDEX('Compliance Database'!$G$2:$G$679,MATCH(596,Engine!$C$2:$C$679,0)))</f>
        <v/>
      </c>
      <c r="H609">
        <f>IF(ISNA(MATCH(596,Engine!$C$2:$C$679,0)),"",INDEX('Compliance Database'!$H$2:$H$679,MATCH(596,Engine!$C$2:$C$679,0)))</f>
        <v/>
      </c>
      <c r="I609" s="8">
        <f>IF(ISNA(MATCH(596,Engine!$C$2:$C$679,0)),"",INDEX('Compliance Database'!$I$2:$I$679,MATCH(596,Engine!$C$2:$C$679,0)))</f>
        <v/>
      </c>
      <c r="J609" s="8">
        <f>IF(ISNA(MATCH(596,Engine!$C$2:$C$679,0)),"",INDEX('Compliance Database'!$J$2:$J$679,MATCH(596,Engine!$C$2:$C$679,0)))</f>
        <v/>
      </c>
      <c r="K609">
        <f>IF(ISNA(MATCH(596,Engine!$C$2:$C$679,0)),"",INDEX('Compliance Database'!$K$2:$K$679,MATCH(596,Engine!$C$2:$C$679,0)))</f>
        <v/>
      </c>
      <c r="L609" s="8">
        <f>IF(ISNA(MATCH(596,Engine!$C$2:$C$679,0)),"",INDEX('Compliance Database'!$L$2:$L$679,MATCH(596,Engine!$C$2:$C$679,0)))</f>
        <v/>
      </c>
      <c r="M609" s="8">
        <f>IF(ISNA(MATCH(596,Engine!$C$2:$C$679,0)),"",INDEX('Compliance Database'!$M$2:$M$679,MATCH(596,Engine!$C$2:$C$679,0)))</f>
        <v/>
      </c>
      <c r="N609" s="8">
        <f>IF(ISNA(MATCH(596,Engine!$C$2:$C$679,0)),"",INDEX('Compliance Database'!$N$2:$N$679,MATCH(596,Engine!$C$2:$C$679,0)))</f>
        <v/>
      </c>
      <c r="O609" s="8">
        <f>IF(ISNA(MATCH(596,Engine!$C$2:$C$679,0)),"",INDEX('Compliance Database'!$O$2:$O$679,MATCH(596,Engine!$C$2:$C$679,0)))</f>
        <v/>
      </c>
      <c r="P609">
        <f>IF(ISNA(MATCH(596,Engine!$C$2:$C$679,0)),"",HYPERLINK(INDEX('Compliance Database'!$P$2:$P$679,MATCH(596,Engine!$C$2:$C$679,0)),"Open PDF"))</f>
        <v/>
      </c>
    </row>
    <row r="610">
      <c r="A610">
        <f>IF(ISNA(MATCH(597,Engine!$C$2:$C$679,0)),"",INDEX('Compliance Database'!$A$2:$A$679,MATCH(597,Engine!$C$2:$C$679,0)))</f>
        <v/>
      </c>
      <c r="B610">
        <f>IF(ISNA(MATCH(597,Engine!$C$2:$C$679,0)),"",INDEX('Compliance Database'!$B$2:$B$679,MATCH(597,Engine!$C$2:$C$679,0)))</f>
        <v/>
      </c>
      <c r="C610">
        <f>IF(ISNA(MATCH(597,Engine!$C$2:$C$679,0)),"",INDEX('Compliance Database'!$C$2:$C$679,MATCH(597,Engine!$C$2:$C$679,0)))</f>
        <v/>
      </c>
      <c r="D610" s="8">
        <f>IF(ISNA(MATCH(597,Engine!$C$2:$C$679,0)),"",INDEX('Compliance Database'!$D$2:$D$679,MATCH(597,Engine!$C$2:$C$679,0)))</f>
        <v/>
      </c>
      <c r="E610">
        <f>IF(ISNA(MATCH(597,Engine!$C$2:$C$679,0)),"",INDEX('Compliance Database'!$E$2:$E$679,MATCH(597,Engine!$C$2:$C$679,0)))</f>
        <v/>
      </c>
      <c r="F610">
        <f>IF(ISNA(MATCH(597,Engine!$C$2:$C$679,0)),"",INDEX('Compliance Database'!$F$2:$F$679,MATCH(597,Engine!$C$2:$C$679,0)))</f>
        <v/>
      </c>
      <c r="G610">
        <f>IF(ISNA(MATCH(597,Engine!$C$2:$C$679,0)),"",INDEX('Compliance Database'!$G$2:$G$679,MATCH(597,Engine!$C$2:$C$679,0)))</f>
        <v/>
      </c>
      <c r="H610">
        <f>IF(ISNA(MATCH(597,Engine!$C$2:$C$679,0)),"",INDEX('Compliance Database'!$H$2:$H$679,MATCH(597,Engine!$C$2:$C$679,0)))</f>
        <v/>
      </c>
      <c r="I610" s="8">
        <f>IF(ISNA(MATCH(597,Engine!$C$2:$C$679,0)),"",INDEX('Compliance Database'!$I$2:$I$679,MATCH(597,Engine!$C$2:$C$679,0)))</f>
        <v/>
      </c>
      <c r="J610" s="8">
        <f>IF(ISNA(MATCH(597,Engine!$C$2:$C$679,0)),"",INDEX('Compliance Database'!$J$2:$J$679,MATCH(597,Engine!$C$2:$C$679,0)))</f>
        <v/>
      </c>
      <c r="K610">
        <f>IF(ISNA(MATCH(597,Engine!$C$2:$C$679,0)),"",INDEX('Compliance Database'!$K$2:$K$679,MATCH(597,Engine!$C$2:$C$679,0)))</f>
        <v/>
      </c>
      <c r="L610" s="8">
        <f>IF(ISNA(MATCH(597,Engine!$C$2:$C$679,0)),"",INDEX('Compliance Database'!$L$2:$L$679,MATCH(597,Engine!$C$2:$C$679,0)))</f>
        <v/>
      </c>
      <c r="M610" s="8">
        <f>IF(ISNA(MATCH(597,Engine!$C$2:$C$679,0)),"",INDEX('Compliance Database'!$M$2:$M$679,MATCH(597,Engine!$C$2:$C$679,0)))</f>
        <v/>
      </c>
      <c r="N610" s="8">
        <f>IF(ISNA(MATCH(597,Engine!$C$2:$C$679,0)),"",INDEX('Compliance Database'!$N$2:$N$679,MATCH(597,Engine!$C$2:$C$679,0)))</f>
        <v/>
      </c>
      <c r="O610" s="8">
        <f>IF(ISNA(MATCH(597,Engine!$C$2:$C$679,0)),"",INDEX('Compliance Database'!$O$2:$O$679,MATCH(597,Engine!$C$2:$C$679,0)))</f>
        <v/>
      </c>
      <c r="P610">
        <f>IF(ISNA(MATCH(597,Engine!$C$2:$C$679,0)),"",HYPERLINK(INDEX('Compliance Database'!$P$2:$P$679,MATCH(597,Engine!$C$2:$C$679,0)),"Open PDF"))</f>
        <v/>
      </c>
    </row>
    <row r="611">
      <c r="A611">
        <f>IF(ISNA(MATCH(598,Engine!$C$2:$C$679,0)),"",INDEX('Compliance Database'!$A$2:$A$679,MATCH(598,Engine!$C$2:$C$679,0)))</f>
        <v/>
      </c>
      <c r="B611">
        <f>IF(ISNA(MATCH(598,Engine!$C$2:$C$679,0)),"",INDEX('Compliance Database'!$B$2:$B$679,MATCH(598,Engine!$C$2:$C$679,0)))</f>
        <v/>
      </c>
      <c r="C611">
        <f>IF(ISNA(MATCH(598,Engine!$C$2:$C$679,0)),"",INDEX('Compliance Database'!$C$2:$C$679,MATCH(598,Engine!$C$2:$C$679,0)))</f>
        <v/>
      </c>
      <c r="D611" s="8">
        <f>IF(ISNA(MATCH(598,Engine!$C$2:$C$679,0)),"",INDEX('Compliance Database'!$D$2:$D$679,MATCH(598,Engine!$C$2:$C$679,0)))</f>
        <v/>
      </c>
      <c r="E611">
        <f>IF(ISNA(MATCH(598,Engine!$C$2:$C$679,0)),"",INDEX('Compliance Database'!$E$2:$E$679,MATCH(598,Engine!$C$2:$C$679,0)))</f>
        <v/>
      </c>
      <c r="F611">
        <f>IF(ISNA(MATCH(598,Engine!$C$2:$C$679,0)),"",INDEX('Compliance Database'!$F$2:$F$679,MATCH(598,Engine!$C$2:$C$679,0)))</f>
        <v/>
      </c>
      <c r="G611">
        <f>IF(ISNA(MATCH(598,Engine!$C$2:$C$679,0)),"",INDEX('Compliance Database'!$G$2:$G$679,MATCH(598,Engine!$C$2:$C$679,0)))</f>
        <v/>
      </c>
      <c r="H611">
        <f>IF(ISNA(MATCH(598,Engine!$C$2:$C$679,0)),"",INDEX('Compliance Database'!$H$2:$H$679,MATCH(598,Engine!$C$2:$C$679,0)))</f>
        <v/>
      </c>
      <c r="I611" s="8">
        <f>IF(ISNA(MATCH(598,Engine!$C$2:$C$679,0)),"",INDEX('Compliance Database'!$I$2:$I$679,MATCH(598,Engine!$C$2:$C$679,0)))</f>
        <v/>
      </c>
      <c r="J611" s="8">
        <f>IF(ISNA(MATCH(598,Engine!$C$2:$C$679,0)),"",INDEX('Compliance Database'!$J$2:$J$679,MATCH(598,Engine!$C$2:$C$679,0)))</f>
        <v/>
      </c>
      <c r="K611">
        <f>IF(ISNA(MATCH(598,Engine!$C$2:$C$679,0)),"",INDEX('Compliance Database'!$K$2:$K$679,MATCH(598,Engine!$C$2:$C$679,0)))</f>
        <v/>
      </c>
      <c r="L611" s="8">
        <f>IF(ISNA(MATCH(598,Engine!$C$2:$C$679,0)),"",INDEX('Compliance Database'!$L$2:$L$679,MATCH(598,Engine!$C$2:$C$679,0)))</f>
        <v/>
      </c>
      <c r="M611" s="8">
        <f>IF(ISNA(MATCH(598,Engine!$C$2:$C$679,0)),"",INDEX('Compliance Database'!$M$2:$M$679,MATCH(598,Engine!$C$2:$C$679,0)))</f>
        <v/>
      </c>
      <c r="N611" s="8">
        <f>IF(ISNA(MATCH(598,Engine!$C$2:$C$679,0)),"",INDEX('Compliance Database'!$N$2:$N$679,MATCH(598,Engine!$C$2:$C$679,0)))</f>
        <v/>
      </c>
      <c r="O611" s="8">
        <f>IF(ISNA(MATCH(598,Engine!$C$2:$C$679,0)),"",INDEX('Compliance Database'!$O$2:$O$679,MATCH(598,Engine!$C$2:$C$679,0)))</f>
        <v/>
      </c>
      <c r="P611">
        <f>IF(ISNA(MATCH(598,Engine!$C$2:$C$679,0)),"",HYPERLINK(INDEX('Compliance Database'!$P$2:$P$679,MATCH(598,Engine!$C$2:$C$679,0)),"Open PDF"))</f>
        <v/>
      </c>
    </row>
    <row r="612">
      <c r="A612">
        <f>IF(ISNA(MATCH(599,Engine!$C$2:$C$679,0)),"",INDEX('Compliance Database'!$A$2:$A$679,MATCH(599,Engine!$C$2:$C$679,0)))</f>
        <v/>
      </c>
      <c r="B612">
        <f>IF(ISNA(MATCH(599,Engine!$C$2:$C$679,0)),"",INDEX('Compliance Database'!$B$2:$B$679,MATCH(599,Engine!$C$2:$C$679,0)))</f>
        <v/>
      </c>
      <c r="C612">
        <f>IF(ISNA(MATCH(599,Engine!$C$2:$C$679,0)),"",INDEX('Compliance Database'!$C$2:$C$679,MATCH(599,Engine!$C$2:$C$679,0)))</f>
        <v/>
      </c>
      <c r="D612" s="8">
        <f>IF(ISNA(MATCH(599,Engine!$C$2:$C$679,0)),"",INDEX('Compliance Database'!$D$2:$D$679,MATCH(599,Engine!$C$2:$C$679,0)))</f>
        <v/>
      </c>
      <c r="E612">
        <f>IF(ISNA(MATCH(599,Engine!$C$2:$C$679,0)),"",INDEX('Compliance Database'!$E$2:$E$679,MATCH(599,Engine!$C$2:$C$679,0)))</f>
        <v/>
      </c>
      <c r="F612">
        <f>IF(ISNA(MATCH(599,Engine!$C$2:$C$679,0)),"",INDEX('Compliance Database'!$F$2:$F$679,MATCH(599,Engine!$C$2:$C$679,0)))</f>
        <v/>
      </c>
      <c r="G612">
        <f>IF(ISNA(MATCH(599,Engine!$C$2:$C$679,0)),"",INDEX('Compliance Database'!$G$2:$G$679,MATCH(599,Engine!$C$2:$C$679,0)))</f>
        <v/>
      </c>
      <c r="H612">
        <f>IF(ISNA(MATCH(599,Engine!$C$2:$C$679,0)),"",INDEX('Compliance Database'!$H$2:$H$679,MATCH(599,Engine!$C$2:$C$679,0)))</f>
        <v/>
      </c>
      <c r="I612" s="8">
        <f>IF(ISNA(MATCH(599,Engine!$C$2:$C$679,0)),"",INDEX('Compliance Database'!$I$2:$I$679,MATCH(599,Engine!$C$2:$C$679,0)))</f>
        <v/>
      </c>
      <c r="J612" s="8">
        <f>IF(ISNA(MATCH(599,Engine!$C$2:$C$679,0)),"",INDEX('Compliance Database'!$J$2:$J$679,MATCH(599,Engine!$C$2:$C$679,0)))</f>
        <v/>
      </c>
      <c r="K612">
        <f>IF(ISNA(MATCH(599,Engine!$C$2:$C$679,0)),"",INDEX('Compliance Database'!$K$2:$K$679,MATCH(599,Engine!$C$2:$C$679,0)))</f>
        <v/>
      </c>
      <c r="L612" s="8">
        <f>IF(ISNA(MATCH(599,Engine!$C$2:$C$679,0)),"",INDEX('Compliance Database'!$L$2:$L$679,MATCH(599,Engine!$C$2:$C$679,0)))</f>
        <v/>
      </c>
      <c r="M612" s="8">
        <f>IF(ISNA(MATCH(599,Engine!$C$2:$C$679,0)),"",INDEX('Compliance Database'!$M$2:$M$679,MATCH(599,Engine!$C$2:$C$679,0)))</f>
        <v/>
      </c>
      <c r="N612" s="8">
        <f>IF(ISNA(MATCH(599,Engine!$C$2:$C$679,0)),"",INDEX('Compliance Database'!$N$2:$N$679,MATCH(599,Engine!$C$2:$C$679,0)))</f>
        <v/>
      </c>
      <c r="O612" s="8">
        <f>IF(ISNA(MATCH(599,Engine!$C$2:$C$679,0)),"",INDEX('Compliance Database'!$O$2:$O$679,MATCH(599,Engine!$C$2:$C$679,0)))</f>
        <v/>
      </c>
      <c r="P612">
        <f>IF(ISNA(MATCH(599,Engine!$C$2:$C$679,0)),"",HYPERLINK(INDEX('Compliance Database'!$P$2:$P$679,MATCH(599,Engine!$C$2:$C$679,0)),"Open PDF"))</f>
        <v/>
      </c>
    </row>
    <row r="613">
      <c r="A613">
        <f>IF(ISNA(MATCH(600,Engine!$C$2:$C$679,0)),"",INDEX('Compliance Database'!$A$2:$A$679,MATCH(600,Engine!$C$2:$C$679,0)))</f>
        <v/>
      </c>
      <c r="B613">
        <f>IF(ISNA(MATCH(600,Engine!$C$2:$C$679,0)),"",INDEX('Compliance Database'!$B$2:$B$679,MATCH(600,Engine!$C$2:$C$679,0)))</f>
        <v/>
      </c>
      <c r="C613">
        <f>IF(ISNA(MATCH(600,Engine!$C$2:$C$679,0)),"",INDEX('Compliance Database'!$C$2:$C$679,MATCH(600,Engine!$C$2:$C$679,0)))</f>
        <v/>
      </c>
      <c r="D613" s="8">
        <f>IF(ISNA(MATCH(600,Engine!$C$2:$C$679,0)),"",INDEX('Compliance Database'!$D$2:$D$679,MATCH(600,Engine!$C$2:$C$679,0)))</f>
        <v/>
      </c>
      <c r="E613">
        <f>IF(ISNA(MATCH(600,Engine!$C$2:$C$679,0)),"",INDEX('Compliance Database'!$E$2:$E$679,MATCH(600,Engine!$C$2:$C$679,0)))</f>
        <v/>
      </c>
      <c r="F613">
        <f>IF(ISNA(MATCH(600,Engine!$C$2:$C$679,0)),"",INDEX('Compliance Database'!$F$2:$F$679,MATCH(600,Engine!$C$2:$C$679,0)))</f>
        <v/>
      </c>
      <c r="G613">
        <f>IF(ISNA(MATCH(600,Engine!$C$2:$C$679,0)),"",INDEX('Compliance Database'!$G$2:$G$679,MATCH(600,Engine!$C$2:$C$679,0)))</f>
        <v/>
      </c>
      <c r="H613">
        <f>IF(ISNA(MATCH(600,Engine!$C$2:$C$679,0)),"",INDEX('Compliance Database'!$H$2:$H$679,MATCH(600,Engine!$C$2:$C$679,0)))</f>
        <v/>
      </c>
      <c r="I613" s="8">
        <f>IF(ISNA(MATCH(600,Engine!$C$2:$C$679,0)),"",INDEX('Compliance Database'!$I$2:$I$679,MATCH(600,Engine!$C$2:$C$679,0)))</f>
        <v/>
      </c>
      <c r="J613" s="8">
        <f>IF(ISNA(MATCH(600,Engine!$C$2:$C$679,0)),"",INDEX('Compliance Database'!$J$2:$J$679,MATCH(600,Engine!$C$2:$C$679,0)))</f>
        <v/>
      </c>
      <c r="K613">
        <f>IF(ISNA(MATCH(600,Engine!$C$2:$C$679,0)),"",INDEX('Compliance Database'!$K$2:$K$679,MATCH(600,Engine!$C$2:$C$679,0)))</f>
        <v/>
      </c>
      <c r="L613" s="8">
        <f>IF(ISNA(MATCH(600,Engine!$C$2:$C$679,0)),"",INDEX('Compliance Database'!$L$2:$L$679,MATCH(600,Engine!$C$2:$C$679,0)))</f>
        <v/>
      </c>
      <c r="M613" s="8">
        <f>IF(ISNA(MATCH(600,Engine!$C$2:$C$679,0)),"",INDEX('Compliance Database'!$M$2:$M$679,MATCH(600,Engine!$C$2:$C$679,0)))</f>
        <v/>
      </c>
      <c r="N613" s="8">
        <f>IF(ISNA(MATCH(600,Engine!$C$2:$C$679,0)),"",INDEX('Compliance Database'!$N$2:$N$679,MATCH(600,Engine!$C$2:$C$679,0)))</f>
        <v/>
      </c>
      <c r="O613" s="8">
        <f>IF(ISNA(MATCH(600,Engine!$C$2:$C$679,0)),"",INDEX('Compliance Database'!$O$2:$O$679,MATCH(600,Engine!$C$2:$C$679,0)))</f>
        <v/>
      </c>
      <c r="P613">
        <f>IF(ISNA(MATCH(600,Engine!$C$2:$C$679,0)),"",HYPERLINK(INDEX('Compliance Database'!$P$2:$P$679,MATCH(600,Engine!$C$2:$C$679,0)),"Open PDF"))</f>
        <v/>
      </c>
    </row>
    <row r="614">
      <c r="A614">
        <f>IF(ISNA(MATCH(601,Engine!$C$2:$C$679,0)),"",INDEX('Compliance Database'!$A$2:$A$679,MATCH(601,Engine!$C$2:$C$679,0)))</f>
        <v/>
      </c>
      <c r="B614">
        <f>IF(ISNA(MATCH(601,Engine!$C$2:$C$679,0)),"",INDEX('Compliance Database'!$B$2:$B$679,MATCH(601,Engine!$C$2:$C$679,0)))</f>
        <v/>
      </c>
      <c r="C614">
        <f>IF(ISNA(MATCH(601,Engine!$C$2:$C$679,0)),"",INDEX('Compliance Database'!$C$2:$C$679,MATCH(601,Engine!$C$2:$C$679,0)))</f>
        <v/>
      </c>
      <c r="D614" s="8">
        <f>IF(ISNA(MATCH(601,Engine!$C$2:$C$679,0)),"",INDEX('Compliance Database'!$D$2:$D$679,MATCH(601,Engine!$C$2:$C$679,0)))</f>
        <v/>
      </c>
      <c r="E614">
        <f>IF(ISNA(MATCH(601,Engine!$C$2:$C$679,0)),"",INDEX('Compliance Database'!$E$2:$E$679,MATCH(601,Engine!$C$2:$C$679,0)))</f>
        <v/>
      </c>
      <c r="F614">
        <f>IF(ISNA(MATCH(601,Engine!$C$2:$C$679,0)),"",INDEX('Compliance Database'!$F$2:$F$679,MATCH(601,Engine!$C$2:$C$679,0)))</f>
        <v/>
      </c>
      <c r="G614">
        <f>IF(ISNA(MATCH(601,Engine!$C$2:$C$679,0)),"",INDEX('Compliance Database'!$G$2:$G$679,MATCH(601,Engine!$C$2:$C$679,0)))</f>
        <v/>
      </c>
      <c r="H614">
        <f>IF(ISNA(MATCH(601,Engine!$C$2:$C$679,0)),"",INDEX('Compliance Database'!$H$2:$H$679,MATCH(601,Engine!$C$2:$C$679,0)))</f>
        <v/>
      </c>
      <c r="I614" s="8">
        <f>IF(ISNA(MATCH(601,Engine!$C$2:$C$679,0)),"",INDEX('Compliance Database'!$I$2:$I$679,MATCH(601,Engine!$C$2:$C$679,0)))</f>
        <v/>
      </c>
      <c r="J614" s="8">
        <f>IF(ISNA(MATCH(601,Engine!$C$2:$C$679,0)),"",INDEX('Compliance Database'!$J$2:$J$679,MATCH(601,Engine!$C$2:$C$679,0)))</f>
        <v/>
      </c>
      <c r="K614">
        <f>IF(ISNA(MATCH(601,Engine!$C$2:$C$679,0)),"",INDEX('Compliance Database'!$K$2:$K$679,MATCH(601,Engine!$C$2:$C$679,0)))</f>
        <v/>
      </c>
      <c r="L614" s="8">
        <f>IF(ISNA(MATCH(601,Engine!$C$2:$C$679,0)),"",INDEX('Compliance Database'!$L$2:$L$679,MATCH(601,Engine!$C$2:$C$679,0)))</f>
        <v/>
      </c>
      <c r="M614" s="8">
        <f>IF(ISNA(MATCH(601,Engine!$C$2:$C$679,0)),"",INDEX('Compliance Database'!$M$2:$M$679,MATCH(601,Engine!$C$2:$C$679,0)))</f>
        <v/>
      </c>
      <c r="N614" s="8">
        <f>IF(ISNA(MATCH(601,Engine!$C$2:$C$679,0)),"",INDEX('Compliance Database'!$N$2:$N$679,MATCH(601,Engine!$C$2:$C$679,0)))</f>
        <v/>
      </c>
      <c r="O614" s="8">
        <f>IF(ISNA(MATCH(601,Engine!$C$2:$C$679,0)),"",INDEX('Compliance Database'!$O$2:$O$679,MATCH(601,Engine!$C$2:$C$679,0)))</f>
        <v/>
      </c>
      <c r="P614">
        <f>IF(ISNA(MATCH(601,Engine!$C$2:$C$679,0)),"",HYPERLINK(INDEX('Compliance Database'!$P$2:$P$679,MATCH(601,Engine!$C$2:$C$679,0)),"Open PDF"))</f>
        <v/>
      </c>
    </row>
    <row r="615">
      <c r="A615">
        <f>IF(ISNA(MATCH(602,Engine!$C$2:$C$679,0)),"",INDEX('Compliance Database'!$A$2:$A$679,MATCH(602,Engine!$C$2:$C$679,0)))</f>
        <v/>
      </c>
      <c r="B615">
        <f>IF(ISNA(MATCH(602,Engine!$C$2:$C$679,0)),"",INDEX('Compliance Database'!$B$2:$B$679,MATCH(602,Engine!$C$2:$C$679,0)))</f>
        <v/>
      </c>
      <c r="C615">
        <f>IF(ISNA(MATCH(602,Engine!$C$2:$C$679,0)),"",INDEX('Compliance Database'!$C$2:$C$679,MATCH(602,Engine!$C$2:$C$679,0)))</f>
        <v/>
      </c>
      <c r="D615" s="8">
        <f>IF(ISNA(MATCH(602,Engine!$C$2:$C$679,0)),"",INDEX('Compliance Database'!$D$2:$D$679,MATCH(602,Engine!$C$2:$C$679,0)))</f>
        <v/>
      </c>
      <c r="E615">
        <f>IF(ISNA(MATCH(602,Engine!$C$2:$C$679,0)),"",INDEX('Compliance Database'!$E$2:$E$679,MATCH(602,Engine!$C$2:$C$679,0)))</f>
        <v/>
      </c>
      <c r="F615">
        <f>IF(ISNA(MATCH(602,Engine!$C$2:$C$679,0)),"",INDEX('Compliance Database'!$F$2:$F$679,MATCH(602,Engine!$C$2:$C$679,0)))</f>
        <v/>
      </c>
      <c r="G615">
        <f>IF(ISNA(MATCH(602,Engine!$C$2:$C$679,0)),"",INDEX('Compliance Database'!$G$2:$G$679,MATCH(602,Engine!$C$2:$C$679,0)))</f>
        <v/>
      </c>
      <c r="H615">
        <f>IF(ISNA(MATCH(602,Engine!$C$2:$C$679,0)),"",INDEX('Compliance Database'!$H$2:$H$679,MATCH(602,Engine!$C$2:$C$679,0)))</f>
        <v/>
      </c>
      <c r="I615" s="8">
        <f>IF(ISNA(MATCH(602,Engine!$C$2:$C$679,0)),"",INDEX('Compliance Database'!$I$2:$I$679,MATCH(602,Engine!$C$2:$C$679,0)))</f>
        <v/>
      </c>
      <c r="J615" s="8">
        <f>IF(ISNA(MATCH(602,Engine!$C$2:$C$679,0)),"",INDEX('Compliance Database'!$J$2:$J$679,MATCH(602,Engine!$C$2:$C$679,0)))</f>
        <v/>
      </c>
      <c r="K615">
        <f>IF(ISNA(MATCH(602,Engine!$C$2:$C$679,0)),"",INDEX('Compliance Database'!$K$2:$K$679,MATCH(602,Engine!$C$2:$C$679,0)))</f>
        <v/>
      </c>
      <c r="L615" s="8">
        <f>IF(ISNA(MATCH(602,Engine!$C$2:$C$679,0)),"",INDEX('Compliance Database'!$L$2:$L$679,MATCH(602,Engine!$C$2:$C$679,0)))</f>
        <v/>
      </c>
      <c r="M615" s="8">
        <f>IF(ISNA(MATCH(602,Engine!$C$2:$C$679,0)),"",INDEX('Compliance Database'!$M$2:$M$679,MATCH(602,Engine!$C$2:$C$679,0)))</f>
        <v/>
      </c>
      <c r="N615" s="8">
        <f>IF(ISNA(MATCH(602,Engine!$C$2:$C$679,0)),"",INDEX('Compliance Database'!$N$2:$N$679,MATCH(602,Engine!$C$2:$C$679,0)))</f>
        <v/>
      </c>
      <c r="O615" s="8">
        <f>IF(ISNA(MATCH(602,Engine!$C$2:$C$679,0)),"",INDEX('Compliance Database'!$O$2:$O$679,MATCH(602,Engine!$C$2:$C$679,0)))</f>
        <v/>
      </c>
      <c r="P615">
        <f>IF(ISNA(MATCH(602,Engine!$C$2:$C$679,0)),"",HYPERLINK(INDEX('Compliance Database'!$P$2:$P$679,MATCH(602,Engine!$C$2:$C$679,0)),"Open PDF"))</f>
        <v/>
      </c>
    </row>
    <row r="616">
      <c r="A616">
        <f>IF(ISNA(MATCH(603,Engine!$C$2:$C$679,0)),"",INDEX('Compliance Database'!$A$2:$A$679,MATCH(603,Engine!$C$2:$C$679,0)))</f>
        <v/>
      </c>
      <c r="B616">
        <f>IF(ISNA(MATCH(603,Engine!$C$2:$C$679,0)),"",INDEX('Compliance Database'!$B$2:$B$679,MATCH(603,Engine!$C$2:$C$679,0)))</f>
        <v/>
      </c>
      <c r="C616">
        <f>IF(ISNA(MATCH(603,Engine!$C$2:$C$679,0)),"",INDEX('Compliance Database'!$C$2:$C$679,MATCH(603,Engine!$C$2:$C$679,0)))</f>
        <v/>
      </c>
      <c r="D616" s="8">
        <f>IF(ISNA(MATCH(603,Engine!$C$2:$C$679,0)),"",INDEX('Compliance Database'!$D$2:$D$679,MATCH(603,Engine!$C$2:$C$679,0)))</f>
        <v/>
      </c>
      <c r="E616">
        <f>IF(ISNA(MATCH(603,Engine!$C$2:$C$679,0)),"",INDEX('Compliance Database'!$E$2:$E$679,MATCH(603,Engine!$C$2:$C$679,0)))</f>
        <v/>
      </c>
      <c r="F616">
        <f>IF(ISNA(MATCH(603,Engine!$C$2:$C$679,0)),"",INDEX('Compliance Database'!$F$2:$F$679,MATCH(603,Engine!$C$2:$C$679,0)))</f>
        <v/>
      </c>
      <c r="G616">
        <f>IF(ISNA(MATCH(603,Engine!$C$2:$C$679,0)),"",INDEX('Compliance Database'!$G$2:$G$679,MATCH(603,Engine!$C$2:$C$679,0)))</f>
        <v/>
      </c>
      <c r="H616">
        <f>IF(ISNA(MATCH(603,Engine!$C$2:$C$679,0)),"",INDEX('Compliance Database'!$H$2:$H$679,MATCH(603,Engine!$C$2:$C$679,0)))</f>
        <v/>
      </c>
      <c r="I616" s="8">
        <f>IF(ISNA(MATCH(603,Engine!$C$2:$C$679,0)),"",INDEX('Compliance Database'!$I$2:$I$679,MATCH(603,Engine!$C$2:$C$679,0)))</f>
        <v/>
      </c>
      <c r="J616" s="8">
        <f>IF(ISNA(MATCH(603,Engine!$C$2:$C$679,0)),"",INDEX('Compliance Database'!$J$2:$J$679,MATCH(603,Engine!$C$2:$C$679,0)))</f>
        <v/>
      </c>
      <c r="K616">
        <f>IF(ISNA(MATCH(603,Engine!$C$2:$C$679,0)),"",INDEX('Compliance Database'!$K$2:$K$679,MATCH(603,Engine!$C$2:$C$679,0)))</f>
        <v/>
      </c>
      <c r="L616" s="8">
        <f>IF(ISNA(MATCH(603,Engine!$C$2:$C$679,0)),"",INDEX('Compliance Database'!$L$2:$L$679,MATCH(603,Engine!$C$2:$C$679,0)))</f>
        <v/>
      </c>
      <c r="M616" s="8">
        <f>IF(ISNA(MATCH(603,Engine!$C$2:$C$679,0)),"",INDEX('Compliance Database'!$M$2:$M$679,MATCH(603,Engine!$C$2:$C$679,0)))</f>
        <v/>
      </c>
      <c r="N616" s="8">
        <f>IF(ISNA(MATCH(603,Engine!$C$2:$C$679,0)),"",INDEX('Compliance Database'!$N$2:$N$679,MATCH(603,Engine!$C$2:$C$679,0)))</f>
        <v/>
      </c>
      <c r="O616" s="8">
        <f>IF(ISNA(MATCH(603,Engine!$C$2:$C$679,0)),"",INDEX('Compliance Database'!$O$2:$O$679,MATCH(603,Engine!$C$2:$C$679,0)))</f>
        <v/>
      </c>
      <c r="P616">
        <f>IF(ISNA(MATCH(603,Engine!$C$2:$C$679,0)),"",HYPERLINK(INDEX('Compliance Database'!$P$2:$P$679,MATCH(603,Engine!$C$2:$C$679,0)),"Open PDF"))</f>
        <v/>
      </c>
    </row>
    <row r="617">
      <c r="A617">
        <f>IF(ISNA(MATCH(604,Engine!$C$2:$C$679,0)),"",INDEX('Compliance Database'!$A$2:$A$679,MATCH(604,Engine!$C$2:$C$679,0)))</f>
        <v/>
      </c>
      <c r="B617">
        <f>IF(ISNA(MATCH(604,Engine!$C$2:$C$679,0)),"",INDEX('Compliance Database'!$B$2:$B$679,MATCH(604,Engine!$C$2:$C$679,0)))</f>
        <v/>
      </c>
      <c r="C617">
        <f>IF(ISNA(MATCH(604,Engine!$C$2:$C$679,0)),"",INDEX('Compliance Database'!$C$2:$C$679,MATCH(604,Engine!$C$2:$C$679,0)))</f>
        <v/>
      </c>
      <c r="D617" s="8">
        <f>IF(ISNA(MATCH(604,Engine!$C$2:$C$679,0)),"",INDEX('Compliance Database'!$D$2:$D$679,MATCH(604,Engine!$C$2:$C$679,0)))</f>
        <v/>
      </c>
      <c r="E617">
        <f>IF(ISNA(MATCH(604,Engine!$C$2:$C$679,0)),"",INDEX('Compliance Database'!$E$2:$E$679,MATCH(604,Engine!$C$2:$C$679,0)))</f>
        <v/>
      </c>
      <c r="F617">
        <f>IF(ISNA(MATCH(604,Engine!$C$2:$C$679,0)),"",INDEX('Compliance Database'!$F$2:$F$679,MATCH(604,Engine!$C$2:$C$679,0)))</f>
        <v/>
      </c>
      <c r="G617">
        <f>IF(ISNA(MATCH(604,Engine!$C$2:$C$679,0)),"",INDEX('Compliance Database'!$G$2:$G$679,MATCH(604,Engine!$C$2:$C$679,0)))</f>
        <v/>
      </c>
      <c r="H617">
        <f>IF(ISNA(MATCH(604,Engine!$C$2:$C$679,0)),"",INDEX('Compliance Database'!$H$2:$H$679,MATCH(604,Engine!$C$2:$C$679,0)))</f>
        <v/>
      </c>
      <c r="I617" s="8">
        <f>IF(ISNA(MATCH(604,Engine!$C$2:$C$679,0)),"",INDEX('Compliance Database'!$I$2:$I$679,MATCH(604,Engine!$C$2:$C$679,0)))</f>
        <v/>
      </c>
      <c r="J617" s="8">
        <f>IF(ISNA(MATCH(604,Engine!$C$2:$C$679,0)),"",INDEX('Compliance Database'!$J$2:$J$679,MATCH(604,Engine!$C$2:$C$679,0)))</f>
        <v/>
      </c>
      <c r="K617">
        <f>IF(ISNA(MATCH(604,Engine!$C$2:$C$679,0)),"",INDEX('Compliance Database'!$K$2:$K$679,MATCH(604,Engine!$C$2:$C$679,0)))</f>
        <v/>
      </c>
      <c r="L617" s="8">
        <f>IF(ISNA(MATCH(604,Engine!$C$2:$C$679,0)),"",INDEX('Compliance Database'!$L$2:$L$679,MATCH(604,Engine!$C$2:$C$679,0)))</f>
        <v/>
      </c>
      <c r="M617" s="8">
        <f>IF(ISNA(MATCH(604,Engine!$C$2:$C$679,0)),"",INDEX('Compliance Database'!$M$2:$M$679,MATCH(604,Engine!$C$2:$C$679,0)))</f>
        <v/>
      </c>
      <c r="N617" s="8">
        <f>IF(ISNA(MATCH(604,Engine!$C$2:$C$679,0)),"",INDEX('Compliance Database'!$N$2:$N$679,MATCH(604,Engine!$C$2:$C$679,0)))</f>
        <v/>
      </c>
      <c r="O617" s="8">
        <f>IF(ISNA(MATCH(604,Engine!$C$2:$C$679,0)),"",INDEX('Compliance Database'!$O$2:$O$679,MATCH(604,Engine!$C$2:$C$679,0)))</f>
        <v/>
      </c>
      <c r="P617">
        <f>IF(ISNA(MATCH(604,Engine!$C$2:$C$679,0)),"",HYPERLINK(INDEX('Compliance Database'!$P$2:$P$679,MATCH(604,Engine!$C$2:$C$679,0)),"Open PDF"))</f>
        <v/>
      </c>
    </row>
    <row r="618">
      <c r="A618">
        <f>IF(ISNA(MATCH(605,Engine!$C$2:$C$679,0)),"",INDEX('Compliance Database'!$A$2:$A$679,MATCH(605,Engine!$C$2:$C$679,0)))</f>
        <v/>
      </c>
      <c r="B618">
        <f>IF(ISNA(MATCH(605,Engine!$C$2:$C$679,0)),"",INDEX('Compliance Database'!$B$2:$B$679,MATCH(605,Engine!$C$2:$C$679,0)))</f>
        <v/>
      </c>
      <c r="C618">
        <f>IF(ISNA(MATCH(605,Engine!$C$2:$C$679,0)),"",INDEX('Compliance Database'!$C$2:$C$679,MATCH(605,Engine!$C$2:$C$679,0)))</f>
        <v/>
      </c>
      <c r="D618" s="8">
        <f>IF(ISNA(MATCH(605,Engine!$C$2:$C$679,0)),"",INDEX('Compliance Database'!$D$2:$D$679,MATCH(605,Engine!$C$2:$C$679,0)))</f>
        <v/>
      </c>
      <c r="E618">
        <f>IF(ISNA(MATCH(605,Engine!$C$2:$C$679,0)),"",INDEX('Compliance Database'!$E$2:$E$679,MATCH(605,Engine!$C$2:$C$679,0)))</f>
        <v/>
      </c>
      <c r="F618">
        <f>IF(ISNA(MATCH(605,Engine!$C$2:$C$679,0)),"",INDEX('Compliance Database'!$F$2:$F$679,MATCH(605,Engine!$C$2:$C$679,0)))</f>
        <v/>
      </c>
      <c r="G618">
        <f>IF(ISNA(MATCH(605,Engine!$C$2:$C$679,0)),"",INDEX('Compliance Database'!$G$2:$G$679,MATCH(605,Engine!$C$2:$C$679,0)))</f>
        <v/>
      </c>
      <c r="H618">
        <f>IF(ISNA(MATCH(605,Engine!$C$2:$C$679,0)),"",INDEX('Compliance Database'!$H$2:$H$679,MATCH(605,Engine!$C$2:$C$679,0)))</f>
        <v/>
      </c>
      <c r="I618" s="8">
        <f>IF(ISNA(MATCH(605,Engine!$C$2:$C$679,0)),"",INDEX('Compliance Database'!$I$2:$I$679,MATCH(605,Engine!$C$2:$C$679,0)))</f>
        <v/>
      </c>
      <c r="J618" s="8">
        <f>IF(ISNA(MATCH(605,Engine!$C$2:$C$679,0)),"",INDEX('Compliance Database'!$J$2:$J$679,MATCH(605,Engine!$C$2:$C$679,0)))</f>
        <v/>
      </c>
      <c r="K618">
        <f>IF(ISNA(MATCH(605,Engine!$C$2:$C$679,0)),"",INDEX('Compliance Database'!$K$2:$K$679,MATCH(605,Engine!$C$2:$C$679,0)))</f>
        <v/>
      </c>
      <c r="L618" s="8">
        <f>IF(ISNA(MATCH(605,Engine!$C$2:$C$679,0)),"",INDEX('Compliance Database'!$L$2:$L$679,MATCH(605,Engine!$C$2:$C$679,0)))</f>
        <v/>
      </c>
      <c r="M618" s="8">
        <f>IF(ISNA(MATCH(605,Engine!$C$2:$C$679,0)),"",INDEX('Compliance Database'!$M$2:$M$679,MATCH(605,Engine!$C$2:$C$679,0)))</f>
        <v/>
      </c>
      <c r="N618" s="8">
        <f>IF(ISNA(MATCH(605,Engine!$C$2:$C$679,0)),"",INDEX('Compliance Database'!$N$2:$N$679,MATCH(605,Engine!$C$2:$C$679,0)))</f>
        <v/>
      </c>
      <c r="O618" s="8">
        <f>IF(ISNA(MATCH(605,Engine!$C$2:$C$679,0)),"",INDEX('Compliance Database'!$O$2:$O$679,MATCH(605,Engine!$C$2:$C$679,0)))</f>
        <v/>
      </c>
      <c r="P618">
        <f>IF(ISNA(MATCH(605,Engine!$C$2:$C$679,0)),"",HYPERLINK(INDEX('Compliance Database'!$P$2:$P$679,MATCH(605,Engine!$C$2:$C$679,0)),"Open PDF"))</f>
        <v/>
      </c>
    </row>
    <row r="619">
      <c r="A619">
        <f>IF(ISNA(MATCH(606,Engine!$C$2:$C$679,0)),"",INDEX('Compliance Database'!$A$2:$A$679,MATCH(606,Engine!$C$2:$C$679,0)))</f>
        <v/>
      </c>
      <c r="B619">
        <f>IF(ISNA(MATCH(606,Engine!$C$2:$C$679,0)),"",INDEX('Compliance Database'!$B$2:$B$679,MATCH(606,Engine!$C$2:$C$679,0)))</f>
        <v/>
      </c>
      <c r="C619">
        <f>IF(ISNA(MATCH(606,Engine!$C$2:$C$679,0)),"",INDEX('Compliance Database'!$C$2:$C$679,MATCH(606,Engine!$C$2:$C$679,0)))</f>
        <v/>
      </c>
      <c r="D619" s="8">
        <f>IF(ISNA(MATCH(606,Engine!$C$2:$C$679,0)),"",INDEX('Compliance Database'!$D$2:$D$679,MATCH(606,Engine!$C$2:$C$679,0)))</f>
        <v/>
      </c>
      <c r="E619">
        <f>IF(ISNA(MATCH(606,Engine!$C$2:$C$679,0)),"",INDEX('Compliance Database'!$E$2:$E$679,MATCH(606,Engine!$C$2:$C$679,0)))</f>
        <v/>
      </c>
      <c r="F619">
        <f>IF(ISNA(MATCH(606,Engine!$C$2:$C$679,0)),"",INDEX('Compliance Database'!$F$2:$F$679,MATCH(606,Engine!$C$2:$C$679,0)))</f>
        <v/>
      </c>
      <c r="G619">
        <f>IF(ISNA(MATCH(606,Engine!$C$2:$C$679,0)),"",INDEX('Compliance Database'!$G$2:$G$679,MATCH(606,Engine!$C$2:$C$679,0)))</f>
        <v/>
      </c>
      <c r="H619">
        <f>IF(ISNA(MATCH(606,Engine!$C$2:$C$679,0)),"",INDEX('Compliance Database'!$H$2:$H$679,MATCH(606,Engine!$C$2:$C$679,0)))</f>
        <v/>
      </c>
      <c r="I619" s="8">
        <f>IF(ISNA(MATCH(606,Engine!$C$2:$C$679,0)),"",INDEX('Compliance Database'!$I$2:$I$679,MATCH(606,Engine!$C$2:$C$679,0)))</f>
        <v/>
      </c>
      <c r="J619" s="8">
        <f>IF(ISNA(MATCH(606,Engine!$C$2:$C$679,0)),"",INDEX('Compliance Database'!$J$2:$J$679,MATCH(606,Engine!$C$2:$C$679,0)))</f>
        <v/>
      </c>
      <c r="K619">
        <f>IF(ISNA(MATCH(606,Engine!$C$2:$C$679,0)),"",INDEX('Compliance Database'!$K$2:$K$679,MATCH(606,Engine!$C$2:$C$679,0)))</f>
        <v/>
      </c>
      <c r="L619" s="8">
        <f>IF(ISNA(MATCH(606,Engine!$C$2:$C$679,0)),"",INDEX('Compliance Database'!$L$2:$L$679,MATCH(606,Engine!$C$2:$C$679,0)))</f>
        <v/>
      </c>
      <c r="M619" s="8">
        <f>IF(ISNA(MATCH(606,Engine!$C$2:$C$679,0)),"",INDEX('Compliance Database'!$M$2:$M$679,MATCH(606,Engine!$C$2:$C$679,0)))</f>
        <v/>
      </c>
      <c r="N619" s="8">
        <f>IF(ISNA(MATCH(606,Engine!$C$2:$C$679,0)),"",INDEX('Compliance Database'!$N$2:$N$679,MATCH(606,Engine!$C$2:$C$679,0)))</f>
        <v/>
      </c>
      <c r="O619" s="8">
        <f>IF(ISNA(MATCH(606,Engine!$C$2:$C$679,0)),"",INDEX('Compliance Database'!$O$2:$O$679,MATCH(606,Engine!$C$2:$C$679,0)))</f>
        <v/>
      </c>
      <c r="P619">
        <f>IF(ISNA(MATCH(606,Engine!$C$2:$C$679,0)),"",HYPERLINK(INDEX('Compliance Database'!$P$2:$P$679,MATCH(606,Engine!$C$2:$C$679,0)),"Open PDF"))</f>
        <v/>
      </c>
    </row>
    <row r="620">
      <c r="A620">
        <f>IF(ISNA(MATCH(607,Engine!$C$2:$C$679,0)),"",INDEX('Compliance Database'!$A$2:$A$679,MATCH(607,Engine!$C$2:$C$679,0)))</f>
        <v/>
      </c>
      <c r="B620">
        <f>IF(ISNA(MATCH(607,Engine!$C$2:$C$679,0)),"",INDEX('Compliance Database'!$B$2:$B$679,MATCH(607,Engine!$C$2:$C$679,0)))</f>
        <v/>
      </c>
      <c r="C620">
        <f>IF(ISNA(MATCH(607,Engine!$C$2:$C$679,0)),"",INDEX('Compliance Database'!$C$2:$C$679,MATCH(607,Engine!$C$2:$C$679,0)))</f>
        <v/>
      </c>
      <c r="D620" s="8">
        <f>IF(ISNA(MATCH(607,Engine!$C$2:$C$679,0)),"",INDEX('Compliance Database'!$D$2:$D$679,MATCH(607,Engine!$C$2:$C$679,0)))</f>
        <v/>
      </c>
      <c r="E620">
        <f>IF(ISNA(MATCH(607,Engine!$C$2:$C$679,0)),"",INDEX('Compliance Database'!$E$2:$E$679,MATCH(607,Engine!$C$2:$C$679,0)))</f>
        <v/>
      </c>
      <c r="F620">
        <f>IF(ISNA(MATCH(607,Engine!$C$2:$C$679,0)),"",INDEX('Compliance Database'!$F$2:$F$679,MATCH(607,Engine!$C$2:$C$679,0)))</f>
        <v/>
      </c>
      <c r="G620">
        <f>IF(ISNA(MATCH(607,Engine!$C$2:$C$679,0)),"",INDEX('Compliance Database'!$G$2:$G$679,MATCH(607,Engine!$C$2:$C$679,0)))</f>
        <v/>
      </c>
      <c r="H620">
        <f>IF(ISNA(MATCH(607,Engine!$C$2:$C$679,0)),"",INDEX('Compliance Database'!$H$2:$H$679,MATCH(607,Engine!$C$2:$C$679,0)))</f>
        <v/>
      </c>
      <c r="I620" s="8">
        <f>IF(ISNA(MATCH(607,Engine!$C$2:$C$679,0)),"",INDEX('Compliance Database'!$I$2:$I$679,MATCH(607,Engine!$C$2:$C$679,0)))</f>
        <v/>
      </c>
      <c r="J620" s="8">
        <f>IF(ISNA(MATCH(607,Engine!$C$2:$C$679,0)),"",INDEX('Compliance Database'!$J$2:$J$679,MATCH(607,Engine!$C$2:$C$679,0)))</f>
        <v/>
      </c>
      <c r="K620">
        <f>IF(ISNA(MATCH(607,Engine!$C$2:$C$679,0)),"",INDEX('Compliance Database'!$K$2:$K$679,MATCH(607,Engine!$C$2:$C$679,0)))</f>
        <v/>
      </c>
      <c r="L620" s="8">
        <f>IF(ISNA(MATCH(607,Engine!$C$2:$C$679,0)),"",INDEX('Compliance Database'!$L$2:$L$679,MATCH(607,Engine!$C$2:$C$679,0)))</f>
        <v/>
      </c>
      <c r="M620" s="8">
        <f>IF(ISNA(MATCH(607,Engine!$C$2:$C$679,0)),"",INDEX('Compliance Database'!$M$2:$M$679,MATCH(607,Engine!$C$2:$C$679,0)))</f>
        <v/>
      </c>
      <c r="N620" s="8">
        <f>IF(ISNA(MATCH(607,Engine!$C$2:$C$679,0)),"",INDEX('Compliance Database'!$N$2:$N$679,MATCH(607,Engine!$C$2:$C$679,0)))</f>
        <v/>
      </c>
      <c r="O620" s="8">
        <f>IF(ISNA(MATCH(607,Engine!$C$2:$C$679,0)),"",INDEX('Compliance Database'!$O$2:$O$679,MATCH(607,Engine!$C$2:$C$679,0)))</f>
        <v/>
      </c>
      <c r="P620">
        <f>IF(ISNA(MATCH(607,Engine!$C$2:$C$679,0)),"",HYPERLINK(INDEX('Compliance Database'!$P$2:$P$679,MATCH(607,Engine!$C$2:$C$679,0)),"Open PDF"))</f>
        <v/>
      </c>
    </row>
    <row r="621">
      <c r="A621">
        <f>IF(ISNA(MATCH(608,Engine!$C$2:$C$679,0)),"",INDEX('Compliance Database'!$A$2:$A$679,MATCH(608,Engine!$C$2:$C$679,0)))</f>
        <v/>
      </c>
      <c r="B621">
        <f>IF(ISNA(MATCH(608,Engine!$C$2:$C$679,0)),"",INDEX('Compliance Database'!$B$2:$B$679,MATCH(608,Engine!$C$2:$C$679,0)))</f>
        <v/>
      </c>
      <c r="C621">
        <f>IF(ISNA(MATCH(608,Engine!$C$2:$C$679,0)),"",INDEX('Compliance Database'!$C$2:$C$679,MATCH(608,Engine!$C$2:$C$679,0)))</f>
        <v/>
      </c>
      <c r="D621" s="8">
        <f>IF(ISNA(MATCH(608,Engine!$C$2:$C$679,0)),"",INDEX('Compliance Database'!$D$2:$D$679,MATCH(608,Engine!$C$2:$C$679,0)))</f>
        <v/>
      </c>
      <c r="E621">
        <f>IF(ISNA(MATCH(608,Engine!$C$2:$C$679,0)),"",INDEX('Compliance Database'!$E$2:$E$679,MATCH(608,Engine!$C$2:$C$679,0)))</f>
        <v/>
      </c>
      <c r="F621">
        <f>IF(ISNA(MATCH(608,Engine!$C$2:$C$679,0)),"",INDEX('Compliance Database'!$F$2:$F$679,MATCH(608,Engine!$C$2:$C$679,0)))</f>
        <v/>
      </c>
      <c r="G621">
        <f>IF(ISNA(MATCH(608,Engine!$C$2:$C$679,0)),"",INDEX('Compliance Database'!$G$2:$G$679,MATCH(608,Engine!$C$2:$C$679,0)))</f>
        <v/>
      </c>
      <c r="H621">
        <f>IF(ISNA(MATCH(608,Engine!$C$2:$C$679,0)),"",INDEX('Compliance Database'!$H$2:$H$679,MATCH(608,Engine!$C$2:$C$679,0)))</f>
        <v/>
      </c>
      <c r="I621" s="8">
        <f>IF(ISNA(MATCH(608,Engine!$C$2:$C$679,0)),"",INDEX('Compliance Database'!$I$2:$I$679,MATCH(608,Engine!$C$2:$C$679,0)))</f>
        <v/>
      </c>
      <c r="J621" s="8">
        <f>IF(ISNA(MATCH(608,Engine!$C$2:$C$679,0)),"",INDEX('Compliance Database'!$J$2:$J$679,MATCH(608,Engine!$C$2:$C$679,0)))</f>
        <v/>
      </c>
      <c r="K621">
        <f>IF(ISNA(MATCH(608,Engine!$C$2:$C$679,0)),"",INDEX('Compliance Database'!$K$2:$K$679,MATCH(608,Engine!$C$2:$C$679,0)))</f>
        <v/>
      </c>
      <c r="L621" s="8">
        <f>IF(ISNA(MATCH(608,Engine!$C$2:$C$679,0)),"",INDEX('Compliance Database'!$L$2:$L$679,MATCH(608,Engine!$C$2:$C$679,0)))</f>
        <v/>
      </c>
      <c r="M621" s="8">
        <f>IF(ISNA(MATCH(608,Engine!$C$2:$C$679,0)),"",INDEX('Compliance Database'!$M$2:$M$679,MATCH(608,Engine!$C$2:$C$679,0)))</f>
        <v/>
      </c>
      <c r="N621" s="8">
        <f>IF(ISNA(MATCH(608,Engine!$C$2:$C$679,0)),"",INDEX('Compliance Database'!$N$2:$N$679,MATCH(608,Engine!$C$2:$C$679,0)))</f>
        <v/>
      </c>
      <c r="O621" s="8">
        <f>IF(ISNA(MATCH(608,Engine!$C$2:$C$679,0)),"",INDEX('Compliance Database'!$O$2:$O$679,MATCH(608,Engine!$C$2:$C$679,0)))</f>
        <v/>
      </c>
      <c r="P621">
        <f>IF(ISNA(MATCH(608,Engine!$C$2:$C$679,0)),"",HYPERLINK(INDEX('Compliance Database'!$P$2:$P$679,MATCH(608,Engine!$C$2:$C$679,0)),"Open PDF"))</f>
        <v/>
      </c>
    </row>
    <row r="622">
      <c r="A622">
        <f>IF(ISNA(MATCH(609,Engine!$C$2:$C$679,0)),"",INDEX('Compliance Database'!$A$2:$A$679,MATCH(609,Engine!$C$2:$C$679,0)))</f>
        <v/>
      </c>
      <c r="B622">
        <f>IF(ISNA(MATCH(609,Engine!$C$2:$C$679,0)),"",INDEX('Compliance Database'!$B$2:$B$679,MATCH(609,Engine!$C$2:$C$679,0)))</f>
        <v/>
      </c>
      <c r="C622">
        <f>IF(ISNA(MATCH(609,Engine!$C$2:$C$679,0)),"",INDEX('Compliance Database'!$C$2:$C$679,MATCH(609,Engine!$C$2:$C$679,0)))</f>
        <v/>
      </c>
      <c r="D622" s="8">
        <f>IF(ISNA(MATCH(609,Engine!$C$2:$C$679,0)),"",INDEX('Compliance Database'!$D$2:$D$679,MATCH(609,Engine!$C$2:$C$679,0)))</f>
        <v/>
      </c>
      <c r="E622">
        <f>IF(ISNA(MATCH(609,Engine!$C$2:$C$679,0)),"",INDEX('Compliance Database'!$E$2:$E$679,MATCH(609,Engine!$C$2:$C$679,0)))</f>
        <v/>
      </c>
      <c r="F622">
        <f>IF(ISNA(MATCH(609,Engine!$C$2:$C$679,0)),"",INDEX('Compliance Database'!$F$2:$F$679,MATCH(609,Engine!$C$2:$C$679,0)))</f>
        <v/>
      </c>
      <c r="G622">
        <f>IF(ISNA(MATCH(609,Engine!$C$2:$C$679,0)),"",INDEX('Compliance Database'!$G$2:$G$679,MATCH(609,Engine!$C$2:$C$679,0)))</f>
        <v/>
      </c>
      <c r="H622">
        <f>IF(ISNA(MATCH(609,Engine!$C$2:$C$679,0)),"",INDEX('Compliance Database'!$H$2:$H$679,MATCH(609,Engine!$C$2:$C$679,0)))</f>
        <v/>
      </c>
      <c r="I622" s="8">
        <f>IF(ISNA(MATCH(609,Engine!$C$2:$C$679,0)),"",INDEX('Compliance Database'!$I$2:$I$679,MATCH(609,Engine!$C$2:$C$679,0)))</f>
        <v/>
      </c>
      <c r="J622" s="8">
        <f>IF(ISNA(MATCH(609,Engine!$C$2:$C$679,0)),"",INDEX('Compliance Database'!$J$2:$J$679,MATCH(609,Engine!$C$2:$C$679,0)))</f>
        <v/>
      </c>
      <c r="K622">
        <f>IF(ISNA(MATCH(609,Engine!$C$2:$C$679,0)),"",INDEX('Compliance Database'!$K$2:$K$679,MATCH(609,Engine!$C$2:$C$679,0)))</f>
        <v/>
      </c>
      <c r="L622" s="8">
        <f>IF(ISNA(MATCH(609,Engine!$C$2:$C$679,0)),"",INDEX('Compliance Database'!$L$2:$L$679,MATCH(609,Engine!$C$2:$C$679,0)))</f>
        <v/>
      </c>
      <c r="M622" s="8">
        <f>IF(ISNA(MATCH(609,Engine!$C$2:$C$679,0)),"",INDEX('Compliance Database'!$M$2:$M$679,MATCH(609,Engine!$C$2:$C$679,0)))</f>
        <v/>
      </c>
      <c r="N622" s="8">
        <f>IF(ISNA(MATCH(609,Engine!$C$2:$C$679,0)),"",INDEX('Compliance Database'!$N$2:$N$679,MATCH(609,Engine!$C$2:$C$679,0)))</f>
        <v/>
      </c>
      <c r="O622" s="8">
        <f>IF(ISNA(MATCH(609,Engine!$C$2:$C$679,0)),"",INDEX('Compliance Database'!$O$2:$O$679,MATCH(609,Engine!$C$2:$C$679,0)))</f>
        <v/>
      </c>
      <c r="P622">
        <f>IF(ISNA(MATCH(609,Engine!$C$2:$C$679,0)),"",HYPERLINK(INDEX('Compliance Database'!$P$2:$P$679,MATCH(609,Engine!$C$2:$C$679,0)),"Open PDF"))</f>
        <v/>
      </c>
    </row>
    <row r="623">
      <c r="A623">
        <f>IF(ISNA(MATCH(610,Engine!$C$2:$C$679,0)),"",INDEX('Compliance Database'!$A$2:$A$679,MATCH(610,Engine!$C$2:$C$679,0)))</f>
        <v/>
      </c>
      <c r="B623">
        <f>IF(ISNA(MATCH(610,Engine!$C$2:$C$679,0)),"",INDEX('Compliance Database'!$B$2:$B$679,MATCH(610,Engine!$C$2:$C$679,0)))</f>
        <v/>
      </c>
      <c r="C623">
        <f>IF(ISNA(MATCH(610,Engine!$C$2:$C$679,0)),"",INDEX('Compliance Database'!$C$2:$C$679,MATCH(610,Engine!$C$2:$C$679,0)))</f>
        <v/>
      </c>
      <c r="D623" s="8">
        <f>IF(ISNA(MATCH(610,Engine!$C$2:$C$679,0)),"",INDEX('Compliance Database'!$D$2:$D$679,MATCH(610,Engine!$C$2:$C$679,0)))</f>
        <v/>
      </c>
      <c r="E623">
        <f>IF(ISNA(MATCH(610,Engine!$C$2:$C$679,0)),"",INDEX('Compliance Database'!$E$2:$E$679,MATCH(610,Engine!$C$2:$C$679,0)))</f>
        <v/>
      </c>
      <c r="F623">
        <f>IF(ISNA(MATCH(610,Engine!$C$2:$C$679,0)),"",INDEX('Compliance Database'!$F$2:$F$679,MATCH(610,Engine!$C$2:$C$679,0)))</f>
        <v/>
      </c>
      <c r="G623">
        <f>IF(ISNA(MATCH(610,Engine!$C$2:$C$679,0)),"",INDEX('Compliance Database'!$G$2:$G$679,MATCH(610,Engine!$C$2:$C$679,0)))</f>
        <v/>
      </c>
      <c r="H623">
        <f>IF(ISNA(MATCH(610,Engine!$C$2:$C$679,0)),"",INDEX('Compliance Database'!$H$2:$H$679,MATCH(610,Engine!$C$2:$C$679,0)))</f>
        <v/>
      </c>
      <c r="I623" s="8">
        <f>IF(ISNA(MATCH(610,Engine!$C$2:$C$679,0)),"",INDEX('Compliance Database'!$I$2:$I$679,MATCH(610,Engine!$C$2:$C$679,0)))</f>
        <v/>
      </c>
      <c r="J623" s="8">
        <f>IF(ISNA(MATCH(610,Engine!$C$2:$C$679,0)),"",INDEX('Compliance Database'!$J$2:$J$679,MATCH(610,Engine!$C$2:$C$679,0)))</f>
        <v/>
      </c>
      <c r="K623">
        <f>IF(ISNA(MATCH(610,Engine!$C$2:$C$679,0)),"",INDEX('Compliance Database'!$K$2:$K$679,MATCH(610,Engine!$C$2:$C$679,0)))</f>
        <v/>
      </c>
      <c r="L623" s="8">
        <f>IF(ISNA(MATCH(610,Engine!$C$2:$C$679,0)),"",INDEX('Compliance Database'!$L$2:$L$679,MATCH(610,Engine!$C$2:$C$679,0)))</f>
        <v/>
      </c>
      <c r="M623" s="8">
        <f>IF(ISNA(MATCH(610,Engine!$C$2:$C$679,0)),"",INDEX('Compliance Database'!$M$2:$M$679,MATCH(610,Engine!$C$2:$C$679,0)))</f>
        <v/>
      </c>
      <c r="N623" s="8">
        <f>IF(ISNA(MATCH(610,Engine!$C$2:$C$679,0)),"",INDEX('Compliance Database'!$N$2:$N$679,MATCH(610,Engine!$C$2:$C$679,0)))</f>
        <v/>
      </c>
      <c r="O623" s="8">
        <f>IF(ISNA(MATCH(610,Engine!$C$2:$C$679,0)),"",INDEX('Compliance Database'!$O$2:$O$679,MATCH(610,Engine!$C$2:$C$679,0)))</f>
        <v/>
      </c>
      <c r="P623">
        <f>IF(ISNA(MATCH(610,Engine!$C$2:$C$679,0)),"",HYPERLINK(INDEX('Compliance Database'!$P$2:$P$679,MATCH(610,Engine!$C$2:$C$679,0)),"Open PDF"))</f>
        <v/>
      </c>
    </row>
    <row r="624">
      <c r="A624">
        <f>IF(ISNA(MATCH(611,Engine!$C$2:$C$679,0)),"",INDEX('Compliance Database'!$A$2:$A$679,MATCH(611,Engine!$C$2:$C$679,0)))</f>
        <v/>
      </c>
      <c r="B624">
        <f>IF(ISNA(MATCH(611,Engine!$C$2:$C$679,0)),"",INDEX('Compliance Database'!$B$2:$B$679,MATCH(611,Engine!$C$2:$C$679,0)))</f>
        <v/>
      </c>
      <c r="C624">
        <f>IF(ISNA(MATCH(611,Engine!$C$2:$C$679,0)),"",INDEX('Compliance Database'!$C$2:$C$679,MATCH(611,Engine!$C$2:$C$679,0)))</f>
        <v/>
      </c>
      <c r="D624" s="8">
        <f>IF(ISNA(MATCH(611,Engine!$C$2:$C$679,0)),"",INDEX('Compliance Database'!$D$2:$D$679,MATCH(611,Engine!$C$2:$C$679,0)))</f>
        <v/>
      </c>
      <c r="E624">
        <f>IF(ISNA(MATCH(611,Engine!$C$2:$C$679,0)),"",INDEX('Compliance Database'!$E$2:$E$679,MATCH(611,Engine!$C$2:$C$679,0)))</f>
        <v/>
      </c>
      <c r="F624">
        <f>IF(ISNA(MATCH(611,Engine!$C$2:$C$679,0)),"",INDEX('Compliance Database'!$F$2:$F$679,MATCH(611,Engine!$C$2:$C$679,0)))</f>
        <v/>
      </c>
      <c r="G624">
        <f>IF(ISNA(MATCH(611,Engine!$C$2:$C$679,0)),"",INDEX('Compliance Database'!$G$2:$G$679,MATCH(611,Engine!$C$2:$C$679,0)))</f>
        <v/>
      </c>
      <c r="H624">
        <f>IF(ISNA(MATCH(611,Engine!$C$2:$C$679,0)),"",INDEX('Compliance Database'!$H$2:$H$679,MATCH(611,Engine!$C$2:$C$679,0)))</f>
        <v/>
      </c>
      <c r="I624" s="8">
        <f>IF(ISNA(MATCH(611,Engine!$C$2:$C$679,0)),"",INDEX('Compliance Database'!$I$2:$I$679,MATCH(611,Engine!$C$2:$C$679,0)))</f>
        <v/>
      </c>
      <c r="J624" s="8">
        <f>IF(ISNA(MATCH(611,Engine!$C$2:$C$679,0)),"",INDEX('Compliance Database'!$J$2:$J$679,MATCH(611,Engine!$C$2:$C$679,0)))</f>
        <v/>
      </c>
      <c r="K624">
        <f>IF(ISNA(MATCH(611,Engine!$C$2:$C$679,0)),"",INDEX('Compliance Database'!$K$2:$K$679,MATCH(611,Engine!$C$2:$C$679,0)))</f>
        <v/>
      </c>
      <c r="L624" s="8">
        <f>IF(ISNA(MATCH(611,Engine!$C$2:$C$679,0)),"",INDEX('Compliance Database'!$L$2:$L$679,MATCH(611,Engine!$C$2:$C$679,0)))</f>
        <v/>
      </c>
      <c r="M624" s="8">
        <f>IF(ISNA(MATCH(611,Engine!$C$2:$C$679,0)),"",INDEX('Compliance Database'!$M$2:$M$679,MATCH(611,Engine!$C$2:$C$679,0)))</f>
        <v/>
      </c>
      <c r="N624" s="8">
        <f>IF(ISNA(MATCH(611,Engine!$C$2:$C$679,0)),"",INDEX('Compliance Database'!$N$2:$N$679,MATCH(611,Engine!$C$2:$C$679,0)))</f>
        <v/>
      </c>
      <c r="O624" s="8">
        <f>IF(ISNA(MATCH(611,Engine!$C$2:$C$679,0)),"",INDEX('Compliance Database'!$O$2:$O$679,MATCH(611,Engine!$C$2:$C$679,0)))</f>
        <v/>
      </c>
      <c r="P624">
        <f>IF(ISNA(MATCH(611,Engine!$C$2:$C$679,0)),"",HYPERLINK(INDEX('Compliance Database'!$P$2:$P$679,MATCH(611,Engine!$C$2:$C$679,0)),"Open PDF"))</f>
        <v/>
      </c>
    </row>
    <row r="625">
      <c r="A625">
        <f>IF(ISNA(MATCH(612,Engine!$C$2:$C$679,0)),"",INDEX('Compliance Database'!$A$2:$A$679,MATCH(612,Engine!$C$2:$C$679,0)))</f>
        <v/>
      </c>
      <c r="B625">
        <f>IF(ISNA(MATCH(612,Engine!$C$2:$C$679,0)),"",INDEX('Compliance Database'!$B$2:$B$679,MATCH(612,Engine!$C$2:$C$679,0)))</f>
        <v/>
      </c>
      <c r="C625">
        <f>IF(ISNA(MATCH(612,Engine!$C$2:$C$679,0)),"",INDEX('Compliance Database'!$C$2:$C$679,MATCH(612,Engine!$C$2:$C$679,0)))</f>
        <v/>
      </c>
      <c r="D625" s="8">
        <f>IF(ISNA(MATCH(612,Engine!$C$2:$C$679,0)),"",INDEX('Compliance Database'!$D$2:$D$679,MATCH(612,Engine!$C$2:$C$679,0)))</f>
        <v/>
      </c>
      <c r="E625">
        <f>IF(ISNA(MATCH(612,Engine!$C$2:$C$679,0)),"",INDEX('Compliance Database'!$E$2:$E$679,MATCH(612,Engine!$C$2:$C$679,0)))</f>
        <v/>
      </c>
      <c r="F625">
        <f>IF(ISNA(MATCH(612,Engine!$C$2:$C$679,0)),"",INDEX('Compliance Database'!$F$2:$F$679,MATCH(612,Engine!$C$2:$C$679,0)))</f>
        <v/>
      </c>
      <c r="G625">
        <f>IF(ISNA(MATCH(612,Engine!$C$2:$C$679,0)),"",INDEX('Compliance Database'!$G$2:$G$679,MATCH(612,Engine!$C$2:$C$679,0)))</f>
        <v/>
      </c>
      <c r="H625">
        <f>IF(ISNA(MATCH(612,Engine!$C$2:$C$679,0)),"",INDEX('Compliance Database'!$H$2:$H$679,MATCH(612,Engine!$C$2:$C$679,0)))</f>
        <v/>
      </c>
      <c r="I625" s="8">
        <f>IF(ISNA(MATCH(612,Engine!$C$2:$C$679,0)),"",INDEX('Compliance Database'!$I$2:$I$679,MATCH(612,Engine!$C$2:$C$679,0)))</f>
        <v/>
      </c>
      <c r="J625" s="8">
        <f>IF(ISNA(MATCH(612,Engine!$C$2:$C$679,0)),"",INDEX('Compliance Database'!$J$2:$J$679,MATCH(612,Engine!$C$2:$C$679,0)))</f>
        <v/>
      </c>
      <c r="K625">
        <f>IF(ISNA(MATCH(612,Engine!$C$2:$C$679,0)),"",INDEX('Compliance Database'!$K$2:$K$679,MATCH(612,Engine!$C$2:$C$679,0)))</f>
        <v/>
      </c>
      <c r="L625" s="8">
        <f>IF(ISNA(MATCH(612,Engine!$C$2:$C$679,0)),"",INDEX('Compliance Database'!$L$2:$L$679,MATCH(612,Engine!$C$2:$C$679,0)))</f>
        <v/>
      </c>
      <c r="M625" s="8">
        <f>IF(ISNA(MATCH(612,Engine!$C$2:$C$679,0)),"",INDEX('Compliance Database'!$M$2:$M$679,MATCH(612,Engine!$C$2:$C$679,0)))</f>
        <v/>
      </c>
      <c r="N625" s="8">
        <f>IF(ISNA(MATCH(612,Engine!$C$2:$C$679,0)),"",INDEX('Compliance Database'!$N$2:$N$679,MATCH(612,Engine!$C$2:$C$679,0)))</f>
        <v/>
      </c>
      <c r="O625" s="8">
        <f>IF(ISNA(MATCH(612,Engine!$C$2:$C$679,0)),"",INDEX('Compliance Database'!$O$2:$O$679,MATCH(612,Engine!$C$2:$C$679,0)))</f>
        <v/>
      </c>
      <c r="P625">
        <f>IF(ISNA(MATCH(612,Engine!$C$2:$C$679,0)),"",HYPERLINK(INDEX('Compliance Database'!$P$2:$P$679,MATCH(612,Engine!$C$2:$C$679,0)),"Open PDF"))</f>
        <v/>
      </c>
    </row>
    <row r="626">
      <c r="A626">
        <f>IF(ISNA(MATCH(613,Engine!$C$2:$C$679,0)),"",INDEX('Compliance Database'!$A$2:$A$679,MATCH(613,Engine!$C$2:$C$679,0)))</f>
        <v/>
      </c>
      <c r="B626">
        <f>IF(ISNA(MATCH(613,Engine!$C$2:$C$679,0)),"",INDEX('Compliance Database'!$B$2:$B$679,MATCH(613,Engine!$C$2:$C$679,0)))</f>
        <v/>
      </c>
      <c r="C626">
        <f>IF(ISNA(MATCH(613,Engine!$C$2:$C$679,0)),"",INDEX('Compliance Database'!$C$2:$C$679,MATCH(613,Engine!$C$2:$C$679,0)))</f>
        <v/>
      </c>
      <c r="D626" s="8">
        <f>IF(ISNA(MATCH(613,Engine!$C$2:$C$679,0)),"",INDEX('Compliance Database'!$D$2:$D$679,MATCH(613,Engine!$C$2:$C$679,0)))</f>
        <v/>
      </c>
      <c r="E626">
        <f>IF(ISNA(MATCH(613,Engine!$C$2:$C$679,0)),"",INDEX('Compliance Database'!$E$2:$E$679,MATCH(613,Engine!$C$2:$C$679,0)))</f>
        <v/>
      </c>
      <c r="F626">
        <f>IF(ISNA(MATCH(613,Engine!$C$2:$C$679,0)),"",INDEX('Compliance Database'!$F$2:$F$679,MATCH(613,Engine!$C$2:$C$679,0)))</f>
        <v/>
      </c>
      <c r="G626">
        <f>IF(ISNA(MATCH(613,Engine!$C$2:$C$679,0)),"",INDEX('Compliance Database'!$G$2:$G$679,MATCH(613,Engine!$C$2:$C$679,0)))</f>
        <v/>
      </c>
      <c r="H626">
        <f>IF(ISNA(MATCH(613,Engine!$C$2:$C$679,0)),"",INDEX('Compliance Database'!$H$2:$H$679,MATCH(613,Engine!$C$2:$C$679,0)))</f>
        <v/>
      </c>
      <c r="I626" s="8">
        <f>IF(ISNA(MATCH(613,Engine!$C$2:$C$679,0)),"",INDEX('Compliance Database'!$I$2:$I$679,MATCH(613,Engine!$C$2:$C$679,0)))</f>
        <v/>
      </c>
      <c r="J626" s="8">
        <f>IF(ISNA(MATCH(613,Engine!$C$2:$C$679,0)),"",INDEX('Compliance Database'!$J$2:$J$679,MATCH(613,Engine!$C$2:$C$679,0)))</f>
        <v/>
      </c>
      <c r="K626">
        <f>IF(ISNA(MATCH(613,Engine!$C$2:$C$679,0)),"",INDEX('Compliance Database'!$K$2:$K$679,MATCH(613,Engine!$C$2:$C$679,0)))</f>
        <v/>
      </c>
      <c r="L626" s="8">
        <f>IF(ISNA(MATCH(613,Engine!$C$2:$C$679,0)),"",INDEX('Compliance Database'!$L$2:$L$679,MATCH(613,Engine!$C$2:$C$679,0)))</f>
        <v/>
      </c>
      <c r="M626" s="8">
        <f>IF(ISNA(MATCH(613,Engine!$C$2:$C$679,0)),"",INDEX('Compliance Database'!$M$2:$M$679,MATCH(613,Engine!$C$2:$C$679,0)))</f>
        <v/>
      </c>
      <c r="N626" s="8">
        <f>IF(ISNA(MATCH(613,Engine!$C$2:$C$679,0)),"",INDEX('Compliance Database'!$N$2:$N$679,MATCH(613,Engine!$C$2:$C$679,0)))</f>
        <v/>
      </c>
      <c r="O626" s="8">
        <f>IF(ISNA(MATCH(613,Engine!$C$2:$C$679,0)),"",INDEX('Compliance Database'!$O$2:$O$679,MATCH(613,Engine!$C$2:$C$679,0)))</f>
        <v/>
      </c>
      <c r="P626">
        <f>IF(ISNA(MATCH(613,Engine!$C$2:$C$679,0)),"",HYPERLINK(INDEX('Compliance Database'!$P$2:$P$679,MATCH(613,Engine!$C$2:$C$679,0)),"Open PDF"))</f>
        <v/>
      </c>
    </row>
    <row r="627">
      <c r="A627">
        <f>IF(ISNA(MATCH(614,Engine!$C$2:$C$679,0)),"",INDEX('Compliance Database'!$A$2:$A$679,MATCH(614,Engine!$C$2:$C$679,0)))</f>
        <v/>
      </c>
      <c r="B627">
        <f>IF(ISNA(MATCH(614,Engine!$C$2:$C$679,0)),"",INDEX('Compliance Database'!$B$2:$B$679,MATCH(614,Engine!$C$2:$C$679,0)))</f>
        <v/>
      </c>
      <c r="C627">
        <f>IF(ISNA(MATCH(614,Engine!$C$2:$C$679,0)),"",INDEX('Compliance Database'!$C$2:$C$679,MATCH(614,Engine!$C$2:$C$679,0)))</f>
        <v/>
      </c>
      <c r="D627" s="8">
        <f>IF(ISNA(MATCH(614,Engine!$C$2:$C$679,0)),"",INDEX('Compliance Database'!$D$2:$D$679,MATCH(614,Engine!$C$2:$C$679,0)))</f>
        <v/>
      </c>
      <c r="E627">
        <f>IF(ISNA(MATCH(614,Engine!$C$2:$C$679,0)),"",INDEX('Compliance Database'!$E$2:$E$679,MATCH(614,Engine!$C$2:$C$679,0)))</f>
        <v/>
      </c>
      <c r="F627">
        <f>IF(ISNA(MATCH(614,Engine!$C$2:$C$679,0)),"",INDEX('Compliance Database'!$F$2:$F$679,MATCH(614,Engine!$C$2:$C$679,0)))</f>
        <v/>
      </c>
      <c r="G627">
        <f>IF(ISNA(MATCH(614,Engine!$C$2:$C$679,0)),"",INDEX('Compliance Database'!$G$2:$G$679,MATCH(614,Engine!$C$2:$C$679,0)))</f>
        <v/>
      </c>
      <c r="H627">
        <f>IF(ISNA(MATCH(614,Engine!$C$2:$C$679,0)),"",INDEX('Compliance Database'!$H$2:$H$679,MATCH(614,Engine!$C$2:$C$679,0)))</f>
        <v/>
      </c>
      <c r="I627" s="8">
        <f>IF(ISNA(MATCH(614,Engine!$C$2:$C$679,0)),"",INDEX('Compliance Database'!$I$2:$I$679,MATCH(614,Engine!$C$2:$C$679,0)))</f>
        <v/>
      </c>
      <c r="J627" s="8">
        <f>IF(ISNA(MATCH(614,Engine!$C$2:$C$679,0)),"",INDEX('Compliance Database'!$J$2:$J$679,MATCH(614,Engine!$C$2:$C$679,0)))</f>
        <v/>
      </c>
      <c r="K627">
        <f>IF(ISNA(MATCH(614,Engine!$C$2:$C$679,0)),"",INDEX('Compliance Database'!$K$2:$K$679,MATCH(614,Engine!$C$2:$C$679,0)))</f>
        <v/>
      </c>
      <c r="L627" s="8">
        <f>IF(ISNA(MATCH(614,Engine!$C$2:$C$679,0)),"",INDEX('Compliance Database'!$L$2:$L$679,MATCH(614,Engine!$C$2:$C$679,0)))</f>
        <v/>
      </c>
      <c r="M627" s="8">
        <f>IF(ISNA(MATCH(614,Engine!$C$2:$C$679,0)),"",INDEX('Compliance Database'!$M$2:$M$679,MATCH(614,Engine!$C$2:$C$679,0)))</f>
        <v/>
      </c>
      <c r="N627" s="8">
        <f>IF(ISNA(MATCH(614,Engine!$C$2:$C$679,0)),"",INDEX('Compliance Database'!$N$2:$N$679,MATCH(614,Engine!$C$2:$C$679,0)))</f>
        <v/>
      </c>
      <c r="O627" s="8">
        <f>IF(ISNA(MATCH(614,Engine!$C$2:$C$679,0)),"",INDEX('Compliance Database'!$O$2:$O$679,MATCH(614,Engine!$C$2:$C$679,0)))</f>
        <v/>
      </c>
      <c r="P627">
        <f>IF(ISNA(MATCH(614,Engine!$C$2:$C$679,0)),"",HYPERLINK(INDEX('Compliance Database'!$P$2:$P$679,MATCH(614,Engine!$C$2:$C$679,0)),"Open PDF"))</f>
        <v/>
      </c>
    </row>
    <row r="628">
      <c r="A628">
        <f>IF(ISNA(MATCH(615,Engine!$C$2:$C$679,0)),"",INDEX('Compliance Database'!$A$2:$A$679,MATCH(615,Engine!$C$2:$C$679,0)))</f>
        <v/>
      </c>
      <c r="B628">
        <f>IF(ISNA(MATCH(615,Engine!$C$2:$C$679,0)),"",INDEX('Compliance Database'!$B$2:$B$679,MATCH(615,Engine!$C$2:$C$679,0)))</f>
        <v/>
      </c>
      <c r="C628">
        <f>IF(ISNA(MATCH(615,Engine!$C$2:$C$679,0)),"",INDEX('Compliance Database'!$C$2:$C$679,MATCH(615,Engine!$C$2:$C$679,0)))</f>
        <v/>
      </c>
      <c r="D628" s="8">
        <f>IF(ISNA(MATCH(615,Engine!$C$2:$C$679,0)),"",INDEX('Compliance Database'!$D$2:$D$679,MATCH(615,Engine!$C$2:$C$679,0)))</f>
        <v/>
      </c>
      <c r="E628">
        <f>IF(ISNA(MATCH(615,Engine!$C$2:$C$679,0)),"",INDEX('Compliance Database'!$E$2:$E$679,MATCH(615,Engine!$C$2:$C$679,0)))</f>
        <v/>
      </c>
      <c r="F628">
        <f>IF(ISNA(MATCH(615,Engine!$C$2:$C$679,0)),"",INDEX('Compliance Database'!$F$2:$F$679,MATCH(615,Engine!$C$2:$C$679,0)))</f>
        <v/>
      </c>
      <c r="G628">
        <f>IF(ISNA(MATCH(615,Engine!$C$2:$C$679,0)),"",INDEX('Compliance Database'!$G$2:$G$679,MATCH(615,Engine!$C$2:$C$679,0)))</f>
        <v/>
      </c>
      <c r="H628">
        <f>IF(ISNA(MATCH(615,Engine!$C$2:$C$679,0)),"",INDEX('Compliance Database'!$H$2:$H$679,MATCH(615,Engine!$C$2:$C$679,0)))</f>
        <v/>
      </c>
      <c r="I628" s="8">
        <f>IF(ISNA(MATCH(615,Engine!$C$2:$C$679,0)),"",INDEX('Compliance Database'!$I$2:$I$679,MATCH(615,Engine!$C$2:$C$679,0)))</f>
        <v/>
      </c>
      <c r="J628" s="8">
        <f>IF(ISNA(MATCH(615,Engine!$C$2:$C$679,0)),"",INDEX('Compliance Database'!$J$2:$J$679,MATCH(615,Engine!$C$2:$C$679,0)))</f>
        <v/>
      </c>
      <c r="K628">
        <f>IF(ISNA(MATCH(615,Engine!$C$2:$C$679,0)),"",INDEX('Compliance Database'!$K$2:$K$679,MATCH(615,Engine!$C$2:$C$679,0)))</f>
        <v/>
      </c>
      <c r="L628" s="8">
        <f>IF(ISNA(MATCH(615,Engine!$C$2:$C$679,0)),"",INDEX('Compliance Database'!$L$2:$L$679,MATCH(615,Engine!$C$2:$C$679,0)))</f>
        <v/>
      </c>
      <c r="M628" s="8">
        <f>IF(ISNA(MATCH(615,Engine!$C$2:$C$679,0)),"",INDEX('Compliance Database'!$M$2:$M$679,MATCH(615,Engine!$C$2:$C$679,0)))</f>
        <v/>
      </c>
      <c r="N628" s="8">
        <f>IF(ISNA(MATCH(615,Engine!$C$2:$C$679,0)),"",INDEX('Compliance Database'!$N$2:$N$679,MATCH(615,Engine!$C$2:$C$679,0)))</f>
        <v/>
      </c>
      <c r="O628" s="8">
        <f>IF(ISNA(MATCH(615,Engine!$C$2:$C$679,0)),"",INDEX('Compliance Database'!$O$2:$O$679,MATCH(615,Engine!$C$2:$C$679,0)))</f>
        <v/>
      </c>
      <c r="P628">
        <f>IF(ISNA(MATCH(615,Engine!$C$2:$C$679,0)),"",HYPERLINK(INDEX('Compliance Database'!$P$2:$P$679,MATCH(615,Engine!$C$2:$C$679,0)),"Open PDF"))</f>
        <v/>
      </c>
    </row>
    <row r="629">
      <c r="A629">
        <f>IF(ISNA(MATCH(616,Engine!$C$2:$C$679,0)),"",INDEX('Compliance Database'!$A$2:$A$679,MATCH(616,Engine!$C$2:$C$679,0)))</f>
        <v/>
      </c>
      <c r="B629">
        <f>IF(ISNA(MATCH(616,Engine!$C$2:$C$679,0)),"",INDEX('Compliance Database'!$B$2:$B$679,MATCH(616,Engine!$C$2:$C$679,0)))</f>
        <v/>
      </c>
      <c r="C629">
        <f>IF(ISNA(MATCH(616,Engine!$C$2:$C$679,0)),"",INDEX('Compliance Database'!$C$2:$C$679,MATCH(616,Engine!$C$2:$C$679,0)))</f>
        <v/>
      </c>
      <c r="D629" s="8">
        <f>IF(ISNA(MATCH(616,Engine!$C$2:$C$679,0)),"",INDEX('Compliance Database'!$D$2:$D$679,MATCH(616,Engine!$C$2:$C$679,0)))</f>
        <v/>
      </c>
      <c r="E629">
        <f>IF(ISNA(MATCH(616,Engine!$C$2:$C$679,0)),"",INDEX('Compliance Database'!$E$2:$E$679,MATCH(616,Engine!$C$2:$C$679,0)))</f>
        <v/>
      </c>
      <c r="F629">
        <f>IF(ISNA(MATCH(616,Engine!$C$2:$C$679,0)),"",INDEX('Compliance Database'!$F$2:$F$679,MATCH(616,Engine!$C$2:$C$679,0)))</f>
        <v/>
      </c>
      <c r="G629">
        <f>IF(ISNA(MATCH(616,Engine!$C$2:$C$679,0)),"",INDEX('Compliance Database'!$G$2:$G$679,MATCH(616,Engine!$C$2:$C$679,0)))</f>
        <v/>
      </c>
      <c r="H629">
        <f>IF(ISNA(MATCH(616,Engine!$C$2:$C$679,0)),"",INDEX('Compliance Database'!$H$2:$H$679,MATCH(616,Engine!$C$2:$C$679,0)))</f>
        <v/>
      </c>
      <c r="I629" s="8">
        <f>IF(ISNA(MATCH(616,Engine!$C$2:$C$679,0)),"",INDEX('Compliance Database'!$I$2:$I$679,MATCH(616,Engine!$C$2:$C$679,0)))</f>
        <v/>
      </c>
      <c r="J629" s="8">
        <f>IF(ISNA(MATCH(616,Engine!$C$2:$C$679,0)),"",INDEX('Compliance Database'!$J$2:$J$679,MATCH(616,Engine!$C$2:$C$679,0)))</f>
        <v/>
      </c>
      <c r="K629">
        <f>IF(ISNA(MATCH(616,Engine!$C$2:$C$679,0)),"",INDEX('Compliance Database'!$K$2:$K$679,MATCH(616,Engine!$C$2:$C$679,0)))</f>
        <v/>
      </c>
      <c r="L629" s="8">
        <f>IF(ISNA(MATCH(616,Engine!$C$2:$C$679,0)),"",INDEX('Compliance Database'!$L$2:$L$679,MATCH(616,Engine!$C$2:$C$679,0)))</f>
        <v/>
      </c>
      <c r="M629" s="8">
        <f>IF(ISNA(MATCH(616,Engine!$C$2:$C$679,0)),"",INDEX('Compliance Database'!$M$2:$M$679,MATCH(616,Engine!$C$2:$C$679,0)))</f>
        <v/>
      </c>
      <c r="N629" s="8">
        <f>IF(ISNA(MATCH(616,Engine!$C$2:$C$679,0)),"",INDEX('Compliance Database'!$N$2:$N$679,MATCH(616,Engine!$C$2:$C$679,0)))</f>
        <v/>
      </c>
      <c r="O629" s="8">
        <f>IF(ISNA(MATCH(616,Engine!$C$2:$C$679,0)),"",INDEX('Compliance Database'!$O$2:$O$679,MATCH(616,Engine!$C$2:$C$679,0)))</f>
        <v/>
      </c>
      <c r="P629">
        <f>IF(ISNA(MATCH(616,Engine!$C$2:$C$679,0)),"",HYPERLINK(INDEX('Compliance Database'!$P$2:$P$679,MATCH(616,Engine!$C$2:$C$679,0)),"Open PDF"))</f>
        <v/>
      </c>
    </row>
    <row r="630">
      <c r="A630">
        <f>IF(ISNA(MATCH(617,Engine!$C$2:$C$679,0)),"",INDEX('Compliance Database'!$A$2:$A$679,MATCH(617,Engine!$C$2:$C$679,0)))</f>
        <v/>
      </c>
      <c r="B630">
        <f>IF(ISNA(MATCH(617,Engine!$C$2:$C$679,0)),"",INDEX('Compliance Database'!$B$2:$B$679,MATCH(617,Engine!$C$2:$C$679,0)))</f>
        <v/>
      </c>
      <c r="C630">
        <f>IF(ISNA(MATCH(617,Engine!$C$2:$C$679,0)),"",INDEX('Compliance Database'!$C$2:$C$679,MATCH(617,Engine!$C$2:$C$679,0)))</f>
        <v/>
      </c>
      <c r="D630" s="8">
        <f>IF(ISNA(MATCH(617,Engine!$C$2:$C$679,0)),"",INDEX('Compliance Database'!$D$2:$D$679,MATCH(617,Engine!$C$2:$C$679,0)))</f>
        <v/>
      </c>
      <c r="E630">
        <f>IF(ISNA(MATCH(617,Engine!$C$2:$C$679,0)),"",INDEX('Compliance Database'!$E$2:$E$679,MATCH(617,Engine!$C$2:$C$679,0)))</f>
        <v/>
      </c>
      <c r="F630">
        <f>IF(ISNA(MATCH(617,Engine!$C$2:$C$679,0)),"",INDEX('Compliance Database'!$F$2:$F$679,MATCH(617,Engine!$C$2:$C$679,0)))</f>
        <v/>
      </c>
      <c r="G630">
        <f>IF(ISNA(MATCH(617,Engine!$C$2:$C$679,0)),"",INDEX('Compliance Database'!$G$2:$G$679,MATCH(617,Engine!$C$2:$C$679,0)))</f>
        <v/>
      </c>
      <c r="H630">
        <f>IF(ISNA(MATCH(617,Engine!$C$2:$C$679,0)),"",INDEX('Compliance Database'!$H$2:$H$679,MATCH(617,Engine!$C$2:$C$679,0)))</f>
        <v/>
      </c>
      <c r="I630" s="8">
        <f>IF(ISNA(MATCH(617,Engine!$C$2:$C$679,0)),"",INDEX('Compliance Database'!$I$2:$I$679,MATCH(617,Engine!$C$2:$C$679,0)))</f>
        <v/>
      </c>
      <c r="J630" s="8">
        <f>IF(ISNA(MATCH(617,Engine!$C$2:$C$679,0)),"",INDEX('Compliance Database'!$J$2:$J$679,MATCH(617,Engine!$C$2:$C$679,0)))</f>
        <v/>
      </c>
      <c r="K630">
        <f>IF(ISNA(MATCH(617,Engine!$C$2:$C$679,0)),"",INDEX('Compliance Database'!$K$2:$K$679,MATCH(617,Engine!$C$2:$C$679,0)))</f>
        <v/>
      </c>
      <c r="L630" s="8">
        <f>IF(ISNA(MATCH(617,Engine!$C$2:$C$679,0)),"",INDEX('Compliance Database'!$L$2:$L$679,MATCH(617,Engine!$C$2:$C$679,0)))</f>
        <v/>
      </c>
      <c r="M630" s="8">
        <f>IF(ISNA(MATCH(617,Engine!$C$2:$C$679,0)),"",INDEX('Compliance Database'!$M$2:$M$679,MATCH(617,Engine!$C$2:$C$679,0)))</f>
        <v/>
      </c>
      <c r="N630" s="8">
        <f>IF(ISNA(MATCH(617,Engine!$C$2:$C$679,0)),"",INDEX('Compliance Database'!$N$2:$N$679,MATCH(617,Engine!$C$2:$C$679,0)))</f>
        <v/>
      </c>
      <c r="O630" s="8">
        <f>IF(ISNA(MATCH(617,Engine!$C$2:$C$679,0)),"",INDEX('Compliance Database'!$O$2:$O$679,MATCH(617,Engine!$C$2:$C$679,0)))</f>
        <v/>
      </c>
      <c r="P630">
        <f>IF(ISNA(MATCH(617,Engine!$C$2:$C$679,0)),"",HYPERLINK(INDEX('Compliance Database'!$P$2:$P$679,MATCH(617,Engine!$C$2:$C$679,0)),"Open PDF"))</f>
        <v/>
      </c>
    </row>
    <row r="631">
      <c r="A631">
        <f>IF(ISNA(MATCH(618,Engine!$C$2:$C$679,0)),"",INDEX('Compliance Database'!$A$2:$A$679,MATCH(618,Engine!$C$2:$C$679,0)))</f>
        <v/>
      </c>
      <c r="B631">
        <f>IF(ISNA(MATCH(618,Engine!$C$2:$C$679,0)),"",INDEX('Compliance Database'!$B$2:$B$679,MATCH(618,Engine!$C$2:$C$679,0)))</f>
        <v/>
      </c>
      <c r="C631">
        <f>IF(ISNA(MATCH(618,Engine!$C$2:$C$679,0)),"",INDEX('Compliance Database'!$C$2:$C$679,MATCH(618,Engine!$C$2:$C$679,0)))</f>
        <v/>
      </c>
      <c r="D631" s="8">
        <f>IF(ISNA(MATCH(618,Engine!$C$2:$C$679,0)),"",INDEX('Compliance Database'!$D$2:$D$679,MATCH(618,Engine!$C$2:$C$679,0)))</f>
        <v/>
      </c>
      <c r="E631">
        <f>IF(ISNA(MATCH(618,Engine!$C$2:$C$679,0)),"",INDEX('Compliance Database'!$E$2:$E$679,MATCH(618,Engine!$C$2:$C$679,0)))</f>
        <v/>
      </c>
      <c r="F631">
        <f>IF(ISNA(MATCH(618,Engine!$C$2:$C$679,0)),"",INDEX('Compliance Database'!$F$2:$F$679,MATCH(618,Engine!$C$2:$C$679,0)))</f>
        <v/>
      </c>
      <c r="G631">
        <f>IF(ISNA(MATCH(618,Engine!$C$2:$C$679,0)),"",INDEX('Compliance Database'!$G$2:$G$679,MATCH(618,Engine!$C$2:$C$679,0)))</f>
        <v/>
      </c>
      <c r="H631">
        <f>IF(ISNA(MATCH(618,Engine!$C$2:$C$679,0)),"",INDEX('Compliance Database'!$H$2:$H$679,MATCH(618,Engine!$C$2:$C$679,0)))</f>
        <v/>
      </c>
      <c r="I631" s="8">
        <f>IF(ISNA(MATCH(618,Engine!$C$2:$C$679,0)),"",INDEX('Compliance Database'!$I$2:$I$679,MATCH(618,Engine!$C$2:$C$679,0)))</f>
        <v/>
      </c>
      <c r="J631" s="8">
        <f>IF(ISNA(MATCH(618,Engine!$C$2:$C$679,0)),"",INDEX('Compliance Database'!$J$2:$J$679,MATCH(618,Engine!$C$2:$C$679,0)))</f>
        <v/>
      </c>
      <c r="K631">
        <f>IF(ISNA(MATCH(618,Engine!$C$2:$C$679,0)),"",INDEX('Compliance Database'!$K$2:$K$679,MATCH(618,Engine!$C$2:$C$679,0)))</f>
        <v/>
      </c>
      <c r="L631" s="8">
        <f>IF(ISNA(MATCH(618,Engine!$C$2:$C$679,0)),"",INDEX('Compliance Database'!$L$2:$L$679,MATCH(618,Engine!$C$2:$C$679,0)))</f>
        <v/>
      </c>
      <c r="M631" s="8">
        <f>IF(ISNA(MATCH(618,Engine!$C$2:$C$679,0)),"",INDEX('Compliance Database'!$M$2:$M$679,MATCH(618,Engine!$C$2:$C$679,0)))</f>
        <v/>
      </c>
      <c r="N631" s="8">
        <f>IF(ISNA(MATCH(618,Engine!$C$2:$C$679,0)),"",INDEX('Compliance Database'!$N$2:$N$679,MATCH(618,Engine!$C$2:$C$679,0)))</f>
        <v/>
      </c>
      <c r="O631" s="8">
        <f>IF(ISNA(MATCH(618,Engine!$C$2:$C$679,0)),"",INDEX('Compliance Database'!$O$2:$O$679,MATCH(618,Engine!$C$2:$C$679,0)))</f>
        <v/>
      </c>
      <c r="P631">
        <f>IF(ISNA(MATCH(618,Engine!$C$2:$C$679,0)),"",HYPERLINK(INDEX('Compliance Database'!$P$2:$P$679,MATCH(618,Engine!$C$2:$C$679,0)),"Open PDF"))</f>
        <v/>
      </c>
    </row>
    <row r="632">
      <c r="A632">
        <f>IF(ISNA(MATCH(619,Engine!$C$2:$C$679,0)),"",INDEX('Compliance Database'!$A$2:$A$679,MATCH(619,Engine!$C$2:$C$679,0)))</f>
        <v/>
      </c>
      <c r="B632">
        <f>IF(ISNA(MATCH(619,Engine!$C$2:$C$679,0)),"",INDEX('Compliance Database'!$B$2:$B$679,MATCH(619,Engine!$C$2:$C$679,0)))</f>
        <v/>
      </c>
      <c r="C632">
        <f>IF(ISNA(MATCH(619,Engine!$C$2:$C$679,0)),"",INDEX('Compliance Database'!$C$2:$C$679,MATCH(619,Engine!$C$2:$C$679,0)))</f>
        <v/>
      </c>
      <c r="D632" s="8">
        <f>IF(ISNA(MATCH(619,Engine!$C$2:$C$679,0)),"",INDEX('Compliance Database'!$D$2:$D$679,MATCH(619,Engine!$C$2:$C$679,0)))</f>
        <v/>
      </c>
      <c r="E632">
        <f>IF(ISNA(MATCH(619,Engine!$C$2:$C$679,0)),"",INDEX('Compliance Database'!$E$2:$E$679,MATCH(619,Engine!$C$2:$C$679,0)))</f>
        <v/>
      </c>
      <c r="F632">
        <f>IF(ISNA(MATCH(619,Engine!$C$2:$C$679,0)),"",INDEX('Compliance Database'!$F$2:$F$679,MATCH(619,Engine!$C$2:$C$679,0)))</f>
        <v/>
      </c>
      <c r="G632">
        <f>IF(ISNA(MATCH(619,Engine!$C$2:$C$679,0)),"",INDEX('Compliance Database'!$G$2:$G$679,MATCH(619,Engine!$C$2:$C$679,0)))</f>
        <v/>
      </c>
      <c r="H632">
        <f>IF(ISNA(MATCH(619,Engine!$C$2:$C$679,0)),"",INDEX('Compliance Database'!$H$2:$H$679,MATCH(619,Engine!$C$2:$C$679,0)))</f>
        <v/>
      </c>
      <c r="I632" s="8">
        <f>IF(ISNA(MATCH(619,Engine!$C$2:$C$679,0)),"",INDEX('Compliance Database'!$I$2:$I$679,MATCH(619,Engine!$C$2:$C$679,0)))</f>
        <v/>
      </c>
      <c r="J632" s="8">
        <f>IF(ISNA(MATCH(619,Engine!$C$2:$C$679,0)),"",INDEX('Compliance Database'!$J$2:$J$679,MATCH(619,Engine!$C$2:$C$679,0)))</f>
        <v/>
      </c>
      <c r="K632">
        <f>IF(ISNA(MATCH(619,Engine!$C$2:$C$679,0)),"",INDEX('Compliance Database'!$K$2:$K$679,MATCH(619,Engine!$C$2:$C$679,0)))</f>
        <v/>
      </c>
      <c r="L632" s="8">
        <f>IF(ISNA(MATCH(619,Engine!$C$2:$C$679,0)),"",INDEX('Compliance Database'!$L$2:$L$679,MATCH(619,Engine!$C$2:$C$679,0)))</f>
        <v/>
      </c>
      <c r="M632" s="8">
        <f>IF(ISNA(MATCH(619,Engine!$C$2:$C$679,0)),"",INDEX('Compliance Database'!$M$2:$M$679,MATCH(619,Engine!$C$2:$C$679,0)))</f>
        <v/>
      </c>
      <c r="N632" s="8">
        <f>IF(ISNA(MATCH(619,Engine!$C$2:$C$679,0)),"",INDEX('Compliance Database'!$N$2:$N$679,MATCH(619,Engine!$C$2:$C$679,0)))</f>
        <v/>
      </c>
      <c r="O632" s="8">
        <f>IF(ISNA(MATCH(619,Engine!$C$2:$C$679,0)),"",INDEX('Compliance Database'!$O$2:$O$679,MATCH(619,Engine!$C$2:$C$679,0)))</f>
        <v/>
      </c>
      <c r="P632">
        <f>IF(ISNA(MATCH(619,Engine!$C$2:$C$679,0)),"",HYPERLINK(INDEX('Compliance Database'!$P$2:$P$679,MATCH(619,Engine!$C$2:$C$679,0)),"Open PDF"))</f>
        <v/>
      </c>
    </row>
    <row r="633">
      <c r="A633">
        <f>IF(ISNA(MATCH(620,Engine!$C$2:$C$679,0)),"",INDEX('Compliance Database'!$A$2:$A$679,MATCH(620,Engine!$C$2:$C$679,0)))</f>
        <v/>
      </c>
      <c r="B633">
        <f>IF(ISNA(MATCH(620,Engine!$C$2:$C$679,0)),"",INDEX('Compliance Database'!$B$2:$B$679,MATCH(620,Engine!$C$2:$C$679,0)))</f>
        <v/>
      </c>
      <c r="C633">
        <f>IF(ISNA(MATCH(620,Engine!$C$2:$C$679,0)),"",INDEX('Compliance Database'!$C$2:$C$679,MATCH(620,Engine!$C$2:$C$679,0)))</f>
        <v/>
      </c>
      <c r="D633" s="8">
        <f>IF(ISNA(MATCH(620,Engine!$C$2:$C$679,0)),"",INDEX('Compliance Database'!$D$2:$D$679,MATCH(620,Engine!$C$2:$C$679,0)))</f>
        <v/>
      </c>
      <c r="E633">
        <f>IF(ISNA(MATCH(620,Engine!$C$2:$C$679,0)),"",INDEX('Compliance Database'!$E$2:$E$679,MATCH(620,Engine!$C$2:$C$679,0)))</f>
        <v/>
      </c>
      <c r="F633">
        <f>IF(ISNA(MATCH(620,Engine!$C$2:$C$679,0)),"",INDEX('Compliance Database'!$F$2:$F$679,MATCH(620,Engine!$C$2:$C$679,0)))</f>
        <v/>
      </c>
      <c r="G633">
        <f>IF(ISNA(MATCH(620,Engine!$C$2:$C$679,0)),"",INDEX('Compliance Database'!$G$2:$G$679,MATCH(620,Engine!$C$2:$C$679,0)))</f>
        <v/>
      </c>
      <c r="H633">
        <f>IF(ISNA(MATCH(620,Engine!$C$2:$C$679,0)),"",INDEX('Compliance Database'!$H$2:$H$679,MATCH(620,Engine!$C$2:$C$679,0)))</f>
        <v/>
      </c>
      <c r="I633" s="8">
        <f>IF(ISNA(MATCH(620,Engine!$C$2:$C$679,0)),"",INDEX('Compliance Database'!$I$2:$I$679,MATCH(620,Engine!$C$2:$C$679,0)))</f>
        <v/>
      </c>
      <c r="J633" s="8">
        <f>IF(ISNA(MATCH(620,Engine!$C$2:$C$679,0)),"",INDEX('Compliance Database'!$J$2:$J$679,MATCH(620,Engine!$C$2:$C$679,0)))</f>
        <v/>
      </c>
      <c r="K633">
        <f>IF(ISNA(MATCH(620,Engine!$C$2:$C$679,0)),"",INDEX('Compliance Database'!$K$2:$K$679,MATCH(620,Engine!$C$2:$C$679,0)))</f>
        <v/>
      </c>
      <c r="L633" s="8">
        <f>IF(ISNA(MATCH(620,Engine!$C$2:$C$679,0)),"",INDEX('Compliance Database'!$L$2:$L$679,MATCH(620,Engine!$C$2:$C$679,0)))</f>
        <v/>
      </c>
      <c r="M633" s="8">
        <f>IF(ISNA(MATCH(620,Engine!$C$2:$C$679,0)),"",INDEX('Compliance Database'!$M$2:$M$679,MATCH(620,Engine!$C$2:$C$679,0)))</f>
        <v/>
      </c>
      <c r="N633" s="8">
        <f>IF(ISNA(MATCH(620,Engine!$C$2:$C$679,0)),"",INDEX('Compliance Database'!$N$2:$N$679,MATCH(620,Engine!$C$2:$C$679,0)))</f>
        <v/>
      </c>
      <c r="O633" s="8">
        <f>IF(ISNA(MATCH(620,Engine!$C$2:$C$679,0)),"",INDEX('Compliance Database'!$O$2:$O$679,MATCH(620,Engine!$C$2:$C$679,0)))</f>
        <v/>
      </c>
      <c r="P633">
        <f>IF(ISNA(MATCH(620,Engine!$C$2:$C$679,0)),"",HYPERLINK(INDEX('Compliance Database'!$P$2:$P$679,MATCH(620,Engine!$C$2:$C$679,0)),"Open PDF"))</f>
        <v/>
      </c>
    </row>
    <row r="634">
      <c r="A634">
        <f>IF(ISNA(MATCH(621,Engine!$C$2:$C$679,0)),"",INDEX('Compliance Database'!$A$2:$A$679,MATCH(621,Engine!$C$2:$C$679,0)))</f>
        <v/>
      </c>
      <c r="B634">
        <f>IF(ISNA(MATCH(621,Engine!$C$2:$C$679,0)),"",INDEX('Compliance Database'!$B$2:$B$679,MATCH(621,Engine!$C$2:$C$679,0)))</f>
        <v/>
      </c>
      <c r="C634">
        <f>IF(ISNA(MATCH(621,Engine!$C$2:$C$679,0)),"",INDEX('Compliance Database'!$C$2:$C$679,MATCH(621,Engine!$C$2:$C$679,0)))</f>
        <v/>
      </c>
      <c r="D634" s="8">
        <f>IF(ISNA(MATCH(621,Engine!$C$2:$C$679,0)),"",INDEX('Compliance Database'!$D$2:$D$679,MATCH(621,Engine!$C$2:$C$679,0)))</f>
        <v/>
      </c>
      <c r="E634">
        <f>IF(ISNA(MATCH(621,Engine!$C$2:$C$679,0)),"",INDEX('Compliance Database'!$E$2:$E$679,MATCH(621,Engine!$C$2:$C$679,0)))</f>
        <v/>
      </c>
      <c r="F634">
        <f>IF(ISNA(MATCH(621,Engine!$C$2:$C$679,0)),"",INDEX('Compliance Database'!$F$2:$F$679,MATCH(621,Engine!$C$2:$C$679,0)))</f>
        <v/>
      </c>
      <c r="G634">
        <f>IF(ISNA(MATCH(621,Engine!$C$2:$C$679,0)),"",INDEX('Compliance Database'!$G$2:$G$679,MATCH(621,Engine!$C$2:$C$679,0)))</f>
        <v/>
      </c>
      <c r="H634">
        <f>IF(ISNA(MATCH(621,Engine!$C$2:$C$679,0)),"",INDEX('Compliance Database'!$H$2:$H$679,MATCH(621,Engine!$C$2:$C$679,0)))</f>
        <v/>
      </c>
      <c r="I634" s="8">
        <f>IF(ISNA(MATCH(621,Engine!$C$2:$C$679,0)),"",INDEX('Compliance Database'!$I$2:$I$679,MATCH(621,Engine!$C$2:$C$679,0)))</f>
        <v/>
      </c>
      <c r="J634" s="8">
        <f>IF(ISNA(MATCH(621,Engine!$C$2:$C$679,0)),"",INDEX('Compliance Database'!$J$2:$J$679,MATCH(621,Engine!$C$2:$C$679,0)))</f>
        <v/>
      </c>
      <c r="K634">
        <f>IF(ISNA(MATCH(621,Engine!$C$2:$C$679,0)),"",INDEX('Compliance Database'!$K$2:$K$679,MATCH(621,Engine!$C$2:$C$679,0)))</f>
        <v/>
      </c>
      <c r="L634" s="8">
        <f>IF(ISNA(MATCH(621,Engine!$C$2:$C$679,0)),"",INDEX('Compliance Database'!$L$2:$L$679,MATCH(621,Engine!$C$2:$C$679,0)))</f>
        <v/>
      </c>
      <c r="M634" s="8">
        <f>IF(ISNA(MATCH(621,Engine!$C$2:$C$679,0)),"",INDEX('Compliance Database'!$M$2:$M$679,MATCH(621,Engine!$C$2:$C$679,0)))</f>
        <v/>
      </c>
      <c r="N634" s="8">
        <f>IF(ISNA(MATCH(621,Engine!$C$2:$C$679,0)),"",INDEX('Compliance Database'!$N$2:$N$679,MATCH(621,Engine!$C$2:$C$679,0)))</f>
        <v/>
      </c>
      <c r="O634" s="8">
        <f>IF(ISNA(MATCH(621,Engine!$C$2:$C$679,0)),"",INDEX('Compliance Database'!$O$2:$O$679,MATCH(621,Engine!$C$2:$C$679,0)))</f>
        <v/>
      </c>
      <c r="P634">
        <f>IF(ISNA(MATCH(621,Engine!$C$2:$C$679,0)),"",HYPERLINK(INDEX('Compliance Database'!$P$2:$P$679,MATCH(621,Engine!$C$2:$C$679,0)),"Open PDF"))</f>
        <v/>
      </c>
    </row>
    <row r="635">
      <c r="A635">
        <f>IF(ISNA(MATCH(622,Engine!$C$2:$C$679,0)),"",INDEX('Compliance Database'!$A$2:$A$679,MATCH(622,Engine!$C$2:$C$679,0)))</f>
        <v/>
      </c>
      <c r="B635">
        <f>IF(ISNA(MATCH(622,Engine!$C$2:$C$679,0)),"",INDEX('Compliance Database'!$B$2:$B$679,MATCH(622,Engine!$C$2:$C$679,0)))</f>
        <v/>
      </c>
      <c r="C635">
        <f>IF(ISNA(MATCH(622,Engine!$C$2:$C$679,0)),"",INDEX('Compliance Database'!$C$2:$C$679,MATCH(622,Engine!$C$2:$C$679,0)))</f>
        <v/>
      </c>
      <c r="D635" s="8">
        <f>IF(ISNA(MATCH(622,Engine!$C$2:$C$679,0)),"",INDEX('Compliance Database'!$D$2:$D$679,MATCH(622,Engine!$C$2:$C$679,0)))</f>
        <v/>
      </c>
      <c r="E635">
        <f>IF(ISNA(MATCH(622,Engine!$C$2:$C$679,0)),"",INDEX('Compliance Database'!$E$2:$E$679,MATCH(622,Engine!$C$2:$C$679,0)))</f>
        <v/>
      </c>
      <c r="F635">
        <f>IF(ISNA(MATCH(622,Engine!$C$2:$C$679,0)),"",INDEX('Compliance Database'!$F$2:$F$679,MATCH(622,Engine!$C$2:$C$679,0)))</f>
        <v/>
      </c>
      <c r="G635">
        <f>IF(ISNA(MATCH(622,Engine!$C$2:$C$679,0)),"",INDEX('Compliance Database'!$G$2:$G$679,MATCH(622,Engine!$C$2:$C$679,0)))</f>
        <v/>
      </c>
      <c r="H635">
        <f>IF(ISNA(MATCH(622,Engine!$C$2:$C$679,0)),"",INDEX('Compliance Database'!$H$2:$H$679,MATCH(622,Engine!$C$2:$C$679,0)))</f>
        <v/>
      </c>
      <c r="I635" s="8">
        <f>IF(ISNA(MATCH(622,Engine!$C$2:$C$679,0)),"",INDEX('Compliance Database'!$I$2:$I$679,MATCH(622,Engine!$C$2:$C$679,0)))</f>
        <v/>
      </c>
      <c r="J635" s="8">
        <f>IF(ISNA(MATCH(622,Engine!$C$2:$C$679,0)),"",INDEX('Compliance Database'!$J$2:$J$679,MATCH(622,Engine!$C$2:$C$679,0)))</f>
        <v/>
      </c>
      <c r="K635">
        <f>IF(ISNA(MATCH(622,Engine!$C$2:$C$679,0)),"",INDEX('Compliance Database'!$K$2:$K$679,MATCH(622,Engine!$C$2:$C$679,0)))</f>
        <v/>
      </c>
      <c r="L635" s="8">
        <f>IF(ISNA(MATCH(622,Engine!$C$2:$C$679,0)),"",INDEX('Compliance Database'!$L$2:$L$679,MATCH(622,Engine!$C$2:$C$679,0)))</f>
        <v/>
      </c>
      <c r="M635" s="8">
        <f>IF(ISNA(MATCH(622,Engine!$C$2:$C$679,0)),"",INDEX('Compliance Database'!$M$2:$M$679,MATCH(622,Engine!$C$2:$C$679,0)))</f>
        <v/>
      </c>
      <c r="N635" s="8">
        <f>IF(ISNA(MATCH(622,Engine!$C$2:$C$679,0)),"",INDEX('Compliance Database'!$N$2:$N$679,MATCH(622,Engine!$C$2:$C$679,0)))</f>
        <v/>
      </c>
      <c r="O635" s="8">
        <f>IF(ISNA(MATCH(622,Engine!$C$2:$C$679,0)),"",INDEX('Compliance Database'!$O$2:$O$679,MATCH(622,Engine!$C$2:$C$679,0)))</f>
        <v/>
      </c>
      <c r="P635">
        <f>IF(ISNA(MATCH(622,Engine!$C$2:$C$679,0)),"",HYPERLINK(INDEX('Compliance Database'!$P$2:$P$679,MATCH(622,Engine!$C$2:$C$679,0)),"Open PDF"))</f>
        <v/>
      </c>
    </row>
    <row r="636">
      <c r="A636">
        <f>IF(ISNA(MATCH(623,Engine!$C$2:$C$679,0)),"",INDEX('Compliance Database'!$A$2:$A$679,MATCH(623,Engine!$C$2:$C$679,0)))</f>
        <v/>
      </c>
      <c r="B636">
        <f>IF(ISNA(MATCH(623,Engine!$C$2:$C$679,0)),"",INDEX('Compliance Database'!$B$2:$B$679,MATCH(623,Engine!$C$2:$C$679,0)))</f>
        <v/>
      </c>
      <c r="C636">
        <f>IF(ISNA(MATCH(623,Engine!$C$2:$C$679,0)),"",INDEX('Compliance Database'!$C$2:$C$679,MATCH(623,Engine!$C$2:$C$679,0)))</f>
        <v/>
      </c>
      <c r="D636" s="8">
        <f>IF(ISNA(MATCH(623,Engine!$C$2:$C$679,0)),"",INDEX('Compliance Database'!$D$2:$D$679,MATCH(623,Engine!$C$2:$C$679,0)))</f>
        <v/>
      </c>
      <c r="E636">
        <f>IF(ISNA(MATCH(623,Engine!$C$2:$C$679,0)),"",INDEX('Compliance Database'!$E$2:$E$679,MATCH(623,Engine!$C$2:$C$679,0)))</f>
        <v/>
      </c>
      <c r="F636">
        <f>IF(ISNA(MATCH(623,Engine!$C$2:$C$679,0)),"",INDEX('Compliance Database'!$F$2:$F$679,MATCH(623,Engine!$C$2:$C$679,0)))</f>
        <v/>
      </c>
      <c r="G636">
        <f>IF(ISNA(MATCH(623,Engine!$C$2:$C$679,0)),"",INDEX('Compliance Database'!$G$2:$G$679,MATCH(623,Engine!$C$2:$C$679,0)))</f>
        <v/>
      </c>
      <c r="H636">
        <f>IF(ISNA(MATCH(623,Engine!$C$2:$C$679,0)),"",INDEX('Compliance Database'!$H$2:$H$679,MATCH(623,Engine!$C$2:$C$679,0)))</f>
        <v/>
      </c>
      <c r="I636" s="8">
        <f>IF(ISNA(MATCH(623,Engine!$C$2:$C$679,0)),"",INDEX('Compliance Database'!$I$2:$I$679,MATCH(623,Engine!$C$2:$C$679,0)))</f>
        <v/>
      </c>
      <c r="J636" s="8">
        <f>IF(ISNA(MATCH(623,Engine!$C$2:$C$679,0)),"",INDEX('Compliance Database'!$J$2:$J$679,MATCH(623,Engine!$C$2:$C$679,0)))</f>
        <v/>
      </c>
      <c r="K636">
        <f>IF(ISNA(MATCH(623,Engine!$C$2:$C$679,0)),"",INDEX('Compliance Database'!$K$2:$K$679,MATCH(623,Engine!$C$2:$C$679,0)))</f>
        <v/>
      </c>
      <c r="L636" s="8">
        <f>IF(ISNA(MATCH(623,Engine!$C$2:$C$679,0)),"",INDEX('Compliance Database'!$L$2:$L$679,MATCH(623,Engine!$C$2:$C$679,0)))</f>
        <v/>
      </c>
      <c r="M636" s="8">
        <f>IF(ISNA(MATCH(623,Engine!$C$2:$C$679,0)),"",INDEX('Compliance Database'!$M$2:$M$679,MATCH(623,Engine!$C$2:$C$679,0)))</f>
        <v/>
      </c>
      <c r="N636" s="8">
        <f>IF(ISNA(MATCH(623,Engine!$C$2:$C$679,0)),"",INDEX('Compliance Database'!$N$2:$N$679,MATCH(623,Engine!$C$2:$C$679,0)))</f>
        <v/>
      </c>
      <c r="O636" s="8">
        <f>IF(ISNA(MATCH(623,Engine!$C$2:$C$679,0)),"",INDEX('Compliance Database'!$O$2:$O$679,MATCH(623,Engine!$C$2:$C$679,0)))</f>
        <v/>
      </c>
      <c r="P636">
        <f>IF(ISNA(MATCH(623,Engine!$C$2:$C$679,0)),"",HYPERLINK(INDEX('Compliance Database'!$P$2:$P$679,MATCH(623,Engine!$C$2:$C$679,0)),"Open PDF"))</f>
        <v/>
      </c>
    </row>
    <row r="637">
      <c r="A637">
        <f>IF(ISNA(MATCH(624,Engine!$C$2:$C$679,0)),"",INDEX('Compliance Database'!$A$2:$A$679,MATCH(624,Engine!$C$2:$C$679,0)))</f>
        <v/>
      </c>
      <c r="B637">
        <f>IF(ISNA(MATCH(624,Engine!$C$2:$C$679,0)),"",INDEX('Compliance Database'!$B$2:$B$679,MATCH(624,Engine!$C$2:$C$679,0)))</f>
        <v/>
      </c>
      <c r="C637">
        <f>IF(ISNA(MATCH(624,Engine!$C$2:$C$679,0)),"",INDEX('Compliance Database'!$C$2:$C$679,MATCH(624,Engine!$C$2:$C$679,0)))</f>
        <v/>
      </c>
      <c r="D637" s="8">
        <f>IF(ISNA(MATCH(624,Engine!$C$2:$C$679,0)),"",INDEX('Compliance Database'!$D$2:$D$679,MATCH(624,Engine!$C$2:$C$679,0)))</f>
        <v/>
      </c>
      <c r="E637">
        <f>IF(ISNA(MATCH(624,Engine!$C$2:$C$679,0)),"",INDEX('Compliance Database'!$E$2:$E$679,MATCH(624,Engine!$C$2:$C$679,0)))</f>
        <v/>
      </c>
      <c r="F637">
        <f>IF(ISNA(MATCH(624,Engine!$C$2:$C$679,0)),"",INDEX('Compliance Database'!$F$2:$F$679,MATCH(624,Engine!$C$2:$C$679,0)))</f>
        <v/>
      </c>
      <c r="G637">
        <f>IF(ISNA(MATCH(624,Engine!$C$2:$C$679,0)),"",INDEX('Compliance Database'!$G$2:$G$679,MATCH(624,Engine!$C$2:$C$679,0)))</f>
        <v/>
      </c>
      <c r="H637">
        <f>IF(ISNA(MATCH(624,Engine!$C$2:$C$679,0)),"",INDEX('Compliance Database'!$H$2:$H$679,MATCH(624,Engine!$C$2:$C$679,0)))</f>
        <v/>
      </c>
      <c r="I637" s="8">
        <f>IF(ISNA(MATCH(624,Engine!$C$2:$C$679,0)),"",INDEX('Compliance Database'!$I$2:$I$679,MATCH(624,Engine!$C$2:$C$679,0)))</f>
        <v/>
      </c>
      <c r="J637" s="8">
        <f>IF(ISNA(MATCH(624,Engine!$C$2:$C$679,0)),"",INDEX('Compliance Database'!$J$2:$J$679,MATCH(624,Engine!$C$2:$C$679,0)))</f>
        <v/>
      </c>
      <c r="K637">
        <f>IF(ISNA(MATCH(624,Engine!$C$2:$C$679,0)),"",INDEX('Compliance Database'!$K$2:$K$679,MATCH(624,Engine!$C$2:$C$679,0)))</f>
        <v/>
      </c>
      <c r="L637" s="8">
        <f>IF(ISNA(MATCH(624,Engine!$C$2:$C$679,0)),"",INDEX('Compliance Database'!$L$2:$L$679,MATCH(624,Engine!$C$2:$C$679,0)))</f>
        <v/>
      </c>
      <c r="M637" s="8">
        <f>IF(ISNA(MATCH(624,Engine!$C$2:$C$679,0)),"",INDEX('Compliance Database'!$M$2:$M$679,MATCH(624,Engine!$C$2:$C$679,0)))</f>
        <v/>
      </c>
      <c r="N637" s="8">
        <f>IF(ISNA(MATCH(624,Engine!$C$2:$C$679,0)),"",INDEX('Compliance Database'!$N$2:$N$679,MATCH(624,Engine!$C$2:$C$679,0)))</f>
        <v/>
      </c>
      <c r="O637" s="8">
        <f>IF(ISNA(MATCH(624,Engine!$C$2:$C$679,0)),"",INDEX('Compliance Database'!$O$2:$O$679,MATCH(624,Engine!$C$2:$C$679,0)))</f>
        <v/>
      </c>
      <c r="P637">
        <f>IF(ISNA(MATCH(624,Engine!$C$2:$C$679,0)),"",HYPERLINK(INDEX('Compliance Database'!$P$2:$P$679,MATCH(624,Engine!$C$2:$C$679,0)),"Open PDF"))</f>
        <v/>
      </c>
    </row>
    <row r="638">
      <c r="A638">
        <f>IF(ISNA(MATCH(625,Engine!$C$2:$C$679,0)),"",INDEX('Compliance Database'!$A$2:$A$679,MATCH(625,Engine!$C$2:$C$679,0)))</f>
        <v/>
      </c>
      <c r="B638">
        <f>IF(ISNA(MATCH(625,Engine!$C$2:$C$679,0)),"",INDEX('Compliance Database'!$B$2:$B$679,MATCH(625,Engine!$C$2:$C$679,0)))</f>
        <v/>
      </c>
      <c r="C638">
        <f>IF(ISNA(MATCH(625,Engine!$C$2:$C$679,0)),"",INDEX('Compliance Database'!$C$2:$C$679,MATCH(625,Engine!$C$2:$C$679,0)))</f>
        <v/>
      </c>
      <c r="D638" s="8">
        <f>IF(ISNA(MATCH(625,Engine!$C$2:$C$679,0)),"",INDEX('Compliance Database'!$D$2:$D$679,MATCH(625,Engine!$C$2:$C$679,0)))</f>
        <v/>
      </c>
      <c r="E638">
        <f>IF(ISNA(MATCH(625,Engine!$C$2:$C$679,0)),"",INDEX('Compliance Database'!$E$2:$E$679,MATCH(625,Engine!$C$2:$C$679,0)))</f>
        <v/>
      </c>
      <c r="F638">
        <f>IF(ISNA(MATCH(625,Engine!$C$2:$C$679,0)),"",INDEX('Compliance Database'!$F$2:$F$679,MATCH(625,Engine!$C$2:$C$679,0)))</f>
        <v/>
      </c>
      <c r="G638">
        <f>IF(ISNA(MATCH(625,Engine!$C$2:$C$679,0)),"",INDEX('Compliance Database'!$G$2:$G$679,MATCH(625,Engine!$C$2:$C$679,0)))</f>
        <v/>
      </c>
      <c r="H638">
        <f>IF(ISNA(MATCH(625,Engine!$C$2:$C$679,0)),"",INDEX('Compliance Database'!$H$2:$H$679,MATCH(625,Engine!$C$2:$C$679,0)))</f>
        <v/>
      </c>
      <c r="I638" s="8">
        <f>IF(ISNA(MATCH(625,Engine!$C$2:$C$679,0)),"",INDEX('Compliance Database'!$I$2:$I$679,MATCH(625,Engine!$C$2:$C$679,0)))</f>
        <v/>
      </c>
      <c r="J638" s="8">
        <f>IF(ISNA(MATCH(625,Engine!$C$2:$C$679,0)),"",INDEX('Compliance Database'!$J$2:$J$679,MATCH(625,Engine!$C$2:$C$679,0)))</f>
        <v/>
      </c>
      <c r="K638">
        <f>IF(ISNA(MATCH(625,Engine!$C$2:$C$679,0)),"",INDEX('Compliance Database'!$K$2:$K$679,MATCH(625,Engine!$C$2:$C$679,0)))</f>
        <v/>
      </c>
      <c r="L638" s="8">
        <f>IF(ISNA(MATCH(625,Engine!$C$2:$C$679,0)),"",INDEX('Compliance Database'!$L$2:$L$679,MATCH(625,Engine!$C$2:$C$679,0)))</f>
        <v/>
      </c>
      <c r="M638" s="8">
        <f>IF(ISNA(MATCH(625,Engine!$C$2:$C$679,0)),"",INDEX('Compliance Database'!$M$2:$M$679,MATCH(625,Engine!$C$2:$C$679,0)))</f>
        <v/>
      </c>
      <c r="N638" s="8">
        <f>IF(ISNA(MATCH(625,Engine!$C$2:$C$679,0)),"",INDEX('Compliance Database'!$N$2:$N$679,MATCH(625,Engine!$C$2:$C$679,0)))</f>
        <v/>
      </c>
      <c r="O638" s="8">
        <f>IF(ISNA(MATCH(625,Engine!$C$2:$C$679,0)),"",INDEX('Compliance Database'!$O$2:$O$679,MATCH(625,Engine!$C$2:$C$679,0)))</f>
        <v/>
      </c>
      <c r="P638">
        <f>IF(ISNA(MATCH(625,Engine!$C$2:$C$679,0)),"",HYPERLINK(INDEX('Compliance Database'!$P$2:$P$679,MATCH(625,Engine!$C$2:$C$679,0)),"Open PDF"))</f>
        <v/>
      </c>
    </row>
    <row r="639">
      <c r="A639">
        <f>IF(ISNA(MATCH(626,Engine!$C$2:$C$679,0)),"",INDEX('Compliance Database'!$A$2:$A$679,MATCH(626,Engine!$C$2:$C$679,0)))</f>
        <v/>
      </c>
      <c r="B639">
        <f>IF(ISNA(MATCH(626,Engine!$C$2:$C$679,0)),"",INDEX('Compliance Database'!$B$2:$B$679,MATCH(626,Engine!$C$2:$C$679,0)))</f>
        <v/>
      </c>
      <c r="C639">
        <f>IF(ISNA(MATCH(626,Engine!$C$2:$C$679,0)),"",INDEX('Compliance Database'!$C$2:$C$679,MATCH(626,Engine!$C$2:$C$679,0)))</f>
        <v/>
      </c>
      <c r="D639" s="8">
        <f>IF(ISNA(MATCH(626,Engine!$C$2:$C$679,0)),"",INDEX('Compliance Database'!$D$2:$D$679,MATCH(626,Engine!$C$2:$C$679,0)))</f>
        <v/>
      </c>
      <c r="E639">
        <f>IF(ISNA(MATCH(626,Engine!$C$2:$C$679,0)),"",INDEX('Compliance Database'!$E$2:$E$679,MATCH(626,Engine!$C$2:$C$679,0)))</f>
        <v/>
      </c>
      <c r="F639">
        <f>IF(ISNA(MATCH(626,Engine!$C$2:$C$679,0)),"",INDEX('Compliance Database'!$F$2:$F$679,MATCH(626,Engine!$C$2:$C$679,0)))</f>
        <v/>
      </c>
      <c r="G639">
        <f>IF(ISNA(MATCH(626,Engine!$C$2:$C$679,0)),"",INDEX('Compliance Database'!$G$2:$G$679,MATCH(626,Engine!$C$2:$C$679,0)))</f>
        <v/>
      </c>
      <c r="H639">
        <f>IF(ISNA(MATCH(626,Engine!$C$2:$C$679,0)),"",INDEX('Compliance Database'!$H$2:$H$679,MATCH(626,Engine!$C$2:$C$679,0)))</f>
        <v/>
      </c>
      <c r="I639" s="8">
        <f>IF(ISNA(MATCH(626,Engine!$C$2:$C$679,0)),"",INDEX('Compliance Database'!$I$2:$I$679,MATCH(626,Engine!$C$2:$C$679,0)))</f>
        <v/>
      </c>
      <c r="J639" s="8">
        <f>IF(ISNA(MATCH(626,Engine!$C$2:$C$679,0)),"",INDEX('Compliance Database'!$J$2:$J$679,MATCH(626,Engine!$C$2:$C$679,0)))</f>
        <v/>
      </c>
      <c r="K639">
        <f>IF(ISNA(MATCH(626,Engine!$C$2:$C$679,0)),"",INDEX('Compliance Database'!$K$2:$K$679,MATCH(626,Engine!$C$2:$C$679,0)))</f>
        <v/>
      </c>
      <c r="L639" s="8">
        <f>IF(ISNA(MATCH(626,Engine!$C$2:$C$679,0)),"",INDEX('Compliance Database'!$L$2:$L$679,MATCH(626,Engine!$C$2:$C$679,0)))</f>
        <v/>
      </c>
      <c r="M639" s="8">
        <f>IF(ISNA(MATCH(626,Engine!$C$2:$C$679,0)),"",INDEX('Compliance Database'!$M$2:$M$679,MATCH(626,Engine!$C$2:$C$679,0)))</f>
        <v/>
      </c>
      <c r="N639" s="8">
        <f>IF(ISNA(MATCH(626,Engine!$C$2:$C$679,0)),"",INDEX('Compliance Database'!$N$2:$N$679,MATCH(626,Engine!$C$2:$C$679,0)))</f>
        <v/>
      </c>
      <c r="O639" s="8">
        <f>IF(ISNA(MATCH(626,Engine!$C$2:$C$679,0)),"",INDEX('Compliance Database'!$O$2:$O$679,MATCH(626,Engine!$C$2:$C$679,0)))</f>
        <v/>
      </c>
      <c r="P639">
        <f>IF(ISNA(MATCH(626,Engine!$C$2:$C$679,0)),"",HYPERLINK(INDEX('Compliance Database'!$P$2:$P$679,MATCH(626,Engine!$C$2:$C$679,0)),"Open PDF"))</f>
        <v/>
      </c>
    </row>
    <row r="640">
      <c r="A640">
        <f>IF(ISNA(MATCH(627,Engine!$C$2:$C$679,0)),"",INDEX('Compliance Database'!$A$2:$A$679,MATCH(627,Engine!$C$2:$C$679,0)))</f>
        <v/>
      </c>
      <c r="B640">
        <f>IF(ISNA(MATCH(627,Engine!$C$2:$C$679,0)),"",INDEX('Compliance Database'!$B$2:$B$679,MATCH(627,Engine!$C$2:$C$679,0)))</f>
        <v/>
      </c>
      <c r="C640">
        <f>IF(ISNA(MATCH(627,Engine!$C$2:$C$679,0)),"",INDEX('Compliance Database'!$C$2:$C$679,MATCH(627,Engine!$C$2:$C$679,0)))</f>
        <v/>
      </c>
      <c r="D640" s="8">
        <f>IF(ISNA(MATCH(627,Engine!$C$2:$C$679,0)),"",INDEX('Compliance Database'!$D$2:$D$679,MATCH(627,Engine!$C$2:$C$679,0)))</f>
        <v/>
      </c>
      <c r="E640">
        <f>IF(ISNA(MATCH(627,Engine!$C$2:$C$679,0)),"",INDEX('Compliance Database'!$E$2:$E$679,MATCH(627,Engine!$C$2:$C$679,0)))</f>
        <v/>
      </c>
      <c r="F640">
        <f>IF(ISNA(MATCH(627,Engine!$C$2:$C$679,0)),"",INDEX('Compliance Database'!$F$2:$F$679,MATCH(627,Engine!$C$2:$C$679,0)))</f>
        <v/>
      </c>
      <c r="G640">
        <f>IF(ISNA(MATCH(627,Engine!$C$2:$C$679,0)),"",INDEX('Compliance Database'!$G$2:$G$679,MATCH(627,Engine!$C$2:$C$679,0)))</f>
        <v/>
      </c>
      <c r="H640">
        <f>IF(ISNA(MATCH(627,Engine!$C$2:$C$679,0)),"",INDEX('Compliance Database'!$H$2:$H$679,MATCH(627,Engine!$C$2:$C$679,0)))</f>
        <v/>
      </c>
      <c r="I640" s="8">
        <f>IF(ISNA(MATCH(627,Engine!$C$2:$C$679,0)),"",INDEX('Compliance Database'!$I$2:$I$679,MATCH(627,Engine!$C$2:$C$679,0)))</f>
        <v/>
      </c>
      <c r="J640" s="8">
        <f>IF(ISNA(MATCH(627,Engine!$C$2:$C$679,0)),"",INDEX('Compliance Database'!$J$2:$J$679,MATCH(627,Engine!$C$2:$C$679,0)))</f>
        <v/>
      </c>
      <c r="K640">
        <f>IF(ISNA(MATCH(627,Engine!$C$2:$C$679,0)),"",INDEX('Compliance Database'!$K$2:$K$679,MATCH(627,Engine!$C$2:$C$679,0)))</f>
        <v/>
      </c>
      <c r="L640" s="8">
        <f>IF(ISNA(MATCH(627,Engine!$C$2:$C$679,0)),"",INDEX('Compliance Database'!$L$2:$L$679,MATCH(627,Engine!$C$2:$C$679,0)))</f>
        <v/>
      </c>
      <c r="M640" s="8">
        <f>IF(ISNA(MATCH(627,Engine!$C$2:$C$679,0)),"",INDEX('Compliance Database'!$M$2:$M$679,MATCH(627,Engine!$C$2:$C$679,0)))</f>
        <v/>
      </c>
      <c r="N640" s="8">
        <f>IF(ISNA(MATCH(627,Engine!$C$2:$C$679,0)),"",INDEX('Compliance Database'!$N$2:$N$679,MATCH(627,Engine!$C$2:$C$679,0)))</f>
        <v/>
      </c>
      <c r="O640" s="8">
        <f>IF(ISNA(MATCH(627,Engine!$C$2:$C$679,0)),"",INDEX('Compliance Database'!$O$2:$O$679,MATCH(627,Engine!$C$2:$C$679,0)))</f>
        <v/>
      </c>
      <c r="P640">
        <f>IF(ISNA(MATCH(627,Engine!$C$2:$C$679,0)),"",HYPERLINK(INDEX('Compliance Database'!$P$2:$P$679,MATCH(627,Engine!$C$2:$C$679,0)),"Open PDF"))</f>
        <v/>
      </c>
    </row>
    <row r="641">
      <c r="A641">
        <f>IF(ISNA(MATCH(628,Engine!$C$2:$C$679,0)),"",INDEX('Compliance Database'!$A$2:$A$679,MATCH(628,Engine!$C$2:$C$679,0)))</f>
        <v/>
      </c>
      <c r="B641">
        <f>IF(ISNA(MATCH(628,Engine!$C$2:$C$679,0)),"",INDEX('Compliance Database'!$B$2:$B$679,MATCH(628,Engine!$C$2:$C$679,0)))</f>
        <v/>
      </c>
      <c r="C641">
        <f>IF(ISNA(MATCH(628,Engine!$C$2:$C$679,0)),"",INDEX('Compliance Database'!$C$2:$C$679,MATCH(628,Engine!$C$2:$C$679,0)))</f>
        <v/>
      </c>
      <c r="D641" s="8">
        <f>IF(ISNA(MATCH(628,Engine!$C$2:$C$679,0)),"",INDEX('Compliance Database'!$D$2:$D$679,MATCH(628,Engine!$C$2:$C$679,0)))</f>
        <v/>
      </c>
      <c r="E641">
        <f>IF(ISNA(MATCH(628,Engine!$C$2:$C$679,0)),"",INDEX('Compliance Database'!$E$2:$E$679,MATCH(628,Engine!$C$2:$C$679,0)))</f>
        <v/>
      </c>
      <c r="F641">
        <f>IF(ISNA(MATCH(628,Engine!$C$2:$C$679,0)),"",INDEX('Compliance Database'!$F$2:$F$679,MATCH(628,Engine!$C$2:$C$679,0)))</f>
        <v/>
      </c>
      <c r="G641">
        <f>IF(ISNA(MATCH(628,Engine!$C$2:$C$679,0)),"",INDEX('Compliance Database'!$G$2:$G$679,MATCH(628,Engine!$C$2:$C$679,0)))</f>
        <v/>
      </c>
      <c r="H641">
        <f>IF(ISNA(MATCH(628,Engine!$C$2:$C$679,0)),"",INDEX('Compliance Database'!$H$2:$H$679,MATCH(628,Engine!$C$2:$C$679,0)))</f>
        <v/>
      </c>
      <c r="I641" s="8">
        <f>IF(ISNA(MATCH(628,Engine!$C$2:$C$679,0)),"",INDEX('Compliance Database'!$I$2:$I$679,MATCH(628,Engine!$C$2:$C$679,0)))</f>
        <v/>
      </c>
      <c r="J641" s="8">
        <f>IF(ISNA(MATCH(628,Engine!$C$2:$C$679,0)),"",INDEX('Compliance Database'!$J$2:$J$679,MATCH(628,Engine!$C$2:$C$679,0)))</f>
        <v/>
      </c>
      <c r="K641">
        <f>IF(ISNA(MATCH(628,Engine!$C$2:$C$679,0)),"",INDEX('Compliance Database'!$K$2:$K$679,MATCH(628,Engine!$C$2:$C$679,0)))</f>
        <v/>
      </c>
      <c r="L641" s="8">
        <f>IF(ISNA(MATCH(628,Engine!$C$2:$C$679,0)),"",INDEX('Compliance Database'!$L$2:$L$679,MATCH(628,Engine!$C$2:$C$679,0)))</f>
        <v/>
      </c>
      <c r="M641" s="8">
        <f>IF(ISNA(MATCH(628,Engine!$C$2:$C$679,0)),"",INDEX('Compliance Database'!$M$2:$M$679,MATCH(628,Engine!$C$2:$C$679,0)))</f>
        <v/>
      </c>
      <c r="N641" s="8">
        <f>IF(ISNA(MATCH(628,Engine!$C$2:$C$679,0)),"",INDEX('Compliance Database'!$N$2:$N$679,MATCH(628,Engine!$C$2:$C$679,0)))</f>
        <v/>
      </c>
      <c r="O641" s="8">
        <f>IF(ISNA(MATCH(628,Engine!$C$2:$C$679,0)),"",INDEX('Compliance Database'!$O$2:$O$679,MATCH(628,Engine!$C$2:$C$679,0)))</f>
        <v/>
      </c>
      <c r="P641">
        <f>IF(ISNA(MATCH(628,Engine!$C$2:$C$679,0)),"",HYPERLINK(INDEX('Compliance Database'!$P$2:$P$679,MATCH(628,Engine!$C$2:$C$679,0)),"Open PDF"))</f>
        <v/>
      </c>
    </row>
    <row r="642">
      <c r="A642">
        <f>IF(ISNA(MATCH(629,Engine!$C$2:$C$679,0)),"",INDEX('Compliance Database'!$A$2:$A$679,MATCH(629,Engine!$C$2:$C$679,0)))</f>
        <v/>
      </c>
      <c r="B642">
        <f>IF(ISNA(MATCH(629,Engine!$C$2:$C$679,0)),"",INDEX('Compliance Database'!$B$2:$B$679,MATCH(629,Engine!$C$2:$C$679,0)))</f>
        <v/>
      </c>
      <c r="C642">
        <f>IF(ISNA(MATCH(629,Engine!$C$2:$C$679,0)),"",INDEX('Compliance Database'!$C$2:$C$679,MATCH(629,Engine!$C$2:$C$679,0)))</f>
        <v/>
      </c>
      <c r="D642" s="8">
        <f>IF(ISNA(MATCH(629,Engine!$C$2:$C$679,0)),"",INDEX('Compliance Database'!$D$2:$D$679,MATCH(629,Engine!$C$2:$C$679,0)))</f>
        <v/>
      </c>
      <c r="E642">
        <f>IF(ISNA(MATCH(629,Engine!$C$2:$C$679,0)),"",INDEX('Compliance Database'!$E$2:$E$679,MATCH(629,Engine!$C$2:$C$679,0)))</f>
        <v/>
      </c>
      <c r="F642">
        <f>IF(ISNA(MATCH(629,Engine!$C$2:$C$679,0)),"",INDEX('Compliance Database'!$F$2:$F$679,MATCH(629,Engine!$C$2:$C$679,0)))</f>
        <v/>
      </c>
      <c r="G642">
        <f>IF(ISNA(MATCH(629,Engine!$C$2:$C$679,0)),"",INDEX('Compliance Database'!$G$2:$G$679,MATCH(629,Engine!$C$2:$C$679,0)))</f>
        <v/>
      </c>
      <c r="H642">
        <f>IF(ISNA(MATCH(629,Engine!$C$2:$C$679,0)),"",INDEX('Compliance Database'!$H$2:$H$679,MATCH(629,Engine!$C$2:$C$679,0)))</f>
        <v/>
      </c>
      <c r="I642" s="8">
        <f>IF(ISNA(MATCH(629,Engine!$C$2:$C$679,0)),"",INDEX('Compliance Database'!$I$2:$I$679,MATCH(629,Engine!$C$2:$C$679,0)))</f>
        <v/>
      </c>
      <c r="J642" s="8">
        <f>IF(ISNA(MATCH(629,Engine!$C$2:$C$679,0)),"",INDEX('Compliance Database'!$J$2:$J$679,MATCH(629,Engine!$C$2:$C$679,0)))</f>
        <v/>
      </c>
      <c r="K642">
        <f>IF(ISNA(MATCH(629,Engine!$C$2:$C$679,0)),"",INDEX('Compliance Database'!$K$2:$K$679,MATCH(629,Engine!$C$2:$C$679,0)))</f>
        <v/>
      </c>
      <c r="L642" s="8">
        <f>IF(ISNA(MATCH(629,Engine!$C$2:$C$679,0)),"",INDEX('Compliance Database'!$L$2:$L$679,MATCH(629,Engine!$C$2:$C$679,0)))</f>
        <v/>
      </c>
      <c r="M642" s="8">
        <f>IF(ISNA(MATCH(629,Engine!$C$2:$C$679,0)),"",INDEX('Compliance Database'!$M$2:$M$679,MATCH(629,Engine!$C$2:$C$679,0)))</f>
        <v/>
      </c>
      <c r="N642" s="8">
        <f>IF(ISNA(MATCH(629,Engine!$C$2:$C$679,0)),"",INDEX('Compliance Database'!$N$2:$N$679,MATCH(629,Engine!$C$2:$C$679,0)))</f>
        <v/>
      </c>
      <c r="O642" s="8">
        <f>IF(ISNA(MATCH(629,Engine!$C$2:$C$679,0)),"",INDEX('Compliance Database'!$O$2:$O$679,MATCH(629,Engine!$C$2:$C$679,0)))</f>
        <v/>
      </c>
      <c r="P642">
        <f>IF(ISNA(MATCH(629,Engine!$C$2:$C$679,0)),"",HYPERLINK(INDEX('Compliance Database'!$P$2:$P$679,MATCH(629,Engine!$C$2:$C$679,0)),"Open PDF"))</f>
        <v/>
      </c>
    </row>
    <row r="643">
      <c r="A643">
        <f>IF(ISNA(MATCH(630,Engine!$C$2:$C$679,0)),"",INDEX('Compliance Database'!$A$2:$A$679,MATCH(630,Engine!$C$2:$C$679,0)))</f>
        <v/>
      </c>
      <c r="B643">
        <f>IF(ISNA(MATCH(630,Engine!$C$2:$C$679,0)),"",INDEX('Compliance Database'!$B$2:$B$679,MATCH(630,Engine!$C$2:$C$679,0)))</f>
        <v/>
      </c>
      <c r="C643">
        <f>IF(ISNA(MATCH(630,Engine!$C$2:$C$679,0)),"",INDEX('Compliance Database'!$C$2:$C$679,MATCH(630,Engine!$C$2:$C$679,0)))</f>
        <v/>
      </c>
      <c r="D643" s="8">
        <f>IF(ISNA(MATCH(630,Engine!$C$2:$C$679,0)),"",INDEX('Compliance Database'!$D$2:$D$679,MATCH(630,Engine!$C$2:$C$679,0)))</f>
        <v/>
      </c>
      <c r="E643">
        <f>IF(ISNA(MATCH(630,Engine!$C$2:$C$679,0)),"",INDEX('Compliance Database'!$E$2:$E$679,MATCH(630,Engine!$C$2:$C$679,0)))</f>
        <v/>
      </c>
      <c r="F643">
        <f>IF(ISNA(MATCH(630,Engine!$C$2:$C$679,0)),"",INDEX('Compliance Database'!$F$2:$F$679,MATCH(630,Engine!$C$2:$C$679,0)))</f>
        <v/>
      </c>
      <c r="G643">
        <f>IF(ISNA(MATCH(630,Engine!$C$2:$C$679,0)),"",INDEX('Compliance Database'!$G$2:$G$679,MATCH(630,Engine!$C$2:$C$679,0)))</f>
        <v/>
      </c>
      <c r="H643">
        <f>IF(ISNA(MATCH(630,Engine!$C$2:$C$679,0)),"",INDEX('Compliance Database'!$H$2:$H$679,MATCH(630,Engine!$C$2:$C$679,0)))</f>
        <v/>
      </c>
      <c r="I643" s="8">
        <f>IF(ISNA(MATCH(630,Engine!$C$2:$C$679,0)),"",INDEX('Compliance Database'!$I$2:$I$679,MATCH(630,Engine!$C$2:$C$679,0)))</f>
        <v/>
      </c>
      <c r="J643" s="8">
        <f>IF(ISNA(MATCH(630,Engine!$C$2:$C$679,0)),"",INDEX('Compliance Database'!$J$2:$J$679,MATCH(630,Engine!$C$2:$C$679,0)))</f>
        <v/>
      </c>
      <c r="K643">
        <f>IF(ISNA(MATCH(630,Engine!$C$2:$C$679,0)),"",INDEX('Compliance Database'!$K$2:$K$679,MATCH(630,Engine!$C$2:$C$679,0)))</f>
        <v/>
      </c>
      <c r="L643" s="8">
        <f>IF(ISNA(MATCH(630,Engine!$C$2:$C$679,0)),"",INDEX('Compliance Database'!$L$2:$L$679,MATCH(630,Engine!$C$2:$C$679,0)))</f>
        <v/>
      </c>
      <c r="M643" s="8">
        <f>IF(ISNA(MATCH(630,Engine!$C$2:$C$679,0)),"",INDEX('Compliance Database'!$M$2:$M$679,MATCH(630,Engine!$C$2:$C$679,0)))</f>
        <v/>
      </c>
      <c r="N643" s="8">
        <f>IF(ISNA(MATCH(630,Engine!$C$2:$C$679,0)),"",INDEX('Compliance Database'!$N$2:$N$679,MATCH(630,Engine!$C$2:$C$679,0)))</f>
        <v/>
      </c>
      <c r="O643" s="8">
        <f>IF(ISNA(MATCH(630,Engine!$C$2:$C$679,0)),"",INDEX('Compliance Database'!$O$2:$O$679,MATCH(630,Engine!$C$2:$C$679,0)))</f>
        <v/>
      </c>
      <c r="P643">
        <f>IF(ISNA(MATCH(630,Engine!$C$2:$C$679,0)),"",HYPERLINK(INDEX('Compliance Database'!$P$2:$P$679,MATCH(630,Engine!$C$2:$C$679,0)),"Open PDF"))</f>
        <v/>
      </c>
    </row>
    <row r="644">
      <c r="A644">
        <f>IF(ISNA(MATCH(631,Engine!$C$2:$C$679,0)),"",INDEX('Compliance Database'!$A$2:$A$679,MATCH(631,Engine!$C$2:$C$679,0)))</f>
        <v/>
      </c>
      <c r="B644">
        <f>IF(ISNA(MATCH(631,Engine!$C$2:$C$679,0)),"",INDEX('Compliance Database'!$B$2:$B$679,MATCH(631,Engine!$C$2:$C$679,0)))</f>
        <v/>
      </c>
      <c r="C644">
        <f>IF(ISNA(MATCH(631,Engine!$C$2:$C$679,0)),"",INDEX('Compliance Database'!$C$2:$C$679,MATCH(631,Engine!$C$2:$C$679,0)))</f>
        <v/>
      </c>
      <c r="D644" s="8">
        <f>IF(ISNA(MATCH(631,Engine!$C$2:$C$679,0)),"",INDEX('Compliance Database'!$D$2:$D$679,MATCH(631,Engine!$C$2:$C$679,0)))</f>
        <v/>
      </c>
      <c r="E644">
        <f>IF(ISNA(MATCH(631,Engine!$C$2:$C$679,0)),"",INDEX('Compliance Database'!$E$2:$E$679,MATCH(631,Engine!$C$2:$C$679,0)))</f>
        <v/>
      </c>
      <c r="F644">
        <f>IF(ISNA(MATCH(631,Engine!$C$2:$C$679,0)),"",INDEX('Compliance Database'!$F$2:$F$679,MATCH(631,Engine!$C$2:$C$679,0)))</f>
        <v/>
      </c>
      <c r="G644">
        <f>IF(ISNA(MATCH(631,Engine!$C$2:$C$679,0)),"",INDEX('Compliance Database'!$G$2:$G$679,MATCH(631,Engine!$C$2:$C$679,0)))</f>
        <v/>
      </c>
      <c r="H644">
        <f>IF(ISNA(MATCH(631,Engine!$C$2:$C$679,0)),"",INDEX('Compliance Database'!$H$2:$H$679,MATCH(631,Engine!$C$2:$C$679,0)))</f>
        <v/>
      </c>
      <c r="I644" s="8">
        <f>IF(ISNA(MATCH(631,Engine!$C$2:$C$679,0)),"",INDEX('Compliance Database'!$I$2:$I$679,MATCH(631,Engine!$C$2:$C$679,0)))</f>
        <v/>
      </c>
      <c r="J644" s="8">
        <f>IF(ISNA(MATCH(631,Engine!$C$2:$C$679,0)),"",INDEX('Compliance Database'!$J$2:$J$679,MATCH(631,Engine!$C$2:$C$679,0)))</f>
        <v/>
      </c>
      <c r="K644">
        <f>IF(ISNA(MATCH(631,Engine!$C$2:$C$679,0)),"",INDEX('Compliance Database'!$K$2:$K$679,MATCH(631,Engine!$C$2:$C$679,0)))</f>
        <v/>
      </c>
      <c r="L644" s="8">
        <f>IF(ISNA(MATCH(631,Engine!$C$2:$C$679,0)),"",INDEX('Compliance Database'!$L$2:$L$679,MATCH(631,Engine!$C$2:$C$679,0)))</f>
        <v/>
      </c>
      <c r="M644" s="8">
        <f>IF(ISNA(MATCH(631,Engine!$C$2:$C$679,0)),"",INDEX('Compliance Database'!$M$2:$M$679,MATCH(631,Engine!$C$2:$C$679,0)))</f>
        <v/>
      </c>
      <c r="N644" s="8">
        <f>IF(ISNA(MATCH(631,Engine!$C$2:$C$679,0)),"",INDEX('Compliance Database'!$N$2:$N$679,MATCH(631,Engine!$C$2:$C$679,0)))</f>
        <v/>
      </c>
      <c r="O644" s="8">
        <f>IF(ISNA(MATCH(631,Engine!$C$2:$C$679,0)),"",INDEX('Compliance Database'!$O$2:$O$679,MATCH(631,Engine!$C$2:$C$679,0)))</f>
        <v/>
      </c>
      <c r="P644">
        <f>IF(ISNA(MATCH(631,Engine!$C$2:$C$679,0)),"",HYPERLINK(INDEX('Compliance Database'!$P$2:$P$679,MATCH(631,Engine!$C$2:$C$679,0)),"Open PDF"))</f>
        <v/>
      </c>
    </row>
    <row r="645">
      <c r="A645">
        <f>IF(ISNA(MATCH(632,Engine!$C$2:$C$679,0)),"",INDEX('Compliance Database'!$A$2:$A$679,MATCH(632,Engine!$C$2:$C$679,0)))</f>
        <v/>
      </c>
      <c r="B645">
        <f>IF(ISNA(MATCH(632,Engine!$C$2:$C$679,0)),"",INDEX('Compliance Database'!$B$2:$B$679,MATCH(632,Engine!$C$2:$C$679,0)))</f>
        <v/>
      </c>
      <c r="C645">
        <f>IF(ISNA(MATCH(632,Engine!$C$2:$C$679,0)),"",INDEX('Compliance Database'!$C$2:$C$679,MATCH(632,Engine!$C$2:$C$679,0)))</f>
        <v/>
      </c>
      <c r="D645" s="8">
        <f>IF(ISNA(MATCH(632,Engine!$C$2:$C$679,0)),"",INDEX('Compliance Database'!$D$2:$D$679,MATCH(632,Engine!$C$2:$C$679,0)))</f>
        <v/>
      </c>
      <c r="E645">
        <f>IF(ISNA(MATCH(632,Engine!$C$2:$C$679,0)),"",INDEX('Compliance Database'!$E$2:$E$679,MATCH(632,Engine!$C$2:$C$679,0)))</f>
        <v/>
      </c>
      <c r="F645">
        <f>IF(ISNA(MATCH(632,Engine!$C$2:$C$679,0)),"",INDEX('Compliance Database'!$F$2:$F$679,MATCH(632,Engine!$C$2:$C$679,0)))</f>
        <v/>
      </c>
      <c r="G645">
        <f>IF(ISNA(MATCH(632,Engine!$C$2:$C$679,0)),"",INDEX('Compliance Database'!$G$2:$G$679,MATCH(632,Engine!$C$2:$C$679,0)))</f>
        <v/>
      </c>
      <c r="H645">
        <f>IF(ISNA(MATCH(632,Engine!$C$2:$C$679,0)),"",INDEX('Compliance Database'!$H$2:$H$679,MATCH(632,Engine!$C$2:$C$679,0)))</f>
        <v/>
      </c>
      <c r="I645" s="8">
        <f>IF(ISNA(MATCH(632,Engine!$C$2:$C$679,0)),"",INDEX('Compliance Database'!$I$2:$I$679,MATCH(632,Engine!$C$2:$C$679,0)))</f>
        <v/>
      </c>
      <c r="J645" s="8">
        <f>IF(ISNA(MATCH(632,Engine!$C$2:$C$679,0)),"",INDEX('Compliance Database'!$J$2:$J$679,MATCH(632,Engine!$C$2:$C$679,0)))</f>
        <v/>
      </c>
      <c r="K645">
        <f>IF(ISNA(MATCH(632,Engine!$C$2:$C$679,0)),"",INDEX('Compliance Database'!$K$2:$K$679,MATCH(632,Engine!$C$2:$C$679,0)))</f>
        <v/>
      </c>
      <c r="L645" s="8">
        <f>IF(ISNA(MATCH(632,Engine!$C$2:$C$679,0)),"",INDEX('Compliance Database'!$L$2:$L$679,MATCH(632,Engine!$C$2:$C$679,0)))</f>
        <v/>
      </c>
      <c r="M645" s="8">
        <f>IF(ISNA(MATCH(632,Engine!$C$2:$C$679,0)),"",INDEX('Compliance Database'!$M$2:$M$679,MATCH(632,Engine!$C$2:$C$679,0)))</f>
        <v/>
      </c>
      <c r="N645" s="8">
        <f>IF(ISNA(MATCH(632,Engine!$C$2:$C$679,0)),"",INDEX('Compliance Database'!$N$2:$N$679,MATCH(632,Engine!$C$2:$C$679,0)))</f>
        <v/>
      </c>
      <c r="O645" s="8">
        <f>IF(ISNA(MATCH(632,Engine!$C$2:$C$679,0)),"",INDEX('Compliance Database'!$O$2:$O$679,MATCH(632,Engine!$C$2:$C$679,0)))</f>
        <v/>
      </c>
      <c r="P645">
        <f>IF(ISNA(MATCH(632,Engine!$C$2:$C$679,0)),"",HYPERLINK(INDEX('Compliance Database'!$P$2:$P$679,MATCH(632,Engine!$C$2:$C$679,0)),"Open PDF"))</f>
        <v/>
      </c>
    </row>
    <row r="646">
      <c r="A646">
        <f>IF(ISNA(MATCH(633,Engine!$C$2:$C$679,0)),"",INDEX('Compliance Database'!$A$2:$A$679,MATCH(633,Engine!$C$2:$C$679,0)))</f>
        <v/>
      </c>
      <c r="B646">
        <f>IF(ISNA(MATCH(633,Engine!$C$2:$C$679,0)),"",INDEX('Compliance Database'!$B$2:$B$679,MATCH(633,Engine!$C$2:$C$679,0)))</f>
        <v/>
      </c>
      <c r="C646">
        <f>IF(ISNA(MATCH(633,Engine!$C$2:$C$679,0)),"",INDEX('Compliance Database'!$C$2:$C$679,MATCH(633,Engine!$C$2:$C$679,0)))</f>
        <v/>
      </c>
      <c r="D646" s="8">
        <f>IF(ISNA(MATCH(633,Engine!$C$2:$C$679,0)),"",INDEX('Compliance Database'!$D$2:$D$679,MATCH(633,Engine!$C$2:$C$679,0)))</f>
        <v/>
      </c>
      <c r="E646">
        <f>IF(ISNA(MATCH(633,Engine!$C$2:$C$679,0)),"",INDEX('Compliance Database'!$E$2:$E$679,MATCH(633,Engine!$C$2:$C$679,0)))</f>
        <v/>
      </c>
      <c r="F646">
        <f>IF(ISNA(MATCH(633,Engine!$C$2:$C$679,0)),"",INDEX('Compliance Database'!$F$2:$F$679,MATCH(633,Engine!$C$2:$C$679,0)))</f>
        <v/>
      </c>
      <c r="G646">
        <f>IF(ISNA(MATCH(633,Engine!$C$2:$C$679,0)),"",INDEX('Compliance Database'!$G$2:$G$679,MATCH(633,Engine!$C$2:$C$679,0)))</f>
        <v/>
      </c>
      <c r="H646">
        <f>IF(ISNA(MATCH(633,Engine!$C$2:$C$679,0)),"",INDEX('Compliance Database'!$H$2:$H$679,MATCH(633,Engine!$C$2:$C$679,0)))</f>
        <v/>
      </c>
      <c r="I646" s="8">
        <f>IF(ISNA(MATCH(633,Engine!$C$2:$C$679,0)),"",INDEX('Compliance Database'!$I$2:$I$679,MATCH(633,Engine!$C$2:$C$679,0)))</f>
        <v/>
      </c>
      <c r="J646" s="8">
        <f>IF(ISNA(MATCH(633,Engine!$C$2:$C$679,0)),"",INDEX('Compliance Database'!$J$2:$J$679,MATCH(633,Engine!$C$2:$C$679,0)))</f>
        <v/>
      </c>
      <c r="K646">
        <f>IF(ISNA(MATCH(633,Engine!$C$2:$C$679,0)),"",INDEX('Compliance Database'!$K$2:$K$679,MATCH(633,Engine!$C$2:$C$679,0)))</f>
        <v/>
      </c>
      <c r="L646" s="8">
        <f>IF(ISNA(MATCH(633,Engine!$C$2:$C$679,0)),"",INDEX('Compliance Database'!$L$2:$L$679,MATCH(633,Engine!$C$2:$C$679,0)))</f>
        <v/>
      </c>
      <c r="M646" s="8">
        <f>IF(ISNA(MATCH(633,Engine!$C$2:$C$679,0)),"",INDEX('Compliance Database'!$M$2:$M$679,MATCH(633,Engine!$C$2:$C$679,0)))</f>
        <v/>
      </c>
      <c r="N646" s="8">
        <f>IF(ISNA(MATCH(633,Engine!$C$2:$C$679,0)),"",INDEX('Compliance Database'!$N$2:$N$679,MATCH(633,Engine!$C$2:$C$679,0)))</f>
        <v/>
      </c>
      <c r="O646" s="8">
        <f>IF(ISNA(MATCH(633,Engine!$C$2:$C$679,0)),"",INDEX('Compliance Database'!$O$2:$O$679,MATCH(633,Engine!$C$2:$C$679,0)))</f>
        <v/>
      </c>
      <c r="P646">
        <f>IF(ISNA(MATCH(633,Engine!$C$2:$C$679,0)),"",HYPERLINK(INDEX('Compliance Database'!$P$2:$P$679,MATCH(633,Engine!$C$2:$C$679,0)),"Open PDF"))</f>
        <v/>
      </c>
    </row>
    <row r="647">
      <c r="A647">
        <f>IF(ISNA(MATCH(634,Engine!$C$2:$C$679,0)),"",INDEX('Compliance Database'!$A$2:$A$679,MATCH(634,Engine!$C$2:$C$679,0)))</f>
        <v/>
      </c>
      <c r="B647">
        <f>IF(ISNA(MATCH(634,Engine!$C$2:$C$679,0)),"",INDEX('Compliance Database'!$B$2:$B$679,MATCH(634,Engine!$C$2:$C$679,0)))</f>
        <v/>
      </c>
      <c r="C647">
        <f>IF(ISNA(MATCH(634,Engine!$C$2:$C$679,0)),"",INDEX('Compliance Database'!$C$2:$C$679,MATCH(634,Engine!$C$2:$C$679,0)))</f>
        <v/>
      </c>
      <c r="D647" s="8">
        <f>IF(ISNA(MATCH(634,Engine!$C$2:$C$679,0)),"",INDEX('Compliance Database'!$D$2:$D$679,MATCH(634,Engine!$C$2:$C$679,0)))</f>
        <v/>
      </c>
      <c r="E647">
        <f>IF(ISNA(MATCH(634,Engine!$C$2:$C$679,0)),"",INDEX('Compliance Database'!$E$2:$E$679,MATCH(634,Engine!$C$2:$C$679,0)))</f>
        <v/>
      </c>
      <c r="F647">
        <f>IF(ISNA(MATCH(634,Engine!$C$2:$C$679,0)),"",INDEX('Compliance Database'!$F$2:$F$679,MATCH(634,Engine!$C$2:$C$679,0)))</f>
        <v/>
      </c>
      <c r="G647">
        <f>IF(ISNA(MATCH(634,Engine!$C$2:$C$679,0)),"",INDEX('Compliance Database'!$G$2:$G$679,MATCH(634,Engine!$C$2:$C$679,0)))</f>
        <v/>
      </c>
      <c r="H647">
        <f>IF(ISNA(MATCH(634,Engine!$C$2:$C$679,0)),"",INDEX('Compliance Database'!$H$2:$H$679,MATCH(634,Engine!$C$2:$C$679,0)))</f>
        <v/>
      </c>
      <c r="I647" s="8">
        <f>IF(ISNA(MATCH(634,Engine!$C$2:$C$679,0)),"",INDEX('Compliance Database'!$I$2:$I$679,MATCH(634,Engine!$C$2:$C$679,0)))</f>
        <v/>
      </c>
      <c r="J647" s="8">
        <f>IF(ISNA(MATCH(634,Engine!$C$2:$C$679,0)),"",INDEX('Compliance Database'!$J$2:$J$679,MATCH(634,Engine!$C$2:$C$679,0)))</f>
        <v/>
      </c>
      <c r="K647">
        <f>IF(ISNA(MATCH(634,Engine!$C$2:$C$679,0)),"",INDEX('Compliance Database'!$K$2:$K$679,MATCH(634,Engine!$C$2:$C$679,0)))</f>
        <v/>
      </c>
      <c r="L647" s="8">
        <f>IF(ISNA(MATCH(634,Engine!$C$2:$C$679,0)),"",INDEX('Compliance Database'!$L$2:$L$679,MATCH(634,Engine!$C$2:$C$679,0)))</f>
        <v/>
      </c>
      <c r="M647" s="8">
        <f>IF(ISNA(MATCH(634,Engine!$C$2:$C$679,0)),"",INDEX('Compliance Database'!$M$2:$M$679,MATCH(634,Engine!$C$2:$C$679,0)))</f>
        <v/>
      </c>
      <c r="N647" s="8">
        <f>IF(ISNA(MATCH(634,Engine!$C$2:$C$679,0)),"",INDEX('Compliance Database'!$N$2:$N$679,MATCH(634,Engine!$C$2:$C$679,0)))</f>
        <v/>
      </c>
      <c r="O647" s="8">
        <f>IF(ISNA(MATCH(634,Engine!$C$2:$C$679,0)),"",INDEX('Compliance Database'!$O$2:$O$679,MATCH(634,Engine!$C$2:$C$679,0)))</f>
        <v/>
      </c>
      <c r="P647">
        <f>IF(ISNA(MATCH(634,Engine!$C$2:$C$679,0)),"",HYPERLINK(INDEX('Compliance Database'!$P$2:$P$679,MATCH(634,Engine!$C$2:$C$679,0)),"Open PDF"))</f>
        <v/>
      </c>
    </row>
    <row r="648">
      <c r="A648">
        <f>IF(ISNA(MATCH(635,Engine!$C$2:$C$679,0)),"",INDEX('Compliance Database'!$A$2:$A$679,MATCH(635,Engine!$C$2:$C$679,0)))</f>
        <v/>
      </c>
      <c r="B648">
        <f>IF(ISNA(MATCH(635,Engine!$C$2:$C$679,0)),"",INDEX('Compliance Database'!$B$2:$B$679,MATCH(635,Engine!$C$2:$C$679,0)))</f>
        <v/>
      </c>
      <c r="C648">
        <f>IF(ISNA(MATCH(635,Engine!$C$2:$C$679,0)),"",INDEX('Compliance Database'!$C$2:$C$679,MATCH(635,Engine!$C$2:$C$679,0)))</f>
        <v/>
      </c>
      <c r="D648" s="8">
        <f>IF(ISNA(MATCH(635,Engine!$C$2:$C$679,0)),"",INDEX('Compliance Database'!$D$2:$D$679,MATCH(635,Engine!$C$2:$C$679,0)))</f>
        <v/>
      </c>
      <c r="E648">
        <f>IF(ISNA(MATCH(635,Engine!$C$2:$C$679,0)),"",INDEX('Compliance Database'!$E$2:$E$679,MATCH(635,Engine!$C$2:$C$679,0)))</f>
        <v/>
      </c>
      <c r="F648">
        <f>IF(ISNA(MATCH(635,Engine!$C$2:$C$679,0)),"",INDEX('Compliance Database'!$F$2:$F$679,MATCH(635,Engine!$C$2:$C$679,0)))</f>
        <v/>
      </c>
      <c r="G648">
        <f>IF(ISNA(MATCH(635,Engine!$C$2:$C$679,0)),"",INDEX('Compliance Database'!$G$2:$G$679,MATCH(635,Engine!$C$2:$C$679,0)))</f>
        <v/>
      </c>
      <c r="H648">
        <f>IF(ISNA(MATCH(635,Engine!$C$2:$C$679,0)),"",INDEX('Compliance Database'!$H$2:$H$679,MATCH(635,Engine!$C$2:$C$679,0)))</f>
        <v/>
      </c>
      <c r="I648" s="8">
        <f>IF(ISNA(MATCH(635,Engine!$C$2:$C$679,0)),"",INDEX('Compliance Database'!$I$2:$I$679,MATCH(635,Engine!$C$2:$C$679,0)))</f>
        <v/>
      </c>
      <c r="J648" s="8">
        <f>IF(ISNA(MATCH(635,Engine!$C$2:$C$679,0)),"",INDEX('Compliance Database'!$J$2:$J$679,MATCH(635,Engine!$C$2:$C$679,0)))</f>
        <v/>
      </c>
      <c r="K648">
        <f>IF(ISNA(MATCH(635,Engine!$C$2:$C$679,0)),"",INDEX('Compliance Database'!$K$2:$K$679,MATCH(635,Engine!$C$2:$C$679,0)))</f>
        <v/>
      </c>
      <c r="L648" s="8">
        <f>IF(ISNA(MATCH(635,Engine!$C$2:$C$679,0)),"",INDEX('Compliance Database'!$L$2:$L$679,MATCH(635,Engine!$C$2:$C$679,0)))</f>
        <v/>
      </c>
      <c r="M648" s="8">
        <f>IF(ISNA(MATCH(635,Engine!$C$2:$C$679,0)),"",INDEX('Compliance Database'!$M$2:$M$679,MATCH(635,Engine!$C$2:$C$679,0)))</f>
        <v/>
      </c>
      <c r="N648" s="8">
        <f>IF(ISNA(MATCH(635,Engine!$C$2:$C$679,0)),"",INDEX('Compliance Database'!$N$2:$N$679,MATCH(635,Engine!$C$2:$C$679,0)))</f>
        <v/>
      </c>
      <c r="O648" s="8">
        <f>IF(ISNA(MATCH(635,Engine!$C$2:$C$679,0)),"",INDEX('Compliance Database'!$O$2:$O$679,MATCH(635,Engine!$C$2:$C$679,0)))</f>
        <v/>
      </c>
      <c r="P648">
        <f>IF(ISNA(MATCH(635,Engine!$C$2:$C$679,0)),"",HYPERLINK(INDEX('Compliance Database'!$P$2:$P$679,MATCH(635,Engine!$C$2:$C$679,0)),"Open PDF"))</f>
        <v/>
      </c>
    </row>
    <row r="649">
      <c r="A649">
        <f>IF(ISNA(MATCH(636,Engine!$C$2:$C$679,0)),"",INDEX('Compliance Database'!$A$2:$A$679,MATCH(636,Engine!$C$2:$C$679,0)))</f>
        <v/>
      </c>
      <c r="B649">
        <f>IF(ISNA(MATCH(636,Engine!$C$2:$C$679,0)),"",INDEX('Compliance Database'!$B$2:$B$679,MATCH(636,Engine!$C$2:$C$679,0)))</f>
        <v/>
      </c>
      <c r="C649">
        <f>IF(ISNA(MATCH(636,Engine!$C$2:$C$679,0)),"",INDEX('Compliance Database'!$C$2:$C$679,MATCH(636,Engine!$C$2:$C$679,0)))</f>
        <v/>
      </c>
      <c r="D649" s="8">
        <f>IF(ISNA(MATCH(636,Engine!$C$2:$C$679,0)),"",INDEX('Compliance Database'!$D$2:$D$679,MATCH(636,Engine!$C$2:$C$679,0)))</f>
        <v/>
      </c>
      <c r="E649">
        <f>IF(ISNA(MATCH(636,Engine!$C$2:$C$679,0)),"",INDEX('Compliance Database'!$E$2:$E$679,MATCH(636,Engine!$C$2:$C$679,0)))</f>
        <v/>
      </c>
      <c r="F649">
        <f>IF(ISNA(MATCH(636,Engine!$C$2:$C$679,0)),"",INDEX('Compliance Database'!$F$2:$F$679,MATCH(636,Engine!$C$2:$C$679,0)))</f>
        <v/>
      </c>
      <c r="G649">
        <f>IF(ISNA(MATCH(636,Engine!$C$2:$C$679,0)),"",INDEX('Compliance Database'!$G$2:$G$679,MATCH(636,Engine!$C$2:$C$679,0)))</f>
        <v/>
      </c>
      <c r="H649">
        <f>IF(ISNA(MATCH(636,Engine!$C$2:$C$679,0)),"",INDEX('Compliance Database'!$H$2:$H$679,MATCH(636,Engine!$C$2:$C$679,0)))</f>
        <v/>
      </c>
      <c r="I649" s="8">
        <f>IF(ISNA(MATCH(636,Engine!$C$2:$C$679,0)),"",INDEX('Compliance Database'!$I$2:$I$679,MATCH(636,Engine!$C$2:$C$679,0)))</f>
        <v/>
      </c>
      <c r="J649" s="8">
        <f>IF(ISNA(MATCH(636,Engine!$C$2:$C$679,0)),"",INDEX('Compliance Database'!$J$2:$J$679,MATCH(636,Engine!$C$2:$C$679,0)))</f>
        <v/>
      </c>
      <c r="K649">
        <f>IF(ISNA(MATCH(636,Engine!$C$2:$C$679,0)),"",INDEX('Compliance Database'!$K$2:$K$679,MATCH(636,Engine!$C$2:$C$679,0)))</f>
        <v/>
      </c>
      <c r="L649" s="8">
        <f>IF(ISNA(MATCH(636,Engine!$C$2:$C$679,0)),"",INDEX('Compliance Database'!$L$2:$L$679,MATCH(636,Engine!$C$2:$C$679,0)))</f>
        <v/>
      </c>
      <c r="M649" s="8">
        <f>IF(ISNA(MATCH(636,Engine!$C$2:$C$679,0)),"",INDEX('Compliance Database'!$M$2:$M$679,MATCH(636,Engine!$C$2:$C$679,0)))</f>
        <v/>
      </c>
      <c r="N649" s="8">
        <f>IF(ISNA(MATCH(636,Engine!$C$2:$C$679,0)),"",INDEX('Compliance Database'!$N$2:$N$679,MATCH(636,Engine!$C$2:$C$679,0)))</f>
        <v/>
      </c>
      <c r="O649" s="8">
        <f>IF(ISNA(MATCH(636,Engine!$C$2:$C$679,0)),"",INDEX('Compliance Database'!$O$2:$O$679,MATCH(636,Engine!$C$2:$C$679,0)))</f>
        <v/>
      </c>
      <c r="P649">
        <f>IF(ISNA(MATCH(636,Engine!$C$2:$C$679,0)),"",HYPERLINK(INDEX('Compliance Database'!$P$2:$P$679,MATCH(636,Engine!$C$2:$C$679,0)),"Open PDF"))</f>
        <v/>
      </c>
    </row>
    <row r="650">
      <c r="A650">
        <f>IF(ISNA(MATCH(637,Engine!$C$2:$C$679,0)),"",INDEX('Compliance Database'!$A$2:$A$679,MATCH(637,Engine!$C$2:$C$679,0)))</f>
        <v/>
      </c>
      <c r="B650">
        <f>IF(ISNA(MATCH(637,Engine!$C$2:$C$679,0)),"",INDEX('Compliance Database'!$B$2:$B$679,MATCH(637,Engine!$C$2:$C$679,0)))</f>
        <v/>
      </c>
      <c r="C650">
        <f>IF(ISNA(MATCH(637,Engine!$C$2:$C$679,0)),"",INDEX('Compliance Database'!$C$2:$C$679,MATCH(637,Engine!$C$2:$C$679,0)))</f>
        <v/>
      </c>
      <c r="D650" s="8">
        <f>IF(ISNA(MATCH(637,Engine!$C$2:$C$679,0)),"",INDEX('Compliance Database'!$D$2:$D$679,MATCH(637,Engine!$C$2:$C$679,0)))</f>
        <v/>
      </c>
      <c r="E650">
        <f>IF(ISNA(MATCH(637,Engine!$C$2:$C$679,0)),"",INDEX('Compliance Database'!$E$2:$E$679,MATCH(637,Engine!$C$2:$C$679,0)))</f>
        <v/>
      </c>
      <c r="F650">
        <f>IF(ISNA(MATCH(637,Engine!$C$2:$C$679,0)),"",INDEX('Compliance Database'!$F$2:$F$679,MATCH(637,Engine!$C$2:$C$679,0)))</f>
        <v/>
      </c>
      <c r="G650">
        <f>IF(ISNA(MATCH(637,Engine!$C$2:$C$679,0)),"",INDEX('Compliance Database'!$G$2:$G$679,MATCH(637,Engine!$C$2:$C$679,0)))</f>
        <v/>
      </c>
      <c r="H650">
        <f>IF(ISNA(MATCH(637,Engine!$C$2:$C$679,0)),"",INDEX('Compliance Database'!$H$2:$H$679,MATCH(637,Engine!$C$2:$C$679,0)))</f>
        <v/>
      </c>
      <c r="I650" s="8">
        <f>IF(ISNA(MATCH(637,Engine!$C$2:$C$679,0)),"",INDEX('Compliance Database'!$I$2:$I$679,MATCH(637,Engine!$C$2:$C$679,0)))</f>
        <v/>
      </c>
      <c r="J650" s="8">
        <f>IF(ISNA(MATCH(637,Engine!$C$2:$C$679,0)),"",INDEX('Compliance Database'!$J$2:$J$679,MATCH(637,Engine!$C$2:$C$679,0)))</f>
        <v/>
      </c>
      <c r="K650">
        <f>IF(ISNA(MATCH(637,Engine!$C$2:$C$679,0)),"",INDEX('Compliance Database'!$K$2:$K$679,MATCH(637,Engine!$C$2:$C$679,0)))</f>
        <v/>
      </c>
      <c r="L650" s="8">
        <f>IF(ISNA(MATCH(637,Engine!$C$2:$C$679,0)),"",INDEX('Compliance Database'!$L$2:$L$679,MATCH(637,Engine!$C$2:$C$679,0)))</f>
        <v/>
      </c>
      <c r="M650" s="8">
        <f>IF(ISNA(MATCH(637,Engine!$C$2:$C$679,0)),"",INDEX('Compliance Database'!$M$2:$M$679,MATCH(637,Engine!$C$2:$C$679,0)))</f>
        <v/>
      </c>
      <c r="N650" s="8">
        <f>IF(ISNA(MATCH(637,Engine!$C$2:$C$679,0)),"",INDEX('Compliance Database'!$N$2:$N$679,MATCH(637,Engine!$C$2:$C$679,0)))</f>
        <v/>
      </c>
      <c r="O650" s="8">
        <f>IF(ISNA(MATCH(637,Engine!$C$2:$C$679,0)),"",INDEX('Compliance Database'!$O$2:$O$679,MATCH(637,Engine!$C$2:$C$679,0)))</f>
        <v/>
      </c>
      <c r="P650">
        <f>IF(ISNA(MATCH(637,Engine!$C$2:$C$679,0)),"",HYPERLINK(INDEX('Compliance Database'!$P$2:$P$679,MATCH(637,Engine!$C$2:$C$679,0)),"Open PDF"))</f>
        <v/>
      </c>
    </row>
    <row r="651">
      <c r="A651">
        <f>IF(ISNA(MATCH(638,Engine!$C$2:$C$679,0)),"",INDEX('Compliance Database'!$A$2:$A$679,MATCH(638,Engine!$C$2:$C$679,0)))</f>
        <v/>
      </c>
      <c r="B651">
        <f>IF(ISNA(MATCH(638,Engine!$C$2:$C$679,0)),"",INDEX('Compliance Database'!$B$2:$B$679,MATCH(638,Engine!$C$2:$C$679,0)))</f>
        <v/>
      </c>
      <c r="C651">
        <f>IF(ISNA(MATCH(638,Engine!$C$2:$C$679,0)),"",INDEX('Compliance Database'!$C$2:$C$679,MATCH(638,Engine!$C$2:$C$679,0)))</f>
        <v/>
      </c>
      <c r="D651" s="8">
        <f>IF(ISNA(MATCH(638,Engine!$C$2:$C$679,0)),"",INDEX('Compliance Database'!$D$2:$D$679,MATCH(638,Engine!$C$2:$C$679,0)))</f>
        <v/>
      </c>
      <c r="E651">
        <f>IF(ISNA(MATCH(638,Engine!$C$2:$C$679,0)),"",INDEX('Compliance Database'!$E$2:$E$679,MATCH(638,Engine!$C$2:$C$679,0)))</f>
        <v/>
      </c>
      <c r="F651">
        <f>IF(ISNA(MATCH(638,Engine!$C$2:$C$679,0)),"",INDEX('Compliance Database'!$F$2:$F$679,MATCH(638,Engine!$C$2:$C$679,0)))</f>
        <v/>
      </c>
      <c r="G651">
        <f>IF(ISNA(MATCH(638,Engine!$C$2:$C$679,0)),"",INDEX('Compliance Database'!$G$2:$G$679,MATCH(638,Engine!$C$2:$C$679,0)))</f>
        <v/>
      </c>
      <c r="H651">
        <f>IF(ISNA(MATCH(638,Engine!$C$2:$C$679,0)),"",INDEX('Compliance Database'!$H$2:$H$679,MATCH(638,Engine!$C$2:$C$679,0)))</f>
        <v/>
      </c>
      <c r="I651" s="8">
        <f>IF(ISNA(MATCH(638,Engine!$C$2:$C$679,0)),"",INDEX('Compliance Database'!$I$2:$I$679,MATCH(638,Engine!$C$2:$C$679,0)))</f>
        <v/>
      </c>
      <c r="J651" s="8">
        <f>IF(ISNA(MATCH(638,Engine!$C$2:$C$679,0)),"",INDEX('Compliance Database'!$J$2:$J$679,MATCH(638,Engine!$C$2:$C$679,0)))</f>
        <v/>
      </c>
      <c r="K651">
        <f>IF(ISNA(MATCH(638,Engine!$C$2:$C$679,0)),"",INDEX('Compliance Database'!$K$2:$K$679,MATCH(638,Engine!$C$2:$C$679,0)))</f>
        <v/>
      </c>
      <c r="L651" s="8">
        <f>IF(ISNA(MATCH(638,Engine!$C$2:$C$679,0)),"",INDEX('Compliance Database'!$L$2:$L$679,MATCH(638,Engine!$C$2:$C$679,0)))</f>
        <v/>
      </c>
      <c r="M651" s="8">
        <f>IF(ISNA(MATCH(638,Engine!$C$2:$C$679,0)),"",INDEX('Compliance Database'!$M$2:$M$679,MATCH(638,Engine!$C$2:$C$679,0)))</f>
        <v/>
      </c>
      <c r="N651" s="8">
        <f>IF(ISNA(MATCH(638,Engine!$C$2:$C$679,0)),"",INDEX('Compliance Database'!$N$2:$N$679,MATCH(638,Engine!$C$2:$C$679,0)))</f>
        <v/>
      </c>
      <c r="O651" s="8">
        <f>IF(ISNA(MATCH(638,Engine!$C$2:$C$679,0)),"",INDEX('Compliance Database'!$O$2:$O$679,MATCH(638,Engine!$C$2:$C$679,0)))</f>
        <v/>
      </c>
      <c r="P651">
        <f>IF(ISNA(MATCH(638,Engine!$C$2:$C$679,0)),"",HYPERLINK(INDEX('Compliance Database'!$P$2:$P$679,MATCH(638,Engine!$C$2:$C$679,0)),"Open PDF"))</f>
        <v/>
      </c>
    </row>
    <row r="652">
      <c r="A652">
        <f>IF(ISNA(MATCH(639,Engine!$C$2:$C$679,0)),"",INDEX('Compliance Database'!$A$2:$A$679,MATCH(639,Engine!$C$2:$C$679,0)))</f>
        <v/>
      </c>
      <c r="B652">
        <f>IF(ISNA(MATCH(639,Engine!$C$2:$C$679,0)),"",INDEX('Compliance Database'!$B$2:$B$679,MATCH(639,Engine!$C$2:$C$679,0)))</f>
        <v/>
      </c>
      <c r="C652">
        <f>IF(ISNA(MATCH(639,Engine!$C$2:$C$679,0)),"",INDEX('Compliance Database'!$C$2:$C$679,MATCH(639,Engine!$C$2:$C$679,0)))</f>
        <v/>
      </c>
      <c r="D652" s="8">
        <f>IF(ISNA(MATCH(639,Engine!$C$2:$C$679,0)),"",INDEX('Compliance Database'!$D$2:$D$679,MATCH(639,Engine!$C$2:$C$679,0)))</f>
        <v/>
      </c>
      <c r="E652">
        <f>IF(ISNA(MATCH(639,Engine!$C$2:$C$679,0)),"",INDEX('Compliance Database'!$E$2:$E$679,MATCH(639,Engine!$C$2:$C$679,0)))</f>
        <v/>
      </c>
      <c r="F652">
        <f>IF(ISNA(MATCH(639,Engine!$C$2:$C$679,0)),"",INDEX('Compliance Database'!$F$2:$F$679,MATCH(639,Engine!$C$2:$C$679,0)))</f>
        <v/>
      </c>
      <c r="G652">
        <f>IF(ISNA(MATCH(639,Engine!$C$2:$C$679,0)),"",INDEX('Compliance Database'!$G$2:$G$679,MATCH(639,Engine!$C$2:$C$679,0)))</f>
        <v/>
      </c>
      <c r="H652">
        <f>IF(ISNA(MATCH(639,Engine!$C$2:$C$679,0)),"",INDEX('Compliance Database'!$H$2:$H$679,MATCH(639,Engine!$C$2:$C$679,0)))</f>
        <v/>
      </c>
      <c r="I652" s="8">
        <f>IF(ISNA(MATCH(639,Engine!$C$2:$C$679,0)),"",INDEX('Compliance Database'!$I$2:$I$679,MATCH(639,Engine!$C$2:$C$679,0)))</f>
        <v/>
      </c>
      <c r="J652" s="8">
        <f>IF(ISNA(MATCH(639,Engine!$C$2:$C$679,0)),"",INDEX('Compliance Database'!$J$2:$J$679,MATCH(639,Engine!$C$2:$C$679,0)))</f>
        <v/>
      </c>
      <c r="K652">
        <f>IF(ISNA(MATCH(639,Engine!$C$2:$C$679,0)),"",INDEX('Compliance Database'!$K$2:$K$679,MATCH(639,Engine!$C$2:$C$679,0)))</f>
        <v/>
      </c>
      <c r="L652" s="8">
        <f>IF(ISNA(MATCH(639,Engine!$C$2:$C$679,0)),"",INDEX('Compliance Database'!$L$2:$L$679,MATCH(639,Engine!$C$2:$C$679,0)))</f>
        <v/>
      </c>
      <c r="M652" s="8">
        <f>IF(ISNA(MATCH(639,Engine!$C$2:$C$679,0)),"",INDEX('Compliance Database'!$M$2:$M$679,MATCH(639,Engine!$C$2:$C$679,0)))</f>
        <v/>
      </c>
      <c r="N652" s="8">
        <f>IF(ISNA(MATCH(639,Engine!$C$2:$C$679,0)),"",INDEX('Compliance Database'!$N$2:$N$679,MATCH(639,Engine!$C$2:$C$679,0)))</f>
        <v/>
      </c>
      <c r="O652" s="8">
        <f>IF(ISNA(MATCH(639,Engine!$C$2:$C$679,0)),"",INDEX('Compliance Database'!$O$2:$O$679,MATCH(639,Engine!$C$2:$C$679,0)))</f>
        <v/>
      </c>
      <c r="P652">
        <f>IF(ISNA(MATCH(639,Engine!$C$2:$C$679,0)),"",HYPERLINK(INDEX('Compliance Database'!$P$2:$P$679,MATCH(639,Engine!$C$2:$C$679,0)),"Open PDF"))</f>
        <v/>
      </c>
    </row>
    <row r="653">
      <c r="A653">
        <f>IF(ISNA(MATCH(640,Engine!$C$2:$C$679,0)),"",INDEX('Compliance Database'!$A$2:$A$679,MATCH(640,Engine!$C$2:$C$679,0)))</f>
        <v/>
      </c>
      <c r="B653">
        <f>IF(ISNA(MATCH(640,Engine!$C$2:$C$679,0)),"",INDEX('Compliance Database'!$B$2:$B$679,MATCH(640,Engine!$C$2:$C$679,0)))</f>
        <v/>
      </c>
      <c r="C653">
        <f>IF(ISNA(MATCH(640,Engine!$C$2:$C$679,0)),"",INDEX('Compliance Database'!$C$2:$C$679,MATCH(640,Engine!$C$2:$C$679,0)))</f>
        <v/>
      </c>
      <c r="D653" s="8">
        <f>IF(ISNA(MATCH(640,Engine!$C$2:$C$679,0)),"",INDEX('Compliance Database'!$D$2:$D$679,MATCH(640,Engine!$C$2:$C$679,0)))</f>
        <v/>
      </c>
      <c r="E653">
        <f>IF(ISNA(MATCH(640,Engine!$C$2:$C$679,0)),"",INDEX('Compliance Database'!$E$2:$E$679,MATCH(640,Engine!$C$2:$C$679,0)))</f>
        <v/>
      </c>
      <c r="F653">
        <f>IF(ISNA(MATCH(640,Engine!$C$2:$C$679,0)),"",INDEX('Compliance Database'!$F$2:$F$679,MATCH(640,Engine!$C$2:$C$679,0)))</f>
        <v/>
      </c>
      <c r="G653">
        <f>IF(ISNA(MATCH(640,Engine!$C$2:$C$679,0)),"",INDEX('Compliance Database'!$G$2:$G$679,MATCH(640,Engine!$C$2:$C$679,0)))</f>
        <v/>
      </c>
      <c r="H653">
        <f>IF(ISNA(MATCH(640,Engine!$C$2:$C$679,0)),"",INDEX('Compliance Database'!$H$2:$H$679,MATCH(640,Engine!$C$2:$C$679,0)))</f>
        <v/>
      </c>
      <c r="I653" s="8">
        <f>IF(ISNA(MATCH(640,Engine!$C$2:$C$679,0)),"",INDEX('Compliance Database'!$I$2:$I$679,MATCH(640,Engine!$C$2:$C$679,0)))</f>
        <v/>
      </c>
      <c r="J653" s="8">
        <f>IF(ISNA(MATCH(640,Engine!$C$2:$C$679,0)),"",INDEX('Compliance Database'!$J$2:$J$679,MATCH(640,Engine!$C$2:$C$679,0)))</f>
        <v/>
      </c>
      <c r="K653">
        <f>IF(ISNA(MATCH(640,Engine!$C$2:$C$679,0)),"",INDEX('Compliance Database'!$K$2:$K$679,MATCH(640,Engine!$C$2:$C$679,0)))</f>
        <v/>
      </c>
      <c r="L653" s="8">
        <f>IF(ISNA(MATCH(640,Engine!$C$2:$C$679,0)),"",INDEX('Compliance Database'!$L$2:$L$679,MATCH(640,Engine!$C$2:$C$679,0)))</f>
        <v/>
      </c>
      <c r="M653" s="8">
        <f>IF(ISNA(MATCH(640,Engine!$C$2:$C$679,0)),"",INDEX('Compliance Database'!$M$2:$M$679,MATCH(640,Engine!$C$2:$C$679,0)))</f>
        <v/>
      </c>
      <c r="N653" s="8">
        <f>IF(ISNA(MATCH(640,Engine!$C$2:$C$679,0)),"",INDEX('Compliance Database'!$N$2:$N$679,MATCH(640,Engine!$C$2:$C$679,0)))</f>
        <v/>
      </c>
      <c r="O653" s="8">
        <f>IF(ISNA(MATCH(640,Engine!$C$2:$C$679,0)),"",INDEX('Compliance Database'!$O$2:$O$679,MATCH(640,Engine!$C$2:$C$679,0)))</f>
        <v/>
      </c>
      <c r="P653">
        <f>IF(ISNA(MATCH(640,Engine!$C$2:$C$679,0)),"",HYPERLINK(INDEX('Compliance Database'!$P$2:$P$679,MATCH(640,Engine!$C$2:$C$679,0)),"Open PDF"))</f>
        <v/>
      </c>
    </row>
    <row r="654">
      <c r="A654">
        <f>IF(ISNA(MATCH(641,Engine!$C$2:$C$679,0)),"",INDEX('Compliance Database'!$A$2:$A$679,MATCH(641,Engine!$C$2:$C$679,0)))</f>
        <v/>
      </c>
      <c r="B654">
        <f>IF(ISNA(MATCH(641,Engine!$C$2:$C$679,0)),"",INDEX('Compliance Database'!$B$2:$B$679,MATCH(641,Engine!$C$2:$C$679,0)))</f>
        <v/>
      </c>
      <c r="C654">
        <f>IF(ISNA(MATCH(641,Engine!$C$2:$C$679,0)),"",INDEX('Compliance Database'!$C$2:$C$679,MATCH(641,Engine!$C$2:$C$679,0)))</f>
        <v/>
      </c>
      <c r="D654" s="8">
        <f>IF(ISNA(MATCH(641,Engine!$C$2:$C$679,0)),"",INDEX('Compliance Database'!$D$2:$D$679,MATCH(641,Engine!$C$2:$C$679,0)))</f>
        <v/>
      </c>
      <c r="E654">
        <f>IF(ISNA(MATCH(641,Engine!$C$2:$C$679,0)),"",INDEX('Compliance Database'!$E$2:$E$679,MATCH(641,Engine!$C$2:$C$679,0)))</f>
        <v/>
      </c>
      <c r="F654">
        <f>IF(ISNA(MATCH(641,Engine!$C$2:$C$679,0)),"",INDEX('Compliance Database'!$F$2:$F$679,MATCH(641,Engine!$C$2:$C$679,0)))</f>
        <v/>
      </c>
      <c r="G654">
        <f>IF(ISNA(MATCH(641,Engine!$C$2:$C$679,0)),"",INDEX('Compliance Database'!$G$2:$G$679,MATCH(641,Engine!$C$2:$C$679,0)))</f>
        <v/>
      </c>
      <c r="H654">
        <f>IF(ISNA(MATCH(641,Engine!$C$2:$C$679,0)),"",INDEX('Compliance Database'!$H$2:$H$679,MATCH(641,Engine!$C$2:$C$679,0)))</f>
        <v/>
      </c>
      <c r="I654" s="8">
        <f>IF(ISNA(MATCH(641,Engine!$C$2:$C$679,0)),"",INDEX('Compliance Database'!$I$2:$I$679,MATCH(641,Engine!$C$2:$C$679,0)))</f>
        <v/>
      </c>
      <c r="J654" s="8">
        <f>IF(ISNA(MATCH(641,Engine!$C$2:$C$679,0)),"",INDEX('Compliance Database'!$J$2:$J$679,MATCH(641,Engine!$C$2:$C$679,0)))</f>
        <v/>
      </c>
      <c r="K654">
        <f>IF(ISNA(MATCH(641,Engine!$C$2:$C$679,0)),"",INDEX('Compliance Database'!$K$2:$K$679,MATCH(641,Engine!$C$2:$C$679,0)))</f>
        <v/>
      </c>
      <c r="L654" s="8">
        <f>IF(ISNA(MATCH(641,Engine!$C$2:$C$679,0)),"",INDEX('Compliance Database'!$L$2:$L$679,MATCH(641,Engine!$C$2:$C$679,0)))</f>
        <v/>
      </c>
      <c r="M654" s="8">
        <f>IF(ISNA(MATCH(641,Engine!$C$2:$C$679,0)),"",INDEX('Compliance Database'!$M$2:$M$679,MATCH(641,Engine!$C$2:$C$679,0)))</f>
        <v/>
      </c>
      <c r="N654" s="8">
        <f>IF(ISNA(MATCH(641,Engine!$C$2:$C$679,0)),"",INDEX('Compliance Database'!$N$2:$N$679,MATCH(641,Engine!$C$2:$C$679,0)))</f>
        <v/>
      </c>
      <c r="O654" s="8">
        <f>IF(ISNA(MATCH(641,Engine!$C$2:$C$679,0)),"",INDEX('Compliance Database'!$O$2:$O$679,MATCH(641,Engine!$C$2:$C$679,0)))</f>
        <v/>
      </c>
      <c r="P654">
        <f>IF(ISNA(MATCH(641,Engine!$C$2:$C$679,0)),"",HYPERLINK(INDEX('Compliance Database'!$P$2:$P$679,MATCH(641,Engine!$C$2:$C$679,0)),"Open PDF"))</f>
        <v/>
      </c>
    </row>
    <row r="655">
      <c r="A655">
        <f>IF(ISNA(MATCH(642,Engine!$C$2:$C$679,0)),"",INDEX('Compliance Database'!$A$2:$A$679,MATCH(642,Engine!$C$2:$C$679,0)))</f>
        <v/>
      </c>
      <c r="B655">
        <f>IF(ISNA(MATCH(642,Engine!$C$2:$C$679,0)),"",INDEX('Compliance Database'!$B$2:$B$679,MATCH(642,Engine!$C$2:$C$679,0)))</f>
        <v/>
      </c>
      <c r="C655">
        <f>IF(ISNA(MATCH(642,Engine!$C$2:$C$679,0)),"",INDEX('Compliance Database'!$C$2:$C$679,MATCH(642,Engine!$C$2:$C$679,0)))</f>
        <v/>
      </c>
      <c r="D655" s="8">
        <f>IF(ISNA(MATCH(642,Engine!$C$2:$C$679,0)),"",INDEX('Compliance Database'!$D$2:$D$679,MATCH(642,Engine!$C$2:$C$679,0)))</f>
        <v/>
      </c>
      <c r="E655">
        <f>IF(ISNA(MATCH(642,Engine!$C$2:$C$679,0)),"",INDEX('Compliance Database'!$E$2:$E$679,MATCH(642,Engine!$C$2:$C$679,0)))</f>
        <v/>
      </c>
      <c r="F655">
        <f>IF(ISNA(MATCH(642,Engine!$C$2:$C$679,0)),"",INDEX('Compliance Database'!$F$2:$F$679,MATCH(642,Engine!$C$2:$C$679,0)))</f>
        <v/>
      </c>
      <c r="G655">
        <f>IF(ISNA(MATCH(642,Engine!$C$2:$C$679,0)),"",INDEX('Compliance Database'!$G$2:$G$679,MATCH(642,Engine!$C$2:$C$679,0)))</f>
        <v/>
      </c>
      <c r="H655">
        <f>IF(ISNA(MATCH(642,Engine!$C$2:$C$679,0)),"",INDEX('Compliance Database'!$H$2:$H$679,MATCH(642,Engine!$C$2:$C$679,0)))</f>
        <v/>
      </c>
      <c r="I655" s="8">
        <f>IF(ISNA(MATCH(642,Engine!$C$2:$C$679,0)),"",INDEX('Compliance Database'!$I$2:$I$679,MATCH(642,Engine!$C$2:$C$679,0)))</f>
        <v/>
      </c>
      <c r="J655" s="8">
        <f>IF(ISNA(MATCH(642,Engine!$C$2:$C$679,0)),"",INDEX('Compliance Database'!$J$2:$J$679,MATCH(642,Engine!$C$2:$C$679,0)))</f>
        <v/>
      </c>
      <c r="K655">
        <f>IF(ISNA(MATCH(642,Engine!$C$2:$C$679,0)),"",INDEX('Compliance Database'!$K$2:$K$679,MATCH(642,Engine!$C$2:$C$679,0)))</f>
        <v/>
      </c>
      <c r="L655" s="8">
        <f>IF(ISNA(MATCH(642,Engine!$C$2:$C$679,0)),"",INDEX('Compliance Database'!$L$2:$L$679,MATCH(642,Engine!$C$2:$C$679,0)))</f>
        <v/>
      </c>
      <c r="M655" s="8">
        <f>IF(ISNA(MATCH(642,Engine!$C$2:$C$679,0)),"",INDEX('Compliance Database'!$M$2:$M$679,MATCH(642,Engine!$C$2:$C$679,0)))</f>
        <v/>
      </c>
      <c r="N655" s="8">
        <f>IF(ISNA(MATCH(642,Engine!$C$2:$C$679,0)),"",INDEX('Compliance Database'!$N$2:$N$679,MATCH(642,Engine!$C$2:$C$679,0)))</f>
        <v/>
      </c>
      <c r="O655" s="8">
        <f>IF(ISNA(MATCH(642,Engine!$C$2:$C$679,0)),"",INDEX('Compliance Database'!$O$2:$O$679,MATCH(642,Engine!$C$2:$C$679,0)))</f>
        <v/>
      </c>
      <c r="P655">
        <f>IF(ISNA(MATCH(642,Engine!$C$2:$C$679,0)),"",HYPERLINK(INDEX('Compliance Database'!$P$2:$P$679,MATCH(642,Engine!$C$2:$C$679,0)),"Open PDF"))</f>
        <v/>
      </c>
    </row>
    <row r="656">
      <c r="A656">
        <f>IF(ISNA(MATCH(643,Engine!$C$2:$C$679,0)),"",INDEX('Compliance Database'!$A$2:$A$679,MATCH(643,Engine!$C$2:$C$679,0)))</f>
        <v/>
      </c>
      <c r="B656">
        <f>IF(ISNA(MATCH(643,Engine!$C$2:$C$679,0)),"",INDEX('Compliance Database'!$B$2:$B$679,MATCH(643,Engine!$C$2:$C$679,0)))</f>
        <v/>
      </c>
      <c r="C656">
        <f>IF(ISNA(MATCH(643,Engine!$C$2:$C$679,0)),"",INDEX('Compliance Database'!$C$2:$C$679,MATCH(643,Engine!$C$2:$C$679,0)))</f>
        <v/>
      </c>
      <c r="D656" s="8">
        <f>IF(ISNA(MATCH(643,Engine!$C$2:$C$679,0)),"",INDEX('Compliance Database'!$D$2:$D$679,MATCH(643,Engine!$C$2:$C$679,0)))</f>
        <v/>
      </c>
      <c r="E656">
        <f>IF(ISNA(MATCH(643,Engine!$C$2:$C$679,0)),"",INDEX('Compliance Database'!$E$2:$E$679,MATCH(643,Engine!$C$2:$C$679,0)))</f>
        <v/>
      </c>
      <c r="F656">
        <f>IF(ISNA(MATCH(643,Engine!$C$2:$C$679,0)),"",INDEX('Compliance Database'!$F$2:$F$679,MATCH(643,Engine!$C$2:$C$679,0)))</f>
        <v/>
      </c>
      <c r="G656">
        <f>IF(ISNA(MATCH(643,Engine!$C$2:$C$679,0)),"",INDEX('Compliance Database'!$G$2:$G$679,MATCH(643,Engine!$C$2:$C$679,0)))</f>
        <v/>
      </c>
      <c r="H656">
        <f>IF(ISNA(MATCH(643,Engine!$C$2:$C$679,0)),"",INDEX('Compliance Database'!$H$2:$H$679,MATCH(643,Engine!$C$2:$C$679,0)))</f>
        <v/>
      </c>
      <c r="I656" s="8">
        <f>IF(ISNA(MATCH(643,Engine!$C$2:$C$679,0)),"",INDEX('Compliance Database'!$I$2:$I$679,MATCH(643,Engine!$C$2:$C$679,0)))</f>
        <v/>
      </c>
      <c r="J656" s="8">
        <f>IF(ISNA(MATCH(643,Engine!$C$2:$C$679,0)),"",INDEX('Compliance Database'!$J$2:$J$679,MATCH(643,Engine!$C$2:$C$679,0)))</f>
        <v/>
      </c>
      <c r="K656">
        <f>IF(ISNA(MATCH(643,Engine!$C$2:$C$679,0)),"",INDEX('Compliance Database'!$K$2:$K$679,MATCH(643,Engine!$C$2:$C$679,0)))</f>
        <v/>
      </c>
      <c r="L656" s="8">
        <f>IF(ISNA(MATCH(643,Engine!$C$2:$C$679,0)),"",INDEX('Compliance Database'!$L$2:$L$679,MATCH(643,Engine!$C$2:$C$679,0)))</f>
        <v/>
      </c>
      <c r="M656" s="8">
        <f>IF(ISNA(MATCH(643,Engine!$C$2:$C$679,0)),"",INDEX('Compliance Database'!$M$2:$M$679,MATCH(643,Engine!$C$2:$C$679,0)))</f>
        <v/>
      </c>
      <c r="N656" s="8">
        <f>IF(ISNA(MATCH(643,Engine!$C$2:$C$679,0)),"",INDEX('Compliance Database'!$N$2:$N$679,MATCH(643,Engine!$C$2:$C$679,0)))</f>
        <v/>
      </c>
      <c r="O656" s="8">
        <f>IF(ISNA(MATCH(643,Engine!$C$2:$C$679,0)),"",INDEX('Compliance Database'!$O$2:$O$679,MATCH(643,Engine!$C$2:$C$679,0)))</f>
        <v/>
      </c>
      <c r="P656">
        <f>IF(ISNA(MATCH(643,Engine!$C$2:$C$679,0)),"",HYPERLINK(INDEX('Compliance Database'!$P$2:$P$679,MATCH(643,Engine!$C$2:$C$679,0)),"Open PDF"))</f>
        <v/>
      </c>
    </row>
    <row r="657">
      <c r="A657">
        <f>IF(ISNA(MATCH(644,Engine!$C$2:$C$679,0)),"",INDEX('Compliance Database'!$A$2:$A$679,MATCH(644,Engine!$C$2:$C$679,0)))</f>
        <v/>
      </c>
      <c r="B657">
        <f>IF(ISNA(MATCH(644,Engine!$C$2:$C$679,0)),"",INDEX('Compliance Database'!$B$2:$B$679,MATCH(644,Engine!$C$2:$C$679,0)))</f>
        <v/>
      </c>
      <c r="C657">
        <f>IF(ISNA(MATCH(644,Engine!$C$2:$C$679,0)),"",INDEX('Compliance Database'!$C$2:$C$679,MATCH(644,Engine!$C$2:$C$679,0)))</f>
        <v/>
      </c>
      <c r="D657" s="8">
        <f>IF(ISNA(MATCH(644,Engine!$C$2:$C$679,0)),"",INDEX('Compliance Database'!$D$2:$D$679,MATCH(644,Engine!$C$2:$C$679,0)))</f>
        <v/>
      </c>
      <c r="E657">
        <f>IF(ISNA(MATCH(644,Engine!$C$2:$C$679,0)),"",INDEX('Compliance Database'!$E$2:$E$679,MATCH(644,Engine!$C$2:$C$679,0)))</f>
        <v/>
      </c>
      <c r="F657">
        <f>IF(ISNA(MATCH(644,Engine!$C$2:$C$679,0)),"",INDEX('Compliance Database'!$F$2:$F$679,MATCH(644,Engine!$C$2:$C$679,0)))</f>
        <v/>
      </c>
      <c r="G657">
        <f>IF(ISNA(MATCH(644,Engine!$C$2:$C$679,0)),"",INDEX('Compliance Database'!$G$2:$G$679,MATCH(644,Engine!$C$2:$C$679,0)))</f>
        <v/>
      </c>
      <c r="H657">
        <f>IF(ISNA(MATCH(644,Engine!$C$2:$C$679,0)),"",INDEX('Compliance Database'!$H$2:$H$679,MATCH(644,Engine!$C$2:$C$679,0)))</f>
        <v/>
      </c>
      <c r="I657" s="8">
        <f>IF(ISNA(MATCH(644,Engine!$C$2:$C$679,0)),"",INDEX('Compliance Database'!$I$2:$I$679,MATCH(644,Engine!$C$2:$C$679,0)))</f>
        <v/>
      </c>
      <c r="J657" s="8">
        <f>IF(ISNA(MATCH(644,Engine!$C$2:$C$679,0)),"",INDEX('Compliance Database'!$J$2:$J$679,MATCH(644,Engine!$C$2:$C$679,0)))</f>
        <v/>
      </c>
      <c r="K657">
        <f>IF(ISNA(MATCH(644,Engine!$C$2:$C$679,0)),"",INDEX('Compliance Database'!$K$2:$K$679,MATCH(644,Engine!$C$2:$C$679,0)))</f>
        <v/>
      </c>
      <c r="L657" s="8">
        <f>IF(ISNA(MATCH(644,Engine!$C$2:$C$679,0)),"",INDEX('Compliance Database'!$L$2:$L$679,MATCH(644,Engine!$C$2:$C$679,0)))</f>
        <v/>
      </c>
      <c r="M657" s="8">
        <f>IF(ISNA(MATCH(644,Engine!$C$2:$C$679,0)),"",INDEX('Compliance Database'!$M$2:$M$679,MATCH(644,Engine!$C$2:$C$679,0)))</f>
        <v/>
      </c>
      <c r="N657" s="8">
        <f>IF(ISNA(MATCH(644,Engine!$C$2:$C$679,0)),"",INDEX('Compliance Database'!$N$2:$N$679,MATCH(644,Engine!$C$2:$C$679,0)))</f>
        <v/>
      </c>
      <c r="O657" s="8">
        <f>IF(ISNA(MATCH(644,Engine!$C$2:$C$679,0)),"",INDEX('Compliance Database'!$O$2:$O$679,MATCH(644,Engine!$C$2:$C$679,0)))</f>
        <v/>
      </c>
      <c r="P657">
        <f>IF(ISNA(MATCH(644,Engine!$C$2:$C$679,0)),"",HYPERLINK(INDEX('Compliance Database'!$P$2:$P$679,MATCH(644,Engine!$C$2:$C$679,0)),"Open PDF"))</f>
        <v/>
      </c>
    </row>
    <row r="658">
      <c r="A658">
        <f>IF(ISNA(MATCH(645,Engine!$C$2:$C$679,0)),"",INDEX('Compliance Database'!$A$2:$A$679,MATCH(645,Engine!$C$2:$C$679,0)))</f>
        <v/>
      </c>
      <c r="B658">
        <f>IF(ISNA(MATCH(645,Engine!$C$2:$C$679,0)),"",INDEX('Compliance Database'!$B$2:$B$679,MATCH(645,Engine!$C$2:$C$679,0)))</f>
        <v/>
      </c>
      <c r="C658">
        <f>IF(ISNA(MATCH(645,Engine!$C$2:$C$679,0)),"",INDEX('Compliance Database'!$C$2:$C$679,MATCH(645,Engine!$C$2:$C$679,0)))</f>
        <v/>
      </c>
      <c r="D658" s="8">
        <f>IF(ISNA(MATCH(645,Engine!$C$2:$C$679,0)),"",INDEX('Compliance Database'!$D$2:$D$679,MATCH(645,Engine!$C$2:$C$679,0)))</f>
        <v/>
      </c>
      <c r="E658">
        <f>IF(ISNA(MATCH(645,Engine!$C$2:$C$679,0)),"",INDEX('Compliance Database'!$E$2:$E$679,MATCH(645,Engine!$C$2:$C$679,0)))</f>
        <v/>
      </c>
      <c r="F658">
        <f>IF(ISNA(MATCH(645,Engine!$C$2:$C$679,0)),"",INDEX('Compliance Database'!$F$2:$F$679,MATCH(645,Engine!$C$2:$C$679,0)))</f>
        <v/>
      </c>
      <c r="G658">
        <f>IF(ISNA(MATCH(645,Engine!$C$2:$C$679,0)),"",INDEX('Compliance Database'!$G$2:$G$679,MATCH(645,Engine!$C$2:$C$679,0)))</f>
        <v/>
      </c>
      <c r="H658">
        <f>IF(ISNA(MATCH(645,Engine!$C$2:$C$679,0)),"",INDEX('Compliance Database'!$H$2:$H$679,MATCH(645,Engine!$C$2:$C$679,0)))</f>
        <v/>
      </c>
      <c r="I658" s="8">
        <f>IF(ISNA(MATCH(645,Engine!$C$2:$C$679,0)),"",INDEX('Compliance Database'!$I$2:$I$679,MATCH(645,Engine!$C$2:$C$679,0)))</f>
        <v/>
      </c>
      <c r="J658" s="8">
        <f>IF(ISNA(MATCH(645,Engine!$C$2:$C$679,0)),"",INDEX('Compliance Database'!$J$2:$J$679,MATCH(645,Engine!$C$2:$C$679,0)))</f>
        <v/>
      </c>
      <c r="K658">
        <f>IF(ISNA(MATCH(645,Engine!$C$2:$C$679,0)),"",INDEX('Compliance Database'!$K$2:$K$679,MATCH(645,Engine!$C$2:$C$679,0)))</f>
        <v/>
      </c>
      <c r="L658" s="8">
        <f>IF(ISNA(MATCH(645,Engine!$C$2:$C$679,0)),"",INDEX('Compliance Database'!$L$2:$L$679,MATCH(645,Engine!$C$2:$C$679,0)))</f>
        <v/>
      </c>
      <c r="M658" s="8">
        <f>IF(ISNA(MATCH(645,Engine!$C$2:$C$679,0)),"",INDEX('Compliance Database'!$M$2:$M$679,MATCH(645,Engine!$C$2:$C$679,0)))</f>
        <v/>
      </c>
      <c r="N658" s="8">
        <f>IF(ISNA(MATCH(645,Engine!$C$2:$C$679,0)),"",INDEX('Compliance Database'!$N$2:$N$679,MATCH(645,Engine!$C$2:$C$679,0)))</f>
        <v/>
      </c>
      <c r="O658" s="8">
        <f>IF(ISNA(MATCH(645,Engine!$C$2:$C$679,0)),"",INDEX('Compliance Database'!$O$2:$O$679,MATCH(645,Engine!$C$2:$C$679,0)))</f>
        <v/>
      </c>
      <c r="P658">
        <f>IF(ISNA(MATCH(645,Engine!$C$2:$C$679,0)),"",HYPERLINK(INDEX('Compliance Database'!$P$2:$P$679,MATCH(645,Engine!$C$2:$C$679,0)),"Open PDF"))</f>
        <v/>
      </c>
    </row>
    <row r="659">
      <c r="A659">
        <f>IF(ISNA(MATCH(646,Engine!$C$2:$C$679,0)),"",INDEX('Compliance Database'!$A$2:$A$679,MATCH(646,Engine!$C$2:$C$679,0)))</f>
        <v/>
      </c>
      <c r="B659">
        <f>IF(ISNA(MATCH(646,Engine!$C$2:$C$679,0)),"",INDEX('Compliance Database'!$B$2:$B$679,MATCH(646,Engine!$C$2:$C$679,0)))</f>
        <v/>
      </c>
      <c r="C659">
        <f>IF(ISNA(MATCH(646,Engine!$C$2:$C$679,0)),"",INDEX('Compliance Database'!$C$2:$C$679,MATCH(646,Engine!$C$2:$C$679,0)))</f>
        <v/>
      </c>
      <c r="D659" s="8">
        <f>IF(ISNA(MATCH(646,Engine!$C$2:$C$679,0)),"",INDEX('Compliance Database'!$D$2:$D$679,MATCH(646,Engine!$C$2:$C$679,0)))</f>
        <v/>
      </c>
      <c r="E659">
        <f>IF(ISNA(MATCH(646,Engine!$C$2:$C$679,0)),"",INDEX('Compliance Database'!$E$2:$E$679,MATCH(646,Engine!$C$2:$C$679,0)))</f>
        <v/>
      </c>
      <c r="F659">
        <f>IF(ISNA(MATCH(646,Engine!$C$2:$C$679,0)),"",INDEX('Compliance Database'!$F$2:$F$679,MATCH(646,Engine!$C$2:$C$679,0)))</f>
        <v/>
      </c>
      <c r="G659">
        <f>IF(ISNA(MATCH(646,Engine!$C$2:$C$679,0)),"",INDEX('Compliance Database'!$G$2:$G$679,MATCH(646,Engine!$C$2:$C$679,0)))</f>
        <v/>
      </c>
      <c r="H659">
        <f>IF(ISNA(MATCH(646,Engine!$C$2:$C$679,0)),"",INDEX('Compliance Database'!$H$2:$H$679,MATCH(646,Engine!$C$2:$C$679,0)))</f>
        <v/>
      </c>
      <c r="I659" s="8">
        <f>IF(ISNA(MATCH(646,Engine!$C$2:$C$679,0)),"",INDEX('Compliance Database'!$I$2:$I$679,MATCH(646,Engine!$C$2:$C$679,0)))</f>
        <v/>
      </c>
      <c r="J659" s="8">
        <f>IF(ISNA(MATCH(646,Engine!$C$2:$C$679,0)),"",INDEX('Compliance Database'!$J$2:$J$679,MATCH(646,Engine!$C$2:$C$679,0)))</f>
        <v/>
      </c>
      <c r="K659">
        <f>IF(ISNA(MATCH(646,Engine!$C$2:$C$679,0)),"",INDEX('Compliance Database'!$K$2:$K$679,MATCH(646,Engine!$C$2:$C$679,0)))</f>
        <v/>
      </c>
      <c r="L659" s="8">
        <f>IF(ISNA(MATCH(646,Engine!$C$2:$C$679,0)),"",INDEX('Compliance Database'!$L$2:$L$679,MATCH(646,Engine!$C$2:$C$679,0)))</f>
        <v/>
      </c>
      <c r="M659" s="8">
        <f>IF(ISNA(MATCH(646,Engine!$C$2:$C$679,0)),"",INDEX('Compliance Database'!$M$2:$M$679,MATCH(646,Engine!$C$2:$C$679,0)))</f>
        <v/>
      </c>
      <c r="N659" s="8">
        <f>IF(ISNA(MATCH(646,Engine!$C$2:$C$679,0)),"",INDEX('Compliance Database'!$N$2:$N$679,MATCH(646,Engine!$C$2:$C$679,0)))</f>
        <v/>
      </c>
      <c r="O659" s="8">
        <f>IF(ISNA(MATCH(646,Engine!$C$2:$C$679,0)),"",INDEX('Compliance Database'!$O$2:$O$679,MATCH(646,Engine!$C$2:$C$679,0)))</f>
        <v/>
      </c>
      <c r="P659">
        <f>IF(ISNA(MATCH(646,Engine!$C$2:$C$679,0)),"",HYPERLINK(INDEX('Compliance Database'!$P$2:$P$679,MATCH(646,Engine!$C$2:$C$679,0)),"Open PDF"))</f>
        <v/>
      </c>
    </row>
    <row r="660">
      <c r="A660">
        <f>IF(ISNA(MATCH(647,Engine!$C$2:$C$679,0)),"",INDEX('Compliance Database'!$A$2:$A$679,MATCH(647,Engine!$C$2:$C$679,0)))</f>
        <v/>
      </c>
      <c r="B660">
        <f>IF(ISNA(MATCH(647,Engine!$C$2:$C$679,0)),"",INDEX('Compliance Database'!$B$2:$B$679,MATCH(647,Engine!$C$2:$C$679,0)))</f>
        <v/>
      </c>
      <c r="C660">
        <f>IF(ISNA(MATCH(647,Engine!$C$2:$C$679,0)),"",INDEX('Compliance Database'!$C$2:$C$679,MATCH(647,Engine!$C$2:$C$679,0)))</f>
        <v/>
      </c>
      <c r="D660" s="8">
        <f>IF(ISNA(MATCH(647,Engine!$C$2:$C$679,0)),"",INDEX('Compliance Database'!$D$2:$D$679,MATCH(647,Engine!$C$2:$C$679,0)))</f>
        <v/>
      </c>
      <c r="E660">
        <f>IF(ISNA(MATCH(647,Engine!$C$2:$C$679,0)),"",INDEX('Compliance Database'!$E$2:$E$679,MATCH(647,Engine!$C$2:$C$679,0)))</f>
        <v/>
      </c>
      <c r="F660">
        <f>IF(ISNA(MATCH(647,Engine!$C$2:$C$679,0)),"",INDEX('Compliance Database'!$F$2:$F$679,MATCH(647,Engine!$C$2:$C$679,0)))</f>
        <v/>
      </c>
      <c r="G660">
        <f>IF(ISNA(MATCH(647,Engine!$C$2:$C$679,0)),"",INDEX('Compliance Database'!$G$2:$G$679,MATCH(647,Engine!$C$2:$C$679,0)))</f>
        <v/>
      </c>
      <c r="H660">
        <f>IF(ISNA(MATCH(647,Engine!$C$2:$C$679,0)),"",INDEX('Compliance Database'!$H$2:$H$679,MATCH(647,Engine!$C$2:$C$679,0)))</f>
        <v/>
      </c>
      <c r="I660" s="8">
        <f>IF(ISNA(MATCH(647,Engine!$C$2:$C$679,0)),"",INDEX('Compliance Database'!$I$2:$I$679,MATCH(647,Engine!$C$2:$C$679,0)))</f>
        <v/>
      </c>
      <c r="J660" s="8">
        <f>IF(ISNA(MATCH(647,Engine!$C$2:$C$679,0)),"",INDEX('Compliance Database'!$J$2:$J$679,MATCH(647,Engine!$C$2:$C$679,0)))</f>
        <v/>
      </c>
      <c r="K660">
        <f>IF(ISNA(MATCH(647,Engine!$C$2:$C$679,0)),"",INDEX('Compliance Database'!$K$2:$K$679,MATCH(647,Engine!$C$2:$C$679,0)))</f>
        <v/>
      </c>
      <c r="L660" s="8">
        <f>IF(ISNA(MATCH(647,Engine!$C$2:$C$679,0)),"",INDEX('Compliance Database'!$L$2:$L$679,MATCH(647,Engine!$C$2:$C$679,0)))</f>
        <v/>
      </c>
      <c r="M660" s="8">
        <f>IF(ISNA(MATCH(647,Engine!$C$2:$C$679,0)),"",INDEX('Compliance Database'!$M$2:$M$679,MATCH(647,Engine!$C$2:$C$679,0)))</f>
        <v/>
      </c>
      <c r="N660" s="8">
        <f>IF(ISNA(MATCH(647,Engine!$C$2:$C$679,0)),"",INDEX('Compliance Database'!$N$2:$N$679,MATCH(647,Engine!$C$2:$C$679,0)))</f>
        <v/>
      </c>
      <c r="O660" s="8">
        <f>IF(ISNA(MATCH(647,Engine!$C$2:$C$679,0)),"",INDEX('Compliance Database'!$O$2:$O$679,MATCH(647,Engine!$C$2:$C$679,0)))</f>
        <v/>
      </c>
      <c r="P660">
        <f>IF(ISNA(MATCH(647,Engine!$C$2:$C$679,0)),"",HYPERLINK(INDEX('Compliance Database'!$P$2:$P$679,MATCH(647,Engine!$C$2:$C$679,0)),"Open PDF"))</f>
        <v/>
      </c>
    </row>
    <row r="661">
      <c r="A661">
        <f>IF(ISNA(MATCH(648,Engine!$C$2:$C$679,0)),"",INDEX('Compliance Database'!$A$2:$A$679,MATCH(648,Engine!$C$2:$C$679,0)))</f>
        <v/>
      </c>
      <c r="B661">
        <f>IF(ISNA(MATCH(648,Engine!$C$2:$C$679,0)),"",INDEX('Compliance Database'!$B$2:$B$679,MATCH(648,Engine!$C$2:$C$679,0)))</f>
        <v/>
      </c>
      <c r="C661">
        <f>IF(ISNA(MATCH(648,Engine!$C$2:$C$679,0)),"",INDEX('Compliance Database'!$C$2:$C$679,MATCH(648,Engine!$C$2:$C$679,0)))</f>
        <v/>
      </c>
      <c r="D661" s="8">
        <f>IF(ISNA(MATCH(648,Engine!$C$2:$C$679,0)),"",INDEX('Compliance Database'!$D$2:$D$679,MATCH(648,Engine!$C$2:$C$679,0)))</f>
        <v/>
      </c>
      <c r="E661">
        <f>IF(ISNA(MATCH(648,Engine!$C$2:$C$679,0)),"",INDEX('Compliance Database'!$E$2:$E$679,MATCH(648,Engine!$C$2:$C$679,0)))</f>
        <v/>
      </c>
      <c r="F661">
        <f>IF(ISNA(MATCH(648,Engine!$C$2:$C$679,0)),"",INDEX('Compliance Database'!$F$2:$F$679,MATCH(648,Engine!$C$2:$C$679,0)))</f>
        <v/>
      </c>
      <c r="G661">
        <f>IF(ISNA(MATCH(648,Engine!$C$2:$C$679,0)),"",INDEX('Compliance Database'!$G$2:$G$679,MATCH(648,Engine!$C$2:$C$679,0)))</f>
        <v/>
      </c>
      <c r="H661">
        <f>IF(ISNA(MATCH(648,Engine!$C$2:$C$679,0)),"",INDEX('Compliance Database'!$H$2:$H$679,MATCH(648,Engine!$C$2:$C$679,0)))</f>
        <v/>
      </c>
      <c r="I661" s="8">
        <f>IF(ISNA(MATCH(648,Engine!$C$2:$C$679,0)),"",INDEX('Compliance Database'!$I$2:$I$679,MATCH(648,Engine!$C$2:$C$679,0)))</f>
        <v/>
      </c>
      <c r="J661" s="8">
        <f>IF(ISNA(MATCH(648,Engine!$C$2:$C$679,0)),"",INDEX('Compliance Database'!$J$2:$J$679,MATCH(648,Engine!$C$2:$C$679,0)))</f>
        <v/>
      </c>
      <c r="K661">
        <f>IF(ISNA(MATCH(648,Engine!$C$2:$C$679,0)),"",INDEX('Compliance Database'!$K$2:$K$679,MATCH(648,Engine!$C$2:$C$679,0)))</f>
        <v/>
      </c>
      <c r="L661" s="8">
        <f>IF(ISNA(MATCH(648,Engine!$C$2:$C$679,0)),"",INDEX('Compliance Database'!$L$2:$L$679,MATCH(648,Engine!$C$2:$C$679,0)))</f>
        <v/>
      </c>
      <c r="M661" s="8">
        <f>IF(ISNA(MATCH(648,Engine!$C$2:$C$679,0)),"",INDEX('Compliance Database'!$M$2:$M$679,MATCH(648,Engine!$C$2:$C$679,0)))</f>
        <v/>
      </c>
      <c r="N661" s="8">
        <f>IF(ISNA(MATCH(648,Engine!$C$2:$C$679,0)),"",INDEX('Compliance Database'!$N$2:$N$679,MATCH(648,Engine!$C$2:$C$679,0)))</f>
        <v/>
      </c>
      <c r="O661" s="8">
        <f>IF(ISNA(MATCH(648,Engine!$C$2:$C$679,0)),"",INDEX('Compliance Database'!$O$2:$O$679,MATCH(648,Engine!$C$2:$C$679,0)))</f>
        <v/>
      </c>
      <c r="P661">
        <f>IF(ISNA(MATCH(648,Engine!$C$2:$C$679,0)),"",HYPERLINK(INDEX('Compliance Database'!$P$2:$P$679,MATCH(648,Engine!$C$2:$C$679,0)),"Open PDF"))</f>
        <v/>
      </c>
    </row>
    <row r="662">
      <c r="A662">
        <f>IF(ISNA(MATCH(649,Engine!$C$2:$C$679,0)),"",INDEX('Compliance Database'!$A$2:$A$679,MATCH(649,Engine!$C$2:$C$679,0)))</f>
        <v/>
      </c>
      <c r="B662">
        <f>IF(ISNA(MATCH(649,Engine!$C$2:$C$679,0)),"",INDEX('Compliance Database'!$B$2:$B$679,MATCH(649,Engine!$C$2:$C$679,0)))</f>
        <v/>
      </c>
      <c r="C662">
        <f>IF(ISNA(MATCH(649,Engine!$C$2:$C$679,0)),"",INDEX('Compliance Database'!$C$2:$C$679,MATCH(649,Engine!$C$2:$C$679,0)))</f>
        <v/>
      </c>
      <c r="D662" s="8">
        <f>IF(ISNA(MATCH(649,Engine!$C$2:$C$679,0)),"",INDEX('Compliance Database'!$D$2:$D$679,MATCH(649,Engine!$C$2:$C$679,0)))</f>
        <v/>
      </c>
      <c r="E662">
        <f>IF(ISNA(MATCH(649,Engine!$C$2:$C$679,0)),"",INDEX('Compliance Database'!$E$2:$E$679,MATCH(649,Engine!$C$2:$C$679,0)))</f>
        <v/>
      </c>
      <c r="F662">
        <f>IF(ISNA(MATCH(649,Engine!$C$2:$C$679,0)),"",INDEX('Compliance Database'!$F$2:$F$679,MATCH(649,Engine!$C$2:$C$679,0)))</f>
        <v/>
      </c>
      <c r="G662">
        <f>IF(ISNA(MATCH(649,Engine!$C$2:$C$679,0)),"",INDEX('Compliance Database'!$G$2:$G$679,MATCH(649,Engine!$C$2:$C$679,0)))</f>
        <v/>
      </c>
      <c r="H662">
        <f>IF(ISNA(MATCH(649,Engine!$C$2:$C$679,0)),"",INDEX('Compliance Database'!$H$2:$H$679,MATCH(649,Engine!$C$2:$C$679,0)))</f>
        <v/>
      </c>
      <c r="I662" s="8">
        <f>IF(ISNA(MATCH(649,Engine!$C$2:$C$679,0)),"",INDEX('Compliance Database'!$I$2:$I$679,MATCH(649,Engine!$C$2:$C$679,0)))</f>
        <v/>
      </c>
      <c r="J662" s="8">
        <f>IF(ISNA(MATCH(649,Engine!$C$2:$C$679,0)),"",INDEX('Compliance Database'!$J$2:$J$679,MATCH(649,Engine!$C$2:$C$679,0)))</f>
        <v/>
      </c>
      <c r="K662">
        <f>IF(ISNA(MATCH(649,Engine!$C$2:$C$679,0)),"",INDEX('Compliance Database'!$K$2:$K$679,MATCH(649,Engine!$C$2:$C$679,0)))</f>
        <v/>
      </c>
      <c r="L662" s="8">
        <f>IF(ISNA(MATCH(649,Engine!$C$2:$C$679,0)),"",INDEX('Compliance Database'!$L$2:$L$679,MATCH(649,Engine!$C$2:$C$679,0)))</f>
        <v/>
      </c>
      <c r="M662" s="8">
        <f>IF(ISNA(MATCH(649,Engine!$C$2:$C$679,0)),"",INDEX('Compliance Database'!$M$2:$M$679,MATCH(649,Engine!$C$2:$C$679,0)))</f>
        <v/>
      </c>
      <c r="N662" s="8">
        <f>IF(ISNA(MATCH(649,Engine!$C$2:$C$679,0)),"",INDEX('Compliance Database'!$N$2:$N$679,MATCH(649,Engine!$C$2:$C$679,0)))</f>
        <v/>
      </c>
      <c r="O662" s="8">
        <f>IF(ISNA(MATCH(649,Engine!$C$2:$C$679,0)),"",INDEX('Compliance Database'!$O$2:$O$679,MATCH(649,Engine!$C$2:$C$679,0)))</f>
        <v/>
      </c>
      <c r="P662">
        <f>IF(ISNA(MATCH(649,Engine!$C$2:$C$679,0)),"",HYPERLINK(INDEX('Compliance Database'!$P$2:$P$679,MATCH(649,Engine!$C$2:$C$679,0)),"Open PDF"))</f>
        <v/>
      </c>
    </row>
    <row r="663">
      <c r="A663">
        <f>IF(ISNA(MATCH(650,Engine!$C$2:$C$679,0)),"",INDEX('Compliance Database'!$A$2:$A$679,MATCH(650,Engine!$C$2:$C$679,0)))</f>
        <v/>
      </c>
      <c r="B663">
        <f>IF(ISNA(MATCH(650,Engine!$C$2:$C$679,0)),"",INDEX('Compliance Database'!$B$2:$B$679,MATCH(650,Engine!$C$2:$C$679,0)))</f>
        <v/>
      </c>
      <c r="C663">
        <f>IF(ISNA(MATCH(650,Engine!$C$2:$C$679,0)),"",INDEX('Compliance Database'!$C$2:$C$679,MATCH(650,Engine!$C$2:$C$679,0)))</f>
        <v/>
      </c>
      <c r="D663" s="8">
        <f>IF(ISNA(MATCH(650,Engine!$C$2:$C$679,0)),"",INDEX('Compliance Database'!$D$2:$D$679,MATCH(650,Engine!$C$2:$C$679,0)))</f>
        <v/>
      </c>
      <c r="E663">
        <f>IF(ISNA(MATCH(650,Engine!$C$2:$C$679,0)),"",INDEX('Compliance Database'!$E$2:$E$679,MATCH(650,Engine!$C$2:$C$679,0)))</f>
        <v/>
      </c>
      <c r="F663">
        <f>IF(ISNA(MATCH(650,Engine!$C$2:$C$679,0)),"",INDEX('Compliance Database'!$F$2:$F$679,MATCH(650,Engine!$C$2:$C$679,0)))</f>
        <v/>
      </c>
      <c r="G663">
        <f>IF(ISNA(MATCH(650,Engine!$C$2:$C$679,0)),"",INDEX('Compliance Database'!$G$2:$G$679,MATCH(650,Engine!$C$2:$C$679,0)))</f>
        <v/>
      </c>
      <c r="H663">
        <f>IF(ISNA(MATCH(650,Engine!$C$2:$C$679,0)),"",INDEX('Compliance Database'!$H$2:$H$679,MATCH(650,Engine!$C$2:$C$679,0)))</f>
        <v/>
      </c>
      <c r="I663" s="8">
        <f>IF(ISNA(MATCH(650,Engine!$C$2:$C$679,0)),"",INDEX('Compliance Database'!$I$2:$I$679,MATCH(650,Engine!$C$2:$C$679,0)))</f>
        <v/>
      </c>
      <c r="J663" s="8">
        <f>IF(ISNA(MATCH(650,Engine!$C$2:$C$679,0)),"",INDEX('Compliance Database'!$J$2:$J$679,MATCH(650,Engine!$C$2:$C$679,0)))</f>
        <v/>
      </c>
      <c r="K663">
        <f>IF(ISNA(MATCH(650,Engine!$C$2:$C$679,0)),"",INDEX('Compliance Database'!$K$2:$K$679,MATCH(650,Engine!$C$2:$C$679,0)))</f>
        <v/>
      </c>
      <c r="L663" s="8">
        <f>IF(ISNA(MATCH(650,Engine!$C$2:$C$679,0)),"",INDEX('Compliance Database'!$L$2:$L$679,MATCH(650,Engine!$C$2:$C$679,0)))</f>
        <v/>
      </c>
      <c r="M663" s="8">
        <f>IF(ISNA(MATCH(650,Engine!$C$2:$C$679,0)),"",INDEX('Compliance Database'!$M$2:$M$679,MATCH(650,Engine!$C$2:$C$679,0)))</f>
        <v/>
      </c>
      <c r="N663" s="8">
        <f>IF(ISNA(MATCH(650,Engine!$C$2:$C$679,0)),"",INDEX('Compliance Database'!$N$2:$N$679,MATCH(650,Engine!$C$2:$C$679,0)))</f>
        <v/>
      </c>
      <c r="O663" s="8">
        <f>IF(ISNA(MATCH(650,Engine!$C$2:$C$679,0)),"",INDEX('Compliance Database'!$O$2:$O$679,MATCH(650,Engine!$C$2:$C$679,0)))</f>
        <v/>
      </c>
      <c r="P663">
        <f>IF(ISNA(MATCH(650,Engine!$C$2:$C$679,0)),"",HYPERLINK(INDEX('Compliance Database'!$P$2:$P$679,MATCH(650,Engine!$C$2:$C$679,0)),"Open PDF"))</f>
        <v/>
      </c>
    </row>
    <row r="664">
      <c r="A664">
        <f>IF(ISNA(MATCH(651,Engine!$C$2:$C$679,0)),"",INDEX('Compliance Database'!$A$2:$A$679,MATCH(651,Engine!$C$2:$C$679,0)))</f>
        <v/>
      </c>
      <c r="B664">
        <f>IF(ISNA(MATCH(651,Engine!$C$2:$C$679,0)),"",INDEX('Compliance Database'!$B$2:$B$679,MATCH(651,Engine!$C$2:$C$679,0)))</f>
        <v/>
      </c>
      <c r="C664">
        <f>IF(ISNA(MATCH(651,Engine!$C$2:$C$679,0)),"",INDEX('Compliance Database'!$C$2:$C$679,MATCH(651,Engine!$C$2:$C$679,0)))</f>
        <v/>
      </c>
      <c r="D664" s="8">
        <f>IF(ISNA(MATCH(651,Engine!$C$2:$C$679,0)),"",INDEX('Compliance Database'!$D$2:$D$679,MATCH(651,Engine!$C$2:$C$679,0)))</f>
        <v/>
      </c>
      <c r="E664">
        <f>IF(ISNA(MATCH(651,Engine!$C$2:$C$679,0)),"",INDEX('Compliance Database'!$E$2:$E$679,MATCH(651,Engine!$C$2:$C$679,0)))</f>
        <v/>
      </c>
      <c r="F664">
        <f>IF(ISNA(MATCH(651,Engine!$C$2:$C$679,0)),"",INDEX('Compliance Database'!$F$2:$F$679,MATCH(651,Engine!$C$2:$C$679,0)))</f>
        <v/>
      </c>
      <c r="G664">
        <f>IF(ISNA(MATCH(651,Engine!$C$2:$C$679,0)),"",INDEX('Compliance Database'!$G$2:$G$679,MATCH(651,Engine!$C$2:$C$679,0)))</f>
        <v/>
      </c>
      <c r="H664">
        <f>IF(ISNA(MATCH(651,Engine!$C$2:$C$679,0)),"",INDEX('Compliance Database'!$H$2:$H$679,MATCH(651,Engine!$C$2:$C$679,0)))</f>
        <v/>
      </c>
      <c r="I664" s="8">
        <f>IF(ISNA(MATCH(651,Engine!$C$2:$C$679,0)),"",INDEX('Compliance Database'!$I$2:$I$679,MATCH(651,Engine!$C$2:$C$679,0)))</f>
        <v/>
      </c>
      <c r="J664" s="8">
        <f>IF(ISNA(MATCH(651,Engine!$C$2:$C$679,0)),"",INDEX('Compliance Database'!$J$2:$J$679,MATCH(651,Engine!$C$2:$C$679,0)))</f>
        <v/>
      </c>
      <c r="K664">
        <f>IF(ISNA(MATCH(651,Engine!$C$2:$C$679,0)),"",INDEX('Compliance Database'!$K$2:$K$679,MATCH(651,Engine!$C$2:$C$679,0)))</f>
        <v/>
      </c>
      <c r="L664" s="8">
        <f>IF(ISNA(MATCH(651,Engine!$C$2:$C$679,0)),"",INDEX('Compliance Database'!$L$2:$L$679,MATCH(651,Engine!$C$2:$C$679,0)))</f>
        <v/>
      </c>
      <c r="M664" s="8">
        <f>IF(ISNA(MATCH(651,Engine!$C$2:$C$679,0)),"",INDEX('Compliance Database'!$M$2:$M$679,MATCH(651,Engine!$C$2:$C$679,0)))</f>
        <v/>
      </c>
      <c r="N664" s="8">
        <f>IF(ISNA(MATCH(651,Engine!$C$2:$C$679,0)),"",INDEX('Compliance Database'!$N$2:$N$679,MATCH(651,Engine!$C$2:$C$679,0)))</f>
        <v/>
      </c>
      <c r="O664" s="8">
        <f>IF(ISNA(MATCH(651,Engine!$C$2:$C$679,0)),"",INDEX('Compliance Database'!$O$2:$O$679,MATCH(651,Engine!$C$2:$C$679,0)))</f>
        <v/>
      </c>
      <c r="P664">
        <f>IF(ISNA(MATCH(651,Engine!$C$2:$C$679,0)),"",HYPERLINK(INDEX('Compliance Database'!$P$2:$P$679,MATCH(651,Engine!$C$2:$C$679,0)),"Open PDF"))</f>
        <v/>
      </c>
    </row>
    <row r="665">
      <c r="A665">
        <f>IF(ISNA(MATCH(652,Engine!$C$2:$C$679,0)),"",INDEX('Compliance Database'!$A$2:$A$679,MATCH(652,Engine!$C$2:$C$679,0)))</f>
        <v/>
      </c>
      <c r="B665">
        <f>IF(ISNA(MATCH(652,Engine!$C$2:$C$679,0)),"",INDEX('Compliance Database'!$B$2:$B$679,MATCH(652,Engine!$C$2:$C$679,0)))</f>
        <v/>
      </c>
      <c r="C665">
        <f>IF(ISNA(MATCH(652,Engine!$C$2:$C$679,0)),"",INDEX('Compliance Database'!$C$2:$C$679,MATCH(652,Engine!$C$2:$C$679,0)))</f>
        <v/>
      </c>
      <c r="D665" s="8">
        <f>IF(ISNA(MATCH(652,Engine!$C$2:$C$679,0)),"",INDEX('Compliance Database'!$D$2:$D$679,MATCH(652,Engine!$C$2:$C$679,0)))</f>
        <v/>
      </c>
      <c r="E665">
        <f>IF(ISNA(MATCH(652,Engine!$C$2:$C$679,0)),"",INDEX('Compliance Database'!$E$2:$E$679,MATCH(652,Engine!$C$2:$C$679,0)))</f>
        <v/>
      </c>
      <c r="F665">
        <f>IF(ISNA(MATCH(652,Engine!$C$2:$C$679,0)),"",INDEX('Compliance Database'!$F$2:$F$679,MATCH(652,Engine!$C$2:$C$679,0)))</f>
        <v/>
      </c>
      <c r="G665">
        <f>IF(ISNA(MATCH(652,Engine!$C$2:$C$679,0)),"",INDEX('Compliance Database'!$G$2:$G$679,MATCH(652,Engine!$C$2:$C$679,0)))</f>
        <v/>
      </c>
      <c r="H665">
        <f>IF(ISNA(MATCH(652,Engine!$C$2:$C$679,0)),"",INDEX('Compliance Database'!$H$2:$H$679,MATCH(652,Engine!$C$2:$C$679,0)))</f>
        <v/>
      </c>
      <c r="I665" s="8">
        <f>IF(ISNA(MATCH(652,Engine!$C$2:$C$679,0)),"",INDEX('Compliance Database'!$I$2:$I$679,MATCH(652,Engine!$C$2:$C$679,0)))</f>
        <v/>
      </c>
      <c r="J665" s="8">
        <f>IF(ISNA(MATCH(652,Engine!$C$2:$C$679,0)),"",INDEX('Compliance Database'!$J$2:$J$679,MATCH(652,Engine!$C$2:$C$679,0)))</f>
        <v/>
      </c>
      <c r="K665">
        <f>IF(ISNA(MATCH(652,Engine!$C$2:$C$679,0)),"",INDEX('Compliance Database'!$K$2:$K$679,MATCH(652,Engine!$C$2:$C$679,0)))</f>
        <v/>
      </c>
      <c r="L665" s="8">
        <f>IF(ISNA(MATCH(652,Engine!$C$2:$C$679,0)),"",INDEX('Compliance Database'!$L$2:$L$679,MATCH(652,Engine!$C$2:$C$679,0)))</f>
        <v/>
      </c>
      <c r="M665" s="8">
        <f>IF(ISNA(MATCH(652,Engine!$C$2:$C$679,0)),"",INDEX('Compliance Database'!$M$2:$M$679,MATCH(652,Engine!$C$2:$C$679,0)))</f>
        <v/>
      </c>
      <c r="N665" s="8">
        <f>IF(ISNA(MATCH(652,Engine!$C$2:$C$679,0)),"",INDEX('Compliance Database'!$N$2:$N$679,MATCH(652,Engine!$C$2:$C$679,0)))</f>
        <v/>
      </c>
      <c r="O665" s="8">
        <f>IF(ISNA(MATCH(652,Engine!$C$2:$C$679,0)),"",INDEX('Compliance Database'!$O$2:$O$679,MATCH(652,Engine!$C$2:$C$679,0)))</f>
        <v/>
      </c>
      <c r="P665">
        <f>IF(ISNA(MATCH(652,Engine!$C$2:$C$679,0)),"",HYPERLINK(INDEX('Compliance Database'!$P$2:$P$679,MATCH(652,Engine!$C$2:$C$679,0)),"Open PDF"))</f>
        <v/>
      </c>
    </row>
    <row r="666">
      <c r="A666">
        <f>IF(ISNA(MATCH(653,Engine!$C$2:$C$679,0)),"",INDEX('Compliance Database'!$A$2:$A$679,MATCH(653,Engine!$C$2:$C$679,0)))</f>
        <v/>
      </c>
      <c r="B666">
        <f>IF(ISNA(MATCH(653,Engine!$C$2:$C$679,0)),"",INDEX('Compliance Database'!$B$2:$B$679,MATCH(653,Engine!$C$2:$C$679,0)))</f>
        <v/>
      </c>
      <c r="C666">
        <f>IF(ISNA(MATCH(653,Engine!$C$2:$C$679,0)),"",INDEX('Compliance Database'!$C$2:$C$679,MATCH(653,Engine!$C$2:$C$679,0)))</f>
        <v/>
      </c>
      <c r="D666" s="8">
        <f>IF(ISNA(MATCH(653,Engine!$C$2:$C$679,0)),"",INDEX('Compliance Database'!$D$2:$D$679,MATCH(653,Engine!$C$2:$C$679,0)))</f>
        <v/>
      </c>
      <c r="E666">
        <f>IF(ISNA(MATCH(653,Engine!$C$2:$C$679,0)),"",INDEX('Compliance Database'!$E$2:$E$679,MATCH(653,Engine!$C$2:$C$679,0)))</f>
        <v/>
      </c>
      <c r="F666">
        <f>IF(ISNA(MATCH(653,Engine!$C$2:$C$679,0)),"",INDEX('Compliance Database'!$F$2:$F$679,MATCH(653,Engine!$C$2:$C$679,0)))</f>
        <v/>
      </c>
      <c r="G666">
        <f>IF(ISNA(MATCH(653,Engine!$C$2:$C$679,0)),"",INDEX('Compliance Database'!$G$2:$G$679,MATCH(653,Engine!$C$2:$C$679,0)))</f>
        <v/>
      </c>
      <c r="H666">
        <f>IF(ISNA(MATCH(653,Engine!$C$2:$C$679,0)),"",INDEX('Compliance Database'!$H$2:$H$679,MATCH(653,Engine!$C$2:$C$679,0)))</f>
        <v/>
      </c>
      <c r="I666" s="8">
        <f>IF(ISNA(MATCH(653,Engine!$C$2:$C$679,0)),"",INDEX('Compliance Database'!$I$2:$I$679,MATCH(653,Engine!$C$2:$C$679,0)))</f>
        <v/>
      </c>
      <c r="J666" s="8">
        <f>IF(ISNA(MATCH(653,Engine!$C$2:$C$679,0)),"",INDEX('Compliance Database'!$J$2:$J$679,MATCH(653,Engine!$C$2:$C$679,0)))</f>
        <v/>
      </c>
      <c r="K666">
        <f>IF(ISNA(MATCH(653,Engine!$C$2:$C$679,0)),"",INDEX('Compliance Database'!$K$2:$K$679,MATCH(653,Engine!$C$2:$C$679,0)))</f>
        <v/>
      </c>
      <c r="L666" s="8">
        <f>IF(ISNA(MATCH(653,Engine!$C$2:$C$679,0)),"",INDEX('Compliance Database'!$L$2:$L$679,MATCH(653,Engine!$C$2:$C$679,0)))</f>
        <v/>
      </c>
      <c r="M666" s="8">
        <f>IF(ISNA(MATCH(653,Engine!$C$2:$C$679,0)),"",INDEX('Compliance Database'!$M$2:$M$679,MATCH(653,Engine!$C$2:$C$679,0)))</f>
        <v/>
      </c>
      <c r="N666" s="8">
        <f>IF(ISNA(MATCH(653,Engine!$C$2:$C$679,0)),"",INDEX('Compliance Database'!$N$2:$N$679,MATCH(653,Engine!$C$2:$C$679,0)))</f>
        <v/>
      </c>
      <c r="O666" s="8">
        <f>IF(ISNA(MATCH(653,Engine!$C$2:$C$679,0)),"",INDEX('Compliance Database'!$O$2:$O$679,MATCH(653,Engine!$C$2:$C$679,0)))</f>
        <v/>
      </c>
      <c r="P666">
        <f>IF(ISNA(MATCH(653,Engine!$C$2:$C$679,0)),"",HYPERLINK(INDEX('Compliance Database'!$P$2:$P$679,MATCH(653,Engine!$C$2:$C$679,0)),"Open PDF"))</f>
        <v/>
      </c>
    </row>
    <row r="667">
      <c r="A667">
        <f>IF(ISNA(MATCH(654,Engine!$C$2:$C$679,0)),"",INDEX('Compliance Database'!$A$2:$A$679,MATCH(654,Engine!$C$2:$C$679,0)))</f>
        <v/>
      </c>
      <c r="B667">
        <f>IF(ISNA(MATCH(654,Engine!$C$2:$C$679,0)),"",INDEX('Compliance Database'!$B$2:$B$679,MATCH(654,Engine!$C$2:$C$679,0)))</f>
        <v/>
      </c>
      <c r="C667">
        <f>IF(ISNA(MATCH(654,Engine!$C$2:$C$679,0)),"",INDEX('Compliance Database'!$C$2:$C$679,MATCH(654,Engine!$C$2:$C$679,0)))</f>
        <v/>
      </c>
      <c r="D667" s="8">
        <f>IF(ISNA(MATCH(654,Engine!$C$2:$C$679,0)),"",INDEX('Compliance Database'!$D$2:$D$679,MATCH(654,Engine!$C$2:$C$679,0)))</f>
        <v/>
      </c>
      <c r="E667">
        <f>IF(ISNA(MATCH(654,Engine!$C$2:$C$679,0)),"",INDEX('Compliance Database'!$E$2:$E$679,MATCH(654,Engine!$C$2:$C$679,0)))</f>
        <v/>
      </c>
      <c r="F667">
        <f>IF(ISNA(MATCH(654,Engine!$C$2:$C$679,0)),"",INDEX('Compliance Database'!$F$2:$F$679,MATCH(654,Engine!$C$2:$C$679,0)))</f>
        <v/>
      </c>
      <c r="G667">
        <f>IF(ISNA(MATCH(654,Engine!$C$2:$C$679,0)),"",INDEX('Compliance Database'!$G$2:$G$679,MATCH(654,Engine!$C$2:$C$679,0)))</f>
        <v/>
      </c>
      <c r="H667">
        <f>IF(ISNA(MATCH(654,Engine!$C$2:$C$679,0)),"",INDEX('Compliance Database'!$H$2:$H$679,MATCH(654,Engine!$C$2:$C$679,0)))</f>
        <v/>
      </c>
      <c r="I667" s="8">
        <f>IF(ISNA(MATCH(654,Engine!$C$2:$C$679,0)),"",INDEX('Compliance Database'!$I$2:$I$679,MATCH(654,Engine!$C$2:$C$679,0)))</f>
        <v/>
      </c>
      <c r="J667" s="8">
        <f>IF(ISNA(MATCH(654,Engine!$C$2:$C$679,0)),"",INDEX('Compliance Database'!$J$2:$J$679,MATCH(654,Engine!$C$2:$C$679,0)))</f>
        <v/>
      </c>
      <c r="K667">
        <f>IF(ISNA(MATCH(654,Engine!$C$2:$C$679,0)),"",INDEX('Compliance Database'!$K$2:$K$679,MATCH(654,Engine!$C$2:$C$679,0)))</f>
        <v/>
      </c>
      <c r="L667" s="8">
        <f>IF(ISNA(MATCH(654,Engine!$C$2:$C$679,0)),"",INDEX('Compliance Database'!$L$2:$L$679,MATCH(654,Engine!$C$2:$C$679,0)))</f>
        <v/>
      </c>
      <c r="M667" s="8">
        <f>IF(ISNA(MATCH(654,Engine!$C$2:$C$679,0)),"",INDEX('Compliance Database'!$M$2:$M$679,MATCH(654,Engine!$C$2:$C$679,0)))</f>
        <v/>
      </c>
      <c r="N667" s="8">
        <f>IF(ISNA(MATCH(654,Engine!$C$2:$C$679,0)),"",INDEX('Compliance Database'!$N$2:$N$679,MATCH(654,Engine!$C$2:$C$679,0)))</f>
        <v/>
      </c>
      <c r="O667" s="8">
        <f>IF(ISNA(MATCH(654,Engine!$C$2:$C$679,0)),"",INDEX('Compliance Database'!$O$2:$O$679,MATCH(654,Engine!$C$2:$C$679,0)))</f>
        <v/>
      </c>
      <c r="P667">
        <f>IF(ISNA(MATCH(654,Engine!$C$2:$C$679,0)),"",HYPERLINK(INDEX('Compliance Database'!$P$2:$P$679,MATCH(654,Engine!$C$2:$C$679,0)),"Open PDF"))</f>
        <v/>
      </c>
    </row>
    <row r="668">
      <c r="A668">
        <f>IF(ISNA(MATCH(655,Engine!$C$2:$C$679,0)),"",INDEX('Compliance Database'!$A$2:$A$679,MATCH(655,Engine!$C$2:$C$679,0)))</f>
        <v/>
      </c>
      <c r="B668">
        <f>IF(ISNA(MATCH(655,Engine!$C$2:$C$679,0)),"",INDEX('Compliance Database'!$B$2:$B$679,MATCH(655,Engine!$C$2:$C$679,0)))</f>
        <v/>
      </c>
      <c r="C668">
        <f>IF(ISNA(MATCH(655,Engine!$C$2:$C$679,0)),"",INDEX('Compliance Database'!$C$2:$C$679,MATCH(655,Engine!$C$2:$C$679,0)))</f>
        <v/>
      </c>
      <c r="D668" s="8">
        <f>IF(ISNA(MATCH(655,Engine!$C$2:$C$679,0)),"",INDEX('Compliance Database'!$D$2:$D$679,MATCH(655,Engine!$C$2:$C$679,0)))</f>
        <v/>
      </c>
      <c r="E668">
        <f>IF(ISNA(MATCH(655,Engine!$C$2:$C$679,0)),"",INDEX('Compliance Database'!$E$2:$E$679,MATCH(655,Engine!$C$2:$C$679,0)))</f>
        <v/>
      </c>
      <c r="F668">
        <f>IF(ISNA(MATCH(655,Engine!$C$2:$C$679,0)),"",INDEX('Compliance Database'!$F$2:$F$679,MATCH(655,Engine!$C$2:$C$679,0)))</f>
        <v/>
      </c>
      <c r="G668">
        <f>IF(ISNA(MATCH(655,Engine!$C$2:$C$679,0)),"",INDEX('Compliance Database'!$G$2:$G$679,MATCH(655,Engine!$C$2:$C$679,0)))</f>
        <v/>
      </c>
      <c r="H668">
        <f>IF(ISNA(MATCH(655,Engine!$C$2:$C$679,0)),"",INDEX('Compliance Database'!$H$2:$H$679,MATCH(655,Engine!$C$2:$C$679,0)))</f>
        <v/>
      </c>
      <c r="I668" s="8">
        <f>IF(ISNA(MATCH(655,Engine!$C$2:$C$679,0)),"",INDEX('Compliance Database'!$I$2:$I$679,MATCH(655,Engine!$C$2:$C$679,0)))</f>
        <v/>
      </c>
      <c r="J668" s="8">
        <f>IF(ISNA(MATCH(655,Engine!$C$2:$C$679,0)),"",INDEX('Compliance Database'!$J$2:$J$679,MATCH(655,Engine!$C$2:$C$679,0)))</f>
        <v/>
      </c>
      <c r="K668">
        <f>IF(ISNA(MATCH(655,Engine!$C$2:$C$679,0)),"",INDEX('Compliance Database'!$K$2:$K$679,MATCH(655,Engine!$C$2:$C$679,0)))</f>
        <v/>
      </c>
      <c r="L668" s="8">
        <f>IF(ISNA(MATCH(655,Engine!$C$2:$C$679,0)),"",INDEX('Compliance Database'!$L$2:$L$679,MATCH(655,Engine!$C$2:$C$679,0)))</f>
        <v/>
      </c>
      <c r="M668" s="8">
        <f>IF(ISNA(MATCH(655,Engine!$C$2:$C$679,0)),"",INDEX('Compliance Database'!$M$2:$M$679,MATCH(655,Engine!$C$2:$C$679,0)))</f>
        <v/>
      </c>
      <c r="N668" s="8">
        <f>IF(ISNA(MATCH(655,Engine!$C$2:$C$679,0)),"",INDEX('Compliance Database'!$N$2:$N$679,MATCH(655,Engine!$C$2:$C$679,0)))</f>
        <v/>
      </c>
      <c r="O668" s="8">
        <f>IF(ISNA(MATCH(655,Engine!$C$2:$C$679,0)),"",INDEX('Compliance Database'!$O$2:$O$679,MATCH(655,Engine!$C$2:$C$679,0)))</f>
        <v/>
      </c>
      <c r="P668">
        <f>IF(ISNA(MATCH(655,Engine!$C$2:$C$679,0)),"",HYPERLINK(INDEX('Compliance Database'!$P$2:$P$679,MATCH(655,Engine!$C$2:$C$679,0)),"Open PDF"))</f>
        <v/>
      </c>
    </row>
    <row r="669">
      <c r="A669">
        <f>IF(ISNA(MATCH(656,Engine!$C$2:$C$679,0)),"",INDEX('Compliance Database'!$A$2:$A$679,MATCH(656,Engine!$C$2:$C$679,0)))</f>
        <v/>
      </c>
      <c r="B669">
        <f>IF(ISNA(MATCH(656,Engine!$C$2:$C$679,0)),"",INDEX('Compliance Database'!$B$2:$B$679,MATCH(656,Engine!$C$2:$C$679,0)))</f>
        <v/>
      </c>
      <c r="C669">
        <f>IF(ISNA(MATCH(656,Engine!$C$2:$C$679,0)),"",INDEX('Compliance Database'!$C$2:$C$679,MATCH(656,Engine!$C$2:$C$679,0)))</f>
        <v/>
      </c>
      <c r="D669" s="8">
        <f>IF(ISNA(MATCH(656,Engine!$C$2:$C$679,0)),"",INDEX('Compliance Database'!$D$2:$D$679,MATCH(656,Engine!$C$2:$C$679,0)))</f>
        <v/>
      </c>
      <c r="E669">
        <f>IF(ISNA(MATCH(656,Engine!$C$2:$C$679,0)),"",INDEX('Compliance Database'!$E$2:$E$679,MATCH(656,Engine!$C$2:$C$679,0)))</f>
        <v/>
      </c>
      <c r="F669">
        <f>IF(ISNA(MATCH(656,Engine!$C$2:$C$679,0)),"",INDEX('Compliance Database'!$F$2:$F$679,MATCH(656,Engine!$C$2:$C$679,0)))</f>
        <v/>
      </c>
      <c r="G669">
        <f>IF(ISNA(MATCH(656,Engine!$C$2:$C$679,0)),"",INDEX('Compliance Database'!$G$2:$G$679,MATCH(656,Engine!$C$2:$C$679,0)))</f>
        <v/>
      </c>
      <c r="H669">
        <f>IF(ISNA(MATCH(656,Engine!$C$2:$C$679,0)),"",INDEX('Compliance Database'!$H$2:$H$679,MATCH(656,Engine!$C$2:$C$679,0)))</f>
        <v/>
      </c>
      <c r="I669" s="8">
        <f>IF(ISNA(MATCH(656,Engine!$C$2:$C$679,0)),"",INDEX('Compliance Database'!$I$2:$I$679,MATCH(656,Engine!$C$2:$C$679,0)))</f>
        <v/>
      </c>
      <c r="J669" s="8">
        <f>IF(ISNA(MATCH(656,Engine!$C$2:$C$679,0)),"",INDEX('Compliance Database'!$J$2:$J$679,MATCH(656,Engine!$C$2:$C$679,0)))</f>
        <v/>
      </c>
      <c r="K669">
        <f>IF(ISNA(MATCH(656,Engine!$C$2:$C$679,0)),"",INDEX('Compliance Database'!$K$2:$K$679,MATCH(656,Engine!$C$2:$C$679,0)))</f>
        <v/>
      </c>
      <c r="L669" s="8">
        <f>IF(ISNA(MATCH(656,Engine!$C$2:$C$679,0)),"",INDEX('Compliance Database'!$L$2:$L$679,MATCH(656,Engine!$C$2:$C$679,0)))</f>
        <v/>
      </c>
      <c r="M669" s="8">
        <f>IF(ISNA(MATCH(656,Engine!$C$2:$C$679,0)),"",INDEX('Compliance Database'!$M$2:$M$679,MATCH(656,Engine!$C$2:$C$679,0)))</f>
        <v/>
      </c>
      <c r="N669" s="8">
        <f>IF(ISNA(MATCH(656,Engine!$C$2:$C$679,0)),"",INDEX('Compliance Database'!$N$2:$N$679,MATCH(656,Engine!$C$2:$C$679,0)))</f>
        <v/>
      </c>
      <c r="O669" s="8">
        <f>IF(ISNA(MATCH(656,Engine!$C$2:$C$679,0)),"",INDEX('Compliance Database'!$O$2:$O$679,MATCH(656,Engine!$C$2:$C$679,0)))</f>
        <v/>
      </c>
      <c r="P669">
        <f>IF(ISNA(MATCH(656,Engine!$C$2:$C$679,0)),"",HYPERLINK(INDEX('Compliance Database'!$P$2:$P$679,MATCH(656,Engine!$C$2:$C$679,0)),"Open PDF"))</f>
        <v/>
      </c>
    </row>
    <row r="670">
      <c r="A670">
        <f>IF(ISNA(MATCH(657,Engine!$C$2:$C$679,0)),"",INDEX('Compliance Database'!$A$2:$A$679,MATCH(657,Engine!$C$2:$C$679,0)))</f>
        <v/>
      </c>
      <c r="B670">
        <f>IF(ISNA(MATCH(657,Engine!$C$2:$C$679,0)),"",INDEX('Compliance Database'!$B$2:$B$679,MATCH(657,Engine!$C$2:$C$679,0)))</f>
        <v/>
      </c>
      <c r="C670">
        <f>IF(ISNA(MATCH(657,Engine!$C$2:$C$679,0)),"",INDEX('Compliance Database'!$C$2:$C$679,MATCH(657,Engine!$C$2:$C$679,0)))</f>
        <v/>
      </c>
      <c r="D670" s="8">
        <f>IF(ISNA(MATCH(657,Engine!$C$2:$C$679,0)),"",INDEX('Compliance Database'!$D$2:$D$679,MATCH(657,Engine!$C$2:$C$679,0)))</f>
        <v/>
      </c>
      <c r="E670">
        <f>IF(ISNA(MATCH(657,Engine!$C$2:$C$679,0)),"",INDEX('Compliance Database'!$E$2:$E$679,MATCH(657,Engine!$C$2:$C$679,0)))</f>
        <v/>
      </c>
      <c r="F670">
        <f>IF(ISNA(MATCH(657,Engine!$C$2:$C$679,0)),"",INDEX('Compliance Database'!$F$2:$F$679,MATCH(657,Engine!$C$2:$C$679,0)))</f>
        <v/>
      </c>
      <c r="G670">
        <f>IF(ISNA(MATCH(657,Engine!$C$2:$C$679,0)),"",INDEX('Compliance Database'!$G$2:$G$679,MATCH(657,Engine!$C$2:$C$679,0)))</f>
        <v/>
      </c>
      <c r="H670">
        <f>IF(ISNA(MATCH(657,Engine!$C$2:$C$679,0)),"",INDEX('Compliance Database'!$H$2:$H$679,MATCH(657,Engine!$C$2:$C$679,0)))</f>
        <v/>
      </c>
      <c r="I670" s="8">
        <f>IF(ISNA(MATCH(657,Engine!$C$2:$C$679,0)),"",INDEX('Compliance Database'!$I$2:$I$679,MATCH(657,Engine!$C$2:$C$679,0)))</f>
        <v/>
      </c>
      <c r="J670" s="8">
        <f>IF(ISNA(MATCH(657,Engine!$C$2:$C$679,0)),"",INDEX('Compliance Database'!$J$2:$J$679,MATCH(657,Engine!$C$2:$C$679,0)))</f>
        <v/>
      </c>
      <c r="K670">
        <f>IF(ISNA(MATCH(657,Engine!$C$2:$C$679,0)),"",INDEX('Compliance Database'!$K$2:$K$679,MATCH(657,Engine!$C$2:$C$679,0)))</f>
        <v/>
      </c>
      <c r="L670" s="8">
        <f>IF(ISNA(MATCH(657,Engine!$C$2:$C$679,0)),"",INDEX('Compliance Database'!$L$2:$L$679,MATCH(657,Engine!$C$2:$C$679,0)))</f>
        <v/>
      </c>
      <c r="M670" s="8">
        <f>IF(ISNA(MATCH(657,Engine!$C$2:$C$679,0)),"",INDEX('Compliance Database'!$M$2:$M$679,MATCH(657,Engine!$C$2:$C$679,0)))</f>
        <v/>
      </c>
      <c r="N670" s="8">
        <f>IF(ISNA(MATCH(657,Engine!$C$2:$C$679,0)),"",INDEX('Compliance Database'!$N$2:$N$679,MATCH(657,Engine!$C$2:$C$679,0)))</f>
        <v/>
      </c>
      <c r="O670" s="8">
        <f>IF(ISNA(MATCH(657,Engine!$C$2:$C$679,0)),"",INDEX('Compliance Database'!$O$2:$O$679,MATCH(657,Engine!$C$2:$C$679,0)))</f>
        <v/>
      </c>
      <c r="P670">
        <f>IF(ISNA(MATCH(657,Engine!$C$2:$C$679,0)),"",HYPERLINK(INDEX('Compliance Database'!$P$2:$P$679,MATCH(657,Engine!$C$2:$C$679,0)),"Open PDF"))</f>
        <v/>
      </c>
    </row>
    <row r="671">
      <c r="A671">
        <f>IF(ISNA(MATCH(658,Engine!$C$2:$C$679,0)),"",INDEX('Compliance Database'!$A$2:$A$679,MATCH(658,Engine!$C$2:$C$679,0)))</f>
        <v/>
      </c>
      <c r="B671">
        <f>IF(ISNA(MATCH(658,Engine!$C$2:$C$679,0)),"",INDEX('Compliance Database'!$B$2:$B$679,MATCH(658,Engine!$C$2:$C$679,0)))</f>
        <v/>
      </c>
      <c r="C671">
        <f>IF(ISNA(MATCH(658,Engine!$C$2:$C$679,0)),"",INDEX('Compliance Database'!$C$2:$C$679,MATCH(658,Engine!$C$2:$C$679,0)))</f>
        <v/>
      </c>
      <c r="D671" s="8">
        <f>IF(ISNA(MATCH(658,Engine!$C$2:$C$679,0)),"",INDEX('Compliance Database'!$D$2:$D$679,MATCH(658,Engine!$C$2:$C$679,0)))</f>
        <v/>
      </c>
      <c r="E671">
        <f>IF(ISNA(MATCH(658,Engine!$C$2:$C$679,0)),"",INDEX('Compliance Database'!$E$2:$E$679,MATCH(658,Engine!$C$2:$C$679,0)))</f>
        <v/>
      </c>
      <c r="F671">
        <f>IF(ISNA(MATCH(658,Engine!$C$2:$C$679,0)),"",INDEX('Compliance Database'!$F$2:$F$679,MATCH(658,Engine!$C$2:$C$679,0)))</f>
        <v/>
      </c>
      <c r="G671">
        <f>IF(ISNA(MATCH(658,Engine!$C$2:$C$679,0)),"",INDEX('Compliance Database'!$G$2:$G$679,MATCH(658,Engine!$C$2:$C$679,0)))</f>
        <v/>
      </c>
      <c r="H671">
        <f>IF(ISNA(MATCH(658,Engine!$C$2:$C$679,0)),"",INDEX('Compliance Database'!$H$2:$H$679,MATCH(658,Engine!$C$2:$C$679,0)))</f>
        <v/>
      </c>
      <c r="I671" s="8">
        <f>IF(ISNA(MATCH(658,Engine!$C$2:$C$679,0)),"",INDEX('Compliance Database'!$I$2:$I$679,MATCH(658,Engine!$C$2:$C$679,0)))</f>
        <v/>
      </c>
      <c r="J671" s="8">
        <f>IF(ISNA(MATCH(658,Engine!$C$2:$C$679,0)),"",INDEX('Compliance Database'!$J$2:$J$679,MATCH(658,Engine!$C$2:$C$679,0)))</f>
        <v/>
      </c>
      <c r="K671">
        <f>IF(ISNA(MATCH(658,Engine!$C$2:$C$679,0)),"",INDEX('Compliance Database'!$K$2:$K$679,MATCH(658,Engine!$C$2:$C$679,0)))</f>
        <v/>
      </c>
      <c r="L671" s="8">
        <f>IF(ISNA(MATCH(658,Engine!$C$2:$C$679,0)),"",INDEX('Compliance Database'!$L$2:$L$679,MATCH(658,Engine!$C$2:$C$679,0)))</f>
        <v/>
      </c>
      <c r="M671" s="8">
        <f>IF(ISNA(MATCH(658,Engine!$C$2:$C$679,0)),"",INDEX('Compliance Database'!$M$2:$M$679,MATCH(658,Engine!$C$2:$C$679,0)))</f>
        <v/>
      </c>
      <c r="N671" s="8">
        <f>IF(ISNA(MATCH(658,Engine!$C$2:$C$679,0)),"",INDEX('Compliance Database'!$N$2:$N$679,MATCH(658,Engine!$C$2:$C$679,0)))</f>
        <v/>
      </c>
      <c r="O671" s="8">
        <f>IF(ISNA(MATCH(658,Engine!$C$2:$C$679,0)),"",INDEX('Compliance Database'!$O$2:$O$679,MATCH(658,Engine!$C$2:$C$679,0)))</f>
        <v/>
      </c>
      <c r="P671">
        <f>IF(ISNA(MATCH(658,Engine!$C$2:$C$679,0)),"",HYPERLINK(INDEX('Compliance Database'!$P$2:$P$679,MATCH(658,Engine!$C$2:$C$679,0)),"Open PDF"))</f>
        <v/>
      </c>
    </row>
    <row r="672">
      <c r="A672">
        <f>IF(ISNA(MATCH(659,Engine!$C$2:$C$679,0)),"",INDEX('Compliance Database'!$A$2:$A$679,MATCH(659,Engine!$C$2:$C$679,0)))</f>
        <v/>
      </c>
      <c r="B672">
        <f>IF(ISNA(MATCH(659,Engine!$C$2:$C$679,0)),"",INDEX('Compliance Database'!$B$2:$B$679,MATCH(659,Engine!$C$2:$C$679,0)))</f>
        <v/>
      </c>
      <c r="C672">
        <f>IF(ISNA(MATCH(659,Engine!$C$2:$C$679,0)),"",INDEX('Compliance Database'!$C$2:$C$679,MATCH(659,Engine!$C$2:$C$679,0)))</f>
        <v/>
      </c>
      <c r="D672" s="8">
        <f>IF(ISNA(MATCH(659,Engine!$C$2:$C$679,0)),"",INDEX('Compliance Database'!$D$2:$D$679,MATCH(659,Engine!$C$2:$C$679,0)))</f>
        <v/>
      </c>
      <c r="E672">
        <f>IF(ISNA(MATCH(659,Engine!$C$2:$C$679,0)),"",INDEX('Compliance Database'!$E$2:$E$679,MATCH(659,Engine!$C$2:$C$679,0)))</f>
        <v/>
      </c>
      <c r="F672">
        <f>IF(ISNA(MATCH(659,Engine!$C$2:$C$679,0)),"",INDEX('Compliance Database'!$F$2:$F$679,MATCH(659,Engine!$C$2:$C$679,0)))</f>
        <v/>
      </c>
      <c r="G672">
        <f>IF(ISNA(MATCH(659,Engine!$C$2:$C$679,0)),"",INDEX('Compliance Database'!$G$2:$G$679,MATCH(659,Engine!$C$2:$C$679,0)))</f>
        <v/>
      </c>
      <c r="H672">
        <f>IF(ISNA(MATCH(659,Engine!$C$2:$C$679,0)),"",INDEX('Compliance Database'!$H$2:$H$679,MATCH(659,Engine!$C$2:$C$679,0)))</f>
        <v/>
      </c>
      <c r="I672" s="8">
        <f>IF(ISNA(MATCH(659,Engine!$C$2:$C$679,0)),"",INDEX('Compliance Database'!$I$2:$I$679,MATCH(659,Engine!$C$2:$C$679,0)))</f>
        <v/>
      </c>
      <c r="J672" s="8">
        <f>IF(ISNA(MATCH(659,Engine!$C$2:$C$679,0)),"",INDEX('Compliance Database'!$J$2:$J$679,MATCH(659,Engine!$C$2:$C$679,0)))</f>
        <v/>
      </c>
      <c r="K672">
        <f>IF(ISNA(MATCH(659,Engine!$C$2:$C$679,0)),"",INDEX('Compliance Database'!$K$2:$K$679,MATCH(659,Engine!$C$2:$C$679,0)))</f>
        <v/>
      </c>
      <c r="L672" s="8">
        <f>IF(ISNA(MATCH(659,Engine!$C$2:$C$679,0)),"",INDEX('Compliance Database'!$L$2:$L$679,MATCH(659,Engine!$C$2:$C$679,0)))</f>
        <v/>
      </c>
      <c r="M672" s="8">
        <f>IF(ISNA(MATCH(659,Engine!$C$2:$C$679,0)),"",INDEX('Compliance Database'!$M$2:$M$679,MATCH(659,Engine!$C$2:$C$679,0)))</f>
        <v/>
      </c>
      <c r="N672" s="8">
        <f>IF(ISNA(MATCH(659,Engine!$C$2:$C$679,0)),"",INDEX('Compliance Database'!$N$2:$N$679,MATCH(659,Engine!$C$2:$C$679,0)))</f>
        <v/>
      </c>
      <c r="O672" s="8">
        <f>IF(ISNA(MATCH(659,Engine!$C$2:$C$679,0)),"",INDEX('Compliance Database'!$O$2:$O$679,MATCH(659,Engine!$C$2:$C$679,0)))</f>
        <v/>
      </c>
      <c r="P672">
        <f>IF(ISNA(MATCH(659,Engine!$C$2:$C$679,0)),"",HYPERLINK(INDEX('Compliance Database'!$P$2:$P$679,MATCH(659,Engine!$C$2:$C$679,0)),"Open PDF"))</f>
        <v/>
      </c>
    </row>
    <row r="673">
      <c r="A673">
        <f>IF(ISNA(MATCH(660,Engine!$C$2:$C$679,0)),"",INDEX('Compliance Database'!$A$2:$A$679,MATCH(660,Engine!$C$2:$C$679,0)))</f>
        <v/>
      </c>
      <c r="B673">
        <f>IF(ISNA(MATCH(660,Engine!$C$2:$C$679,0)),"",INDEX('Compliance Database'!$B$2:$B$679,MATCH(660,Engine!$C$2:$C$679,0)))</f>
        <v/>
      </c>
      <c r="C673">
        <f>IF(ISNA(MATCH(660,Engine!$C$2:$C$679,0)),"",INDEX('Compliance Database'!$C$2:$C$679,MATCH(660,Engine!$C$2:$C$679,0)))</f>
        <v/>
      </c>
      <c r="D673" s="8">
        <f>IF(ISNA(MATCH(660,Engine!$C$2:$C$679,0)),"",INDEX('Compliance Database'!$D$2:$D$679,MATCH(660,Engine!$C$2:$C$679,0)))</f>
        <v/>
      </c>
      <c r="E673">
        <f>IF(ISNA(MATCH(660,Engine!$C$2:$C$679,0)),"",INDEX('Compliance Database'!$E$2:$E$679,MATCH(660,Engine!$C$2:$C$679,0)))</f>
        <v/>
      </c>
      <c r="F673">
        <f>IF(ISNA(MATCH(660,Engine!$C$2:$C$679,0)),"",INDEX('Compliance Database'!$F$2:$F$679,MATCH(660,Engine!$C$2:$C$679,0)))</f>
        <v/>
      </c>
      <c r="G673">
        <f>IF(ISNA(MATCH(660,Engine!$C$2:$C$679,0)),"",INDEX('Compliance Database'!$G$2:$G$679,MATCH(660,Engine!$C$2:$C$679,0)))</f>
        <v/>
      </c>
      <c r="H673">
        <f>IF(ISNA(MATCH(660,Engine!$C$2:$C$679,0)),"",INDEX('Compliance Database'!$H$2:$H$679,MATCH(660,Engine!$C$2:$C$679,0)))</f>
        <v/>
      </c>
      <c r="I673" s="8">
        <f>IF(ISNA(MATCH(660,Engine!$C$2:$C$679,0)),"",INDEX('Compliance Database'!$I$2:$I$679,MATCH(660,Engine!$C$2:$C$679,0)))</f>
        <v/>
      </c>
      <c r="J673" s="8">
        <f>IF(ISNA(MATCH(660,Engine!$C$2:$C$679,0)),"",INDEX('Compliance Database'!$J$2:$J$679,MATCH(660,Engine!$C$2:$C$679,0)))</f>
        <v/>
      </c>
      <c r="K673">
        <f>IF(ISNA(MATCH(660,Engine!$C$2:$C$679,0)),"",INDEX('Compliance Database'!$K$2:$K$679,MATCH(660,Engine!$C$2:$C$679,0)))</f>
        <v/>
      </c>
      <c r="L673" s="8">
        <f>IF(ISNA(MATCH(660,Engine!$C$2:$C$679,0)),"",INDEX('Compliance Database'!$L$2:$L$679,MATCH(660,Engine!$C$2:$C$679,0)))</f>
        <v/>
      </c>
      <c r="M673" s="8">
        <f>IF(ISNA(MATCH(660,Engine!$C$2:$C$679,0)),"",INDEX('Compliance Database'!$M$2:$M$679,MATCH(660,Engine!$C$2:$C$679,0)))</f>
        <v/>
      </c>
      <c r="N673" s="8">
        <f>IF(ISNA(MATCH(660,Engine!$C$2:$C$679,0)),"",INDEX('Compliance Database'!$N$2:$N$679,MATCH(660,Engine!$C$2:$C$679,0)))</f>
        <v/>
      </c>
      <c r="O673" s="8">
        <f>IF(ISNA(MATCH(660,Engine!$C$2:$C$679,0)),"",INDEX('Compliance Database'!$O$2:$O$679,MATCH(660,Engine!$C$2:$C$679,0)))</f>
        <v/>
      </c>
      <c r="P673">
        <f>IF(ISNA(MATCH(660,Engine!$C$2:$C$679,0)),"",HYPERLINK(INDEX('Compliance Database'!$P$2:$P$679,MATCH(660,Engine!$C$2:$C$679,0)),"Open PDF"))</f>
        <v/>
      </c>
    </row>
    <row r="674">
      <c r="A674">
        <f>IF(ISNA(MATCH(661,Engine!$C$2:$C$679,0)),"",INDEX('Compliance Database'!$A$2:$A$679,MATCH(661,Engine!$C$2:$C$679,0)))</f>
        <v/>
      </c>
      <c r="B674">
        <f>IF(ISNA(MATCH(661,Engine!$C$2:$C$679,0)),"",INDEX('Compliance Database'!$B$2:$B$679,MATCH(661,Engine!$C$2:$C$679,0)))</f>
        <v/>
      </c>
      <c r="C674">
        <f>IF(ISNA(MATCH(661,Engine!$C$2:$C$679,0)),"",INDEX('Compliance Database'!$C$2:$C$679,MATCH(661,Engine!$C$2:$C$679,0)))</f>
        <v/>
      </c>
      <c r="D674" s="8">
        <f>IF(ISNA(MATCH(661,Engine!$C$2:$C$679,0)),"",INDEX('Compliance Database'!$D$2:$D$679,MATCH(661,Engine!$C$2:$C$679,0)))</f>
        <v/>
      </c>
      <c r="E674">
        <f>IF(ISNA(MATCH(661,Engine!$C$2:$C$679,0)),"",INDEX('Compliance Database'!$E$2:$E$679,MATCH(661,Engine!$C$2:$C$679,0)))</f>
        <v/>
      </c>
      <c r="F674">
        <f>IF(ISNA(MATCH(661,Engine!$C$2:$C$679,0)),"",INDEX('Compliance Database'!$F$2:$F$679,MATCH(661,Engine!$C$2:$C$679,0)))</f>
        <v/>
      </c>
      <c r="G674">
        <f>IF(ISNA(MATCH(661,Engine!$C$2:$C$679,0)),"",INDEX('Compliance Database'!$G$2:$G$679,MATCH(661,Engine!$C$2:$C$679,0)))</f>
        <v/>
      </c>
      <c r="H674">
        <f>IF(ISNA(MATCH(661,Engine!$C$2:$C$679,0)),"",INDEX('Compliance Database'!$H$2:$H$679,MATCH(661,Engine!$C$2:$C$679,0)))</f>
        <v/>
      </c>
      <c r="I674" s="8">
        <f>IF(ISNA(MATCH(661,Engine!$C$2:$C$679,0)),"",INDEX('Compliance Database'!$I$2:$I$679,MATCH(661,Engine!$C$2:$C$679,0)))</f>
        <v/>
      </c>
      <c r="J674" s="8">
        <f>IF(ISNA(MATCH(661,Engine!$C$2:$C$679,0)),"",INDEX('Compliance Database'!$J$2:$J$679,MATCH(661,Engine!$C$2:$C$679,0)))</f>
        <v/>
      </c>
      <c r="K674">
        <f>IF(ISNA(MATCH(661,Engine!$C$2:$C$679,0)),"",INDEX('Compliance Database'!$K$2:$K$679,MATCH(661,Engine!$C$2:$C$679,0)))</f>
        <v/>
      </c>
      <c r="L674" s="8">
        <f>IF(ISNA(MATCH(661,Engine!$C$2:$C$679,0)),"",INDEX('Compliance Database'!$L$2:$L$679,MATCH(661,Engine!$C$2:$C$679,0)))</f>
        <v/>
      </c>
      <c r="M674" s="8">
        <f>IF(ISNA(MATCH(661,Engine!$C$2:$C$679,0)),"",INDEX('Compliance Database'!$M$2:$M$679,MATCH(661,Engine!$C$2:$C$679,0)))</f>
        <v/>
      </c>
      <c r="N674" s="8">
        <f>IF(ISNA(MATCH(661,Engine!$C$2:$C$679,0)),"",INDEX('Compliance Database'!$N$2:$N$679,MATCH(661,Engine!$C$2:$C$679,0)))</f>
        <v/>
      </c>
      <c r="O674" s="8">
        <f>IF(ISNA(MATCH(661,Engine!$C$2:$C$679,0)),"",INDEX('Compliance Database'!$O$2:$O$679,MATCH(661,Engine!$C$2:$C$679,0)))</f>
        <v/>
      </c>
      <c r="P674">
        <f>IF(ISNA(MATCH(661,Engine!$C$2:$C$679,0)),"",HYPERLINK(INDEX('Compliance Database'!$P$2:$P$679,MATCH(661,Engine!$C$2:$C$679,0)),"Open PDF"))</f>
        <v/>
      </c>
    </row>
    <row r="675">
      <c r="A675">
        <f>IF(ISNA(MATCH(662,Engine!$C$2:$C$679,0)),"",INDEX('Compliance Database'!$A$2:$A$679,MATCH(662,Engine!$C$2:$C$679,0)))</f>
        <v/>
      </c>
      <c r="B675">
        <f>IF(ISNA(MATCH(662,Engine!$C$2:$C$679,0)),"",INDEX('Compliance Database'!$B$2:$B$679,MATCH(662,Engine!$C$2:$C$679,0)))</f>
        <v/>
      </c>
      <c r="C675">
        <f>IF(ISNA(MATCH(662,Engine!$C$2:$C$679,0)),"",INDEX('Compliance Database'!$C$2:$C$679,MATCH(662,Engine!$C$2:$C$679,0)))</f>
        <v/>
      </c>
      <c r="D675" s="8">
        <f>IF(ISNA(MATCH(662,Engine!$C$2:$C$679,0)),"",INDEX('Compliance Database'!$D$2:$D$679,MATCH(662,Engine!$C$2:$C$679,0)))</f>
        <v/>
      </c>
      <c r="E675">
        <f>IF(ISNA(MATCH(662,Engine!$C$2:$C$679,0)),"",INDEX('Compliance Database'!$E$2:$E$679,MATCH(662,Engine!$C$2:$C$679,0)))</f>
        <v/>
      </c>
      <c r="F675">
        <f>IF(ISNA(MATCH(662,Engine!$C$2:$C$679,0)),"",INDEX('Compliance Database'!$F$2:$F$679,MATCH(662,Engine!$C$2:$C$679,0)))</f>
        <v/>
      </c>
      <c r="G675">
        <f>IF(ISNA(MATCH(662,Engine!$C$2:$C$679,0)),"",INDEX('Compliance Database'!$G$2:$G$679,MATCH(662,Engine!$C$2:$C$679,0)))</f>
        <v/>
      </c>
      <c r="H675">
        <f>IF(ISNA(MATCH(662,Engine!$C$2:$C$679,0)),"",INDEX('Compliance Database'!$H$2:$H$679,MATCH(662,Engine!$C$2:$C$679,0)))</f>
        <v/>
      </c>
      <c r="I675" s="8">
        <f>IF(ISNA(MATCH(662,Engine!$C$2:$C$679,0)),"",INDEX('Compliance Database'!$I$2:$I$679,MATCH(662,Engine!$C$2:$C$679,0)))</f>
        <v/>
      </c>
      <c r="J675" s="8">
        <f>IF(ISNA(MATCH(662,Engine!$C$2:$C$679,0)),"",INDEX('Compliance Database'!$J$2:$J$679,MATCH(662,Engine!$C$2:$C$679,0)))</f>
        <v/>
      </c>
      <c r="K675">
        <f>IF(ISNA(MATCH(662,Engine!$C$2:$C$679,0)),"",INDEX('Compliance Database'!$K$2:$K$679,MATCH(662,Engine!$C$2:$C$679,0)))</f>
        <v/>
      </c>
      <c r="L675" s="8">
        <f>IF(ISNA(MATCH(662,Engine!$C$2:$C$679,0)),"",INDEX('Compliance Database'!$L$2:$L$679,MATCH(662,Engine!$C$2:$C$679,0)))</f>
        <v/>
      </c>
      <c r="M675" s="8">
        <f>IF(ISNA(MATCH(662,Engine!$C$2:$C$679,0)),"",INDEX('Compliance Database'!$M$2:$M$679,MATCH(662,Engine!$C$2:$C$679,0)))</f>
        <v/>
      </c>
      <c r="N675" s="8">
        <f>IF(ISNA(MATCH(662,Engine!$C$2:$C$679,0)),"",INDEX('Compliance Database'!$N$2:$N$679,MATCH(662,Engine!$C$2:$C$679,0)))</f>
        <v/>
      </c>
      <c r="O675" s="8">
        <f>IF(ISNA(MATCH(662,Engine!$C$2:$C$679,0)),"",INDEX('Compliance Database'!$O$2:$O$679,MATCH(662,Engine!$C$2:$C$679,0)))</f>
        <v/>
      </c>
      <c r="P675">
        <f>IF(ISNA(MATCH(662,Engine!$C$2:$C$679,0)),"",HYPERLINK(INDEX('Compliance Database'!$P$2:$P$679,MATCH(662,Engine!$C$2:$C$679,0)),"Open PDF"))</f>
        <v/>
      </c>
    </row>
    <row r="676">
      <c r="A676">
        <f>IF(ISNA(MATCH(663,Engine!$C$2:$C$679,0)),"",INDEX('Compliance Database'!$A$2:$A$679,MATCH(663,Engine!$C$2:$C$679,0)))</f>
        <v/>
      </c>
      <c r="B676">
        <f>IF(ISNA(MATCH(663,Engine!$C$2:$C$679,0)),"",INDEX('Compliance Database'!$B$2:$B$679,MATCH(663,Engine!$C$2:$C$679,0)))</f>
        <v/>
      </c>
      <c r="C676">
        <f>IF(ISNA(MATCH(663,Engine!$C$2:$C$679,0)),"",INDEX('Compliance Database'!$C$2:$C$679,MATCH(663,Engine!$C$2:$C$679,0)))</f>
        <v/>
      </c>
      <c r="D676" s="8">
        <f>IF(ISNA(MATCH(663,Engine!$C$2:$C$679,0)),"",INDEX('Compliance Database'!$D$2:$D$679,MATCH(663,Engine!$C$2:$C$679,0)))</f>
        <v/>
      </c>
      <c r="E676">
        <f>IF(ISNA(MATCH(663,Engine!$C$2:$C$679,0)),"",INDEX('Compliance Database'!$E$2:$E$679,MATCH(663,Engine!$C$2:$C$679,0)))</f>
        <v/>
      </c>
      <c r="F676">
        <f>IF(ISNA(MATCH(663,Engine!$C$2:$C$679,0)),"",INDEX('Compliance Database'!$F$2:$F$679,MATCH(663,Engine!$C$2:$C$679,0)))</f>
        <v/>
      </c>
      <c r="G676">
        <f>IF(ISNA(MATCH(663,Engine!$C$2:$C$679,0)),"",INDEX('Compliance Database'!$G$2:$G$679,MATCH(663,Engine!$C$2:$C$679,0)))</f>
        <v/>
      </c>
      <c r="H676">
        <f>IF(ISNA(MATCH(663,Engine!$C$2:$C$679,0)),"",INDEX('Compliance Database'!$H$2:$H$679,MATCH(663,Engine!$C$2:$C$679,0)))</f>
        <v/>
      </c>
      <c r="I676" s="8">
        <f>IF(ISNA(MATCH(663,Engine!$C$2:$C$679,0)),"",INDEX('Compliance Database'!$I$2:$I$679,MATCH(663,Engine!$C$2:$C$679,0)))</f>
        <v/>
      </c>
      <c r="J676" s="8">
        <f>IF(ISNA(MATCH(663,Engine!$C$2:$C$679,0)),"",INDEX('Compliance Database'!$J$2:$J$679,MATCH(663,Engine!$C$2:$C$679,0)))</f>
        <v/>
      </c>
      <c r="K676">
        <f>IF(ISNA(MATCH(663,Engine!$C$2:$C$679,0)),"",INDEX('Compliance Database'!$K$2:$K$679,MATCH(663,Engine!$C$2:$C$679,0)))</f>
        <v/>
      </c>
      <c r="L676" s="8">
        <f>IF(ISNA(MATCH(663,Engine!$C$2:$C$679,0)),"",INDEX('Compliance Database'!$L$2:$L$679,MATCH(663,Engine!$C$2:$C$679,0)))</f>
        <v/>
      </c>
      <c r="M676" s="8">
        <f>IF(ISNA(MATCH(663,Engine!$C$2:$C$679,0)),"",INDEX('Compliance Database'!$M$2:$M$679,MATCH(663,Engine!$C$2:$C$679,0)))</f>
        <v/>
      </c>
      <c r="N676" s="8">
        <f>IF(ISNA(MATCH(663,Engine!$C$2:$C$679,0)),"",INDEX('Compliance Database'!$N$2:$N$679,MATCH(663,Engine!$C$2:$C$679,0)))</f>
        <v/>
      </c>
      <c r="O676" s="8">
        <f>IF(ISNA(MATCH(663,Engine!$C$2:$C$679,0)),"",INDEX('Compliance Database'!$O$2:$O$679,MATCH(663,Engine!$C$2:$C$679,0)))</f>
        <v/>
      </c>
      <c r="P676">
        <f>IF(ISNA(MATCH(663,Engine!$C$2:$C$679,0)),"",HYPERLINK(INDEX('Compliance Database'!$P$2:$P$679,MATCH(663,Engine!$C$2:$C$679,0)),"Open PDF"))</f>
        <v/>
      </c>
    </row>
    <row r="677">
      <c r="A677">
        <f>IF(ISNA(MATCH(664,Engine!$C$2:$C$679,0)),"",INDEX('Compliance Database'!$A$2:$A$679,MATCH(664,Engine!$C$2:$C$679,0)))</f>
        <v/>
      </c>
      <c r="B677">
        <f>IF(ISNA(MATCH(664,Engine!$C$2:$C$679,0)),"",INDEX('Compliance Database'!$B$2:$B$679,MATCH(664,Engine!$C$2:$C$679,0)))</f>
        <v/>
      </c>
      <c r="C677">
        <f>IF(ISNA(MATCH(664,Engine!$C$2:$C$679,0)),"",INDEX('Compliance Database'!$C$2:$C$679,MATCH(664,Engine!$C$2:$C$679,0)))</f>
        <v/>
      </c>
      <c r="D677" s="8">
        <f>IF(ISNA(MATCH(664,Engine!$C$2:$C$679,0)),"",INDEX('Compliance Database'!$D$2:$D$679,MATCH(664,Engine!$C$2:$C$679,0)))</f>
        <v/>
      </c>
      <c r="E677">
        <f>IF(ISNA(MATCH(664,Engine!$C$2:$C$679,0)),"",INDEX('Compliance Database'!$E$2:$E$679,MATCH(664,Engine!$C$2:$C$679,0)))</f>
        <v/>
      </c>
      <c r="F677">
        <f>IF(ISNA(MATCH(664,Engine!$C$2:$C$679,0)),"",INDEX('Compliance Database'!$F$2:$F$679,MATCH(664,Engine!$C$2:$C$679,0)))</f>
        <v/>
      </c>
      <c r="G677">
        <f>IF(ISNA(MATCH(664,Engine!$C$2:$C$679,0)),"",INDEX('Compliance Database'!$G$2:$G$679,MATCH(664,Engine!$C$2:$C$679,0)))</f>
        <v/>
      </c>
      <c r="H677">
        <f>IF(ISNA(MATCH(664,Engine!$C$2:$C$679,0)),"",INDEX('Compliance Database'!$H$2:$H$679,MATCH(664,Engine!$C$2:$C$679,0)))</f>
        <v/>
      </c>
      <c r="I677" s="8">
        <f>IF(ISNA(MATCH(664,Engine!$C$2:$C$679,0)),"",INDEX('Compliance Database'!$I$2:$I$679,MATCH(664,Engine!$C$2:$C$679,0)))</f>
        <v/>
      </c>
      <c r="J677" s="8">
        <f>IF(ISNA(MATCH(664,Engine!$C$2:$C$679,0)),"",INDEX('Compliance Database'!$J$2:$J$679,MATCH(664,Engine!$C$2:$C$679,0)))</f>
        <v/>
      </c>
      <c r="K677">
        <f>IF(ISNA(MATCH(664,Engine!$C$2:$C$679,0)),"",INDEX('Compliance Database'!$K$2:$K$679,MATCH(664,Engine!$C$2:$C$679,0)))</f>
        <v/>
      </c>
      <c r="L677" s="8">
        <f>IF(ISNA(MATCH(664,Engine!$C$2:$C$679,0)),"",INDEX('Compliance Database'!$L$2:$L$679,MATCH(664,Engine!$C$2:$C$679,0)))</f>
        <v/>
      </c>
      <c r="M677" s="8">
        <f>IF(ISNA(MATCH(664,Engine!$C$2:$C$679,0)),"",INDEX('Compliance Database'!$M$2:$M$679,MATCH(664,Engine!$C$2:$C$679,0)))</f>
        <v/>
      </c>
      <c r="N677" s="8">
        <f>IF(ISNA(MATCH(664,Engine!$C$2:$C$679,0)),"",INDEX('Compliance Database'!$N$2:$N$679,MATCH(664,Engine!$C$2:$C$679,0)))</f>
        <v/>
      </c>
      <c r="O677" s="8">
        <f>IF(ISNA(MATCH(664,Engine!$C$2:$C$679,0)),"",INDEX('Compliance Database'!$O$2:$O$679,MATCH(664,Engine!$C$2:$C$679,0)))</f>
        <v/>
      </c>
      <c r="P677">
        <f>IF(ISNA(MATCH(664,Engine!$C$2:$C$679,0)),"",HYPERLINK(INDEX('Compliance Database'!$P$2:$P$679,MATCH(664,Engine!$C$2:$C$679,0)),"Open PDF"))</f>
        <v/>
      </c>
    </row>
    <row r="678">
      <c r="A678">
        <f>IF(ISNA(MATCH(665,Engine!$C$2:$C$679,0)),"",INDEX('Compliance Database'!$A$2:$A$679,MATCH(665,Engine!$C$2:$C$679,0)))</f>
        <v/>
      </c>
      <c r="B678">
        <f>IF(ISNA(MATCH(665,Engine!$C$2:$C$679,0)),"",INDEX('Compliance Database'!$B$2:$B$679,MATCH(665,Engine!$C$2:$C$679,0)))</f>
        <v/>
      </c>
      <c r="C678">
        <f>IF(ISNA(MATCH(665,Engine!$C$2:$C$679,0)),"",INDEX('Compliance Database'!$C$2:$C$679,MATCH(665,Engine!$C$2:$C$679,0)))</f>
        <v/>
      </c>
      <c r="D678" s="8">
        <f>IF(ISNA(MATCH(665,Engine!$C$2:$C$679,0)),"",INDEX('Compliance Database'!$D$2:$D$679,MATCH(665,Engine!$C$2:$C$679,0)))</f>
        <v/>
      </c>
      <c r="E678">
        <f>IF(ISNA(MATCH(665,Engine!$C$2:$C$679,0)),"",INDEX('Compliance Database'!$E$2:$E$679,MATCH(665,Engine!$C$2:$C$679,0)))</f>
        <v/>
      </c>
      <c r="F678">
        <f>IF(ISNA(MATCH(665,Engine!$C$2:$C$679,0)),"",INDEX('Compliance Database'!$F$2:$F$679,MATCH(665,Engine!$C$2:$C$679,0)))</f>
        <v/>
      </c>
      <c r="G678">
        <f>IF(ISNA(MATCH(665,Engine!$C$2:$C$679,0)),"",INDEX('Compliance Database'!$G$2:$G$679,MATCH(665,Engine!$C$2:$C$679,0)))</f>
        <v/>
      </c>
      <c r="H678">
        <f>IF(ISNA(MATCH(665,Engine!$C$2:$C$679,0)),"",INDEX('Compliance Database'!$H$2:$H$679,MATCH(665,Engine!$C$2:$C$679,0)))</f>
        <v/>
      </c>
      <c r="I678" s="8">
        <f>IF(ISNA(MATCH(665,Engine!$C$2:$C$679,0)),"",INDEX('Compliance Database'!$I$2:$I$679,MATCH(665,Engine!$C$2:$C$679,0)))</f>
        <v/>
      </c>
      <c r="J678" s="8">
        <f>IF(ISNA(MATCH(665,Engine!$C$2:$C$679,0)),"",INDEX('Compliance Database'!$J$2:$J$679,MATCH(665,Engine!$C$2:$C$679,0)))</f>
        <v/>
      </c>
      <c r="K678">
        <f>IF(ISNA(MATCH(665,Engine!$C$2:$C$679,0)),"",INDEX('Compliance Database'!$K$2:$K$679,MATCH(665,Engine!$C$2:$C$679,0)))</f>
        <v/>
      </c>
      <c r="L678" s="8">
        <f>IF(ISNA(MATCH(665,Engine!$C$2:$C$679,0)),"",INDEX('Compliance Database'!$L$2:$L$679,MATCH(665,Engine!$C$2:$C$679,0)))</f>
        <v/>
      </c>
      <c r="M678" s="8">
        <f>IF(ISNA(MATCH(665,Engine!$C$2:$C$679,0)),"",INDEX('Compliance Database'!$M$2:$M$679,MATCH(665,Engine!$C$2:$C$679,0)))</f>
        <v/>
      </c>
      <c r="N678" s="8">
        <f>IF(ISNA(MATCH(665,Engine!$C$2:$C$679,0)),"",INDEX('Compliance Database'!$N$2:$N$679,MATCH(665,Engine!$C$2:$C$679,0)))</f>
        <v/>
      </c>
      <c r="O678" s="8">
        <f>IF(ISNA(MATCH(665,Engine!$C$2:$C$679,0)),"",INDEX('Compliance Database'!$O$2:$O$679,MATCH(665,Engine!$C$2:$C$679,0)))</f>
        <v/>
      </c>
      <c r="P678">
        <f>IF(ISNA(MATCH(665,Engine!$C$2:$C$679,0)),"",HYPERLINK(INDEX('Compliance Database'!$P$2:$P$679,MATCH(665,Engine!$C$2:$C$679,0)),"Open PDF"))</f>
        <v/>
      </c>
    </row>
    <row r="679">
      <c r="A679">
        <f>IF(ISNA(MATCH(666,Engine!$C$2:$C$679,0)),"",INDEX('Compliance Database'!$A$2:$A$679,MATCH(666,Engine!$C$2:$C$679,0)))</f>
        <v/>
      </c>
      <c r="B679">
        <f>IF(ISNA(MATCH(666,Engine!$C$2:$C$679,0)),"",INDEX('Compliance Database'!$B$2:$B$679,MATCH(666,Engine!$C$2:$C$679,0)))</f>
        <v/>
      </c>
      <c r="C679">
        <f>IF(ISNA(MATCH(666,Engine!$C$2:$C$679,0)),"",INDEX('Compliance Database'!$C$2:$C$679,MATCH(666,Engine!$C$2:$C$679,0)))</f>
        <v/>
      </c>
      <c r="D679" s="8">
        <f>IF(ISNA(MATCH(666,Engine!$C$2:$C$679,0)),"",INDEX('Compliance Database'!$D$2:$D$679,MATCH(666,Engine!$C$2:$C$679,0)))</f>
        <v/>
      </c>
      <c r="E679">
        <f>IF(ISNA(MATCH(666,Engine!$C$2:$C$679,0)),"",INDEX('Compliance Database'!$E$2:$E$679,MATCH(666,Engine!$C$2:$C$679,0)))</f>
        <v/>
      </c>
      <c r="F679">
        <f>IF(ISNA(MATCH(666,Engine!$C$2:$C$679,0)),"",INDEX('Compliance Database'!$F$2:$F$679,MATCH(666,Engine!$C$2:$C$679,0)))</f>
        <v/>
      </c>
      <c r="G679">
        <f>IF(ISNA(MATCH(666,Engine!$C$2:$C$679,0)),"",INDEX('Compliance Database'!$G$2:$G$679,MATCH(666,Engine!$C$2:$C$679,0)))</f>
        <v/>
      </c>
      <c r="H679">
        <f>IF(ISNA(MATCH(666,Engine!$C$2:$C$679,0)),"",INDEX('Compliance Database'!$H$2:$H$679,MATCH(666,Engine!$C$2:$C$679,0)))</f>
        <v/>
      </c>
      <c r="I679" s="8">
        <f>IF(ISNA(MATCH(666,Engine!$C$2:$C$679,0)),"",INDEX('Compliance Database'!$I$2:$I$679,MATCH(666,Engine!$C$2:$C$679,0)))</f>
        <v/>
      </c>
      <c r="J679" s="8">
        <f>IF(ISNA(MATCH(666,Engine!$C$2:$C$679,0)),"",INDEX('Compliance Database'!$J$2:$J$679,MATCH(666,Engine!$C$2:$C$679,0)))</f>
        <v/>
      </c>
      <c r="K679">
        <f>IF(ISNA(MATCH(666,Engine!$C$2:$C$679,0)),"",INDEX('Compliance Database'!$K$2:$K$679,MATCH(666,Engine!$C$2:$C$679,0)))</f>
        <v/>
      </c>
      <c r="L679" s="8">
        <f>IF(ISNA(MATCH(666,Engine!$C$2:$C$679,0)),"",INDEX('Compliance Database'!$L$2:$L$679,MATCH(666,Engine!$C$2:$C$679,0)))</f>
        <v/>
      </c>
      <c r="M679" s="8">
        <f>IF(ISNA(MATCH(666,Engine!$C$2:$C$679,0)),"",INDEX('Compliance Database'!$M$2:$M$679,MATCH(666,Engine!$C$2:$C$679,0)))</f>
        <v/>
      </c>
      <c r="N679" s="8">
        <f>IF(ISNA(MATCH(666,Engine!$C$2:$C$679,0)),"",INDEX('Compliance Database'!$N$2:$N$679,MATCH(666,Engine!$C$2:$C$679,0)))</f>
        <v/>
      </c>
      <c r="O679" s="8">
        <f>IF(ISNA(MATCH(666,Engine!$C$2:$C$679,0)),"",INDEX('Compliance Database'!$O$2:$O$679,MATCH(666,Engine!$C$2:$C$679,0)))</f>
        <v/>
      </c>
      <c r="P679">
        <f>IF(ISNA(MATCH(666,Engine!$C$2:$C$679,0)),"",HYPERLINK(INDEX('Compliance Database'!$P$2:$P$679,MATCH(666,Engine!$C$2:$C$679,0)),"Open PDF"))</f>
        <v/>
      </c>
    </row>
    <row r="680">
      <c r="A680">
        <f>IF(ISNA(MATCH(667,Engine!$C$2:$C$679,0)),"",INDEX('Compliance Database'!$A$2:$A$679,MATCH(667,Engine!$C$2:$C$679,0)))</f>
        <v/>
      </c>
      <c r="B680">
        <f>IF(ISNA(MATCH(667,Engine!$C$2:$C$679,0)),"",INDEX('Compliance Database'!$B$2:$B$679,MATCH(667,Engine!$C$2:$C$679,0)))</f>
        <v/>
      </c>
      <c r="C680">
        <f>IF(ISNA(MATCH(667,Engine!$C$2:$C$679,0)),"",INDEX('Compliance Database'!$C$2:$C$679,MATCH(667,Engine!$C$2:$C$679,0)))</f>
        <v/>
      </c>
      <c r="D680" s="8">
        <f>IF(ISNA(MATCH(667,Engine!$C$2:$C$679,0)),"",INDEX('Compliance Database'!$D$2:$D$679,MATCH(667,Engine!$C$2:$C$679,0)))</f>
        <v/>
      </c>
      <c r="E680">
        <f>IF(ISNA(MATCH(667,Engine!$C$2:$C$679,0)),"",INDEX('Compliance Database'!$E$2:$E$679,MATCH(667,Engine!$C$2:$C$679,0)))</f>
        <v/>
      </c>
      <c r="F680">
        <f>IF(ISNA(MATCH(667,Engine!$C$2:$C$679,0)),"",INDEX('Compliance Database'!$F$2:$F$679,MATCH(667,Engine!$C$2:$C$679,0)))</f>
        <v/>
      </c>
      <c r="G680">
        <f>IF(ISNA(MATCH(667,Engine!$C$2:$C$679,0)),"",INDEX('Compliance Database'!$G$2:$G$679,MATCH(667,Engine!$C$2:$C$679,0)))</f>
        <v/>
      </c>
      <c r="H680">
        <f>IF(ISNA(MATCH(667,Engine!$C$2:$C$679,0)),"",INDEX('Compliance Database'!$H$2:$H$679,MATCH(667,Engine!$C$2:$C$679,0)))</f>
        <v/>
      </c>
      <c r="I680" s="8">
        <f>IF(ISNA(MATCH(667,Engine!$C$2:$C$679,0)),"",INDEX('Compliance Database'!$I$2:$I$679,MATCH(667,Engine!$C$2:$C$679,0)))</f>
        <v/>
      </c>
      <c r="J680" s="8">
        <f>IF(ISNA(MATCH(667,Engine!$C$2:$C$679,0)),"",INDEX('Compliance Database'!$J$2:$J$679,MATCH(667,Engine!$C$2:$C$679,0)))</f>
        <v/>
      </c>
      <c r="K680">
        <f>IF(ISNA(MATCH(667,Engine!$C$2:$C$679,0)),"",INDEX('Compliance Database'!$K$2:$K$679,MATCH(667,Engine!$C$2:$C$679,0)))</f>
        <v/>
      </c>
      <c r="L680" s="8">
        <f>IF(ISNA(MATCH(667,Engine!$C$2:$C$679,0)),"",INDEX('Compliance Database'!$L$2:$L$679,MATCH(667,Engine!$C$2:$C$679,0)))</f>
        <v/>
      </c>
      <c r="M680" s="8">
        <f>IF(ISNA(MATCH(667,Engine!$C$2:$C$679,0)),"",INDEX('Compliance Database'!$M$2:$M$679,MATCH(667,Engine!$C$2:$C$679,0)))</f>
        <v/>
      </c>
      <c r="N680" s="8">
        <f>IF(ISNA(MATCH(667,Engine!$C$2:$C$679,0)),"",INDEX('Compliance Database'!$N$2:$N$679,MATCH(667,Engine!$C$2:$C$679,0)))</f>
        <v/>
      </c>
      <c r="O680" s="8">
        <f>IF(ISNA(MATCH(667,Engine!$C$2:$C$679,0)),"",INDEX('Compliance Database'!$O$2:$O$679,MATCH(667,Engine!$C$2:$C$679,0)))</f>
        <v/>
      </c>
      <c r="P680">
        <f>IF(ISNA(MATCH(667,Engine!$C$2:$C$679,0)),"",HYPERLINK(INDEX('Compliance Database'!$P$2:$P$679,MATCH(667,Engine!$C$2:$C$679,0)),"Open PDF"))</f>
        <v/>
      </c>
    </row>
    <row r="681">
      <c r="A681">
        <f>IF(ISNA(MATCH(668,Engine!$C$2:$C$679,0)),"",INDEX('Compliance Database'!$A$2:$A$679,MATCH(668,Engine!$C$2:$C$679,0)))</f>
        <v/>
      </c>
      <c r="B681">
        <f>IF(ISNA(MATCH(668,Engine!$C$2:$C$679,0)),"",INDEX('Compliance Database'!$B$2:$B$679,MATCH(668,Engine!$C$2:$C$679,0)))</f>
        <v/>
      </c>
      <c r="C681">
        <f>IF(ISNA(MATCH(668,Engine!$C$2:$C$679,0)),"",INDEX('Compliance Database'!$C$2:$C$679,MATCH(668,Engine!$C$2:$C$679,0)))</f>
        <v/>
      </c>
      <c r="D681" s="8">
        <f>IF(ISNA(MATCH(668,Engine!$C$2:$C$679,0)),"",INDEX('Compliance Database'!$D$2:$D$679,MATCH(668,Engine!$C$2:$C$679,0)))</f>
        <v/>
      </c>
      <c r="E681">
        <f>IF(ISNA(MATCH(668,Engine!$C$2:$C$679,0)),"",INDEX('Compliance Database'!$E$2:$E$679,MATCH(668,Engine!$C$2:$C$679,0)))</f>
        <v/>
      </c>
      <c r="F681">
        <f>IF(ISNA(MATCH(668,Engine!$C$2:$C$679,0)),"",INDEX('Compliance Database'!$F$2:$F$679,MATCH(668,Engine!$C$2:$C$679,0)))</f>
        <v/>
      </c>
      <c r="G681">
        <f>IF(ISNA(MATCH(668,Engine!$C$2:$C$679,0)),"",INDEX('Compliance Database'!$G$2:$G$679,MATCH(668,Engine!$C$2:$C$679,0)))</f>
        <v/>
      </c>
      <c r="H681">
        <f>IF(ISNA(MATCH(668,Engine!$C$2:$C$679,0)),"",INDEX('Compliance Database'!$H$2:$H$679,MATCH(668,Engine!$C$2:$C$679,0)))</f>
        <v/>
      </c>
      <c r="I681" s="8">
        <f>IF(ISNA(MATCH(668,Engine!$C$2:$C$679,0)),"",INDEX('Compliance Database'!$I$2:$I$679,MATCH(668,Engine!$C$2:$C$679,0)))</f>
        <v/>
      </c>
      <c r="J681" s="8">
        <f>IF(ISNA(MATCH(668,Engine!$C$2:$C$679,0)),"",INDEX('Compliance Database'!$J$2:$J$679,MATCH(668,Engine!$C$2:$C$679,0)))</f>
        <v/>
      </c>
      <c r="K681">
        <f>IF(ISNA(MATCH(668,Engine!$C$2:$C$679,0)),"",INDEX('Compliance Database'!$K$2:$K$679,MATCH(668,Engine!$C$2:$C$679,0)))</f>
        <v/>
      </c>
      <c r="L681" s="8">
        <f>IF(ISNA(MATCH(668,Engine!$C$2:$C$679,0)),"",INDEX('Compliance Database'!$L$2:$L$679,MATCH(668,Engine!$C$2:$C$679,0)))</f>
        <v/>
      </c>
      <c r="M681" s="8">
        <f>IF(ISNA(MATCH(668,Engine!$C$2:$C$679,0)),"",INDEX('Compliance Database'!$M$2:$M$679,MATCH(668,Engine!$C$2:$C$679,0)))</f>
        <v/>
      </c>
      <c r="N681" s="8">
        <f>IF(ISNA(MATCH(668,Engine!$C$2:$C$679,0)),"",INDEX('Compliance Database'!$N$2:$N$679,MATCH(668,Engine!$C$2:$C$679,0)))</f>
        <v/>
      </c>
      <c r="O681" s="8">
        <f>IF(ISNA(MATCH(668,Engine!$C$2:$C$679,0)),"",INDEX('Compliance Database'!$O$2:$O$679,MATCH(668,Engine!$C$2:$C$679,0)))</f>
        <v/>
      </c>
      <c r="P681">
        <f>IF(ISNA(MATCH(668,Engine!$C$2:$C$679,0)),"",HYPERLINK(INDEX('Compliance Database'!$P$2:$P$679,MATCH(668,Engine!$C$2:$C$679,0)),"Open PDF"))</f>
        <v/>
      </c>
    </row>
    <row r="682">
      <c r="A682">
        <f>IF(ISNA(MATCH(669,Engine!$C$2:$C$679,0)),"",INDEX('Compliance Database'!$A$2:$A$679,MATCH(669,Engine!$C$2:$C$679,0)))</f>
        <v/>
      </c>
      <c r="B682">
        <f>IF(ISNA(MATCH(669,Engine!$C$2:$C$679,0)),"",INDEX('Compliance Database'!$B$2:$B$679,MATCH(669,Engine!$C$2:$C$679,0)))</f>
        <v/>
      </c>
      <c r="C682">
        <f>IF(ISNA(MATCH(669,Engine!$C$2:$C$679,0)),"",INDEX('Compliance Database'!$C$2:$C$679,MATCH(669,Engine!$C$2:$C$679,0)))</f>
        <v/>
      </c>
      <c r="D682" s="8">
        <f>IF(ISNA(MATCH(669,Engine!$C$2:$C$679,0)),"",INDEX('Compliance Database'!$D$2:$D$679,MATCH(669,Engine!$C$2:$C$679,0)))</f>
        <v/>
      </c>
      <c r="E682">
        <f>IF(ISNA(MATCH(669,Engine!$C$2:$C$679,0)),"",INDEX('Compliance Database'!$E$2:$E$679,MATCH(669,Engine!$C$2:$C$679,0)))</f>
        <v/>
      </c>
      <c r="F682">
        <f>IF(ISNA(MATCH(669,Engine!$C$2:$C$679,0)),"",INDEX('Compliance Database'!$F$2:$F$679,MATCH(669,Engine!$C$2:$C$679,0)))</f>
        <v/>
      </c>
      <c r="G682">
        <f>IF(ISNA(MATCH(669,Engine!$C$2:$C$679,0)),"",INDEX('Compliance Database'!$G$2:$G$679,MATCH(669,Engine!$C$2:$C$679,0)))</f>
        <v/>
      </c>
      <c r="H682">
        <f>IF(ISNA(MATCH(669,Engine!$C$2:$C$679,0)),"",INDEX('Compliance Database'!$H$2:$H$679,MATCH(669,Engine!$C$2:$C$679,0)))</f>
        <v/>
      </c>
      <c r="I682" s="8">
        <f>IF(ISNA(MATCH(669,Engine!$C$2:$C$679,0)),"",INDEX('Compliance Database'!$I$2:$I$679,MATCH(669,Engine!$C$2:$C$679,0)))</f>
        <v/>
      </c>
      <c r="J682" s="8">
        <f>IF(ISNA(MATCH(669,Engine!$C$2:$C$679,0)),"",INDEX('Compliance Database'!$J$2:$J$679,MATCH(669,Engine!$C$2:$C$679,0)))</f>
        <v/>
      </c>
      <c r="K682">
        <f>IF(ISNA(MATCH(669,Engine!$C$2:$C$679,0)),"",INDEX('Compliance Database'!$K$2:$K$679,MATCH(669,Engine!$C$2:$C$679,0)))</f>
        <v/>
      </c>
      <c r="L682" s="8">
        <f>IF(ISNA(MATCH(669,Engine!$C$2:$C$679,0)),"",INDEX('Compliance Database'!$L$2:$L$679,MATCH(669,Engine!$C$2:$C$679,0)))</f>
        <v/>
      </c>
      <c r="M682" s="8">
        <f>IF(ISNA(MATCH(669,Engine!$C$2:$C$679,0)),"",INDEX('Compliance Database'!$M$2:$M$679,MATCH(669,Engine!$C$2:$C$679,0)))</f>
        <v/>
      </c>
      <c r="N682" s="8">
        <f>IF(ISNA(MATCH(669,Engine!$C$2:$C$679,0)),"",INDEX('Compliance Database'!$N$2:$N$679,MATCH(669,Engine!$C$2:$C$679,0)))</f>
        <v/>
      </c>
      <c r="O682" s="8">
        <f>IF(ISNA(MATCH(669,Engine!$C$2:$C$679,0)),"",INDEX('Compliance Database'!$O$2:$O$679,MATCH(669,Engine!$C$2:$C$679,0)))</f>
        <v/>
      </c>
      <c r="P682">
        <f>IF(ISNA(MATCH(669,Engine!$C$2:$C$679,0)),"",HYPERLINK(INDEX('Compliance Database'!$P$2:$P$679,MATCH(669,Engine!$C$2:$C$679,0)),"Open PDF"))</f>
        <v/>
      </c>
    </row>
    <row r="683">
      <c r="A683">
        <f>IF(ISNA(MATCH(670,Engine!$C$2:$C$679,0)),"",INDEX('Compliance Database'!$A$2:$A$679,MATCH(670,Engine!$C$2:$C$679,0)))</f>
        <v/>
      </c>
      <c r="B683">
        <f>IF(ISNA(MATCH(670,Engine!$C$2:$C$679,0)),"",INDEX('Compliance Database'!$B$2:$B$679,MATCH(670,Engine!$C$2:$C$679,0)))</f>
        <v/>
      </c>
      <c r="C683">
        <f>IF(ISNA(MATCH(670,Engine!$C$2:$C$679,0)),"",INDEX('Compliance Database'!$C$2:$C$679,MATCH(670,Engine!$C$2:$C$679,0)))</f>
        <v/>
      </c>
      <c r="D683" s="8">
        <f>IF(ISNA(MATCH(670,Engine!$C$2:$C$679,0)),"",INDEX('Compliance Database'!$D$2:$D$679,MATCH(670,Engine!$C$2:$C$679,0)))</f>
        <v/>
      </c>
      <c r="E683">
        <f>IF(ISNA(MATCH(670,Engine!$C$2:$C$679,0)),"",INDEX('Compliance Database'!$E$2:$E$679,MATCH(670,Engine!$C$2:$C$679,0)))</f>
        <v/>
      </c>
      <c r="F683">
        <f>IF(ISNA(MATCH(670,Engine!$C$2:$C$679,0)),"",INDEX('Compliance Database'!$F$2:$F$679,MATCH(670,Engine!$C$2:$C$679,0)))</f>
        <v/>
      </c>
      <c r="G683">
        <f>IF(ISNA(MATCH(670,Engine!$C$2:$C$679,0)),"",INDEX('Compliance Database'!$G$2:$G$679,MATCH(670,Engine!$C$2:$C$679,0)))</f>
        <v/>
      </c>
      <c r="H683">
        <f>IF(ISNA(MATCH(670,Engine!$C$2:$C$679,0)),"",INDEX('Compliance Database'!$H$2:$H$679,MATCH(670,Engine!$C$2:$C$679,0)))</f>
        <v/>
      </c>
      <c r="I683" s="8">
        <f>IF(ISNA(MATCH(670,Engine!$C$2:$C$679,0)),"",INDEX('Compliance Database'!$I$2:$I$679,MATCH(670,Engine!$C$2:$C$679,0)))</f>
        <v/>
      </c>
      <c r="J683" s="8">
        <f>IF(ISNA(MATCH(670,Engine!$C$2:$C$679,0)),"",INDEX('Compliance Database'!$J$2:$J$679,MATCH(670,Engine!$C$2:$C$679,0)))</f>
        <v/>
      </c>
      <c r="K683">
        <f>IF(ISNA(MATCH(670,Engine!$C$2:$C$679,0)),"",INDEX('Compliance Database'!$K$2:$K$679,MATCH(670,Engine!$C$2:$C$679,0)))</f>
        <v/>
      </c>
      <c r="L683" s="8">
        <f>IF(ISNA(MATCH(670,Engine!$C$2:$C$679,0)),"",INDEX('Compliance Database'!$L$2:$L$679,MATCH(670,Engine!$C$2:$C$679,0)))</f>
        <v/>
      </c>
      <c r="M683" s="8">
        <f>IF(ISNA(MATCH(670,Engine!$C$2:$C$679,0)),"",INDEX('Compliance Database'!$M$2:$M$679,MATCH(670,Engine!$C$2:$C$679,0)))</f>
        <v/>
      </c>
      <c r="N683" s="8">
        <f>IF(ISNA(MATCH(670,Engine!$C$2:$C$679,0)),"",INDEX('Compliance Database'!$N$2:$N$679,MATCH(670,Engine!$C$2:$C$679,0)))</f>
        <v/>
      </c>
      <c r="O683" s="8">
        <f>IF(ISNA(MATCH(670,Engine!$C$2:$C$679,0)),"",INDEX('Compliance Database'!$O$2:$O$679,MATCH(670,Engine!$C$2:$C$679,0)))</f>
        <v/>
      </c>
      <c r="P683">
        <f>IF(ISNA(MATCH(670,Engine!$C$2:$C$679,0)),"",HYPERLINK(INDEX('Compliance Database'!$P$2:$P$679,MATCH(670,Engine!$C$2:$C$679,0)),"Open PDF"))</f>
        <v/>
      </c>
    </row>
    <row r="684">
      <c r="A684">
        <f>IF(ISNA(MATCH(671,Engine!$C$2:$C$679,0)),"",INDEX('Compliance Database'!$A$2:$A$679,MATCH(671,Engine!$C$2:$C$679,0)))</f>
        <v/>
      </c>
      <c r="B684">
        <f>IF(ISNA(MATCH(671,Engine!$C$2:$C$679,0)),"",INDEX('Compliance Database'!$B$2:$B$679,MATCH(671,Engine!$C$2:$C$679,0)))</f>
        <v/>
      </c>
      <c r="C684">
        <f>IF(ISNA(MATCH(671,Engine!$C$2:$C$679,0)),"",INDEX('Compliance Database'!$C$2:$C$679,MATCH(671,Engine!$C$2:$C$679,0)))</f>
        <v/>
      </c>
      <c r="D684" s="8">
        <f>IF(ISNA(MATCH(671,Engine!$C$2:$C$679,0)),"",INDEX('Compliance Database'!$D$2:$D$679,MATCH(671,Engine!$C$2:$C$679,0)))</f>
        <v/>
      </c>
      <c r="E684">
        <f>IF(ISNA(MATCH(671,Engine!$C$2:$C$679,0)),"",INDEX('Compliance Database'!$E$2:$E$679,MATCH(671,Engine!$C$2:$C$679,0)))</f>
        <v/>
      </c>
      <c r="F684">
        <f>IF(ISNA(MATCH(671,Engine!$C$2:$C$679,0)),"",INDEX('Compliance Database'!$F$2:$F$679,MATCH(671,Engine!$C$2:$C$679,0)))</f>
        <v/>
      </c>
      <c r="G684">
        <f>IF(ISNA(MATCH(671,Engine!$C$2:$C$679,0)),"",INDEX('Compliance Database'!$G$2:$G$679,MATCH(671,Engine!$C$2:$C$679,0)))</f>
        <v/>
      </c>
      <c r="H684">
        <f>IF(ISNA(MATCH(671,Engine!$C$2:$C$679,0)),"",INDEX('Compliance Database'!$H$2:$H$679,MATCH(671,Engine!$C$2:$C$679,0)))</f>
        <v/>
      </c>
      <c r="I684" s="8">
        <f>IF(ISNA(MATCH(671,Engine!$C$2:$C$679,0)),"",INDEX('Compliance Database'!$I$2:$I$679,MATCH(671,Engine!$C$2:$C$679,0)))</f>
        <v/>
      </c>
      <c r="J684" s="8">
        <f>IF(ISNA(MATCH(671,Engine!$C$2:$C$679,0)),"",INDEX('Compliance Database'!$J$2:$J$679,MATCH(671,Engine!$C$2:$C$679,0)))</f>
        <v/>
      </c>
      <c r="K684">
        <f>IF(ISNA(MATCH(671,Engine!$C$2:$C$679,0)),"",INDEX('Compliance Database'!$K$2:$K$679,MATCH(671,Engine!$C$2:$C$679,0)))</f>
        <v/>
      </c>
      <c r="L684" s="8">
        <f>IF(ISNA(MATCH(671,Engine!$C$2:$C$679,0)),"",INDEX('Compliance Database'!$L$2:$L$679,MATCH(671,Engine!$C$2:$C$679,0)))</f>
        <v/>
      </c>
      <c r="M684" s="8">
        <f>IF(ISNA(MATCH(671,Engine!$C$2:$C$679,0)),"",INDEX('Compliance Database'!$M$2:$M$679,MATCH(671,Engine!$C$2:$C$679,0)))</f>
        <v/>
      </c>
      <c r="N684" s="8">
        <f>IF(ISNA(MATCH(671,Engine!$C$2:$C$679,0)),"",INDEX('Compliance Database'!$N$2:$N$679,MATCH(671,Engine!$C$2:$C$679,0)))</f>
        <v/>
      </c>
      <c r="O684" s="8">
        <f>IF(ISNA(MATCH(671,Engine!$C$2:$C$679,0)),"",INDEX('Compliance Database'!$O$2:$O$679,MATCH(671,Engine!$C$2:$C$679,0)))</f>
        <v/>
      </c>
      <c r="P684">
        <f>IF(ISNA(MATCH(671,Engine!$C$2:$C$679,0)),"",HYPERLINK(INDEX('Compliance Database'!$P$2:$P$679,MATCH(671,Engine!$C$2:$C$679,0)),"Open PDF"))</f>
        <v/>
      </c>
    </row>
    <row r="685">
      <c r="A685">
        <f>IF(ISNA(MATCH(672,Engine!$C$2:$C$679,0)),"",INDEX('Compliance Database'!$A$2:$A$679,MATCH(672,Engine!$C$2:$C$679,0)))</f>
        <v/>
      </c>
      <c r="B685">
        <f>IF(ISNA(MATCH(672,Engine!$C$2:$C$679,0)),"",INDEX('Compliance Database'!$B$2:$B$679,MATCH(672,Engine!$C$2:$C$679,0)))</f>
        <v/>
      </c>
      <c r="C685">
        <f>IF(ISNA(MATCH(672,Engine!$C$2:$C$679,0)),"",INDEX('Compliance Database'!$C$2:$C$679,MATCH(672,Engine!$C$2:$C$679,0)))</f>
        <v/>
      </c>
      <c r="D685" s="8">
        <f>IF(ISNA(MATCH(672,Engine!$C$2:$C$679,0)),"",INDEX('Compliance Database'!$D$2:$D$679,MATCH(672,Engine!$C$2:$C$679,0)))</f>
        <v/>
      </c>
      <c r="E685">
        <f>IF(ISNA(MATCH(672,Engine!$C$2:$C$679,0)),"",INDEX('Compliance Database'!$E$2:$E$679,MATCH(672,Engine!$C$2:$C$679,0)))</f>
        <v/>
      </c>
      <c r="F685">
        <f>IF(ISNA(MATCH(672,Engine!$C$2:$C$679,0)),"",INDEX('Compliance Database'!$F$2:$F$679,MATCH(672,Engine!$C$2:$C$679,0)))</f>
        <v/>
      </c>
      <c r="G685">
        <f>IF(ISNA(MATCH(672,Engine!$C$2:$C$679,0)),"",INDEX('Compliance Database'!$G$2:$G$679,MATCH(672,Engine!$C$2:$C$679,0)))</f>
        <v/>
      </c>
      <c r="H685">
        <f>IF(ISNA(MATCH(672,Engine!$C$2:$C$679,0)),"",INDEX('Compliance Database'!$H$2:$H$679,MATCH(672,Engine!$C$2:$C$679,0)))</f>
        <v/>
      </c>
      <c r="I685" s="8">
        <f>IF(ISNA(MATCH(672,Engine!$C$2:$C$679,0)),"",INDEX('Compliance Database'!$I$2:$I$679,MATCH(672,Engine!$C$2:$C$679,0)))</f>
        <v/>
      </c>
      <c r="J685" s="8">
        <f>IF(ISNA(MATCH(672,Engine!$C$2:$C$679,0)),"",INDEX('Compliance Database'!$J$2:$J$679,MATCH(672,Engine!$C$2:$C$679,0)))</f>
        <v/>
      </c>
      <c r="K685">
        <f>IF(ISNA(MATCH(672,Engine!$C$2:$C$679,0)),"",INDEX('Compliance Database'!$K$2:$K$679,MATCH(672,Engine!$C$2:$C$679,0)))</f>
        <v/>
      </c>
      <c r="L685" s="8">
        <f>IF(ISNA(MATCH(672,Engine!$C$2:$C$679,0)),"",INDEX('Compliance Database'!$L$2:$L$679,MATCH(672,Engine!$C$2:$C$679,0)))</f>
        <v/>
      </c>
      <c r="M685" s="8">
        <f>IF(ISNA(MATCH(672,Engine!$C$2:$C$679,0)),"",INDEX('Compliance Database'!$M$2:$M$679,MATCH(672,Engine!$C$2:$C$679,0)))</f>
        <v/>
      </c>
      <c r="N685" s="8">
        <f>IF(ISNA(MATCH(672,Engine!$C$2:$C$679,0)),"",INDEX('Compliance Database'!$N$2:$N$679,MATCH(672,Engine!$C$2:$C$679,0)))</f>
        <v/>
      </c>
      <c r="O685" s="8">
        <f>IF(ISNA(MATCH(672,Engine!$C$2:$C$679,0)),"",INDEX('Compliance Database'!$O$2:$O$679,MATCH(672,Engine!$C$2:$C$679,0)))</f>
        <v/>
      </c>
      <c r="P685">
        <f>IF(ISNA(MATCH(672,Engine!$C$2:$C$679,0)),"",HYPERLINK(INDEX('Compliance Database'!$P$2:$P$679,MATCH(672,Engine!$C$2:$C$679,0)),"Open PDF"))</f>
        <v/>
      </c>
    </row>
    <row r="686">
      <c r="A686">
        <f>IF(ISNA(MATCH(673,Engine!$C$2:$C$679,0)),"",INDEX('Compliance Database'!$A$2:$A$679,MATCH(673,Engine!$C$2:$C$679,0)))</f>
        <v/>
      </c>
      <c r="B686">
        <f>IF(ISNA(MATCH(673,Engine!$C$2:$C$679,0)),"",INDEX('Compliance Database'!$B$2:$B$679,MATCH(673,Engine!$C$2:$C$679,0)))</f>
        <v/>
      </c>
      <c r="C686">
        <f>IF(ISNA(MATCH(673,Engine!$C$2:$C$679,0)),"",INDEX('Compliance Database'!$C$2:$C$679,MATCH(673,Engine!$C$2:$C$679,0)))</f>
        <v/>
      </c>
      <c r="D686" s="8">
        <f>IF(ISNA(MATCH(673,Engine!$C$2:$C$679,0)),"",INDEX('Compliance Database'!$D$2:$D$679,MATCH(673,Engine!$C$2:$C$679,0)))</f>
        <v/>
      </c>
      <c r="E686">
        <f>IF(ISNA(MATCH(673,Engine!$C$2:$C$679,0)),"",INDEX('Compliance Database'!$E$2:$E$679,MATCH(673,Engine!$C$2:$C$679,0)))</f>
        <v/>
      </c>
      <c r="F686">
        <f>IF(ISNA(MATCH(673,Engine!$C$2:$C$679,0)),"",INDEX('Compliance Database'!$F$2:$F$679,MATCH(673,Engine!$C$2:$C$679,0)))</f>
        <v/>
      </c>
      <c r="G686">
        <f>IF(ISNA(MATCH(673,Engine!$C$2:$C$679,0)),"",INDEX('Compliance Database'!$G$2:$G$679,MATCH(673,Engine!$C$2:$C$679,0)))</f>
        <v/>
      </c>
      <c r="H686">
        <f>IF(ISNA(MATCH(673,Engine!$C$2:$C$679,0)),"",INDEX('Compliance Database'!$H$2:$H$679,MATCH(673,Engine!$C$2:$C$679,0)))</f>
        <v/>
      </c>
      <c r="I686" s="8">
        <f>IF(ISNA(MATCH(673,Engine!$C$2:$C$679,0)),"",INDEX('Compliance Database'!$I$2:$I$679,MATCH(673,Engine!$C$2:$C$679,0)))</f>
        <v/>
      </c>
      <c r="J686" s="8">
        <f>IF(ISNA(MATCH(673,Engine!$C$2:$C$679,0)),"",INDEX('Compliance Database'!$J$2:$J$679,MATCH(673,Engine!$C$2:$C$679,0)))</f>
        <v/>
      </c>
      <c r="K686">
        <f>IF(ISNA(MATCH(673,Engine!$C$2:$C$679,0)),"",INDEX('Compliance Database'!$K$2:$K$679,MATCH(673,Engine!$C$2:$C$679,0)))</f>
        <v/>
      </c>
      <c r="L686" s="8">
        <f>IF(ISNA(MATCH(673,Engine!$C$2:$C$679,0)),"",INDEX('Compliance Database'!$L$2:$L$679,MATCH(673,Engine!$C$2:$C$679,0)))</f>
        <v/>
      </c>
      <c r="M686" s="8">
        <f>IF(ISNA(MATCH(673,Engine!$C$2:$C$679,0)),"",INDEX('Compliance Database'!$M$2:$M$679,MATCH(673,Engine!$C$2:$C$679,0)))</f>
        <v/>
      </c>
      <c r="N686" s="8">
        <f>IF(ISNA(MATCH(673,Engine!$C$2:$C$679,0)),"",INDEX('Compliance Database'!$N$2:$N$679,MATCH(673,Engine!$C$2:$C$679,0)))</f>
        <v/>
      </c>
      <c r="O686" s="8">
        <f>IF(ISNA(MATCH(673,Engine!$C$2:$C$679,0)),"",INDEX('Compliance Database'!$O$2:$O$679,MATCH(673,Engine!$C$2:$C$679,0)))</f>
        <v/>
      </c>
      <c r="P686">
        <f>IF(ISNA(MATCH(673,Engine!$C$2:$C$679,0)),"",HYPERLINK(INDEX('Compliance Database'!$P$2:$P$679,MATCH(673,Engine!$C$2:$C$679,0)),"Open PDF"))</f>
        <v/>
      </c>
    </row>
    <row r="687">
      <c r="A687">
        <f>IF(ISNA(MATCH(674,Engine!$C$2:$C$679,0)),"",INDEX('Compliance Database'!$A$2:$A$679,MATCH(674,Engine!$C$2:$C$679,0)))</f>
        <v/>
      </c>
      <c r="B687">
        <f>IF(ISNA(MATCH(674,Engine!$C$2:$C$679,0)),"",INDEX('Compliance Database'!$B$2:$B$679,MATCH(674,Engine!$C$2:$C$679,0)))</f>
        <v/>
      </c>
      <c r="C687">
        <f>IF(ISNA(MATCH(674,Engine!$C$2:$C$679,0)),"",INDEX('Compliance Database'!$C$2:$C$679,MATCH(674,Engine!$C$2:$C$679,0)))</f>
        <v/>
      </c>
      <c r="D687" s="8">
        <f>IF(ISNA(MATCH(674,Engine!$C$2:$C$679,0)),"",INDEX('Compliance Database'!$D$2:$D$679,MATCH(674,Engine!$C$2:$C$679,0)))</f>
        <v/>
      </c>
      <c r="E687">
        <f>IF(ISNA(MATCH(674,Engine!$C$2:$C$679,0)),"",INDEX('Compliance Database'!$E$2:$E$679,MATCH(674,Engine!$C$2:$C$679,0)))</f>
        <v/>
      </c>
      <c r="F687">
        <f>IF(ISNA(MATCH(674,Engine!$C$2:$C$679,0)),"",INDEX('Compliance Database'!$F$2:$F$679,MATCH(674,Engine!$C$2:$C$679,0)))</f>
        <v/>
      </c>
      <c r="G687">
        <f>IF(ISNA(MATCH(674,Engine!$C$2:$C$679,0)),"",INDEX('Compliance Database'!$G$2:$G$679,MATCH(674,Engine!$C$2:$C$679,0)))</f>
        <v/>
      </c>
      <c r="H687">
        <f>IF(ISNA(MATCH(674,Engine!$C$2:$C$679,0)),"",INDEX('Compliance Database'!$H$2:$H$679,MATCH(674,Engine!$C$2:$C$679,0)))</f>
        <v/>
      </c>
      <c r="I687" s="8">
        <f>IF(ISNA(MATCH(674,Engine!$C$2:$C$679,0)),"",INDEX('Compliance Database'!$I$2:$I$679,MATCH(674,Engine!$C$2:$C$679,0)))</f>
        <v/>
      </c>
      <c r="J687" s="8">
        <f>IF(ISNA(MATCH(674,Engine!$C$2:$C$679,0)),"",INDEX('Compliance Database'!$J$2:$J$679,MATCH(674,Engine!$C$2:$C$679,0)))</f>
        <v/>
      </c>
      <c r="K687">
        <f>IF(ISNA(MATCH(674,Engine!$C$2:$C$679,0)),"",INDEX('Compliance Database'!$K$2:$K$679,MATCH(674,Engine!$C$2:$C$679,0)))</f>
        <v/>
      </c>
      <c r="L687" s="8">
        <f>IF(ISNA(MATCH(674,Engine!$C$2:$C$679,0)),"",INDEX('Compliance Database'!$L$2:$L$679,MATCH(674,Engine!$C$2:$C$679,0)))</f>
        <v/>
      </c>
      <c r="M687" s="8">
        <f>IF(ISNA(MATCH(674,Engine!$C$2:$C$679,0)),"",INDEX('Compliance Database'!$M$2:$M$679,MATCH(674,Engine!$C$2:$C$679,0)))</f>
        <v/>
      </c>
      <c r="N687" s="8">
        <f>IF(ISNA(MATCH(674,Engine!$C$2:$C$679,0)),"",INDEX('Compliance Database'!$N$2:$N$679,MATCH(674,Engine!$C$2:$C$679,0)))</f>
        <v/>
      </c>
      <c r="O687" s="8">
        <f>IF(ISNA(MATCH(674,Engine!$C$2:$C$679,0)),"",INDEX('Compliance Database'!$O$2:$O$679,MATCH(674,Engine!$C$2:$C$679,0)))</f>
        <v/>
      </c>
      <c r="P687">
        <f>IF(ISNA(MATCH(674,Engine!$C$2:$C$679,0)),"",HYPERLINK(INDEX('Compliance Database'!$P$2:$P$679,MATCH(674,Engine!$C$2:$C$679,0)),"Open PDF"))</f>
        <v/>
      </c>
    </row>
    <row r="688">
      <c r="A688">
        <f>IF(ISNA(MATCH(675,Engine!$C$2:$C$679,0)),"",INDEX('Compliance Database'!$A$2:$A$679,MATCH(675,Engine!$C$2:$C$679,0)))</f>
        <v/>
      </c>
      <c r="B688">
        <f>IF(ISNA(MATCH(675,Engine!$C$2:$C$679,0)),"",INDEX('Compliance Database'!$B$2:$B$679,MATCH(675,Engine!$C$2:$C$679,0)))</f>
        <v/>
      </c>
      <c r="C688">
        <f>IF(ISNA(MATCH(675,Engine!$C$2:$C$679,0)),"",INDEX('Compliance Database'!$C$2:$C$679,MATCH(675,Engine!$C$2:$C$679,0)))</f>
        <v/>
      </c>
      <c r="D688" s="8">
        <f>IF(ISNA(MATCH(675,Engine!$C$2:$C$679,0)),"",INDEX('Compliance Database'!$D$2:$D$679,MATCH(675,Engine!$C$2:$C$679,0)))</f>
        <v/>
      </c>
      <c r="E688">
        <f>IF(ISNA(MATCH(675,Engine!$C$2:$C$679,0)),"",INDEX('Compliance Database'!$E$2:$E$679,MATCH(675,Engine!$C$2:$C$679,0)))</f>
        <v/>
      </c>
      <c r="F688">
        <f>IF(ISNA(MATCH(675,Engine!$C$2:$C$679,0)),"",INDEX('Compliance Database'!$F$2:$F$679,MATCH(675,Engine!$C$2:$C$679,0)))</f>
        <v/>
      </c>
      <c r="G688">
        <f>IF(ISNA(MATCH(675,Engine!$C$2:$C$679,0)),"",INDEX('Compliance Database'!$G$2:$G$679,MATCH(675,Engine!$C$2:$C$679,0)))</f>
        <v/>
      </c>
      <c r="H688">
        <f>IF(ISNA(MATCH(675,Engine!$C$2:$C$679,0)),"",INDEX('Compliance Database'!$H$2:$H$679,MATCH(675,Engine!$C$2:$C$679,0)))</f>
        <v/>
      </c>
      <c r="I688" s="8">
        <f>IF(ISNA(MATCH(675,Engine!$C$2:$C$679,0)),"",INDEX('Compliance Database'!$I$2:$I$679,MATCH(675,Engine!$C$2:$C$679,0)))</f>
        <v/>
      </c>
      <c r="J688" s="8">
        <f>IF(ISNA(MATCH(675,Engine!$C$2:$C$679,0)),"",INDEX('Compliance Database'!$J$2:$J$679,MATCH(675,Engine!$C$2:$C$679,0)))</f>
        <v/>
      </c>
      <c r="K688">
        <f>IF(ISNA(MATCH(675,Engine!$C$2:$C$679,0)),"",INDEX('Compliance Database'!$K$2:$K$679,MATCH(675,Engine!$C$2:$C$679,0)))</f>
        <v/>
      </c>
      <c r="L688" s="8">
        <f>IF(ISNA(MATCH(675,Engine!$C$2:$C$679,0)),"",INDEX('Compliance Database'!$L$2:$L$679,MATCH(675,Engine!$C$2:$C$679,0)))</f>
        <v/>
      </c>
      <c r="M688" s="8">
        <f>IF(ISNA(MATCH(675,Engine!$C$2:$C$679,0)),"",INDEX('Compliance Database'!$M$2:$M$679,MATCH(675,Engine!$C$2:$C$679,0)))</f>
        <v/>
      </c>
      <c r="N688" s="8">
        <f>IF(ISNA(MATCH(675,Engine!$C$2:$C$679,0)),"",INDEX('Compliance Database'!$N$2:$N$679,MATCH(675,Engine!$C$2:$C$679,0)))</f>
        <v/>
      </c>
      <c r="O688" s="8">
        <f>IF(ISNA(MATCH(675,Engine!$C$2:$C$679,0)),"",INDEX('Compliance Database'!$O$2:$O$679,MATCH(675,Engine!$C$2:$C$679,0)))</f>
        <v/>
      </c>
      <c r="P688">
        <f>IF(ISNA(MATCH(675,Engine!$C$2:$C$679,0)),"",HYPERLINK(INDEX('Compliance Database'!$P$2:$P$679,MATCH(675,Engine!$C$2:$C$679,0)),"Open PDF"))</f>
        <v/>
      </c>
    </row>
    <row r="689">
      <c r="A689">
        <f>IF(ISNA(MATCH(676,Engine!$C$2:$C$679,0)),"",INDEX('Compliance Database'!$A$2:$A$679,MATCH(676,Engine!$C$2:$C$679,0)))</f>
        <v/>
      </c>
      <c r="B689">
        <f>IF(ISNA(MATCH(676,Engine!$C$2:$C$679,0)),"",INDEX('Compliance Database'!$B$2:$B$679,MATCH(676,Engine!$C$2:$C$679,0)))</f>
        <v/>
      </c>
      <c r="C689">
        <f>IF(ISNA(MATCH(676,Engine!$C$2:$C$679,0)),"",INDEX('Compliance Database'!$C$2:$C$679,MATCH(676,Engine!$C$2:$C$679,0)))</f>
        <v/>
      </c>
      <c r="D689" s="8">
        <f>IF(ISNA(MATCH(676,Engine!$C$2:$C$679,0)),"",INDEX('Compliance Database'!$D$2:$D$679,MATCH(676,Engine!$C$2:$C$679,0)))</f>
        <v/>
      </c>
      <c r="E689">
        <f>IF(ISNA(MATCH(676,Engine!$C$2:$C$679,0)),"",INDEX('Compliance Database'!$E$2:$E$679,MATCH(676,Engine!$C$2:$C$679,0)))</f>
        <v/>
      </c>
      <c r="F689">
        <f>IF(ISNA(MATCH(676,Engine!$C$2:$C$679,0)),"",INDEX('Compliance Database'!$F$2:$F$679,MATCH(676,Engine!$C$2:$C$679,0)))</f>
        <v/>
      </c>
      <c r="G689">
        <f>IF(ISNA(MATCH(676,Engine!$C$2:$C$679,0)),"",INDEX('Compliance Database'!$G$2:$G$679,MATCH(676,Engine!$C$2:$C$679,0)))</f>
        <v/>
      </c>
      <c r="H689">
        <f>IF(ISNA(MATCH(676,Engine!$C$2:$C$679,0)),"",INDEX('Compliance Database'!$H$2:$H$679,MATCH(676,Engine!$C$2:$C$679,0)))</f>
        <v/>
      </c>
      <c r="I689" s="8">
        <f>IF(ISNA(MATCH(676,Engine!$C$2:$C$679,0)),"",INDEX('Compliance Database'!$I$2:$I$679,MATCH(676,Engine!$C$2:$C$679,0)))</f>
        <v/>
      </c>
      <c r="J689" s="8">
        <f>IF(ISNA(MATCH(676,Engine!$C$2:$C$679,0)),"",INDEX('Compliance Database'!$J$2:$J$679,MATCH(676,Engine!$C$2:$C$679,0)))</f>
        <v/>
      </c>
      <c r="K689">
        <f>IF(ISNA(MATCH(676,Engine!$C$2:$C$679,0)),"",INDEX('Compliance Database'!$K$2:$K$679,MATCH(676,Engine!$C$2:$C$679,0)))</f>
        <v/>
      </c>
      <c r="L689" s="8">
        <f>IF(ISNA(MATCH(676,Engine!$C$2:$C$679,0)),"",INDEX('Compliance Database'!$L$2:$L$679,MATCH(676,Engine!$C$2:$C$679,0)))</f>
        <v/>
      </c>
      <c r="M689" s="8">
        <f>IF(ISNA(MATCH(676,Engine!$C$2:$C$679,0)),"",INDEX('Compliance Database'!$M$2:$M$679,MATCH(676,Engine!$C$2:$C$679,0)))</f>
        <v/>
      </c>
      <c r="N689" s="8">
        <f>IF(ISNA(MATCH(676,Engine!$C$2:$C$679,0)),"",INDEX('Compliance Database'!$N$2:$N$679,MATCH(676,Engine!$C$2:$C$679,0)))</f>
        <v/>
      </c>
      <c r="O689" s="8">
        <f>IF(ISNA(MATCH(676,Engine!$C$2:$C$679,0)),"",INDEX('Compliance Database'!$O$2:$O$679,MATCH(676,Engine!$C$2:$C$679,0)))</f>
        <v/>
      </c>
      <c r="P689">
        <f>IF(ISNA(MATCH(676,Engine!$C$2:$C$679,0)),"",HYPERLINK(INDEX('Compliance Database'!$P$2:$P$679,MATCH(676,Engine!$C$2:$C$679,0)),"Open PDF"))</f>
        <v/>
      </c>
    </row>
    <row r="690">
      <c r="A690">
        <f>IF(ISNA(MATCH(677,Engine!$C$2:$C$679,0)),"",INDEX('Compliance Database'!$A$2:$A$679,MATCH(677,Engine!$C$2:$C$679,0)))</f>
        <v/>
      </c>
      <c r="B690">
        <f>IF(ISNA(MATCH(677,Engine!$C$2:$C$679,0)),"",INDEX('Compliance Database'!$B$2:$B$679,MATCH(677,Engine!$C$2:$C$679,0)))</f>
        <v/>
      </c>
      <c r="C690">
        <f>IF(ISNA(MATCH(677,Engine!$C$2:$C$679,0)),"",INDEX('Compliance Database'!$C$2:$C$679,MATCH(677,Engine!$C$2:$C$679,0)))</f>
        <v/>
      </c>
      <c r="D690" s="8">
        <f>IF(ISNA(MATCH(677,Engine!$C$2:$C$679,0)),"",INDEX('Compliance Database'!$D$2:$D$679,MATCH(677,Engine!$C$2:$C$679,0)))</f>
        <v/>
      </c>
      <c r="E690">
        <f>IF(ISNA(MATCH(677,Engine!$C$2:$C$679,0)),"",INDEX('Compliance Database'!$E$2:$E$679,MATCH(677,Engine!$C$2:$C$679,0)))</f>
        <v/>
      </c>
      <c r="F690">
        <f>IF(ISNA(MATCH(677,Engine!$C$2:$C$679,0)),"",INDEX('Compliance Database'!$F$2:$F$679,MATCH(677,Engine!$C$2:$C$679,0)))</f>
        <v/>
      </c>
      <c r="G690">
        <f>IF(ISNA(MATCH(677,Engine!$C$2:$C$679,0)),"",INDEX('Compliance Database'!$G$2:$G$679,MATCH(677,Engine!$C$2:$C$679,0)))</f>
        <v/>
      </c>
      <c r="H690">
        <f>IF(ISNA(MATCH(677,Engine!$C$2:$C$679,0)),"",INDEX('Compliance Database'!$H$2:$H$679,MATCH(677,Engine!$C$2:$C$679,0)))</f>
        <v/>
      </c>
      <c r="I690" s="8">
        <f>IF(ISNA(MATCH(677,Engine!$C$2:$C$679,0)),"",INDEX('Compliance Database'!$I$2:$I$679,MATCH(677,Engine!$C$2:$C$679,0)))</f>
        <v/>
      </c>
      <c r="J690" s="8">
        <f>IF(ISNA(MATCH(677,Engine!$C$2:$C$679,0)),"",INDEX('Compliance Database'!$J$2:$J$679,MATCH(677,Engine!$C$2:$C$679,0)))</f>
        <v/>
      </c>
      <c r="K690">
        <f>IF(ISNA(MATCH(677,Engine!$C$2:$C$679,0)),"",INDEX('Compliance Database'!$K$2:$K$679,MATCH(677,Engine!$C$2:$C$679,0)))</f>
        <v/>
      </c>
      <c r="L690" s="8">
        <f>IF(ISNA(MATCH(677,Engine!$C$2:$C$679,0)),"",INDEX('Compliance Database'!$L$2:$L$679,MATCH(677,Engine!$C$2:$C$679,0)))</f>
        <v/>
      </c>
      <c r="M690" s="8">
        <f>IF(ISNA(MATCH(677,Engine!$C$2:$C$679,0)),"",INDEX('Compliance Database'!$M$2:$M$679,MATCH(677,Engine!$C$2:$C$679,0)))</f>
        <v/>
      </c>
      <c r="N690" s="8">
        <f>IF(ISNA(MATCH(677,Engine!$C$2:$C$679,0)),"",INDEX('Compliance Database'!$N$2:$N$679,MATCH(677,Engine!$C$2:$C$679,0)))</f>
        <v/>
      </c>
      <c r="O690" s="8">
        <f>IF(ISNA(MATCH(677,Engine!$C$2:$C$679,0)),"",INDEX('Compliance Database'!$O$2:$O$679,MATCH(677,Engine!$C$2:$C$679,0)))</f>
        <v/>
      </c>
      <c r="P690">
        <f>IF(ISNA(MATCH(677,Engine!$C$2:$C$679,0)),"",HYPERLINK(INDEX('Compliance Database'!$P$2:$P$679,MATCH(677,Engine!$C$2:$C$679,0)),"Open PDF"))</f>
        <v/>
      </c>
    </row>
    <row r="691">
      <c r="A691">
        <f>IF(ISNA(MATCH(678,Engine!$C$2:$C$679,0)),"",INDEX('Compliance Database'!$A$2:$A$679,MATCH(678,Engine!$C$2:$C$679,0)))</f>
        <v/>
      </c>
      <c r="B691">
        <f>IF(ISNA(MATCH(678,Engine!$C$2:$C$679,0)),"",INDEX('Compliance Database'!$B$2:$B$679,MATCH(678,Engine!$C$2:$C$679,0)))</f>
        <v/>
      </c>
      <c r="C691">
        <f>IF(ISNA(MATCH(678,Engine!$C$2:$C$679,0)),"",INDEX('Compliance Database'!$C$2:$C$679,MATCH(678,Engine!$C$2:$C$679,0)))</f>
        <v/>
      </c>
      <c r="D691" s="8">
        <f>IF(ISNA(MATCH(678,Engine!$C$2:$C$679,0)),"",INDEX('Compliance Database'!$D$2:$D$679,MATCH(678,Engine!$C$2:$C$679,0)))</f>
        <v/>
      </c>
      <c r="E691">
        <f>IF(ISNA(MATCH(678,Engine!$C$2:$C$679,0)),"",INDEX('Compliance Database'!$E$2:$E$679,MATCH(678,Engine!$C$2:$C$679,0)))</f>
        <v/>
      </c>
      <c r="F691">
        <f>IF(ISNA(MATCH(678,Engine!$C$2:$C$679,0)),"",INDEX('Compliance Database'!$F$2:$F$679,MATCH(678,Engine!$C$2:$C$679,0)))</f>
        <v/>
      </c>
      <c r="G691">
        <f>IF(ISNA(MATCH(678,Engine!$C$2:$C$679,0)),"",INDEX('Compliance Database'!$G$2:$G$679,MATCH(678,Engine!$C$2:$C$679,0)))</f>
        <v/>
      </c>
      <c r="H691">
        <f>IF(ISNA(MATCH(678,Engine!$C$2:$C$679,0)),"",INDEX('Compliance Database'!$H$2:$H$679,MATCH(678,Engine!$C$2:$C$679,0)))</f>
        <v/>
      </c>
      <c r="I691" s="8">
        <f>IF(ISNA(MATCH(678,Engine!$C$2:$C$679,0)),"",INDEX('Compliance Database'!$I$2:$I$679,MATCH(678,Engine!$C$2:$C$679,0)))</f>
        <v/>
      </c>
      <c r="J691" s="8">
        <f>IF(ISNA(MATCH(678,Engine!$C$2:$C$679,0)),"",INDEX('Compliance Database'!$J$2:$J$679,MATCH(678,Engine!$C$2:$C$679,0)))</f>
        <v/>
      </c>
      <c r="K691">
        <f>IF(ISNA(MATCH(678,Engine!$C$2:$C$679,0)),"",INDEX('Compliance Database'!$K$2:$K$679,MATCH(678,Engine!$C$2:$C$679,0)))</f>
        <v/>
      </c>
      <c r="L691" s="8">
        <f>IF(ISNA(MATCH(678,Engine!$C$2:$C$679,0)),"",INDEX('Compliance Database'!$L$2:$L$679,MATCH(678,Engine!$C$2:$C$679,0)))</f>
        <v/>
      </c>
      <c r="M691" s="8">
        <f>IF(ISNA(MATCH(678,Engine!$C$2:$C$679,0)),"",INDEX('Compliance Database'!$M$2:$M$679,MATCH(678,Engine!$C$2:$C$679,0)))</f>
        <v/>
      </c>
      <c r="N691" s="8">
        <f>IF(ISNA(MATCH(678,Engine!$C$2:$C$679,0)),"",INDEX('Compliance Database'!$N$2:$N$679,MATCH(678,Engine!$C$2:$C$679,0)))</f>
        <v/>
      </c>
      <c r="O691" s="8">
        <f>IF(ISNA(MATCH(678,Engine!$C$2:$C$679,0)),"",INDEX('Compliance Database'!$O$2:$O$679,MATCH(678,Engine!$C$2:$C$679,0)))</f>
        <v/>
      </c>
      <c r="P691">
        <f>IF(ISNA(MATCH(678,Engine!$C$2:$C$679,0)),"",HYPERLINK(INDEX('Compliance Database'!$P$2:$P$679,MATCH(678,Engine!$C$2:$C$679,0)),"Open PDF"))</f>
        <v/>
      </c>
    </row>
  </sheetData>
  <mergeCells count="1">
    <mergeCell ref="A1:D1"/>
  </mergeCells>
  <dataValidations count="6">
    <dataValidation sqref="B4" showDropDown="0" showInputMessage="0" showErrorMessage="0" allowBlank="1" type="list">
      <formula1>Lists!$A$2:$A$11</formula1>
    </dataValidation>
    <dataValidation sqref="B5" showDropDown="0" showInputMessage="0" showErrorMessage="0" allowBlank="1" type="list">
      <formula1>Lists!$B$2:$B$26</formula1>
    </dataValidation>
    <dataValidation sqref="B6" showDropDown="0" showInputMessage="0" showErrorMessage="0" allowBlank="1" type="list">
      <formula1>Lists!$C$2:$C$41</formula1>
    </dataValidation>
    <dataValidation sqref="B7" showDropDown="0" showInputMessage="0" showErrorMessage="0" allowBlank="1" type="list">
      <formula1>Lists!$D$2:$D$11</formula1>
    </dataValidation>
    <dataValidation sqref="B8" showDropDown="0" showInputMessage="0" showErrorMessage="0" allowBlank="1" type="list">
      <formula1>Lists!$E$2:$E$6</formula1>
    </dataValidation>
    <dataValidation sqref="B9" showDropDown="0" showInputMessage="0" showErrorMessage="0" allowBlank="1" type="list">
      <formula1>Lists!$F$2:$F$72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687"/>
  <sheetViews>
    <sheetView showGridLines="0" workbookViewId="0">
      <pane ySplit="9" topLeftCell="A10"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 width="18" customWidth="1" min="16" max="16"/>
  </cols>
  <sheetData>
    <row r="1">
      <c r="A1" s="1" t="inlineStr">
        <is>
          <t>Cross-Border Data Transfer</t>
        </is>
      </c>
    </row>
    <row r="3">
      <c r="A3" s="5" t="inlineStr">
        <is>
          <t>Pick the two countries involved in the transfer. Every relevant act/section from either country is listed below; add a keyword to narrow it.</t>
        </is>
      </c>
    </row>
    <row r="4">
      <c r="A4" s="2" t="inlineStr">
        <is>
          <t>Country A (from)</t>
        </is>
      </c>
      <c r="B4" s="6" t="inlineStr">
        <is>
          <t>Australia</t>
        </is>
      </c>
    </row>
    <row r="5">
      <c r="A5" s="2" t="inlineStr">
        <is>
          <t>Country B (to)</t>
        </is>
      </c>
      <c r="B5" s="6" t="inlineStr">
        <is>
          <t>GDPR</t>
        </is>
      </c>
    </row>
    <row r="6">
      <c r="A6" s="2" t="inlineStr">
        <is>
          <t>Keyword (free text)</t>
        </is>
      </c>
      <c r="B6" s="6" t="inlineStr"/>
    </row>
    <row r="8">
      <c r="A8" s="2" t="inlineStr">
        <is>
          <t>Matching sections (of 678 total):</t>
        </is>
      </c>
      <c r="C8" s="2">
        <f>'Transfer Engine'!$D$1</f>
        <v/>
      </c>
    </row>
    <row r="9">
      <c r="A9" s="7" t="inlineStr">
        <is>
          <t>Country</t>
        </is>
      </c>
      <c r="B9" s="7" t="inlineStr">
        <is>
          <t>Act</t>
        </is>
      </c>
      <c r="C9" s="7" t="inlineStr">
        <is>
          <t>Section</t>
        </is>
      </c>
      <c r="D9" s="7" t="inlineStr">
        <is>
          <t>Heading</t>
        </is>
      </c>
      <c r="E9" s="7" t="inlineStr">
        <is>
          <t>Pages</t>
        </is>
      </c>
      <c r="F9" s="7" t="inlineStr">
        <is>
          <t>Category</t>
        </is>
      </c>
      <c r="G9" s="7" t="inlineStr">
        <is>
          <t>Financial Relevance</t>
        </is>
      </c>
      <c r="H9" s="7" t="inlineStr">
        <is>
          <t>Confidence</t>
        </is>
      </c>
      <c r="I9" s="7" t="inlineStr">
        <is>
          <t>Topics</t>
        </is>
      </c>
      <c r="J9" s="7" t="inlineStr">
        <is>
          <t>Data Types</t>
        </is>
      </c>
      <c r="K9" s="7" t="inlineStr">
        <is>
          <t>Authority</t>
        </is>
      </c>
      <c r="L9" s="7" t="inlineStr">
        <is>
          <t>Summary</t>
        </is>
      </c>
      <c r="M9" s="7" t="inlineStr">
        <is>
          <t>DTIA Summary</t>
        </is>
      </c>
      <c r="N9" s="7" t="inlineStr">
        <is>
          <t>Requirements</t>
        </is>
      </c>
      <c r="O9" s="7" t="inlineStr">
        <is>
          <t>Source Quote</t>
        </is>
      </c>
      <c r="P9" s="7" t="inlineStr">
        <is>
          <t>Source</t>
        </is>
      </c>
    </row>
    <row r="10">
      <c r="A10">
        <f>IF(ISNA(MATCH(1,'Transfer Engine'!$C$2:$C$679,0)),"",INDEX('Compliance Database'!$A$2:$A$679,MATCH(1,'Transfer Engine'!$C$2:$C$679,0)))</f>
        <v/>
      </c>
      <c r="B10">
        <f>IF(ISNA(MATCH(1,'Transfer Engine'!$C$2:$C$679,0)),"",INDEX('Compliance Database'!$B$2:$B$679,MATCH(1,'Transfer Engine'!$C$2:$C$679,0)))</f>
        <v/>
      </c>
      <c r="C10">
        <f>IF(ISNA(MATCH(1,'Transfer Engine'!$C$2:$C$679,0)),"",INDEX('Compliance Database'!$C$2:$C$679,MATCH(1,'Transfer Engine'!$C$2:$C$679,0)))</f>
        <v/>
      </c>
      <c r="D10" s="8">
        <f>IF(ISNA(MATCH(1,'Transfer Engine'!$C$2:$C$679,0)),"",INDEX('Compliance Database'!$D$2:$D$679,MATCH(1,'Transfer Engine'!$C$2:$C$679,0)))</f>
        <v/>
      </c>
      <c r="E10">
        <f>IF(ISNA(MATCH(1,'Transfer Engine'!$C$2:$C$679,0)),"",INDEX('Compliance Database'!$E$2:$E$679,MATCH(1,'Transfer Engine'!$C$2:$C$679,0)))</f>
        <v/>
      </c>
      <c r="F10">
        <f>IF(ISNA(MATCH(1,'Transfer Engine'!$C$2:$C$679,0)),"",INDEX('Compliance Database'!$F$2:$F$679,MATCH(1,'Transfer Engine'!$C$2:$C$679,0)))</f>
        <v/>
      </c>
      <c r="G10">
        <f>IF(ISNA(MATCH(1,'Transfer Engine'!$C$2:$C$679,0)),"",INDEX('Compliance Database'!$G$2:$G$679,MATCH(1,'Transfer Engine'!$C$2:$C$679,0)))</f>
        <v/>
      </c>
      <c r="H10">
        <f>IF(ISNA(MATCH(1,'Transfer Engine'!$C$2:$C$679,0)),"",INDEX('Compliance Database'!$H$2:$H$679,MATCH(1,'Transfer Engine'!$C$2:$C$679,0)))</f>
        <v/>
      </c>
      <c r="I10" s="8">
        <f>IF(ISNA(MATCH(1,'Transfer Engine'!$C$2:$C$679,0)),"",INDEX('Compliance Database'!$I$2:$I$679,MATCH(1,'Transfer Engine'!$C$2:$C$679,0)))</f>
        <v/>
      </c>
      <c r="J10" s="8">
        <f>IF(ISNA(MATCH(1,'Transfer Engine'!$C$2:$C$679,0)),"",INDEX('Compliance Database'!$J$2:$J$679,MATCH(1,'Transfer Engine'!$C$2:$C$679,0)))</f>
        <v/>
      </c>
      <c r="K10">
        <f>IF(ISNA(MATCH(1,'Transfer Engine'!$C$2:$C$679,0)),"",INDEX('Compliance Database'!$K$2:$K$679,MATCH(1,'Transfer Engine'!$C$2:$C$679,0)))</f>
        <v/>
      </c>
      <c r="L10" s="8">
        <f>IF(ISNA(MATCH(1,'Transfer Engine'!$C$2:$C$679,0)),"",INDEX('Compliance Database'!$L$2:$L$679,MATCH(1,'Transfer Engine'!$C$2:$C$679,0)))</f>
        <v/>
      </c>
      <c r="M10" s="8">
        <f>IF(ISNA(MATCH(1,'Transfer Engine'!$C$2:$C$679,0)),"",INDEX('Compliance Database'!$M$2:$M$679,MATCH(1,'Transfer Engine'!$C$2:$C$679,0)))</f>
        <v/>
      </c>
      <c r="N10" s="8">
        <f>IF(ISNA(MATCH(1,'Transfer Engine'!$C$2:$C$679,0)),"",INDEX('Compliance Database'!$N$2:$N$679,MATCH(1,'Transfer Engine'!$C$2:$C$679,0)))</f>
        <v/>
      </c>
      <c r="O10" s="8">
        <f>IF(ISNA(MATCH(1,'Transfer Engine'!$C$2:$C$679,0)),"",INDEX('Compliance Database'!$O$2:$O$679,MATCH(1,'Transfer Engine'!$C$2:$C$679,0)))</f>
        <v/>
      </c>
      <c r="P10">
        <f>IF(ISNA(MATCH(1,'Transfer Engine'!$C$2:$C$679,0)),"",HYPERLINK(INDEX('Compliance Database'!$P$2:$P$679,MATCH(1,'Transfer Engine'!$C$2:$C$679,0)),"Open PDF"))</f>
        <v/>
      </c>
    </row>
    <row r="11">
      <c r="A11">
        <f>IF(ISNA(MATCH(2,'Transfer Engine'!$C$2:$C$679,0)),"",INDEX('Compliance Database'!$A$2:$A$679,MATCH(2,'Transfer Engine'!$C$2:$C$679,0)))</f>
        <v/>
      </c>
      <c r="B11">
        <f>IF(ISNA(MATCH(2,'Transfer Engine'!$C$2:$C$679,0)),"",INDEX('Compliance Database'!$B$2:$B$679,MATCH(2,'Transfer Engine'!$C$2:$C$679,0)))</f>
        <v/>
      </c>
      <c r="C11">
        <f>IF(ISNA(MATCH(2,'Transfer Engine'!$C$2:$C$679,0)),"",INDEX('Compliance Database'!$C$2:$C$679,MATCH(2,'Transfer Engine'!$C$2:$C$679,0)))</f>
        <v/>
      </c>
      <c r="D11" s="8">
        <f>IF(ISNA(MATCH(2,'Transfer Engine'!$C$2:$C$679,0)),"",INDEX('Compliance Database'!$D$2:$D$679,MATCH(2,'Transfer Engine'!$C$2:$C$679,0)))</f>
        <v/>
      </c>
      <c r="E11">
        <f>IF(ISNA(MATCH(2,'Transfer Engine'!$C$2:$C$679,0)),"",INDEX('Compliance Database'!$E$2:$E$679,MATCH(2,'Transfer Engine'!$C$2:$C$679,0)))</f>
        <v/>
      </c>
      <c r="F11">
        <f>IF(ISNA(MATCH(2,'Transfer Engine'!$C$2:$C$679,0)),"",INDEX('Compliance Database'!$F$2:$F$679,MATCH(2,'Transfer Engine'!$C$2:$C$679,0)))</f>
        <v/>
      </c>
      <c r="G11">
        <f>IF(ISNA(MATCH(2,'Transfer Engine'!$C$2:$C$679,0)),"",INDEX('Compliance Database'!$G$2:$G$679,MATCH(2,'Transfer Engine'!$C$2:$C$679,0)))</f>
        <v/>
      </c>
      <c r="H11">
        <f>IF(ISNA(MATCH(2,'Transfer Engine'!$C$2:$C$679,0)),"",INDEX('Compliance Database'!$H$2:$H$679,MATCH(2,'Transfer Engine'!$C$2:$C$679,0)))</f>
        <v/>
      </c>
      <c r="I11" s="8">
        <f>IF(ISNA(MATCH(2,'Transfer Engine'!$C$2:$C$679,0)),"",INDEX('Compliance Database'!$I$2:$I$679,MATCH(2,'Transfer Engine'!$C$2:$C$679,0)))</f>
        <v/>
      </c>
      <c r="J11" s="8">
        <f>IF(ISNA(MATCH(2,'Transfer Engine'!$C$2:$C$679,0)),"",INDEX('Compliance Database'!$J$2:$J$679,MATCH(2,'Transfer Engine'!$C$2:$C$679,0)))</f>
        <v/>
      </c>
      <c r="K11">
        <f>IF(ISNA(MATCH(2,'Transfer Engine'!$C$2:$C$679,0)),"",INDEX('Compliance Database'!$K$2:$K$679,MATCH(2,'Transfer Engine'!$C$2:$C$679,0)))</f>
        <v/>
      </c>
      <c r="L11" s="8">
        <f>IF(ISNA(MATCH(2,'Transfer Engine'!$C$2:$C$679,0)),"",INDEX('Compliance Database'!$L$2:$L$679,MATCH(2,'Transfer Engine'!$C$2:$C$679,0)))</f>
        <v/>
      </c>
      <c r="M11" s="8">
        <f>IF(ISNA(MATCH(2,'Transfer Engine'!$C$2:$C$679,0)),"",INDEX('Compliance Database'!$M$2:$M$679,MATCH(2,'Transfer Engine'!$C$2:$C$679,0)))</f>
        <v/>
      </c>
      <c r="N11" s="8">
        <f>IF(ISNA(MATCH(2,'Transfer Engine'!$C$2:$C$679,0)),"",INDEX('Compliance Database'!$N$2:$N$679,MATCH(2,'Transfer Engine'!$C$2:$C$679,0)))</f>
        <v/>
      </c>
      <c r="O11" s="8">
        <f>IF(ISNA(MATCH(2,'Transfer Engine'!$C$2:$C$679,0)),"",INDEX('Compliance Database'!$O$2:$O$679,MATCH(2,'Transfer Engine'!$C$2:$C$679,0)))</f>
        <v/>
      </c>
      <c r="P11">
        <f>IF(ISNA(MATCH(2,'Transfer Engine'!$C$2:$C$679,0)),"",HYPERLINK(INDEX('Compliance Database'!$P$2:$P$679,MATCH(2,'Transfer Engine'!$C$2:$C$679,0)),"Open PDF"))</f>
        <v/>
      </c>
    </row>
    <row r="12">
      <c r="A12">
        <f>IF(ISNA(MATCH(3,'Transfer Engine'!$C$2:$C$679,0)),"",INDEX('Compliance Database'!$A$2:$A$679,MATCH(3,'Transfer Engine'!$C$2:$C$679,0)))</f>
        <v/>
      </c>
      <c r="B12">
        <f>IF(ISNA(MATCH(3,'Transfer Engine'!$C$2:$C$679,0)),"",INDEX('Compliance Database'!$B$2:$B$679,MATCH(3,'Transfer Engine'!$C$2:$C$679,0)))</f>
        <v/>
      </c>
      <c r="C12">
        <f>IF(ISNA(MATCH(3,'Transfer Engine'!$C$2:$C$679,0)),"",INDEX('Compliance Database'!$C$2:$C$679,MATCH(3,'Transfer Engine'!$C$2:$C$679,0)))</f>
        <v/>
      </c>
      <c r="D12" s="8">
        <f>IF(ISNA(MATCH(3,'Transfer Engine'!$C$2:$C$679,0)),"",INDEX('Compliance Database'!$D$2:$D$679,MATCH(3,'Transfer Engine'!$C$2:$C$679,0)))</f>
        <v/>
      </c>
      <c r="E12">
        <f>IF(ISNA(MATCH(3,'Transfer Engine'!$C$2:$C$679,0)),"",INDEX('Compliance Database'!$E$2:$E$679,MATCH(3,'Transfer Engine'!$C$2:$C$679,0)))</f>
        <v/>
      </c>
      <c r="F12">
        <f>IF(ISNA(MATCH(3,'Transfer Engine'!$C$2:$C$679,0)),"",INDEX('Compliance Database'!$F$2:$F$679,MATCH(3,'Transfer Engine'!$C$2:$C$679,0)))</f>
        <v/>
      </c>
      <c r="G12">
        <f>IF(ISNA(MATCH(3,'Transfer Engine'!$C$2:$C$679,0)),"",INDEX('Compliance Database'!$G$2:$G$679,MATCH(3,'Transfer Engine'!$C$2:$C$679,0)))</f>
        <v/>
      </c>
      <c r="H12">
        <f>IF(ISNA(MATCH(3,'Transfer Engine'!$C$2:$C$679,0)),"",INDEX('Compliance Database'!$H$2:$H$679,MATCH(3,'Transfer Engine'!$C$2:$C$679,0)))</f>
        <v/>
      </c>
      <c r="I12" s="8">
        <f>IF(ISNA(MATCH(3,'Transfer Engine'!$C$2:$C$679,0)),"",INDEX('Compliance Database'!$I$2:$I$679,MATCH(3,'Transfer Engine'!$C$2:$C$679,0)))</f>
        <v/>
      </c>
      <c r="J12" s="8">
        <f>IF(ISNA(MATCH(3,'Transfer Engine'!$C$2:$C$679,0)),"",INDEX('Compliance Database'!$J$2:$J$679,MATCH(3,'Transfer Engine'!$C$2:$C$679,0)))</f>
        <v/>
      </c>
      <c r="K12">
        <f>IF(ISNA(MATCH(3,'Transfer Engine'!$C$2:$C$679,0)),"",INDEX('Compliance Database'!$K$2:$K$679,MATCH(3,'Transfer Engine'!$C$2:$C$679,0)))</f>
        <v/>
      </c>
      <c r="L12" s="8">
        <f>IF(ISNA(MATCH(3,'Transfer Engine'!$C$2:$C$679,0)),"",INDEX('Compliance Database'!$L$2:$L$679,MATCH(3,'Transfer Engine'!$C$2:$C$679,0)))</f>
        <v/>
      </c>
      <c r="M12" s="8">
        <f>IF(ISNA(MATCH(3,'Transfer Engine'!$C$2:$C$679,0)),"",INDEX('Compliance Database'!$M$2:$M$679,MATCH(3,'Transfer Engine'!$C$2:$C$679,0)))</f>
        <v/>
      </c>
      <c r="N12" s="8">
        <f>IF(ISNA(MATCH(3,'Transfer Engine'!$C$2:$C$679,0)),"",INDEX('Compliance Database'!$N$2:$N$679,MATCH(3,'Transfer Engine'!$C$2:$C$679,0)))</f>
        <v/>
      </c>
      <c r="O12" s="8">
        <f>IF(ISNA(MATCH(3,'Transfer Engine'!$C$2:$C$679,0)),"",INDEX('Compliance Database'!$O$2:$O$679,MATCH(3,'Transfer Engine'!$C$2:$C$679,0)))</f>
        <v/>
      </c>
      <c r="P12">
        <f>IF(ISNA(MATCH(3,'Transfer Engine'!$C$2:$C$679,0)),"",HYPERLINK(INDEX('Compliance Database'!$P$2:$P$679,MATCH(3,'Transfer Engine'!$C$2:$C$679,0)),"Open PDF"))</f>
        <v/>
      </c>
    </row>
    <row r="13">
      <c r="A13">
        <f>IF(ISNA(MATCH(4,'Transfer Engine'!$C$2:$C$679,0)),"",INDEX('Compliance Database'!$A$2:$A$679,MATCH(4,'Transfer Engine'!$C$2:$C$679,0)))</f>
        <v/>
      </c>
      <c r="B13">
        <f>IF(ISNA(MATCH(4,'Transfer Engine'!$C$2:$C$679,0)),"",INDEX('Compliance Database'!$B$2:$B$679,MATCH(4,'Transfer Engine'!$C$2:$C$679,0)))</f>
        <v/>
      </c>
      <c r="C13">
        <f>IF(ISNA(MATCH(4,'Transfer Engine'!$C$2:$C$679,0)),"",INDEX('Compliance Database'!$C$2:$C$679,MATCH(4,'Transfer Engine'!$C$2:$C$679,0)))</f>
        <v/>
      </c>
      <c r="D13" s="8">
        <f>IF(ISNA(MATCH(4,'Transfer Engine'!$C$2:$C$679,0)),"",INDEX('Compliance Database'!$D$2:$D$679,MATCH(4,'Transfer Engine'!$C$2:$C$679,0)))</f>
        <v/>
      </c>
      <c r="E13">
        <f>IF(ISNA(MATCH(4,'Transfer Engine'!$C$2:$C$679,0)),"",INDEX('Compliance Database'!$E$2:$E$679,MATCH(4,'Transfer Engine'!$C$2:$C$679,0)))</f>
        <v/>
      </c>
      <c r="F13">
        <f>IF(ISNA(MATCH(4,'Transfer Engine'!$C$2:$C$679,0)),"",INDEX('Compliance Database'!$F$2:$F$679,MATCH(4,'Transfer Engine'!$C$2:$C$679,0)))</f>
        <v/>
      </c>
      <c r="G13">
        <f>IF(ISNA(MATCH(4,'Transfer Engine'!$C$2:$C$679,0)),"",INDEX('Compliance Database'!$G$2:$G$679,MATCH(4,'Transfer Engine'!$C$2:$C$679,0)))</f>
        <v/>
      </c>
      <c r="H13">
        <f>IF(ISNA(MATCH(4,'Transfer Engine'!$C$2:$C$679,0)),"",INDEX('Compliance Database'!$H$2:$H$679,MATCH(4,'Transfer Engine'!$C$2:$C$679,0)))</f>
        <v/>
      </c>
      <c r="I13" s="8">
        <f>IF(ISNA(MATCH(4,'Transfer Engine'!$C$2:$C$679,0)),"",INDEX('Compliance Database'!$I$2:$I$679,MATCH(4,'Transfer Engine'!$C$2:$C$679,0)))</f>
        <v/>
      </c>
      <c r="J13" s="8">
        <f>IF(ISNA(MATCH(4,'Transfer Engine'!$C$2:$C$679,0)),"",INDEX('Compliance Database'!$J$2:$J$679,MATCH(4,'Transfer Engine'!$C$2:$C$679,0)))</f>
        <v/>
      </c>
      <c r="K13">
        <f>IF(ISNA(MATCH(4,'Transfer Engine'!$C$2:$C$679,0)),"",INDEX('Compliance Database'!$K$2:$K$679,MATCH(4,'Transfer Engine'!$C$2:$C$679,0)))</f>
        <v/>
      </c>
      <c r="L13" s="8">
        <f>IF(ISNA(MATCH(4,'Transfer Engine'!$C$2:$C$679,0)),"",INDEX('Compliance Database'!$L$2:$L$679,MATCH(4,'Transfer Engine'!$C$2:$C$679,0)))</f>
        <v/>
      </c>
      <c r="M13" s="8">
        <f>IF(ISNA(MATCH(4,'Transfer Engine'!$C$2:$C$679,0)),"",INDEX('Compliance Database'!$M$2:$M$679,MATCH(4,'Transfer Engine'!$C$2:$C$679,0)))</f>
        <v/>
      </c>
      <c r="N13" s="8">
        <f>IF(ISNA(MATCH(4,'Transfer Engine'!$C$2:$C$679,0)),"",INDEX('Compliance Database'!$N$2:$N$679,MATCH(4,'Transfer Engine'!$C$2:$C$679,0)))</f>
        <v/>
      </c>
      <c r="O13" s="8">
        <f>IF(ISNA(MATCH(4,'Transfer Engine'!$C$2:$C$679,0)),"",INDEX('Compliance Database'!$O$2:$O$679,MATCH(4,'Transfer Engine'!$C$2:$C$679,0)))</f>
        <v/>
      </c>
      <c r="P13">
        <f>IF(ISNA(MATCH(4,'Transfer Engine'!$C$2:$C$679,0)),"",HYPERLINK(INDEX('Compliance Database'!$P$2:$P$679,MATCH(4,'Transfer Engine'!$C$2:$C$679,0)),"Open PDF"))</f>
        <v/>
      </c>
    </row>
    <row r="14">
      <c r="A14">
        <f>IF(ISNA(MATCH(5,'Transfer Engine'!$C$2:$C$679,0)),"",INDEX('Compliance Database'!$A$2:$A$679,MATCH(5,'Transfer Engine'!$C$2:$C$679,0)))</f>
        <v/>
      </c>
      <c r="B14">
        <f>IF(ISNA(MATCH(5,'Transfer Engine'!$C$2:$C$679,0)),"",INDEX('Compliance Database'!$B$2:$B$679,MATCH(5,'Transfer Engine'!$C$2:$C$679,0)))</f>
        <v/>
      </c>
      <c r="C14">
        <f>IF(ISNA(MATCH(5,'Transfer Engine'!$C$2:$C$679,0)),"",INDEX('Compliance Database'!$C$2:$C$679,MATCH(5,'Transfer Engine'!$C$2:$C$679,0)))</f>
        <v/>
      </c>
      <c r="D14" s="8">
        <f>IF(ISNA(MATCH(5,'Transfer Engine'!$C$2:$C$679,0)),"",INDEX('Compliance Database'!$D$2:$D$679,MATCH(5,'Transfer Engine'!$C$2:$C$679,0)))</f>
        <v/>
      </c>
      <c r="E14">
        <f>IF(ISNA(MATCH(5,'Transfer Engine'!$C$2:$C$679,0)),"",INDEX('Compliance Database'!$E$2:$E$679,MATCH(5,'Transfer Engine'!$C$2:$C$679,0)))</f>
        <v/>
      </c>
      <c r="F14">
        <f>IF(ISNA(MATCH(5,'Transfer Engine'!$C$2:$C$679,0)),"",INDEX('Compliance Database'!$F$2:$F$679,MATCH(5,'Transfer Engine'!$C$2:$C$679,0)))</f>
        <v/>
      </c>
      <c r="G14">
        <f>IF(ISNA(MATCH(5,'Transfer Engine'!$C$2:$C$679,0)),"",INDEX('Compliance Database'!$G$2:$G$679,MATCH(5,'Transfer Engine'!$C$2:$C$679,0)))</f>
        <v/>
      </c>
      <c r="H14">
        <f>IF(ISNA(MATCH(5,'Transfer Engine'!$C$2:$C$679,0)),"",INDEX('Compliance Database'!$H$2:$H$679,MATCH(5,'Transfer Engine'!$C$2:$C$679,0)))</f>
        <v/>
      </c>
      <c r="I14" s="8">
        <f>IF(ISNA(MATCH(5,'Transfer Engine'!$C$2:$C$679,0)),"",INDEX('Compliance Database'!$I$2:$I$679,MATCH(5,'Transfer Engine'!$C$2:$C$679,0)))</f>
        <v/>
      </c>
      <c r="J14" s="8">
        <f>IF(ISNA(MATCH(5,'Transfer Engine'!$C$2:$C$679,0)),"",INDEX('Compliance Database'!$J$2:$J$679,MATCH(5,'Transfer Engine'!$C$2:$C$679,0)))</f>
        <v/>
      </c>
      <c r="K14">
        <f>IF(ISNA(MATCH(5,'Transfer Engine'!$C$2:$C$679,0)),"",INDEX('Compliance Database'!$K$2:$K$679,MATCH(5,'Transfer Engine'!$C$2:$C$679,0)))</f>
        <v/>
      </c>
      <c r="L14" s="8">
        <f>IF(ISNA(MATCH(5,'Transfer Engine'!$C$2:$C$679,0)),"",INDEX('Compliance Database'!$L$2:$L$679,MATCH(5,'Transfer Engine'!$C$2:$C$679,0)))</f>
        <v/>
      </c>
      <c r="M14" s="8">
        <f>IF(ISNA(MATCH(5,'Transfer Engine'!$C$2:$C$679,0)),"",INDEX('Compliance Database'!$M$2:$M$679,MATCH(5,'Transfer Engine'!$C$2:$C$679,0)))</f>
        <v/>
      </c>
      <c r="N14" s="8">
        <f>IF(ISNA(MATCH(5,'Transfer Engine'!$C$2:$C$679,0)),"",INDEX('Compliance Database'!$N$2:$N$679,MATCH(5,'Transfer Engine'!$C$2:$C$679,0)))</f>
        <v/>
      </c>
      <c r="O14" s="8">
        <f>IF(ISNA(MATCH(5,'Transfer Engine'!$C$2:$C$679,0)),"",INDEX('Compliance Database'!$O$2:$O$679,MATCH(5,'Transfer Engine'!$C$2:$C$679,0)))</f>
        <v/>
      </c>
      <c r="P14">
        <f>IF(ISNA(MATCH(5,'Transfer Engine'!$C$2:$C$679,0)),"",HYPERLINK(INDEX('Compliance Database'!$P$2:$P$679,MATCH(5,'Transfer Engine'!$C$2:$C$679,0)),"Open PDF"))</f>
        <v/>
      </c>
    </row>
    <row r="15">
      <c r="A15">
        <f>IF(ISNA(MATCH(6,'Transfer Engine'!$C$2:$C$679,0)),"",INDEX('Compliance Database'!$A$2:$A$679,MATCH(6,'Transfer Engine'!$C$2:$C$679,0)))</f>
        <v/>
      </c>
      <c r="B15">
        <f>IF(ISNA(MATCH(6,'Transfer Engine'!$C$2:$C$679,0)),"",INDEX('Compliance Database'!$B$2:$B$679,MATCH(6,'Transfer Engine'!$C$2:$C$679,0)))</f>
        <v/>
      </c>
      <c r="C15">
        <f>IF(ISNA(MATCH(6,'Transfer Engine'!$C$2:$C$679,0)),"",INDEX('Compliance Database'!$C$2:$C$679,MATCH(6,'Transfer Engine'!$C$2:$C$679,0)))</f>
        <v/>
      </c>
      <c r="D15" s="8">
        <f>IF(ISNA(MATCH(6,'Transfer Engine'!$C$2:$C$679,0)),"",INDEX('Compliance Database'!$D$2:$D$679,MATCH(6,'Transfer Engine'!$C$2:$C$679,0)))</f>
        <v/>
      </c>
      <c r="E15">
        <f>IF(ISNA(MATCH(6,'Transfer Engine'!$C$2:$C$679,0)),"",INDEX('Compliance Database'!$E$2:$E$679,MATCH(6,'Transfer Engine'!$C$2:$C$679,0)))</f>
        <v/>
      </c>
      <c r="F15">
        <f>IF(ISNA(MATCH(6,'Transfer Engine'!$C$2:$C$679,0)),"",INDEX('Compliance Database'!$F$2:$F$679,MATCH(6,'Transfer Engine'!$C$2:$C$679,0)))</f>
        <v/>
      </c>
      <c r="G15">
        <f>IF(ISNA(MATCH(6,'Transfer Engine'!$C$2:$C$679,0)),"",INDEX('Compliance Database'!$G$2:$G$679,MATCH(6,'Transfer Engine'!$C$2:$C$679,0)))</f>
        <v/>
      </c>
      <c r="H15">
        <f>IF(ISNA(MATCH(6,'Transfer Engine'!$C$2:$C$679,0)),"",INDEX('Compliance Database'!$H$2:$H$679,MATCH(6,'Transfer Engine'!$C$2:$C$679,0)))</f>
        <v/>
      </c>
      <c r="I15" s="8">
        <f>IF(ISNA(MATCH(6,'Transfer Engine'!$C$2:$C$679,0)),"",INDEX('Compliance Database'!$I$2:$I$679,MATCH(6,'Transfer Engine'!$C$2:$C$679,0)))</f>
        <v/>
      </c>
      <c r="J15" s="8">
        <f>IF(ISNA(MATCH(6,'Transfer Engine'!$C$2:$C$679,0)),"",INDEX('Compliance Database'!$J$2:$J$679,MATCH(6,'Transfer Engine'!$C$2:$C$679,0)))</f>
        <v/>
      </c>
      <c r="K15">
        <f>IF(ISNA(MATCH(6,'Transfer Engine'!$C$2:$C$679,0)),"",INDEX('Compliance Database'!$K$2:$K$679,MATCH(6,'Transfer Engine'!$C$2:$C$679,0)))</f>
        <v/>
      </c>
      <c r="L15" s="8">
        <f>IF(ISNA(MATCH(6,'Transfer Engine'!$C$2:$C$679,0)),"",INDEX('Compliance Database'!$L$2:$L$679,MATCH(6,'Transfer Engine'!$C$2:$C$679,0)))</f>
        <v/>
      </c>
      <c r="M15" s="8">
        <f>IF(ISNA(MATCH(6,'Transfer Engine'!$C$2:$C$679,0)),"",INDEX('Compliance Database'!$M$2:$M$679,MATCH(6,'Transfer Engine'!$C$2:$C$679,0)))</f>
        <v/>
      </c>
      <c r="N15" s="8">
        <f>IF(ISNA(MATCH(6,'Transfer Engine'!$C$2:$C$679,0)),"",INDEX('Compliance Database'!$N$2:$N$679,MATCH(6,'Transfer Engine'!$C$2:$C$679,0)))</f>
        <v/>
      </c>
      <c r="O15" s="8">
        <f>IF(ISNA(MATCH(6,'Transfer Engine'!$C$2:$C$679,0)),"",INDEX('Compliance Database'!$O$2:$O$679,MATCH(6,'Transfer Engine'!$C$2:$C$679,0)))</f>
        <v/>
      </c>
      <c r="P15">
        <f>IF(ISNA(MATCH(6,'Transfer Engine'!$C$2:$C$679,0)),"",HYPERLINK(INDEX('Compliance Database'!$P$2:$P$679,MATCH(6,'Transfer Engine'!$C$2:$C$679,0)),"Open PDF"))</f>
        <v/>
      </c>
    </row>
    <row r="16">
      <c r="A16">
        <f>IF(ISNA(MATCH(7,'Transfer Engine'!$C$2:$C$679,0)),"",INDEX('Compliance Database'!$A$2:$A$679,MATCH(7,'Transfer Engine'!$C$2:$C$679,0)))</f>
        <v/>
      </c>
      <c r="B16">
        <f>IF(ISNA(MATCH(7,'Transfer Engine'!$C$2:$C$679,0)),"",INDEX('Compliance Database'!$B$2:$B$679,MATCH(7,'Transfer Engine'!$C$2:$C$679,0)))</f>
        <v/>
      </c>
      <c r="C16">
        <f>IF(ISNA(MATCH(7,'Transfer Engine'!$C$2:$C$679,0)),"",INDEX('Compliance Database'!$C$2:$C$679,MATCH(7,'Transfer Engine'!$C$2:$C$679,0)))</f>
        <v/>
      </c>
      <c r="D16" s="8">
        <f>IF(ISNA(MATCH(7,'Transfer Engine'!$C$2:$C$679,0)),"",INDEX('Compliance Database'!$D$2:$D$679,MATCH(7,'Transfer Engine'!$C$2:$C$679,0)))</f>
        <v/>
      </c>
      <c r="E16">
        <f>IF(ISNA(MATCH(7,'Transfer Engine'!$C$2:$C$679,0)),"",INDEX('Compliance Database'!$E$2:$E$679,MATCH(7,'Transfer Engine'!$C$2:$C$679,0)))</f>
        <v/>
      </c>
      <c r="F16">
        <f>IF(ISNA(MATCH(7,'Transfer Engine'!$C$2:$C$679,0)),"",INDEX('Compliance Database'!$F$2:$F$679,MATCH(7,'Transfer Engine'!$C$2:$C$679,0)))</f>
        <v/>
      </c>
      <c r="G16">
        <f>IF(ISNA(MATCH(7,'Transfer Engine'!$C$2:$C$679,0)),"",INDEX('Compliance Database'!$G$2:$G$679,MATCH(7,'Transfer Engine'!$C$2:$C$679,0)))</f>
        <v/>
      </c>
      <c r="H16">
        <f>IF(ISNA(MATCH(7,'Transfer Engine'!$C$2:$C$679,0)),"",INDEX('Compliance Database'!$H$2:$H$679,MATCH(7,'Transfer Engine'!$C$2:$C$679,0)))</f>
        <v/>
      </c>
      <c r="I16" s="8">
        <f>IF(ISNA(MATCH(7,'Transfer Engine'!$C$2:$C$679,0)),"",INDEX('Compliance Database'!$I$2:$I$679,MATCH(7,'Transfer Engine'!$C$2:$C$679,0)))</f>
        <v/>
      </c>
      <c r="J16" s="8">
        <f>IF(ISNA(MATCH(7,'Transfer Engine'!$C$2:$C$679,0)),"",INDEX('Compliance Database'!$J$2:$J$679,MATCH(7,'Transfer Engine'!$C$2:$C$679,0)))</f>
        <v/>
      </c>
      <c r="K16">
        <f>IF(ISNA(MATCH(7,'Transfer Engine'!$C$2:$C$679,0)),"",INDEX('Compliance Database'!$K$2:$K$679,MATCH(7,'Transfer Engine'!$C$2:$C$679,0)))</f>
        <v/>
      </c>
      <c r="L16" s="8">
        <f>IF(ISNA(MATCH(7,'Transfer Engine'!$C$2:$C$679,0)),"",INDEX('Compliance Database'!$L$2:$L$679,MATCH(7,'Transfer Engine'!$C$2:$C$679,0)))</f>
        <v/>
      </c>
      <c r="M16" s="8">
        <f>IF(ISNA(MATCH(7,'Transfer Engine'!$C$2:$C$679,0)),"",INDEX('Compliance Database'!$M$2:$M$679,MATCH(7,'Transfer Engine'!$C$2:$C$679,0)))</f>
        <v/>
      </c>
      <c r="N16" s="8">
        <f>IF(ISNA(MATCH(7,'Transfer Engine'!$C$2:$C$679,0)),"",INDEX('Compliance Database'!$N$2:$N$679,MATCH(7,'Transfer Engine'!$C$2:$C$679,0)))</f>
        <v/>
      </c>
      <c r="O16" s="8">
        <f>IF(ISNA(MATCH(7,'Transfer Engine'!$C$2:$C$679,0)),"",INDEX('Compliance Database'!$O$2:$O$679,MATCH(7,'Transfer Engine'!$C$2:$C$679,0)))</f>
        <v/>
      </c>
      <c r="P16">
        <f>IF(ISNA(MATCH(7,'Transfer Engine'!$C$2:$C$679,0)),"",HYPERLINK(INDEX('Compliance Database'!$P$2:$P$679,MATCH(7,'Transfer Engine'!$C$2:$C$679,0)),"Open PDF"))</f>
        <v/>
      </c>
    </row>
    <row r="17">
      <c r="A17">
        <f>IF(ISNA(MATCH(8,'Transfer Engine'!$C$2:$C$679,0)),"",INDEX('Compliance Database'!$A$2:$A$679,MATCH(8,'Transfer Engine'!$C$2:$C$679,0)))</f>
        <v/>
      </c>
      <c r="B17">
        <f>IF(ISNA(MATCH(8,'Transfer Engine'!$C$2:$C$679,0)),"",INDEX('Compliance Database'!$B$2:$B$679,MATCH(8,'Transfer Engine'!$C$2:$C$679,0)))</f>
        <v/>
      </c>
      <c r="C17">
        <f>IF(ISNA(MATCH(8,'Transfer Engine'!$C$2:$C$679,0)),"",INDEX('Compliance Database'!$C$2:$C$679,MATCH(8,'Transfer Engine'!$C$2:$C$679,0)))</f>
        <v/>
      </c>
      <c r="D17" s="8">
        <f>IF(ISNA(MATCH(8,'Transfer Engine'!$C$2:$C$679,0)),"",INDEX('Compliance Database'!$D$2:$D$679,MATCH(8,'Transfer Engine'!$C$2:$C$679,0)))</f>
        <v/>
      </c>
      <c r="E17">
        <f>IF(ISNA(MATCH(8,'Transfer Engine'!$C$2:$C$679,0)),"",INDEX('Compliance Database'!$E$2:$E$679,MATCH(8,'Transfer Engine'!$C$2:$C$679,0)))</f>
        <v/>
      </c>
      <c r="F17">
        <f>IF(ISNA(MATCH(8,'Transfer Engine'!$C$2:$C$679,0)),"",INDEX('Compliance Database'!$F$2:$F$679,MATCH(8,'Transfer Engine'!$C$2:$C$679,0)))</f>
        <v/>
      </c>
      <c r="G17">
        <f>IF(ISNA(MATCH(8,'Transfer Engine'!$C$2:$C$679,0)),"",INDEX('Compliance Database'!$G$2:$G$679,MATCH(8,'Transfer Engine'!$C$2:$C$679,0)))</f>
        <v/>
      </c>
      <c r="H17">
        <f>IF(ISNA(MATCH(8,'Transfer Engine'!$C$2:$C$679,0)),"",INDEX('Compliance Database'!$H$2:$H$679,MATCH(8,'Transfer Engine'!$C$2:$C$679,0)))</f>
        <v/>
      </c>
      <c r="I17" s="8">
        <f>IF(ISNA(MATCH(8,'Transfer Engine'!$C$2:$C$679,0)),"",INDEX('Compliance Database'!$I$2:$I$679,MATCH(8,'Transfer Engine'!$C$2:$C$679,0)))</f>
        <v/>
      </c>
      <c r="J17" s="8">
        <f>IF(ISNA(MATCH(8,'Transfer Engine'!$C$2:$C$679,0)),"",INDEX('Compliance Database'!$J$2:$J$679,MATCH(8,'Transfer Engine'!$C$2:$C$679,0)))</f>
        <v/>
      </c>
      <c r="K17">
        <f>IF(ISNA(MATCH(8,'Transfer Engine'!$C$2:$C$679,0)),"",INDEX('Compliance Database'!$K$2:$K$679,MATCH(8,'Transfer Engine'!$C$2:$C$679,0)))</f>
        <v/>
      </c>
      <c r="L17" s="8">
        <f>IF(ISNA(MATCH(8,'Transfer Engine'!$C$2:$C$679,0)),"",INDEX('Compliance Database'!$L$2:$L$679,MATCH(8,'Transfer Engine'!$C$2:$C$679,0)))</f>
        <v/>
      </c>
      <c r="M17" s="8">
        <f>IF(ISNA(MATCH(8,'Transfer Engine'!$C$2:$C$679,0)),"",INDEX('Compliance Database'!$M$2:$M$679,MATCH(8,'Transfer Engine'!$C$2:$C$679,0)))</f>
        <v/>
      </c>
      <c r="N17" s="8">
        <f>IF(ISNA(MATCH(8,'Transfer Engine'!$C$2:$C$679,0)),"",INDEX('Compliance Database'!$N$2:$N$679,MATCH(8,'Transfer Engine'!$C$2:$C$679,0)))</f>
        <v/>
      </c>
      <c r="O17" s="8">
        <f>IF(ISNA(MATCH(8,'Transfer Engine'!$C$2:$C$679,0)),"",INDEX('Compliance Database'!$O$2:$O$679,MATCH(8,'Transfer Engine'!$C$2:$C$679,0)))</f>
        <v/>
      </c>
      <c r="P17">
        <f>IF(ISNA(MATCH(8,'Transfer Engine'!$C$2:$C$679,0)),"",HYPERLINK(INDEX('Compliance Database'!$P$2:$P$679,MATCH(8,'Transfer Engine'!$C$2:$C$679,0)),"Open PDF"))</f>
        <v/>
      </c>
    </row>
    <row r="18">
      <c r="A18">
        <f>IF(ISNA(MATCH(9,'Transfer Engine'!$C$2:$C$679,0)),"",INDEX('Compliance Database'!$A$2:$A$679,MATCH(9,'Transfer Engine'!$C$2:$C$679,0)))</f>
        <v/>
      </c>
      <c r="B18">
        <f>IF(ISNA(MATCH(9,'Transfer Engine'!$C$2:$C$679,0)),"",INDEX('Compliance Database'!$B$2:$B$679,MATCH(9,'Transfer Engine'!$C$2:$C$679,0)))</f>
        <v/>
      </c>
      <c r="C18">
        <f>IF(ISNA(MATCH(9,'Transfer Engine'!$C$2:$C$679,0)),"",INDEX('Compliance Database'!$C$2:$C$679,MATCH(9,'Transfer Engine'!$C$2:$C$679,0)))</f>
        <v/>
      </c>
      <c r="D18" s="8">
        <f>IF(ISNA(MATCH(9,'Transfer Engine'!$C$2:$C$679,0)),"",INDEX('Compliance Database'!$D$2:$D$679,MATCH(9,'Transfer Engine'!$C$2:$C$679,0)))</f>
        <v/>
      </c>
      <c r="E18">
        <f>IF(ISNA(MATCH(9,'Transfer Engine'!$C$2:$C$679,0)),"",INDEX('Compliance Database'!$E$2:$E$679,MATCH(9,'Transfer Engine'!$C$2:$C$679,0)))</f>
        <v/>
      </c>
      <c r="F18">
        <f>IF(ISNA(MATCH(9,'Transfer Engine'!$C$2:$C$679,0)),"",INDEX('Compliance Database'!$F$2:$F$679,MATCH(9,'Transfer Engine'!$C$2:$C$679,0)))</f>
        <v/>
      </c>
      <c r="G18">
        <f>IF(ISNA(MATCH(9,'Transfer Engine'!$C$2:$C$679,0)),"",INDEX('Compliance Database'!$G$2:$G$679,MATCH(9,'Transfer Engine'!$C$2:$C$679,0)))</f>
        <v/>
      </c>
      <c r="H18">
        <f>IF(ISNA(MATCH(9,'Transfer Engine'!$C$2:$C$679,0)),"",INDEX('Compliance Database'!$H$2:$H$679,MATCH(9,'Transfer Engine'!$C$2:$C$679,0)))</f>
        <v/>
      </c>
      <c r="I18" s="8">
        <f>IF(ISNA(MATCH(9,'Transfer Engine'!$C$2:$C$679,0)),"",INDEX('Compliance Database'!$I$2:$I$679,MATCH(9,'Transfer Engine'!$C$2:$C$679,0)))</f>
        <v/>
      </c>
      <c r="J18" s="8">
        <f>IF(ISNA(MATCH(9,'Transfer Engine'!$C$2:$C$679,0)),"",INDEX('Compliance Database'!$J$2:$J$679,MATCH(9,'Transfer Engine'!$C$2:$C$679,0)))</f>
        <v/>
      </c>
      <c r="K18">
        <f>IF(ISNA(MATCH(9,'Transfer Engine'!$C$2:$C$679,0)),"",INDEX('Compliance Database'!$K$2:$K$679,MATCH(9,'Transfer Engine'!$C$2:$C$679,0)))</f>
        <v/>
      </c>
      <c r="L18" s="8">
        <f>IF(ISNA(MATCH(9,'Transfer Engine'!$C$2:$C$679,0)),"",INDEX('Compliance Database'!$L$2:$L$679,MATCH(9,'Transfer Engine'!$C$2:$C$679,0)))</f>
        <v/>
      </c>
      <c r="M18" s="8">
        <f>IF(ISNA(MATCH(9,'Transfer Engine'!$C$2:$C$679,0)),"",INDEX('Compliance Database'!$M$2:$M$679,MATCH(9,'Transfer Engine'!$C$2:$C$679,0)))</f>
        <v/>
      </c>
      <c r="N18" s="8">
        <f>IF(ISNA(MATCH(9,'Transfer Engine'!$C$2:$C$679,0)),"",INDEX('Compliance Database'!$N$2:$N$679,MATCH(9,'Transfer Engine'!$C$2:$C$679,0)))</f>
        <v/>
      </c>
      <c r="O18" s="8">
        <f>IF(ISNA(MATCH(9,'Transfer Engine'!$C$2:$C$679,0)),"",INDEX('Compliance Database'!$O$2:$O$679,MATCH(9,'Transfer Engine'!$C$2:$C$679,0)))</f>
        <v/>
      </c>
      <c r="P18">
        <f>IF(ISNA(MATCH(9,'Transfer Engine'!$C$2:$C$679,0)),"",HYPERLINK(INDEX('Compliance Database'!$P$2:$P$679,MATCH(9,'Transfer Engine'!$C$2:$C$679,0)),"Open PDF"))</f>
        <v/>
      </c>
    </row>
    <row r="19">
      <c r="A19">
        <f>IF(ISNA(MATCH(10,'Transfer Engine'!$C$2:$C$679,0)),"",INDEX('Compliance Database'!$A$2:$A$679,MATCH(10,'Transfer Engine'!$C$2:$C$679,0)))</f>
        <v/>
      </c>
      <c r="B19">
        <f>IF(ISNA(MATCH(10,'Transfer Engine'!$C$2:$C$679,0)),"",INDEX('Compliance Database'!$B$2:$B$679,MATCH(10,'Transfer Engine'!$C$2:$C$679,0)))</f>
        <v/>
      </c>
      <c r="C19">
        <f>IF(ISNA(MATCH(10,'Transfer Engine'!$C$2:$C$679,0)),"",INDEX('Compliance Database'!$C$2:$C$679,MATCH(10,'Transfer Engine'!$C$2:$C$679,0)))</f>
        <v/>
      </c>
      <c r="D19" s="8">
        <f>IF(ISNA(MATCH(10,'Transfer Engine'!$C$2:$C$679,0)),"",INDEX('Compliance Database'!$D$2:$D$679,MATCH(10,'Transfer Engine'!$C$2:$C$679,0)))</f>
        <v/>
      </c>
      <c r="E19">
        <f>IF(ISNA(MATCH(10,'Transfer Engine'!$C$2:$C$679,0)),"",INDEX('Compliance Database'!$E$2:$E$679,MATCH(10,'Transfer Engine'!$C$2:$C$679,0)))</f>
        <v/>
      </c>
      <c r="F19">
        <f>IF(ISNA(MATCH(10,'Transfer Engine'!$C$2:$C$679,0)),"",INDEX('Compliance Database'!$F$2:$F$679,MATCH(10,'Transfer Engine'!$C$2:$C$679,0)))</f>
        <v/>
      </c>
      <c r="G19">
        <f>IF(ISNA(MATCH(10,'Transfer Engine'!$C$2:$C$679,0)),"",INDEX('Compliance Database'!$G$2:$G$679,MATCH(10,'Transfer Engine'!$C$2:$C$679,0)))</f>
        <v/>
      </c>
      <c r="H19">
        <f>IF(ISNA(MATCH(10,'Transfer Engine'!$C$2:$C$679,0)),"",INDEX('Compliance Database'!$H$2:$H$679,MATCH(10,'Transfer Engine'!$C$2:$C$679,0)))</f>
        <v/>
      </c>
      <c r="I19" s="8">
        <f>IF(ISNA(MATCH(10,'Transfer Engine'!$C$2:$C$679,0)),"",INDEX('Compliance Database'!$I$2:$I$679,MATCH(10,'Transfer Engine'!$C$2:$C$679,0)))</f>
        <v/>
      </c>
      <c r="J19" s="8">
        <f>IF(ISNA(MATCH(10,'Transfer Engine'!$C$2:$C$679,0)),"",INDEX('Compliance Database'!$J$2:$J$679,MATCH(10,'Transfer Engine'!$C$2:$C$679,0)))</f>
        <v/>
      </c>
      <c r="K19">
        <f>IF(ISNA(MATCH(10,'Transfer Engine'!$C$2:$C$679,0)),"",INDEX('Compliance Database'!$K$2:$K$679,MATCH(10,'Transfer Engine'!$C$2:$C$679,0)))</f>
        <v/>
      </c>
      <c r="L19" s="8">
        <f>IF(ISNA(MATCH(10,'Transfer Engine'!$C$2:$C$679,0)),"",INDEX('Compliance Database'!$L$2:$L$679,MATCH(10,'Transfer Engine'!$C$2:$C$679,0)))</f>
        <v/>
      </c>
      <c r="M19" s="8">
        <f>IF(ISNA(MATCH(10,'Transfer Engine'!$C$2:$C$679,0)),"",INDEX('Compliance Database'!$M$2:$M$679,MATCH(10,'Transfer Engine'!$C$2:$C$679,0)))</f>
        <v/>
      </c>
      <c r="N19" s="8">
        <f>IF(ISNA(MATCH(10,'Transfer Engine'!$C$2:$C$679,0)),"",INDEX('Compliance Database'!$N$2:$N$679,MATCH(10,'Transfer Engine'!$C$2:$C$679,0)))</f>
        <v/>
      </c>
      <c r="O19" s="8">
        <f>IF(ISNA(MATCH(10,'Transfer Engine'!$C$2:$C$679,0)),"",INDEX('Compliance Database'!$O$2:$O$679,MATCH(10,'Transfer Engine'!$C$2:$C$679,0)))</f>
        <v/>
      </c>
      <c r="P19">
        <f>IF(ISNA(MATCH(10,'Transfer Engine'!$C$2:$C$679,0)),"",HYPERLINK(INDEX('Compliance Database'!$P$2:$P$679,MATCH(10,'Transfer Engine'!$C$2:$C$679,0)),"Open PDF"))</f>
        <v/>
      </c>
    </row>
    <row r="20">
      <c r="A20">
        <f>IF(ISNA(MATCH(11,'Transfer Engine'!$C$2:$C$679,0)),"",INDEX('Compliance Database'!$A$2:$A$679,MATCH(11,'Transfer Engine'!$C$2:$C$679,0)))</f>
        <v/>
      </c>
      <c r="B20">
        <f>IF(ISNA(MATCH(11,'Transfer Engine'!$C$2:$C$679,0)),"",INDEX('Compliance Database'!$B$2:$B$679,MATCH(11,'Transfer Engine'!$C$2:$C$679,0)))</f>
        <v/>
      </c>
      <c r="C20">
        <f>IF(ISNA(MATCH(11,'Transfer Engine'!$C$2:$C$679,0)),"",INDEX('Compliance Database'!$C$2:$C$679,MATCH(11,'Transfer Engine'!$C$2:$C$679,0)))</f>
        <v/>
      </c>
      <c r="D20" s="8">
        <f>IF(ISNA(MATCH(11,'Transfer Engine'!$C$2:$C$679,0)),"",INDEX('Compliance Database'!$D$2:$D$679,MATCH(11,'Transfer Engine'!$C$2:$C$679,0)))</f>
        <v/>
      </c>
      <c r="E20">
        <f>IF(ISNA(MATCH(11,'Transfer Engine'!$C$2:$C$679,0)),"",INDEX('Compliance Database'!$E$2:$E$679,MATCH(11,'Transfer Engine'!$C$2:$C$679,0)))</f>
        <v/>
      </c>
      <c r="F20">
        <f>IF(ISNA(MATCH(11,'Transfer Engine'!$C$2:$C$679,0)),"",INDEX('Compliance Database'!$F$2:$F$679,MATCH(11,'Transfer Engine'!$C$2:$C$679,0)))</f>
        <v/>
      </c>
      <c r="G20">
        <f>IF(ISNA(MATCH(11,'Transfer Engine'!$C$2:$C$679,0)),"",INDEX('Compliance Database'!$G$2:$G$679,MATCH(11,'Transfer Engine'!$C$2:$C$679,0)))</f>
        <v/>
      </c>
      <c r="H20">
        <f>IF(ISNA(MATCH(11,'Transfer Engine'!$C$2:$C$679,0)),"",INDEX('Compliance Database'!$H$2:$H$679,MATCH(11,'Transfer Engine'!$C$2:$C$679,0)))</f>
        <v/>
      </c>
      <c r="I20" s="8">
        <f>IF(ISNA(MATCH(11,'Transfer Engine'!$C$2:$C$679,0)),"",INDEX('Compliance Database'!$I$2:$I$679,MATCH(11,'Transfer Engine'!$C$2:$C$679,0)))</f>
        <v/>
      </c>
      <c r="J20" s="8">
        <f>IF(ISNA(MATCH(11,'Transfer Engine'!$C$2:$C$679,0)),"",INDEX('Compliance Database'!$J$2:$J$679,MATCH(11,'Transfer Engine'!$C$2:$C$679,0)))</f>
        <v/>
      </c>
      <c r="K20">
        <f>IF(ISNA(MATCH(11,'Transfer Engine'!$C$2:$C$679,0)),"",INDEX('Compliance Database'!$K$2:$K$679,MATCH(11,'Transfer Engine'!$C$2:$C$679,0)))</f>
        <v/>
      </c>
      <c r="L20" s="8">
        <f>IF(ISNA(MATCH(11,'Transfer Engine'!$C$2:$C$679,0)),"",INDEX('Compliance Database'!$L$2:$L$679,MATCH(11,'Transfer Engine'!$C$2:$C$679,0)))</f>
        <v/>
      </c>
      <c r="M20" s="8">
        <f>IF(ISNA(MATCH(11,'Transfer Engine'!$C$2:$C$679,0)),"",INDEX('Compliance Database'!$M$2:$M$679,MATCH(11,'Transfer Engine'!$C$2:$C$679,0)))</f>
        <v/>
      </c>
      <c r="N20" s="8">
        <f>IF(ISNA(MATCH(11,'Transfer Engine'!$C$2:$C$679,0)),"",INDEX('Compliance Database'!$N$2:$N$679,MATCH(11,'Transfer Engine'!$C$2:$C$679,0)))</f>
        <v/>
      </c>
      <c r="O20" s="8">
        <f>IF(ISNA(MATCH(11,'Transfer Engine'!$C$2:$C$679,0)),"",INDEX('Compliance Database'!$O$2:$O$679,MATCH(11,'Transfer Engine'!$C$2:$C$679,0)))</f>
        <v/>
      </c>
      <c r="P20">
        <f>IF(ISNA(MATCH(11,'Transfer Engine'!$C$2:$C$679,0)),"",HYPERLINK(INDEX('Compliance Database'!$P$2:$P$679,MATCH(11,'Transfer Engine'!$C$2:$C$679,0)),"Open PDF"))</f>
        <v/>
      </c>
    </row>
    <row r="21">
      <c r="A21">
        <f>IF(ISNA(MATCH(12,'Transfer Engine'!$C$2:$C$679,0)),"",INDEX('Compliance Database'!$A$2:$A$679,MATCH(12,'Transfer Engine'!$C$2:$C$679,0)))</f>
        <v/>
      </c>
      <c r="B21">
        <f>IF(ISNA(MATCH(12,'Transfer Engine'!$C$2:$C$679,0)),"",INDEX('Compliance Database'!$B$2:$B$679,MATCH(12,'Transfer Engine'!$C$2:$C$679,0)))</f>
        <v/>
      </c>
      <c r="C21">
        <f>IF(ISNA(MATCH(12,'Transfer Engine'!$C$2:$C$679,0)),"",INDEX('Compliance Database'!$C$2:$C$679,MATCH(12,'Transfer Engine'!$C$2:$C$679,0)))</f>
        <v/>
      </c>
      <c r="D21" s="8">
        <f>IF(ISNA(MATCH(12,'Transfer Engine'!$C$2:$C$679,0)),"",INDEX('Compliance Database'!$D$2:$D$679,MATCH(12,'Transfer Engine'!$C$2:$C$679,0)))</f>
        <v/>
      </c>
      <c r="E21">
        <f>IF(ISNA(MATCH(12,'Transfer Engine'!$C$2:$C$679,0)),"",INDEX('Compliance Database'!$E$2:$E$679,MATCH(12,'Transfer Engine'!$C$2:$C$679,0)))</f>
        <v/>
      </c>
      <c r="F21">
        <f>IF(ISNA(MATCH(12,'Transfer Engine'!$C$2:$C$679,0)),"",INDEX('Compliance Database'!$F$2:$F$679,MATCH(12,'Transfer Engine'!$C$2:$C$679,0)))</f>
        <v/>
      </c>
      <c r="G21">
        <f>IF(ISNA(MATCH(12,'Transfer Engine'!$C$2:$C$679,0)),"",INDEX('Compliance Database'!$G$2:$G$679,MATCH(12,'Transfer Engine'!$C$2:$C$679,0)))</f>
        <v/>
      </c>
      <c r="H21">
        <f>IF(ISNA(MATCH(12,'Transfer Engine'!$C$2:$C$679,0)),"",INDEX('Compliance Database'!$H$2:$H$679,MATCH(12,'Transfer Engine'!$C$2:$C$679,0)))</f>
        <v/>
      </c>
      <c r="I21" s="8">
        <f>IF(ISNA(MATCH(12,'Transfer Engine'!$C$2:$C$679,0)),"",INDEX('Compliance Database'!$I$2:$I$679,MATCH(12,'Transfer Engine'!$C$2:$C$679,0)))</f>
        <v/>
      </c>
      <c r="J21" s="8">
        <f>IF(ISNA(MATCH(12,'Transfer Engine'!$C$2:$C$679,0)),"",INDEX('Compliance Database'!$J$2:$J$679,MATCH(12,'Transfer Engine'!$C$2:$C$679,0)))</f>
        <v/>
      </c>
      <c r="K21">
        <f>IF(ISNA(MATCH(12,'Transfer Engine'!$C$2:$C$679,0)),"",INDEX('Compliance Database'!$K$2:$K$679,MATCH(12,'Transfer Engine'!$C$2:$C$679,0)))</f>
        <v/>
      </c>
      <c r="L21" s="8">
        <f>IF(ISNA(MATCH(12,'Transfer Engine'!$C$2:$C$679,0)),"",INDEX('Compliance Database'!$L$2:$L$679,MATCH(12,'Transfer Engine'!$C$2:$C$679,0)))</f>
        <v/>
      </c>
      <c r="M21" s="8">
        <f>IF(ISNA(MATCH(12,'Transfer Engine'!$C$2:$C$679,0)),"",INDEX('Compliance Database'!$M$2:$M$679,MATCH(12,'Transfer Engine'!$C$2:$C$679,0)))</f>
        <v/>
      </c>
      <c r="N21" s="8">
        <f>IF(ISNA(MATCH(12,'Transfer Engine'!$C$2:$C$679,0)),"",INDEX('Compliance Database'!$N$2:$N$679,MATCH(12,'Transfer Engine'!$C$2:$C$679,0)))</f>
        <v/>
      </c>
      <c r="O21" s="8">
        <f>IF(ISNA(MATCH(12,'Transfer Engine'!$C$2:$C$679,0)),"",INDEX('Compliance Database'!$O$2:$O$679,MATCH(12,'Transfer Engine'!$C$2:$C$679,0)))</f>
        <v/>
      </c>
      <c r="P21">
        <f>IF(ISNA(MATCH(12,'Transfer Engine'!$C$2:$C$679,0)),"",HYPERLINK(INDEX('Compliance Database'!$P$2:$P$679,MATCH(12,'Transfer Engine'!$C$2:$C$679,0)),"Open PDF"))</f>
        <v/>
      </c>
    </row>
    <row r="22">
      <c r="A22">
        <f>IF(ISNA(MATCH(13,'Transfer Engine'!$C$2:$C$679,0)),"",INDEX('Compliance Database'!$A$2:$A$679,MATCH(13,'Transfer Engine'!$C$2:$C$679,0)))</f>
        <v/>
      </c>
      <c r="B22">
        <f>IF(ISNA(MATCH(13,'Transfer Engine'!$C$2:$C$679,0)),"",INDEX('Compliance Database'!$B$2:$B$679,MATCH(13,'Transfer Engine'!$C$2:$C$679,0)))</f>
        <v/>
      </c>
      <c r="C22">
        <f>IF(ISNA(MATCH(13,'Transfer Engine'!$C$2:$C$679,0)),"",INDEX('Compliance Database'!$C$2:$C$679,MATCH(13,'Transfer Engine'!$C$2:$C$679,0)))</f>
        <v/>
      </c>
      <c r="D22" s="8">
        <f>IF(ISNA(MATCH(13,'Transfer Engine'!$C$2:$C$679,0)),"",INDEX('Compliance Database'!$D$2:$D$679,MATCH(13,'Transfer Engine'!$C$2:$C$679,0)))</f>
        <v/>
      </c>
      <c r="E22">
        <f>IF(ISNA(MATCH(13,'Transfer Engine'!$C$2:$C$679,0)),"",INDEX('Compliance Database'!$E$2:$E$679,MATCH(13,'Transfer Engine'!$C$2:$C$679,0)))</f>
        <v/>
      </c>
      <c r="F22">
        <f>IF(ISNA(MATCH(13,'Transfer Engine'!$C$2:$C$679,0)),"",INDEX('Compliance Database'!$F$2:$F$679,MATCH(13,'Transfer Engine'!$C$2:$C$679,0)))</f>
        <v/>
      </c>
      <c r="G22">
        <f>IF(ISNA(MATCH(13,'Transfer Engine'!$C$2:$C$679,0)),"",INDEX('Compliance Database'!$G$2:$G$679,MATCH(13,'Transfer Engine'!$C$2:$C$679,0)))</f>
        <v/>
      </c>
      <c r="H22">
        <f>IF(ISNA(MATCH(13,'Transfer Engine'!$C$2:$C$679,0)),"",INDEX('Compliance Database'!$H$2:$H$679,MATCH(13,'Transfer Engine'!$C$2:$C$679,0)))</f>
        <v/>
      </c>
      <c r="I22" s="8">
        <f>IF(ISNA(MATCH(13,'Transfer Engine'!$C$2:$C$679,0)),"",INDEX('Compliance Database'!$I$2:$I$679,MATCH(13,'Transfer Engine'!$C$2:$C$679,0)))</f>
        <v/>
      </c>
      <c r="J22" s="8">
        <f>IF(ISNA(MATCH(13,'Transfer Engine'!$C$2:$C$679,0)),"",INDEX('Compliance Database'!$J$2:$J$679,MATCH(13,'Transfer Engine'!$C$2:$C$679,0)))</f>
        <v/>
      </c>
      <c r="K22">
        <f>IF(ISNA(MATCH(13,'Transfer Engine'!$C$2:$C$679,0)),"",INDEX('Compliance Database'!$K$2:$K$679,MATCH(13,'Transfer Engine'!$C$2:$C$679,0)))</f>
        <v/>
      </c>
      <c r="L22" s="8">
        <f>IF(ISNA(MATCH(13,'Transfer Engine'!$C$2:$C$679,0)),"",INDEX('Compliance Database'!$L$2:$L$679,MATCH(13,'Transfer Engine'!$C$2:$C$679,0)))</f>
        <v/>
      </c>
      <c r="M22" s="8">
        <f>IF(ISNA(MATCH(13,'Transfer Engine'!$C$2:$C$679,0)),"",INDEX('Compliance Database'!$M$2:$M$679,MATCH(13,'Transfer Engine'!$C$2:$C$679,0)))</f>
        <v/>
      </c>
      <c r="N22" s="8">
        <f>IF(ISNA(MATCH(13,'Transfer Engine'!$C$2:$C$679,0)),"",INDEX('Compliance Database'!$N$2:$N$679,MATCH(13,'Transfer Engine'!$C$2:$C$679,0)))</f>
        <v/>
      </c>
      <c r="O22" s="8">
        <f>IF(ISNA(MATCH(13,'Transfer Engine'!$C$2:$C$679,0)),"",INDEX('Compliance Database'!$O$2:$O$679,MATCH(13,'Transfer Engine'!$C$2:$C$679,0)))</f>
        <v/>
      </c>
      <c r="P22">
        <f>IF(ISNA(MATCH(13,'Transfer Engine'!$C$2:$C$679,0)),"",HYPERLINK(INDEX('Compliance Database'!$P$2:$P$679,MATCH(13,'Transfer Engine'!$C$2:$C$679,0)),"Open PDF"))</f>
        <v/>
      </c>
    </row>
    <row r="23">
      <c r="A23">
        <f>IF(ISNA(MATCH(14,'Transfer Engine'!$C$2:$C$679,0)),"",INDEX('Compliance Database'!$A$2:$A$679,MATCH(14,'Transfer Engine'!$C$2:$C$679,0)))</f>
        <v/>
      </c>
      <c r="B23">
        <f>IF(ISNA(MATCH(14,'Transfer Engine'!$C$2:$C$679,0)),"",INDEX('Compliance Database'!$B$2:$B$679,MATCH(14,'Transfer Engine'!$C$2:$C$679,0)))</f>
        <v/>
      </c>
      <c r="C23">
        <f>IF(ISNA(MATCH(14,'Transfer Engine'!$C$2:$C$679,0)),"",INDEX('Compliance Database'!$C$2:$C$679,MATCH(14,'Transfer Engine'!$C$2:$C$679,0)))</f>
        <v/>
      </c>
      <c r="D23" s="8">
        <f>IF(ISNA(MATCH(14,'Transfer Engine'!$C$2:$C$679,0)),"",INDEX('Compliance Database'!$D$2:$D$679,MATCH(14,'Transfer Engine'!$C$2:$C$679,0)))</f>
        <v/>
      </c>
      <c r="E23">
        <f>IF(ISNA(MATCH(14,'Transfer Engine'!$C$2:$C$679,0)),"",INDEX('Compliance Database'!$E$2:$E$679,MATCH(14,'Transfer Engine'!$C$2:$C$679,0)))</f>
        <v/>
      </c>
      <c r="F23">
        <f>IF(ISNA(MATCH(14,'Transfer Engine'!$C$2:$C$679,0)),"",INDEX('Compliance Database'!$F$2:$F$679,MATCH(14,'Transfer Engine'!$C$2:$C$679,0)))</f>
        <v/>
      </c>
      <c r="G23">
        <f>IF(ISNA(MATCH(14,'Transfer Engine'!$C$2:$C$679,0)),"",INDEX('Compliance Database'!$G$2:$G$679,MATCH(14,'Transfer Engine'!$C$2:$C$679,0)))</f>
        <v/>
      </c>
      <c r="H23">
        <f>IF(ISNA(MATCH(14,'Transfer Engine'!$C$2:$C$679,0)),"",INDEX('Compliance Database'!$H$2:$H$679,MATCH(14,'Transfer Engine'!$C$2:$C$679,0)))</f>
        <v/>
      </c>
      <c r="I23" s="8">
        <f>IF(ISNA(MATCH(14,'Transfer Engine'!$C$2:$C$679,0)),"",INDEX('Compliance Database'!$I$2:$I$679,MATCH(14,'Transfer Engine'!$C$2:$C$679,0)))</f>
        <v/>
      </c>
      <c r="J23" s="8">
        <f>IF(ISNA(MATCH(14,'Transfer Engine'!$C$2:$C$679,0)),"",INDEX('Compliance Database'!$J$2:$J$679,MATCH(14,'Transfer Engine'!$C$2:$C$679,0)))</f>
        <v/>
      </c>
      <c r="K23">
        <f>IF(ISNA(MATCH(14,'Transfer Engine'!$C$2:$C$679,0)),"",INDEX('Compliance Database'!$K$2:$K$679,MATCH(14,'Transfer Engine'!$C$2:$C$679,0)))</f>
        <v/>
      </c>
      <c r="L23" s="8">
        <f>IF(ISNA(MATCH(14,'Transfer Engine'!$C$2:$C$679,0)),"",INDEX('Compliance Database'!$L$2:$L$679,MATCH(14,'Transfer Engine'!$C$2:$C$679,0)))</f>
        <v/>
      </c>
      <c r="M23" s="8">
        <f>IF(ISNA(MATCH(14,'Transfer Engine'!$C$2:$C$679,0)),"",INDEX('Compliance Database'!$M$2:$M$679,MATCH(14,'Transfer Engine'!$C$2:$C$679,0)))</f>
        <v/>
      </c>
      <c r="N23" s="8">
        <f>IF(ISNA(MATCH(14,'Transfer Engine'!$C$2:$C$679,0)),"",INDEX('Compliance Database'!$N$2:$N$679,MATCH(14,'Transfer Engine'!$C$2:$C$679,0)))</f>
        <v/>
      </c>
      <c r="O23" s="8">
        <f>IF(ISNA(MATCH(14,'Transfer Engine'!$C$2:$C$679,0)),"",INDEX('Compliance Database'!$O$2:$O$679,MATCH(14,'Transfer Engine'!$C$2:$C$679,0)))</f>
        <v/>
      </c>
      <c r="P23">
        <f>IF(ISNA(MATCH(14,'Transfer Engine'!$C$2:$C$679,0)),"",HYPERLINK(INDEX('Compliance Database'!$P$2:$P$679,MATCH(14,'Transfer Engine'!$C$2:$C$679,0)),"Open PDF"))</f>
        <v/>
      </c>
    </row>
    <row r="24">
      <c r="A24">
        <f>IF(ISNA(MATCH(15,'Transfer Engine'!$C$2:$C$679,0)),"",INDEX('Compliance Database'!$A$2:$A$679,MATCH(15,'Transfer Engine'!$C$2:$C$679,0)))</f>
        <v/>
      </c>
      <c r="B24">
        <f>IF(ISNA(MATCH(15,'Transfer Engine'!$C$2:$C$679,0)),"",INDEX('Compliance Database'!$B$2:$B$679,MATCH(15,'Transfer Engine'!$C$2:$C$679,0)))</f>
        <v/>
      </c>
      <c r="C24">
        <f>IF(ISNA(MATCH(15,'Transfer Engine'!$C$2:$C$679,0)),"",INDEX('Compliance Database'!$C$2:$C$679,MATCH(15,'Transfer Engine'!$C$2:$C$679,0)))</f>
        <v/>
      </c>
      <c r="D24" s="8">
        <f>IF(ISNA(MATCH(15,'Transfer Engine'!$C$2:$C$679,0)),"",INDEX('Compliance Database'!$D$2:$D$679,MATCH(15,'Transfer Engine'!$C$2:$C$679,0)))</f>
        <v/>
      </c>
      <c r="E24">
        <f>IF(ISNA(MATCH(15,'Transfer Engine'!$C$2:$C$679,0)),"",INDEX('Compliance Database'!$E$2:$E$679,MATCH(15,'Transfer Engine'!$C$2:$C$679,0)))</f>
        <v/>
      </c>
      <c r="F24">
        <f>IF(ISNA(MATCH(15,'Transfer Engine'!$C$2:$C$679,0)),"",INDEX('Compliance Database'!$F$2:$F$679,MATCH(15,'Transfer Engine'!$C$2:$C$679,0)))</f>
        <v/>
      </c>
      <c r="G24">
        <f>IF(ISNA(MATCH(15,'Transfer Engine'!$C$2:$C$679,0)),"",INDEX('Compliance Database'!$G$2:$G$679,MATCH(15,'Transfer Engine'!$C$2:$C$679,0)))</f>
        <v/>
      </c>
      <c r="H24">
        <f>IF(ISNA(MATCH(15,'Transfer Engine'!$C$2:$C$679,0)),"",INDEX('Compliance Database'!$H$2:$H$679,MATCH(15,'Transfer Engine'!$C$2:$C$679,0)))</f>
        <v/>
      </c>
      <c r="I24" s="8">
        <f>IF(ISNA(MATCH(15,'Transfer Engine'!$C$2:$C$679,0)),"",INDEX('Compliance Database'!$I$2:$I$679,MATCH(15,'Transfer Engine'!$C$2:$C$679,0)))</f>
        <v/>
      </c>
      <c r="J24" s="8">
        <f>IF(ISNA(MATCH(15,'Transfer Engine'!$C$2:$C$679,0)),"",INDEX('Compliance Database'!$J$2:$J$679,MATCH(15,'Transfer Engine'!$C$2:$C$679,0)))</f>
        <v/>
      </c>
      <c r="K24">
        <f>IF(ISNA(MATCH(15,'Transfer Engine'!$C$2:$C$679,0)),"",INDEX('Compliance Database'!$K$2:$K$679,MATCH(15,'Transfer Engine'!$C$2:$C$679,0)))</f>
        <v/>
      </c>
      <c r="L24" s="8">
        <f>IF(ISNA(MATCH(15,'Transfer Engine'!$C$2:$C$679,0)),"",INDEX('Compliance Database'!$L$2:$L$679,MATCH(15,'Transfer Engine'!$C$2:$C$679,0)))</f>
        <v/>
      </c>
      <c r="M24" s="8">
        <f>IF(ISNA(MATCH(15,'Transfer Engine'!$C$2:$C$679,0)),"",INDEX('Compliance Database'!$M$2:$M$679,MATCH(15,'Transfer Engine'!$C$2:$C$679,0)))</f>
        <v/>
      </c>
      <c r="N24" s="8">
        <f>IF(ISNA(MATCH(15,'Transfer Engine'!$C$2:$C$679,0)),"",INDEX('Compliance Database'!$N$2:$N$679,MATCH(15,'Transfer Engine'!$C$2:$C$679,0)))</f>
        <v/>
      </c>
      <c r="O24" s="8">
        <f>IF(ISNA(MATCH(15,'Transfer Engine'!$C$2:$C$679,0)),"",INDEX('Compliance Database'!$O$2:$O$679,MATCH(15,'Transfer Engine'!$C$2:$C$679,0)))</f>
        <v/>
      </c>
      <c r="P24">
        <f>IF(ISNA(MATCH(15,'Transfer Engine'!$C$2:$C$679,0)),"",HYPERLINK(INDEX('Compliance Database'!$P$2:$P$679,MATCH(15,'Transfer Engine'!$C$2:$C$679,0)),"Open PDF"))</f>
        <v/>
      </c>
    </row>
    <row r="25">
      <c r="A25">
        <f>IF(ISNA(MATCH(16,'Transfer Engine'!$C$2:$C$679,0)),"",INDEX('Compliance Database'!$A$2:$A$679,MATCH(16,'Transfer Engine'!$C$2:$C$679,0)))</f>
        <v/>
      </c>
      <c r="B25">
        <f>IF(ISNA(MATCH(16,'Transfer Engine'!$C$2:$C$679,0)),"",INDEX('Compliance Database'!$B$2:$B$679,MATCH(16,'Transfer Engine'!$C$2:$C$679,0)))</f>
        <v/>
      </c>
      <c r="C25">
        <f>IF(ISNA(MATCH(16,'Transfer Engine'!$C$2:$C$679,0)),"",INDEX('Compliance Database'!$C$2:$C$679,MATCH(16,'Transfer Engine'!$C$2:$C$679,0)))</f>
        <v/>
      </c>
      <c r="D25" s="8">
        <f>IF(ISNA(MATCH(16,'Transfer Engine'!$C$2:$C$679,0)),"",INDEX('Compliance Database'!$D$2:$D$679,MATCH(16,'Transfer Engine'!$C$2:$C$679,0)))</f>
        <v/>
      </c>
      <c r="E25">
        <f>IF(ISNA(MATCH(16,'Transfer Engine'!$C$2:$C$679,0)),"",INDEX('Compliance Database'!$E$2:$E$679,MATCH(16,'Transfer Engine'!$C$2:$C$679,0)))</f>
        <v/>
      </c>
      <c r="F25">
        <f>IF(ISNA(MATCH(16,'Transfer Engine'!$C$2:$C$679,0)),"",INDEX('Compliance Database'!$F$2:$F$679,MATCH(16,'Transfer Engine'!$C$2:$C$679,0)))</f>
        <v/>
      </c>
      <c r="G25">
        <f>IF(ISNA(MATCH(16,'Transfer Engine'!$C$2:$C$679,0)),"",INDEX('Compliance Database'!$G$2:$G$679,MATCH(16,'Transfer Engine'!$C$2:$C$679,0)))</f>
        <v/>
      </c>
      <c r="H25">
        <f>IF(ISNA(MATCH(16,'Transfer Engine'!$C$2:$C$679,0)),"",INDEX('Compliance Database'!$H$2:$H$679,MATCH(16,'Transfer Engine'!$C$2:$C$679,0)))</f>
        <v/>
      </c>
      <c r="I25" s="8">
        <f>IF(ISNA(MATCH(16,'Transfer Engine'!$C$2:$C$679,0)),"",INDEX('Compliance Database'!$I$2:$I$679,MATCH(16,'Transfer Engine'!$C$2:$C$679,0)))</f>
        <v/>
      </c>
      <c r="J25" s="8">
        <f>IF(ISNA(MATCH(16,'Transfer Engine'!$C$2:$C$679,0)),"",INDEX('Compliance Database'!$J$2:$J$679,MATCH(16,'Transfer Engine'!$C$2:$C$679,0)))</f>
        <v/>
      </c>
      <c r="K25">
        <f>IF(ISNA(MATCH(16,'Transfer Engine'!$C$2:$C$679,0)),"",INDEX('Compliance Database'!$K$2:$K$679,MATCH(16,'Transfer Engine'!$C$2:$C$679,0)))</f>
        <v/>
      </c>
      <c r="L25" s="8">
        <f>IF(ISNA(MATCH(16,'Transfer Engine'!$C$2:$C$679,0)),"",INDEX('Compliance Database'!$L$2:$L$679,MATCH(16,'Transfer Engine'!$C$2:$C$679,0)))</f>
        <v/>
      </c>
      <c r="M25" s="8">
        <f>IF(ISNA(MATCH(16,'Transfer Engine'!$C$2:$C$679,0)),"",INDEX('Compliance Database'!$M$2:$M$679,MATCH(16,'Transfer Engine'!$C$2:$C$679,0)))</f>
        <v/>
      </c>
      <c r="N25" s="8">
        <f>IF(ISNA(MATCH(16,'Transfer Engine'!$C$2:$C$679,0)),"",INDEX('Compliance Database'!$N$2:$N$679,MATCH(16,'Transfer Engine'!$C$2:$C$679,0)))</f>
        <v/>
      </c>
      <c r="O25" s="8">
        <f>IF(ISNA(MATCH(16,'Transfer Engine'!$C$2:$C$679,0)),"",INDEX('Compliance Database'!$O$2:$O$679,MATCH(16,'Transfer Engine'!$C$2:$C$679,0)))</f>
        <v/>
      </c>
      <c r="P25">
        <f>IF(ISNA(MATCH(16,'Transfer Engine'!$C$2:$C$679,0)),"",HYPERLINK(INDEX('Compliance Database'!$P$2:$P$679,MATCH(16,'Transfer Engine'!$C$2:$C$679,0)),"Open PDF"))</f>
        <v/>
      </c>
    </row>
    <row r="26">
      <c r="A26">
        <f>IF(ISNA(MATCH(17,'Transfer Engine'!$C$2:$C$679,0)),"",INDEX('Compliance Database'!$A$2:$A$679,MATCH(17,'Transfer Engine'!$C$2:$C$679,0)))</f>
        <v/>
      </c>
      <c r="B26">
        <f>IF(ISNA(MATCH(17,'Transfer Engine'!$C$2:$C$679,0)),"",INDEX('Compliance Database'!$B$2:$B$679,MATCH(17,'Transfer Engine'!$C$2:$C$679,0)))</f>
        <v/>
      </c>
      <c r="C26">
        <f>IF(ISNA(MATCH(17,'Transfer Engine'!$C$2:$C$679,0)),"",INDEX('Compliance Database'!$C$2:$C$679,MATCH(17,'Transfer Engine'!$C$2:$C$679,0)))</f>
        <v/>
      </c>
      <c r="D26" s="8">
        <f>IF(ISNA(MATCH(17,'Transfer Engine'!$C$2:$C$679,0)),"",INDEX('Compliance Database'!$D$2:$D$679,MATCH(17,'Transfer Engine'!$C$2:$C$679,0)))</f>
        <v/>
      </c>
      <c r="E26">
        <f>IF(ISNA(MATCH(17,'Transfer Engine'!$C$2:$C$679,0)),"",INDEX('Compliance Database'!$E$2:$E$679,MATCH(17,'Transfer Engine'!$C$2:$C$679,0)))</f>
        <v/>
      </c>
      <c r="F26">
        <f>IF(ISNA(MATCH(17,'Transfer Engine'!$C$2:$C$679,0)),"",INDEX('Compliance Database'!$F$2:$F$679,MATCH(17,'Transfer Engine'!$C$2:$C$679,0)))</f>
        <v/>
      </c>
      <c r="G26">
        <f>IF(ISNA(MATCH(17,'Transfer Engine'!$C$2:$C$679,0)),"",INDEX('Compliance Database'!$G$2:$G$679,MATCH(17,'Transfer Engine'!$C$2:$C$679,0)))</f>
        <v/>
      </c>
      <c r="H26">
        <f>IF(ISNA(MATCH(17,'Transfer Engine'!$C$2:$C$679,0)),"",INDEX('Compliance Database'!$H$2:$H$679,MATCH(17,'Transfer Engine'!$C$2:$C$679,0)))</f>
        <v/>
      </c>
      <c r="I26" s="8">
        <f>IF(ISNA(MATCH(17,'Transfer Engine'!$C$2:$C$679,0)),"",INDEX('Compliance Database'!$I$2:$I$679,MATCH(17,'Transfer Engine'!$C$2:$C$679,0)))</f>
        <v/>
      </c>
      <c r="J26" s="8">
        <f>IF(ISNA(MATCH(17,'Transfer Engine'!$C$2:$C$679,0)),"",INDEX('Compliance Database'!$J$2:$J$679,MATCH(17,'Transfer Engine'!$C$2:$C$679,0)))</f>
        <v/>
      </c>
      <c r="K26">
        <f>IF(ISNA(MATCH(17,'Transfer Engine'!$C$2:$C$679,0)),"",INDEX('Compliance Database'!$K$2:$K$679,MATCH(17,'Transfer Engine'!$C$2:$C$679,0)))</f>
        <v/>
      </c>
      <c r="L26" s="8">
        <f>IF(ISNA(MATCH(17,'Transfer Engine'!$C$2:$C$679,0)),"",INDEX('Compliance Database'!$L$2:$L$679,MATCH(17,'Transfer Engine'!$C$2:$C$679,0)))</f>
        <v/>
      </c>
      <c r="M26" s="8">
        <f>IF(ISNA(MATCH(17,'Transfer Engine'!$C$2:$C$679,0)),"",INDEX('Compliance Database'!$M$2:$M$679,MATCH(17,'Transfer Engine'!$C$2:$C$679,0)))</f>
        <v/>
      </c>
      <c r="N26" s="8">
        <f>IF(ISNA(MATCH(17,'Transfer Engine'!$C$2:$C$679,0)),"",INDEX('Compliance Database'!$N$2:$N$679,MATCH(17,'Transfer Engine'!$C$2:$C$679,0)))</f>
        <v/>
      </c>
      <c r="O26" s="8">
        <f>IF(ISNA(MATCH(17,'Transfer Engine'!$C$2:$C$679,0)),"",INDEX('Compliance Database'!$O$2:$O$679,MATCH(17,'Transfer Engine'!$C$2:$C$679,0)))</f>
        <v/>
      </c>
      <c r="P26">
        <f>IF(ISNA(MATCH(17,'Transfer Engine'!$C$2:$C$679,0)),"",HYPERLINK(INDEX('Compliance Database'!$P$2:$P$679,MATCH(17,'Transfer Engine'!$C$2:$C$679,0)),"Open PDF"))</f>
        <v/>
      </c>
    </row>
    <row r="27">
      <c r="A27">
        <f>IF(ISNA(MATCH(18,'Transfer Engine'!$C$2:$C$679,0)),"",INDEX('Compliance Database'!$A$2:$A$679,MATCH(18,'Transfer Engine'!$C$2:$C$679,0)))</f>
        <v/>
      </c>
      <c r="B27">
        <f>IF(ISNA(MATCH(18,'Transfer Engine'!$C$2:$C$679,0)),"",INDEX('Compliance Database'!$B$2:$B$679,MATCH(18,'Transfer Engine'!$C$2:$C$679,0)))</f>
        <v/>
      </c>
      <c r="C27">
        <f>IF(ISNA(MATCH(18,'Transfer Engine'!$C$2:$C$679,0)),"",INDEX('Compliance Database'!$C$2:$C$679,MATCH(18,'Transfer Engine'!$C$2:$C$679,0)))</f>
        <v/>
      </c>
      <c r="D27" s="8">
        <f>IF(ISNA(MATCH(18,'Transfer Engine'!$C$2:$C$679,0)),"",INDEX('Compliance Database'!$D$2:$D$679,MATCH(18,'Transfer Engine'!$C$2:$C$679,0)))</f>
        <v/>
      </c>
      <c r="E27">
        <f>IF(ISNA(MATCH(18,'Transfer Engine'!$C$2:$C$679,0)),"",INDEX('Compliance Database'!$E$2:$E$679,MATCH(18,'Transfer Engine'!$C$2:$C$679,0)))</f>
        <v/>
      </c>
      <c r="F27">
        <f>IF(ISNA(MATCH(18,'Transfer Engine'!$C$2:$C$679,0)),"",INDEX('Compliance Database'!$F$2:$F$679,MATCH(18,'Transfer Engine'!$C$2:$C$679,0)))</f>
        <v/>
      </c>
      <c r="G27">
        <f>IF(ISNA(MATCH(18,'Transfer Engine'!$C$2:$C$679,0)),"",INDEX('Compliance Database'!$G$2:$G$679,MATCH(18,'Transfer Engine'!$C$2:$C$679,0)))</f>
        <v/>
      </c>
      <c r="H27">
        <f>IF(ISNA(MATCH(18,'Transfer Engine'!$C$2:$C$679,0)),"",INDEX('Compliance Database'!$H$2:$H$679,MATCH(18,'Transfer Engine'!$C$2:$C$679,0)))</f>
        <v/>
      </c>
      <c r="I27" s="8">
        <f>IF(ISNA(MATCH(18,'Transfer Engine'!$C$2:$C$679,0)),"",INDEX('Compliance Database'!$I$2:$I$679,MATCH(18,'Transfer Engine'!$C$2:$C$679,0)))</f>
        <v/>
      </c>
      <c r="J27" s="8">
        <f>IF(ISNA(MATCH(18,'Transfer Engine'!$C$2:$C$679,0)),"",INDEX('Compliance Database'!$J$2:$J$679,MATCH(18,'Transfer Engine'!$C$2:$C$679,0)))</f>
        <v/>
      </c>
      <c r="K27">
        <f>IF(ISNA(MATCH(18,'Transfer Engine'!$C$2:$C$679,0)),"",INDEX('Compliance Database'!$K$2:$K$679,MATCH(18,'Transfer Engine'!$C$2:$C$679,0)))</f>
        <v/>
      </c>
      <c r="L27" s="8">
        <f>IF(ISNA(MATCH(18,'Transfer Engine'!$C$2:$C$679,0)),"",INDEX('Compliance Database'!$L$2:$L$679,MATCH(18,'Transfer Engine'!$C$2:$C$679,0)))</f>
        <v/>
      </c>
      <c r="M27" s="8">
        <f>IF(ISNA(MATCH(18,'Transfer Engine'!$C$2:$C$679,0)),"",INDEX('Compliance Database'!$M$2:$M$679,MATCH(18,'Transfer Engine'!$C$2:$C$679,0)))</f>
        <v/>
      </c>
      <c r="N27" s="8">
        <f>IF(ISNA(MATCH(18,'Transfer Engine'!$C$2:$C$679,0)),"",INDEX('Compliance Database'!$N$2:$N$679,MATCH(18,'Transfer Engine'!$C$2:$C$679,0)))</f>
        <v/>
      </c>
      <c r="O27" s="8">
        <f>IF(ISNA(MATCH(18,'Transfer Engine'!$C$2:$C$679,0)),"",INDEX('Compliance Database'!$O$2:$O$679,MATCH(18,'Transfer Engine'!$C$2:$C$679,0)))</f>
        <v/>
      </c>
      <c r="P27">
        <f>IF(ISNA(MATCH(18,'Transfer Engine'!$C$2:$C$679,0)),"",HYPERLINK(INDEX('Compliance Database'!$P$2:$P$679,MATCH(18,'Transfer Engine'!$C$2:$C$679,0)),"Open PDF"))</f>
        <v/>
      </c>
    </row>
    <row r="28">
      <c r="A28">
        <f>IF(ISNA(MATCH(19,'Transfer Engine'!$C$2:$C$679,0)),"",INDEX('Compliance Database'!$A$2:$A$679,MATCH(19,'Transfer Engine'!$C$2:$C$679,0)))</f>
        <v/>
      </c>
      <c r="B28">
        <f>IF(ISNA(MATCH(19,'Transfer Engine'!$C$2:$C$679,0)),"",INDEX('Compliance Database'!$B$2:$B$679,MATCH(19,'Transfer Engine'!$C$2:$C$679,0)))</f>
        <v/>
      </c>
      <c r="C28">
        <f>IF(ISNA(MATCH(19,'Transfer Engine'!$C$2:$C$679,0)),"",INDEX('Compliance Database'!$C$2:$C$679,MATCH(19,'Transfer Engine'!$C$2:$C$679,0)))</f>
        <v/>
      </c>
      <c r="D28" s="8">
        <f>IF(ISNA(MATCH(19,'Transfer Engine'!$C$2:$C$679,0)),"",INDEX('Compliance Database'!$D$2:$D$679,MATCH(19,'Transfer Engine'!$C$2:$C$679,0)))</f>
        <v/>
      </c>
      <c r="E28">
        <f>IF(ISNA(MATCH(19,'Transfer Engine'!$C$2:$C$679,0)),"",INDEX('Compliance Database'!$E$2:$E$679,MATCH(19,'Transfer Engine'!$C$2:$C$679,0)))</f>
        <v/>
      </c>
      <c r="F28">
        <f>IF(ISNA(MATCH(19,'Transfer Engine'!$C$2:$C$679,0)),"",INDEX('Compliance Database'!$F$2:$F$679,MATCH(19,'Transfer Engine'!$C$2:$C$679,0)))</f>
        <v/>
      </c>
      <c r="G28">
        <f>IF(ISNA(MATCH(19,'Transfer Engine'!$C$2:$C$679,0)),"",INDEX('Compliance Database'!$G$2:$G$679,MATCH(19,'Transfer Engine'!$C$2:$C$679,0)))</f>
        <v/>
      </c>
      <c r="H28">
        <f>IF(ISNA(MATCH(19,'Transfer Engine'!$C$2:$C$679,0)),"",INDEX('Compliance Database'!$H$2:$H$679,MATCH(19,'Transfer Engine'!$C$2:$C$679,0)))</f>
        <v/>
      </c>
      <c r="I28" s="8">
        <f>IF(ISNA(MATCH(19,'Transfer Engine'!$C$2:$C$679,0)),"",INDEX('Compliance Database'!$I$2:$I$679,MATCH(19,'Transfer Engine'!$C$2:$C$679,0)))</f>
        <v/>
      </c>
      <c r="J28" s="8">
        <f>IF(ISNA(MATCH(19,'Transfer Engine'!$C$2:$C$679,0)),"",INDEX('Compliance Database'!$J$2:$J$679,MATCH(19,'Transfer Engine'!$C$2:$C$679,0)))</f>
        <v/>
      </c>
      <c r="K28">
        <f>IF(ISNA(MATCH(19,'Transfer Engine'!$C$2:$C$679,0)),"",INDEX('Compliance Database'!$K$2:$K$679,MATCH(19,'Transfer Engine'!$C$2:$C$679,0)))</f>
        <v/>
      </c>
      <c r="L28" s="8">
        <f>IF(ISNA(MATCH(19,'Transfer Engine'!$C$2:$C$679,0)),"",INDEX('Compliance Database'!$L$2:$L$679,MATCH(19,'Transfer Engine'!$C$2:$C$679,0)))</f>
        <v/>
      </c>
      <c r="M28" s="8">
        <f>IF(ISNA(MATCH(19,'Transfer Engine'!$C$2:$C$679,0)),"",INDEX('Compliance Database'!$M$2:$M$679,MATCH(19,'Transfer Engine'!$C$2:$C$679,0)))</f>
        <v/>
      </c>
      <c r="N28" s="8">
        <f>IF(ISNA(MATCH(19,'Transfer Engine'!$C$2:$C$679,0)),"",INDEX('Compliance Database'!$N$2:$N$679,MATCH(19,'Transfer Engine'!$C$2:$C$679,0)))</f>
        <v/>
      </c>
      <c r="O28" s="8">
        <f>IF(ISNA(MATCH(19,'Transfer Engine'!$C$2:$C$679,0)),"",INDEX('Compliance Database'!$O$2:$O$679,MATCH(19,'Transfer Engine'!$C$2:$C$679,0)))</f>
        <v/>
      </c>
      <c r="P28">
        <f>IF(ISNA(MATCH(19,'Transfer Engine'!$C$2:$C$679,0)),"",HYPERLINK(INDEX('Compliance Database'!$P$2:$P$679,MATCH(19,'Transfer Engine'!$C$2:$C$679,0)),"Open PDF"))</f>
        <v/>
      </c>
    </row>
    <row r="29">
      <c r="A29">
        <f>IF(ISNA(MATCH(20,'Transfer Engine'!$C$2:$C$679,0)),"",INDEX('Compliance Database'!$A$2:$A$679,MATCH(20,'Transfer Engine'!$C$2:$C$679,0)))</f>
        <v/>
      </c>
      <c r="B29">
        <f>IF(ISNA(MATCH(20,'Transfer Engine'!$C$2:$C$679,0)),"",INDEX('Compliance Database'!$B$2:$B$679,MATCH(20,'Transfer Engine'!$C$2:$C$679,0)))</f>
        <v/>
      </c>
      <c r="C29">
        <f>IF(ISNA(MATCH(20,'Transfer Engine'!$C$2:$C$679,0)),"",INDEX('Compliance Database'!$C$2:$C$679,MATCH(20,'Transfer Engine'!$C$2:$C$679,0)))</f>
        <v/>
      </c>
      <c r="D29" s="8">
        <f>IF(ISNA(MATCH(20,'Transfer Engine'!$C$2:$C$679,0)),"",INDEX('Compliance Database'!$D$2:$D$679,MATCH(20,'Transfer Engine'!$C$2:$C$679,0)))</f>
        <v/>
      </c>
      <c r="E29">
        <f>IF(ISNA(MATCH(20,'Transfer Engine'!$C$2:$C$679,0)),"",INDEX('Compliance Database'!$E$2:$E$679,MATCH(20,'Transfer Engine'!$C$2:$C$679,0)))</f>
        <v/>
      </c>
      <c r="F29">
        <f>IF(ISNA(MATCH(20,'Transfer Engine'!$C$2:$C$679,0)),"",INDEX('Compliance Database'!$F$2:$F$679,MATCH(20,'Transfer Engine'!$C$2:$C$679,0)))</f>
        <v/>
      </c>
      <c r="G29">
        <f>IF(ISNA(MATCH(20,'Transfer Engine'!$C$2:$C$679,0)),"",INDEX('Compliance Database'!$G$2:$G$679,MATCH(20,'Transfer Engine'!$C$2:$C$679,0)))</f>
        <v/>
      </c>
      <c r="H29">
        <f>IF(ISNA(MATCH(20,'Transfer Engine'!$C$2:$C$679,0)),"",INDEX('Compliance Database'!$H$2:$H$679,MATCH(20,'Transfer Engine'!$C$2:$C$679,0)))</f>
        <v/>
      </c>
      <c r="I29" s="8">
        <f>IF(ISNA(MATCH(20,'Transfer Engine'!$C$2:$C$679,0)),"",INDEX('Compliance Database'!$I$2:$I$679,MATCH(20,'Transfer Engine'!$C$2:$C$679,0)))</f>
        <v/>
      </c>
      <c r="J29" s="8">
        <f>IF(ISNA(MATCH(20,'Transfer Engine'!$C$2:$C$679,0)),"",INDEX('Compliance Database'!$J$2:$J$679,MATCH(20,'Transfer Engine'!$C$2:$C$679,0)))</f>
        <v/>
      </c>
      <c r="K29">
        <f>IF(ISNA(MATCH(20,'Transfer Engine'!$C$2:$C$679,0)),"",INDEX('Compliance Database'!$K$2:$K$679,MATCH(20,'Transfer Engine'!$C$2:$C$679,0)))</f>
        <v/>
      </c>
      <c r="L29" s="8">
        <f>IF(ISNA(MATCH(20,'Transfer Engine'!$C$2:$C$679,0)),"",INDEX('Compliance Database'!$L$2:$L$679,MATCH(20,'Transfer Engine'!$C$2:$C$679,0)))</f>
        <v/>
      </c>
      <c r="M29" s="8">
        <f>IF(ISNA(MATCH(20,'Transfer Engine'!$C$2:$C$679,0)),"",INDEX('Compliance Database'!$M$2:$M$679,MATCH(20,'Transfer Engine'!$C$2:$C$679,0)))</f>
        <v/>
      </c>
      <c r="N29" s="8">
        <f>IF(ISNA(MATCH(20,'Transfer Engine'!$C$2:$C$679,0)),"",INDEX('Compliance Database'!$N$2:$N$679,MATCH(20,'Transfer Engine'!$C$2:$C$679,0)))</f>
        <v/>
      </c>
      <c r="O29" s="8">
        <f>IF(ISNA(MATCH(20,'Transfer Engine'!$C$2:$C$679,0)),"",INDEX('Compliance Database'!$O$2:$O$679,MATCH(20,'Transfer Engine'!$C$2:$C$679,0)))</f>
        <v/>
      </c>
      <c r="P29">
        <f>IF(ISNA(MATCH(20,'Transfer Engine'!$C$2:$C$679,0)),"",HYPERLINK(INDEX('Compliance Database'!$P$2:$P$679,MATCH(20,'Transfer Engine'!$C$2:$C$679,0)),"Open PDF"))</f>
        <v/>
      </c>
    </row>
    <row r="30">
      <c r="A30">
        <f>IF(ISNA(MATCH(21,'Transfer Engine'!$C$2:$C$679,0)),"",INDEX('Compliance Database'!$A$2:$A$679,MATCH(21,'Transfer Engine'!$C$2:$C$679,0)))</f>
        <v/>
      </c>
      <c r="B30">
        <f>IF(ISNA(MATCH(21,'Transfer Engine'!$C$2:$C$679,0)),"",INDEX('Compliance Database'!$B$2:$B$679,MATCH(21,'Transfer Engine'!$C$2:$C$679,0)))</f>
        <v/>
      </c>
      <c r="C30">
        <f>IF(ISNA(MATCH(21,'Transfer Engine'!$C$2:$C$679,0)),"",INDEX('Compliance Database'!$C$2:$C$679,MATCH(21,'Transfer Engine'!$C$2:$C$679,0)))</f>
        <v/>
      </c>
      <c r="D30" s="8">
        <f>IF(ISNA(MATCH(21,'Transfer Engine'!$C$2:$C$679,0)),"",INDEX('Compliance Database'!$D$2:$D$679,MATCH(21,'Transfer Engine'!$C$2:$C$679,0)))</f>
        <v/>
      </c>
      <c r="E30">
        <f>IF(ISNA(MATCH(21,'Transfer Engine'!$C$2:$C$679,0)),"",INDEX('Compliance Database'!$E$2:$E$679,MATCH(21,'Transfer Engine'!$C$2:$C$679,0)))</f>
        <v/>
      </c>
      <c r="F30">
        <f>IF(ISNA(MATCH(21,'Transfer Engine'!$C$2:$C$679,0)),"",INDEX('Compliance Database'!$F$2:$F$679,MATCH(21,'Transfer Engine'!$C$2:$C$679,0)))</f>
        <v/>
      </c>
      <c r="G30">
        <f>IF(ISNA(MATCH(21,'Transfer Engine'!$C$2:$C$679,0)),"",INDEX('Compliance Database'!$G$2:$G$679,MATCH(21,'Transfer Engine'!$C$2:$C$679,0)))</f>
        <v/>
      </c>
      <c r="H30">
        <f>IF(ISNA(MATCH(21,'Transfer Engine'!$C$2:$C$679,0)),"",INDEX('Compliance Database'!$H$2:$H$679,MATCH(21,'Transfer Engine'!$C$2:$C$679,0)))</f>
        <v/>
      </c>
      <c r="I30" s="8">
        <f>IF(ISNA(MATCH(21,'Transfer Engine'!$C$2:$C$679,0)),"",INDEX('Compliance Database'!$I$2:$I$679,MATCH(21,'Transfer Engine'!$C$2:$C$679,0)))</f>
        <v/>
      </c>
      <c r="J30" s="8">
        <f>IF(ISNA(MATCH(21,'Transfer Engine'!$C$2:$C$679,0)),"",INDEX('Compliance Database'!$J$2:$J$679,MATCH(21,'Transfer Engine'!$C$2:$C$679,0)))</f>
        <v/>
      </c>
      <c r="K30">
        <f>IF(ISNA(MATCH(21,'Transfer Engine'!$C$2:$C$679,0)),"",INDEX('Compliance Database'!$K$2:$K$679,MATCH(21,'Transfer Engine'!$C$2:$C$679,0)))</f>
        <v/>
      </c>
      <c r="L30" s="8">
        <f>IF(ISNA(MATCH(21,'Transfer Engine'!$C$2:$C$679,0)),"",INDEX('Compliance Database'!$L$2:$L$679,MATCH(21,'Transfer Engine'!$C$2:$C$679,0)))</f>
        <v/>
      </c>
      <c r="M30" s="8">
        <f>IF(ISNA(MATCH(21,'Transfer Engine'!$C$2:$C$679,0)),"",INDEX('Compliance Database'!$M$2:$M$679,MATCH(21,'Transfer Engine'!$C$2:$C$679,0)))</f>
        <v/>
      </c>
      <c r="N30" s="8">
        <f>IF(ISNA(MATCH(21,'Transfer Engine'!$C$2:$C$679,0)),"",INDEX('Compliance Database'!$N$2:$N$679,MATCH(21,'Transfer Engine'!$C$2:$C$679,0)))</f>
        <v/>
      </c>
      <c r="O30" s="8">
        <f>IF(ISNA(MATCH(21,'Transfer Engine'!$C$2:$C$679,0)),"",INDEX('Compliance Database'!$O$2:$O$679,MATCH(21,'Transfer Engine'!$C$2:$C$679,0)))</f>
        <v/>
      </c>
      <c r="P30">
        <f>IF(ISNA(MATCH(21,'Transfer Engine'!$C$2:$C$679,0)),"",HYPERLINK(INDEX('Compliance Database'!$P$2:$P$679,MATCH(21,'Transfer Engine'!$C$2:$C$679,0)),"Open PDF"))</f>
        <v/>
      </c>
    </row>
    <row r="31">
      <c r="A31">
        <f>IF(ISNA(MATCH(22,'Transfer Engine'!$C$2:$C$679,0)),"",INDEX('Compliance Database'!$A$2:$A$679,MATCH(22,'Transfer Engine'!$C$2:$C$679,0)))</f>
        <v/>
      </c>
      <c r="B31">
        <f>IF(ISNA(MATCH(22,'Transfer Engine'!$C$2:$C$679,0)),"",INDEX('Compliance Database'!$B$2:$B$679,MATCH(22,'Transfer Engine'!$C$2:$C$679,0)))</f>
        <v/>
      </c>
      <c r="C31">
        <f>IF(ISNA(MATCH(22,'Transfer Engine'!$C$2:$C$679,0)),"",INDEX('Compliance Database'!$C$2:$C$679,MATCH(22,'Transfer Engine'!$C$2:$C$679,0)))</f>
        <v/>
      </c>
      <c r="D31" s="8">
        <f>IF(ISNA(MATCH(22,'Transfer Engine'!$C$2:$C$679,0)),"",INDEX('Compliance Database'!$D$2:$D$679,MATCH(22,'Transfer Engine'!$C$2:$C$679,0)))</f>
        <v/>
      </c>
      <c r="E31">
        <f>IF(ISNA(MATCH(22,'Transfer Engine'!$C$2:$C$679,0)),"",INDEX('Compliance Database'!$E$2:$E$679,MATCH(22,'Transfer Engine'!$C$2:$C$679,0)))</f>
        <v/>
      </c>
      <c r="F31">
        <f>IF(ISNA(MATCH(22,'Transfer Engine'!$C$2:$C$679,0)),"",INDEX('Compliance Database'!$F$2:$F$679,MATCH(22,'Transfer Engine'!$C$2:$C$679,0)))</f>
        <v/>
      </c>
      <c r="G31">
        <f>IF(ISNA(MATCH(22,'Transfer Engine'!$C$2:$C$679,0)),"",INDEX('Compliance Database'!$G$2:$G$679,MATCH(22,'Transfer Engine'!$C$2:$C$679,0)))</f>
        <v/>
      </c>
      <c r="H31">
        <f>IF(ISNA(MATCH(22,'Transfer Engine'!$C$2:$C$679,0)),"",INDEX('Compliance Database'!$H$2:$H$679,MATCH(22,'Transfer Engine'!$C$2:$C$679,0)))</f>
        <v/>
      </c>
      <c r="I31" s="8">
        <f>IF(ISNA(MATCH(22,'Transfer Engine'!$C$2:$C$679,0)),"",INDEX('Compliance Database'!$I$2:$I$679,MATCH(22,'Transfer Engine'!$C$2:$C$679,0)))</f>
        <v/>
      </c>
      <c r="J31" s="8">
        <f>IF(ISNA(MATCH(22,'Transfer Engine'!$C$2:$C$679,0)),"",INDEX('Compliance Database'!$J$2:$J$679,MATCH(22,'Transfer Engine'!$C$2:$C$679,0)))</f>
        <v/>
      </c>
      <c r="K31">
        <f>IF(ISNA(MATCH(22,'Transfer Engine'!$C$2:$C$679,0)),"",INDEX('Compliance Database'!$K$2:$K$679,MATCH(22,'Transfer Engine'!$C$2:$C$679,0)))</f>
        <v/>
      </c>
      <c r="L31" s="8">
        <f>IF(ISNA(MATCH(22,'Transfer Engine'!$C$2:$C$679,0)),"",INDEX('Compliance Database'!$L$2:$L$679,MATCH(22,'Transfer Engine'!$C$2:$C$679,0)))</f>
        <v/>
      </c>
      <c r="M31" s="8">
        <f>IF(ISNA(MATCH(22,'Transfer Engine'!$C$2:$C$679,0)),"",INDEX('Compliance Database'!$M$2:$M$679,MATCH(22,'Transfer Engine'!$C$2:$C$679,0)))</f>
        <v/>
      </c>
      <c r="N31" s="8">
        <f>IF(ISNA(MATCH(22,'Transfer Engine'!$C$2:$C$679,0)),"",INDEX('Compliance Database'!$N$2:$N$679,MATCH(22,'Transfer Engine'!$C$2:$C$679,0)))</f>
        <v/>
      </c>
      <c r="O31" s="8">
        <f>IF(ISNA(MATCH(22,'Transfer Engine'!$C$2:$C$679,0)),"",INDEX('Compliance Database'!$O$2:$O$679,MATCH(22,'Transfer Engine'!$C$2:$C$679,0)))</f>
        <v/>
      </c>
      <c r="P31">
        <f>IF(ISNA(MATCH(22,'Transfer Engine'!$C$2:$C$679,0)),"",HYPERLINK(INDEX('Compliance Database'!$P$2:$P$679,MATCH(22,'Transfer Engine'!$C$2:$C$679,0)),"Open PDF"))</f>
        <v/>
      </c>
    </row>
    <row r="32">
      <c r="A32">
        <f>IF(ISNA(MATCH(23,'Transfer Engine'!$C$2:$C$679,0)),"",INDEX('Compliance Database'!$A$2:$A$679,MATCH(23,'Transfer Engine'!$C$2:$C$679,0)))</f>
        <v/>
      </c>
      <c r="B32">
        <f>IF(ISNA(MATCH(23,'Transfer Engine'!$C$2:$C$679,0)),"",INDEX('Compliance Database'!$B$2:$B$679,MATCH(23,'Transfer Engine'!$C$2:$C$679,0)))</f>
        <v/>
      </c>
      <c r="C32">
        <f>IF(ISNA(MATCH(23,'Transfer Engine'!$C$2:$C$679,0)),"",INDEX('Compliance Database'!$C$2:$C$679,MATCH(23,'Transfer Engine'!$C$2:$C$679,0)))</f>
        <v/>
      </c>
      <c r="D32" s="8">
        <f>IF(ISNA(MATCH(23,'Transfer Engine'!$C$2:$C$679,0)),"",INDEX('Compliance Database'!$D$2:$D$679,MATCH(23,'Transfer Engine'!$C$2:$C$679,0)))</f>
        <v/>
      </c>
      <c r="E32">
        <f>IF(ISNA(MATCH(23,'Transfer Engine'!$C$2:$C$679,0)),"",INDEX('Compliance Database'!$E$2:$E$679,MATCH(23,'Transfer Engine'!$C$2:$C$679,0)))</f>
        <v/>
      </c>
      <c r="F32">
        <f>IF(ISNA(MATCH(23,'Transfer Engine'!$C$2:$C$679,0)),"",INDEX('Compliance Database'!$F$2:$F$679,MATCH(23,'Transfer Engine'!$C$2:$C$679,0)))</f>
        <v/>
      </c>
      <c r="G32">
        <f>IF(ISNA(MATCH(23,'Transfer Engine'!$C$2:$C$679,0)),"",INDEX('Compliance Database'!$G$2:$G$679,MATCH(23,'Transfer Engine'!$C$2:$C$679,0)))</f>
        <v/>
      </c>
      <c r="H32">
        <f>IF(ISNA(MATCH(23,'Transfer Engine'!$C$2:$C$679,0)),"",INDEX('Compliance Database'!$H$2:$H$679,MATCH(23,'Transfer Engine'!$C$2:$C$679,0)))</f>
        <v/>
      </c>
      <c r="I32" s="8">
        <f>IF(ISNA(MATCH(23,'Transfer Engine'!$C$2:$C$679,0)),"",INDEX('Compliance Database'!$I$2:$I$679,MATCH(23,'Transfer Engine'!$C$2:$C$679,0)))</f>
        <v/>
      </c>
      <c r="J32" s="8">
        <f>IF(ISNA(MATCH(23,'Transfer Engine'!$C$2:$C$679,0)),"",INDEX('Compliance Database'!$J$2:$J$679,MATCH(23,'Transfer Engine'!$C$2:$C$679,0)))</f>
        <v/>
      </c>
      <c r="K32">
        <f>IF(ISNA(MATCH(23,'Transfer Engine'!$C$2:$C$679,0)),"",INDEX('Compliance Database'!$K$2:$K$679,MATCH(23,'Transfer Engine'!$C$2:$C$679,0)))</f>
        <v/>
      </c>
      <c r="L32" s="8">
        <f>IF(ISNA(MATCH(23,'Transfer Engine'!$C$2:$C$679,0)),"",INDEX('Compliance Database'!$L$2:$L$679,MATCH(23,'Transfer Engine'!$C$2:$C$679,0)))</f>
        <v/>
      </c>
      <c r="M32" s="8">
        <f>IF(ISNA(MATCH(23,'Transfer Engine'!$C$2:$C$679,0)),"",INDEX('Compliance Database'!$M$2:$M$679,MATCH(23,'Transfer Engine'!$C$2:$C$679,0)))</f>
        <v/>
      </c>
      <c r="N32" s="8">
        <f>IF(ISNA(MATCH(23,'Transfer Engine'!$C$2:$C$679,0)),"",INDEX('Compliance Database'!$N$2:$N$679,MATCH(23,'Transfer Engine'!$C$2:$C$679,0)))</f>
        <v/>
      </c>
      <c r="O32" s="8">
        <f>IF(ISNA(MATCH(23,'Transfer Engine'!$C$2:$C$679,0)),"",INDEX('Compliance Database'!$O$2:$O$679,MATCH(23,'Transfer Engine'!$C$2:$C$679,0)))</f>
        <v/>
      </c>
      <c r="P32">
        <f>IF(ISNA(MATCH(23,'Transfer Engine'!$C$2:$C$679,0)),"",HYPERLINK(INDEX('Compliance Database'!$P$2:$P$679,MATCH(23,'Transfer Engine'!$C$2:$C$679,0)),"Open PDF"))</f>
        <v/>
      </c>
    </row>
    <row r="33">
      <c r="A33">
        <f>IF(ISNA(MATCH(24,'Transfer Engine'!$C$2:$C$679,0)),"",INDEX('Compliance Database'!$A$2:$A$679,MATCH(24,'Transfer Engine'!$C$2:$C$679,0)))</f>
        <v/>
      </c>
      <c r="B33">
        <f>IF(ISNA(MATCH(24,'Transfer Engine'!$C$2:$C$679,0)),"",INDEX('Compliance Database'!$B$2:$B$679,MATCH(24,'Transfer Engine'!$C$2:$C$679,0)))</f>
        <v/>
      </c>
      <c r="C33">
        <f>IF(ISNA(MATCH(24,'Transfer Engine'!$C$2:$C$679,0)),"",INDEX('Compliance Database'!$C$2:$C$679,MATCH(24,'Transfer Engine'!$C$2:$C$679,0)))</f>
        <v/>
      </c>
      <c r="D33" s="8">
        <f>IF(ISNA(MATCH(24,'Transfer Engine'!$C$2:$C$679,0)),"",INDEX('Compliance Database'!$D$2:$D$679,MATCH(24,'Transfer Engine'!$C$2:$C$679,0)))</f>
        <v/>
      </c>
      <c r="E33">
        <f>IF(ISNA(MATCH(24,'Transfer Engine'!$C$2:$C$679,0)),"",INDEX('Compliance Database'!$E$2:$E$679,MATCH(24,'Transfer Engine'!$C$2:$C$679,0)))</f>
        <v/>
      </c>
      <c r="F33">
        <f>IF(ISNA(MATCH(24,'Transfer Engine'!$C$2:$C$679,0)),"",INDEX('Compliance Database'!$F$2:$F$679,MATCH(24,'Transfer Engine'!$C$2:$C$679,0)))</f>
        <v/>
      </c>
      <c r="G33">
        <f>IF(ISNA(MATCH(24,'Transfer Engine'!$C$2:$C$679,0)),"",INDEX('Compliance Database'!$G$2:$G$679,MATCH(24,'Transfer Engine'!$C$2:$C$679,0)))</f>
        <v/>
      </c>
      <c r="H33">
        <f>IF(ISNA(MATCH(24,'Transfer Engine'!$C$2:$C$679,0)),"",INDEX('Compliance Database'!$H$2:$H$679,MATCH(24,'Transfer Engine'!$C$2:$C$679,0)))</f>
        <v/>
      </c>
      <c r="I33" s="8">
        <f>IF(ISNA(MATCH(24,'Transfer Engine'!$C$2:$C$679,0)),"",INDEX('Compliance Database'!$I$2:$I$679,MATCH(24,'Transfer Engine'!$C$2:$C$679,0)))</f>
        <v/>
      </c>
      <c r="J33" s="8">
        <f>IF(ISNA(MATCH(24,'Transfer Engine'!$C$2:$C$679,0)),"",INDEX('Compliance Database'!$J$2:$J$679,MATCH(24,'Transfer Engine'!$C$2:$C$679,0)))</f>
        <v/>
      </c>
      <c r="K33">
        <f>IF(ISNA(MATCH(24,'Transfer Engine'!$C$2:$C$679,0)),"",INDEX('Compliance Database'!$K$2:$K$679,MATCH(24,'Transfer Engine'!$C$2:$C$679,0)))</f>
        <v/>
      </c>
      <c r="L33" s="8">
        <f>IF(ISNA(MATCH(24,'Transfer Engine'!$C$2:$C$679,0)),"",INDEX('Compliance Database'!$L$2:$L$679,MATCH(24,'Transfer Engine'!$C$2:$C$679,0)))</f>
        <v/>
      </c>
      <c r="M33" s="8">
        <f>IF(ISNA(MATCH(24,'Transfer Engine'!$C$2:$C$679,0)),"",INDEX('Compliance Database'!$M$2:$M$679,MATCH(24,'Transfer Engine'!$C$2:$C$679,0)))</f>
        <v/>
      </c>
      <c r="N33" s="8">
        <f>IF(ISNA(MATCH(24,'Transfer Engine'!$C$2:$C$679,0)),"",INDEX('Compliance Database'!$N$2:$N$679,MATCH(24,'Transfer Engine'!$C$2:$C$679,0)))</f>
        <v/>
      </c>
      <c r="O33" s="8">
        <f>IF(ISNA(MATCH(24,'Transfer Engine'!$C$2:$C$679,0)),"",INDEX('Compliance Database'!$O$2:$O$679,MATCH(24,'Transfer Engine'!$C$2:$C$679,0)))</f>
        <v/>
      </c>
      <c r="P33">
        <f>IF(ISNA(MATCH(24,'Transfer Engine'!$C$2:$C$679,0)),"",HYPERLINK(INDEX('Compliance Database'!$P$2:$P$679,MATCH(24,'Transfer Engine'!$C$2:$C$679,0)),"Open PDF"))</f>
        <v/>
      </c>
    </row>
    <row r="34">
      <c r="A34">
        <f>IF(ISNA(MATCH(25,'Transfer Engine'!$C$2:$C$679,0)),"",INDEX('Compliance Database'!$A$2:$A$679,MATCH(25,'Transfer Engine'!$C$2:$C$679,0)))</f>
        <v/>
      </c>
      <c r="B34">
        <f>IF(ISNA(MATCH(25,'Transfer Engine'!$C$2:$C$679,0)),"",INDEX('Compliance Database'!$B$2:$B$679,MATCH(25,'Transfer Engine'!$C$2:$C$679,0)))</f>
        <v/>
      </c>
      <c r="C34">
        <f>IF(ISNA(MATCH(25,'Transfer Engine'!$C$2:$C$679,0)),"",INDEX('Compliance Database'!$C$2:$C$679,MATCH(25,'Transfer Engine'!$C$2:$C$679,0)))</f>
        <v/>
      </c>
      <c r="D34" s="8">
        <f>IF(ISNA(MATCH(25,'Transfer Engine'!$C$2:$C$679,0)),"",INDEX('Compliance Database'!$D$2:$D$679,MATCH(25,'Transfer Engine'!$C$2:$C$679,0)))</f>
        <v/>
      </c>
      <c r="E34">
        <f>IF(ISNA(MATCH(25,'Transfer Engine'!$C$2:$C$679,0)),"",INDEX('Compliance Database'!$E$2:$E$679,MATCH(25,'Transfer Engine'!$C$2:$C$679,0)))</f>
        <v/>
      </c>
      <c r="F34">
        <f>IF(ISNA(MATCH(25,'Transfer Engine'!$C$2:$C$679,0)),"",INDEX('Compliance Database'!$F$2:$F$679,MATCH(25,'Transfer Engine'!$C$2:$C$679,0)))</f>
        <v/>
      </c>
      <c r="G34">
        <f>IF(ISNA(MATCH(25,'Transfer Engine'!$C$2:$C$679,0)),"",INDEX('Compliance Database'!$G$2:$G$679,MATCH(25,'Transfer Engine'!$C$2:$C$679,0)))</f>
        <v/>
      </c>
      <c r="H34">
        <f>IF(ISNA(MATCH(25,'Transfer Engine'!$C$2:$C$679,0)),"",INDEX('Compliance Database'!$H$2:$H$679,MATCH(25,'Transfer Engine'!$C$2:$C$679,0)))</f>
        <v/>
      </c>
      <c r="I34" s="8">
        <f>IF(ISNA(MATCH(25,'Transfer Engine'!$C$2:$C$679,0)),"",INDEX('Compliance Database'!$I$2:$I$679,MATCH(25,'Transfer Engine'!$C$2:$C$679,0)))</f>
        <v/>
      </c>
      <c r="J34" s="8">
        <f>IF(ISNA(MATCH(25,'Transfer Engine'!$C$2:$C$679,0)),"",INDEX('Compliance Database'!$J$2:$J$679,MATCH(25,'Transfer Engine'!$C$2:$C$679,0)))</f>
        <v/>
      </c>
      <c r="K34">
        <f>IF(ISNA(MATCH(25,'Transfer Engine'!$C$2:$C$679,0)),"",INDEX('Compliance Database'!$K$2:$K$679,MATCH(25,'Transfer Engine'!$C$2:$C$679,0)))</f>
        <v/>
      </c>
      <c r="L34" s="8">
        <f>IF(ISNA(MATCH(25,'Transfer Engine'!$C$2:$C$679,0)),"",INDEX('Compliance Database'!$L$2:$L$679,MATCH(25,'Transfer Engine'!$C$2:$C$679,0)))</f>
        <v/>
      </c>
      <c r="M34" s="8">
        <f>IF(ISNA(MATCH(25,'Transfer Engine'!$C$2:$C$679,0)),"",INDEX('Compliance Database'!$M$2:$M$679,MATCH(25,'Transfer Engine'!$C$2:$C$679,0)))</f>
        <v/>
      </c>
      <c r="N34" s="8">
        <f>IF(ISNA(MATCH(25,'Transfer Engine'!$C$2:$C$679,0)),"",INDEX('Compliance Database'!$N$2:$N$679,MATCH(25,'Transfer Engine'!$C$2:$C$679,0)))</f>
        <v/>
      </c>
      <c r="O34" s="8">
        <f>IF(ISNA(MATCH(25,'Transfer Engine'!$C$2:$C$679,0)),"",INDEX('Compliance Database'!$O$2:$O$679,MATCH(25,'Transfer Engine'!$C$2:$C$679,0)))</f>
        <v/>
      </c>
      <c r="P34">
        <f>IF(ISNA(MATCH(25,'Transfer Engine'!$C$2:$C$679,0)),"",HYPERLINK(INDEX('Compliance Database'!$P$2:$P$679,MATCH(25,'Transfer Engine'!$C$2:$C$679,0)),"Open PDF"))</f>
        <v/>
      </c>
    </row>
    <row r="35">
      <c r="A35">
        <f>IF(ISNA(MATCH(26,'Transfer Engine'!$C$2:$C$679,0)),"",INDEX('Compliance Database'!$A$2:$A$679,MATCH(26,'Transfer Engine'!$C$2:$C$679,0)))</f>
        <v/>
      </c>
      <c r="B35">
        <f>IF(ISNA(MATCH(26,'Transfer Engine'!$C$2:$C$679,0)),"",INDEX('Compliance Database'!$B$2:$B$679,MATCH(26,'Transfer Engine'!$C$2:$C$679,0)))</f>
        <v/>
      </c>
      <c r="C35">
        <f>IF(ISNA(MATCH(26,'Transfer Engine'!$C$2:$C$679,0)),"",INDEX('Compliance Database'!$C$2:$C$679,MATCH(26,'Transfer Engine'!$C$2:$C$679,0)))</f>
        <v/>
      </c>
      <c r="D35" s="8">
        <f>IF(ISNA(MATCH(26,'Transfer Engine'!$C$2:$C$679,0)),"",INDEX('Compliance Database'!$D$2:$D$679,MATCH(26,'Transfer Engine'!$C$2:$C$679,0)))</f>
        <v/>
      </c>
      <c r="E35">
        <f>IF(ISNA(MATCH(26,'Transfer Engine'!$C$2:$C$679,0)),"",INDEX('Compliance Database'!$E$2:$E$679,MATCH(26,'Transfer Engine'!$C$2:$C$679,0)))</f>
        <v/>
      </c>
      <c r="F35">
        <f>IF(ISNA(MATCH(26,'Transfer Engine'!$C$2:$C$679,0)),"",INDEX('Compliance Database'!$F$2:$F$679,MATCH(26,'Transfer Engine'!$C$2:$C$679,0)))</f>
        <v/>
      </c>
      <c r="G35">
        <f>IF(ISNA(MATCH(26,'Transfer Engine'!$C$2:$C$679,0)),"",INDEX('Compliance Database'!$G$2:$G$679,MATCH(26,'Transfer Engine'!$C$2:$C$679,0)))</f>
        <v/>
      </c>
      <c r="H35">
        <f>IF(ISNA(MATCH(26,'Transfer Engine'!$C$2:$C$679,0)),"",INDEX('Compliance Database'!$H$2:$H$679,MATCH(26,'Transfer Engine'!$C$2:$C$679,0)))</f>
        <v/>
      </c>
      <c r="I35" s="8">
        <f>IF(ISNA(MATCH(26,'Transfer Engine'!$C$2:$C$679,0)),"",INDEX('Compliance Database'!$I$2:$I$679,MATCH(26,'Transfer Engine'!$C$2:$C$679,0)))</f>
        <v/>
      </c>
      <c r="J35" s="8">
        <f>IF(ISNA(MATCH(26,'Transfer Engine'!$C$2:$C$679,0)),"",INDEX('Compliance Database'!$J$2:$J$679,MATCH(26,'Transfer Engine'!$C$2:$C$679,0)))</f>
        <v/>
      </c>
      <c r="K35">
        <f>IF(ISNA(MATCH(26,'Transfer Engine'!$C$2:$C$679,0)),"",INDEX('Compliance Database'!$K$2:$K$679,MATCH(26,'Transfer Engine'!$C$2:$C$679,0)))</f>
        <v/>
      </c>
      <c r="L35" s="8">
        <f>IF(ISNA(MATCH(26,'Transfer Engine'!$C$2:$C$679,0)),"",INDEX('Compliance Database'!$L$2:$L$679,MATCH(26,'Transfer Engine'!$C$2:$C$679,0)))</f>
        <v/>
      </c>
      <c r="M35" s="8">
        <f>IF(ISNA(MATCH(26,'Transfer Engine'!$C$2:$C$679,0)),"",INDEX('Compliance Database'!$M$2:$M$679,MATCH(26,'Transfer Engine'!$C$2:$C$679,0)))</f>
        <v/>
      </c>
      <c r="N35" s="8">
        <f>IF(ISNA(MATCH(26,'Transfer Engine'!$C$2:$C$679,0)),"",INDEX('Compliance Database'!$N$2:$N$679,MATCH(26,'Transfer Engine'!$C$2:$C$679,0)))</f>
        <v/>
      </c>
      <c r="O35" s="8">
        <f>IF(ISNA(MATCH(26,'Transfer Engine'!$C$2:$C$679,0)),"",INDEX('Compliance Database'!$O$2:$O$679,MATCH(26,'Transfer Engine'!$C$2:$C$679,0)))</f>
        <v/>
      </c>
      <c r="P35">
        <f>IF(ISNA(MATCH(26,'Transfer Engine'!$C$2:$C$679,0)),"",HYPERLINK(INDEX('Compliance Database'!$P$2:$P$679,MATCH(26,'Transfer Engine'!$C$2:$C$679,0)),"Open PDF"))</f>
        <v/>
      </c>
    </row>
    <row r="36">
      <c r="A36">
        <f>IF(ISNA(MATCH(27,'Transfer Engine'!$C$2:$C$679,0)),"",INDEX('Compliance Database'!$A$2:$A$679,MATCH(27,'Transfer Engine'!$C$2:$C$679,0)))</f>
        <v/>
      </c>
      <c r="B36">
        <f>IF(ISNA(MATCH(27,'Transfer Engine'!$C$2:$C$679,0)),"",INDEX('Compliance Database'!$B$2:$B$679,MATCH(27,'Transfer Engine'!$C$2:$C$679,0)))</f>
        <v/>
      </c>
      <c r="C36">
        <f>IF(ISNA(MATCH(27,'Transfer Engine'!$C$2:$C$679,0)),"",INDEX('Compliance Database'!$C$2:$C$679,MATCH(27,'Transfer Engine'!$C$2:$C$679,0)))</f>
        <v/>
      </c>
      <c r="D36" s="8">
        <f>IF(ISNA(MATCH(27,'Transfer Engine'!$C$2:$C$679,0)),"",INDEX('Compliance Database'!$D$2:$D$679,MATCH(27,'Transfer Engine'!$C$2:$C$679,0)))</f>
        <v/>
      </c>
      <c r="E36">
        <f>IF(ISNA(MATCH(27,'Transfer Engine'!$C$2:$C$679,0)),"",INDEX('Compliance Database'!$E$2:$E$679,MATCH(27,'Transfer Engine'!$C$2:$C$679,0)))</f>
        <v/>
      </c>
      <c r="F36">
        <f>IF(ISNA(MATCH(27,'Transfer Engine'!$C$2:$C$679,0)),"",INDEX('Compliance Database'!$F$2:$F$679,MATCH(27,'Transfer Engine'!$C$2:$C$679,0)))</f>
        <v/>
      </c>
      <c r="G36">
        <f>IF(ISNA(MATCH(27,'Transfer Engine'!$C$2:$C$679,0)),"",INDEX('Compliance Database'!$G$2:$G$679,MATCH(27,'Transfer Engine'!$C$2:$C$679,0)))</f>
        <v/>
      </c>
      <c r="H36">
        <f>IF(ISNA(MATCH(27,'Transfer Engine'!$C$2:$C$679,0)),"",INDEX('Compliance Database'!$H$2:$H$679,MATCH(27,'Transfer Engine'!$C$2:$C$679,0)))</f>
        <v/>
      </c>
      <c r="I36" s="8">
        <f>IF(ISNA(MATCH(27,'Transfer Engine'!$C$2:$C$679,0)),"",INDEX('Compliance Database'!$I$2:$I$679,MATCH(27,'Transfer Engine'!$C$2:$C$679,0)))</f>
        <v/>
      </c>
      <c r="J36" s="8">
        <f>IF(ISNA(MATCH(27,'Transfer Engine'!$C$2:$C$679,0)),"",INDEX('Compliance Database'!$J$2:$J$679,MATCH(27,'Transfer Engine'!$C$2:$C$679,0)))</f>
        <v/>
      </c>
      <c r="K36">
        <f>IF(ISNA(MATCH(27,'Transfer Engine'!$C$2:$C$679,0)),"",INDEX('Compliance Database'!$K$2:$K$679,MATCH(27,'Transfer Engine'!$C$2:$C$679,0)))</f>
        <v/>
      </c>
      <c r="L36" s="8">
        <f>IF(ISNA(MATCH(27,'Transfer Engine'!$C$2:$C$679,0)),"",INDEX('Compliance Database'!$L$2:$L$679,MATCH(27,'Transfer Engine'!$C$2:$C$679,0)))</f>
        <v/>
      </c>
      <c r="M36" s="8">
        <f>IF(ISNA(MATCH(27,'Transfer Engine'!$C$2:$C$679,0)),"",INDEX('Compliance Database'!$M$2:$M$679,MATCH(27,'Transfer Engine'!$C$2:$C$679,0)))</f>
        <v/>
      </c>
      <c r="N36" s="8">
        <f>IF(ISNA(MATCH(27,'Transfer Engine'!$C$2:$C$679,0)),"",INDEX('Compliance Database'!$N$2:$N$679,MATCH(27,'Transfer Engine'!$C$2:$C$679,0)))</f>
        <v/>
      </c>
      <c r="O36" s="8">
        <f>IF(ISNA(MATCH(27,'Transfer Engine'!$C$2:$C$679,0)),"",INDEX('Compliance Database'!$O$2:$O$679,MATCH(27,'Transfer Engine'!$C$2:$C$679,0)))</f>
        <v/>
      </c>
      <c r="P36">
        <f>IF(ISNA(MATCH(27,'Transfer Engine'!$C$2:$C$679,0)),"",HYPERLINK(INDEX('Compliance Database'!$P$2:$P$679,MATCH(27,'Transfer Engine'!$C$2:$C$679,0)),"Open PDF"))</f>
        <v/>
      </c>
    </row>
    <row r="37">
      <c r="A37">
        <f>IF(ISNA(MATCH(28,'Transfer Engine'!$C$2:$C$679,0)),"",INDEX('Compliance Database'!$A$2:$A$679,MATCH(28,'Transfer Engine'!$C$2:$C$679,0)))</f>
        <v/>
      </c>
      <c r="B37">
        <f>IF(ISNA(MATCH(28,'Transfer Engine'!$C$2:$C$679,0)),"",INDEX('Compliance Database'!$B$2:$B$679,MATCH(28,'Transfer Engine'!$C$2:$C$679,0)))</f>
        <v/>
      </c>
      <c r="C37">
        <f>IF(ISNA(MATCH(28,'Transfer Engine'!$C$2:$C$679,0)),"",INDEX('Compliance Database'!$C$2:$C$679,MATCH(28,'Transfer Engine'!$C$2:$C$679,0)))</f>
        <v/>
      </c>
      <c r="D37" s="8">
        <f>IF(ISNA(MATCH(28,'Transfer Engine'!$C$2:$C$679,0)),"",INDEX('Compliance Database'!$D$2:$D$679,MATCH(28,'Transfer Engine'!$C$2:$C$679,0)))</f>
        <v/>
      </c>
      <c r="E37">
        <f>IF(ISNA(MATCH(28,'Transfer Engine'!$C$2:$C$679,0)),"",INDEX('Compliance Database'!$E$2:$E$679,MATCH(28,'Transfer Engine'!$C$2:$C$679,0)))</f>
        <v/>
      </c>
      <c r="F37">
        <f>IF(ISNA(MATCH(28,'Transfer Engine'!$C$2:$C$679,0)),"",INDEX('Compliance Database'!$F$2:$F$679,MATCH(28,'Transfer Engine'!$C$2:$C$679,0)))</f>
        <v/>
      </c>
      <c r="G37">
        <f>IF(ISNA(MATCH(28,'Transfer Engine'!$C$2:$C$679,0)),"",INDEX('Compliance Database'!$G$2:$G$679,MATCH(28,'Transfer Engine'!$C$2:$C$679,0)))</f>
        <v/>
      </c>
      <c r="H37">
        <f>IF(ISNA(MATCH(28,'Transfer Engine'!$C$2:$C$679,0)),"",INDEX('Compliance Database'!$H$2:$H$679,MATCH(28,'Transfer Engine'!$C$2:$C$679,0)))</f>
        <v/>
      </c>
      <c r="I37" s="8">
        <f>IF(ISNA(MATCH(28,'Transfer Engine'!$C$2:$C$679,0)),"",INDEX('Compliance Database'!$I$2:$I$679,MATCH(28,'Transfer Engine'!$C$2:$C$679,0)))</f>
        <v/>
      </c>
      <c r="J37" s="8">
        <f>IF(ISNA(MATCH(28,'Transfer Engine'!$C$2:$C$679,0)),"",INDEX('Compliance Database'!$J$2:$J$679,MATCH(28,'Transfer Engine'!$C$2:$C$679,0)))</f>
        <v/>
      </c>
      <c r="K37">
        <f>IF(ISNA(MATCH(28,'Transfer Engine'!$C$2:$C$679,0)),"",INDEX('Compliance Database'!$K$2:$K$679,MATCH(28,'Transfer Engine'!$C$2:$C$679,0)))</f>
        <v/>
      </c>
      <c r="L37" s="8">
        <f>IF(ISNA(MATCH(28,'Transfer Engine'!$C$2:$C$679,0)),"",INDEX('Compliance Database'!$L$2:$L$679,MATCH(28,'Transfer Engine'!$C$2:$C$679,0)))</f>
        <v/>
      </c>
      <c r="M37" s="8">
        <f>IF(ISNA(MATCH(28,'Transfer Engine'!$C$2:$C$679,0)),"",INDEX('Compliance Database'!$M$2:$M$679,MATCH(28,'Transfer Engine'!$C$2:$C$679,0)))</f>
        <v/>
      </c>
      <c r="N37" s="8">
        <f>IF(ISNA(MATCH(28,'Transfer Engine'!$C$2:$C$679,0)),"",INDEX('Compliance Database'!$N$2:$N$679,MATCH(28,'Transfer Engine'!$C$2:$C$679,0)))</f>
        <v/>
      </c>
      <c r="O37" s="8">
        <f>IF(ISNA(MATCH(28,'Transfer Engine'!$C$2:$C$679,0)),"",INDEX('Compliance Database'!$O$2:$O$679,MATCH(28,'Transfer Engine'!$C$2:$C$679,0)))</f>
        <v/>
      </c>
      <c r="P37">
        <f>IF(ISNA(MATCH(28,'Transfer Engine'!$C$2:$C$679,0)),"",HYPERLINK(INDEX('Compliance Database'!$P$2:$P$679,MATCH(28,'Transfer Engine'!$C$2:$C$679,0)),"Open PDF"))</f>
        <v/>
      </c>
    </row>
    <row r="38">
      <c r="A38">
        <f>IF(ISNA(MATCH(29,'Transfer Engine'!$C$2:$C$679,0)),"",INDEX('Compliance Database'!$A$2:$A$679,MATCH(29,'Transfer Engine'!$C$2:$C$679,0)))</f>
        <v/>
      </c>
      <c r="B38">
        <f>IF(ISNA(MATCH(29,'Transfer Engine'!$C$2:$C$679,0)),"",INDEX('Compliance Database'!$B$2:$B$679,MATCH(29,'Transfer Engine'!$C$2:$C$679,0)))</f>
        <v/>
      </c>
      <c r="C38">
        <f>IF(ISNA(MATCH(29,'Transfer Engine'!$C$2:$C$679,0)),"",INDEX('Compliance Database'!$C$2:$C$679,MATCH(29,'Transfer Engine'!$C$2:$C$679,0)))</f>
        <v/>
      </c>
      <c r="D38" s="8">
        <f>IF(ISNA(MATCH(29,'Transfer Engine'!$C$2:$C$679,0)),"",INDEX('Compliance Database'!$D$2:$D$679,MATCH(29,'Transfer Engine'!$C$2:$C$679,0)))</f>
        <v/>
      </c>
      <c r="E38">
        <f>IF(ISNA(MATCH(29,'Transfer Engine'!$C$2:$C$679,0)),"",INDEX('Compliance Database'!$E$2:$E$679,MATCH(29,'Transfer Engine'!$C$2:$C$679,0)))</f>
        <v/>
      </c>
      <c r="F38">
        <f>IF(ISNA(MATCH(29,'Transfer Engine'!$C$2:$C$679,0)),"",INDEX('Compliance Database'!$F$2:$F$679,MATCH(29,'Transfer Engine'!$C$2:$C$679,0)))</f>
        <v/>
      </c>
      <c r="G38">
        <f>IF(ISNA(MATCH(29,'Transfer Engine'!$C$2:$C$679,0)),"",INDEX('Compliance Database'!$G$2:$G$679,MATCH(29,'Transfer Engine'!$C$2:$C$679,0)))</f>
        <v/>
      </c>
      <c r="H38">
        <f>IF(ISNA(MATCH(29,'Transfer Engine'!$C$2:$C$679,0)),"",INDEX('Compliance Database'!$H$2:$H$679,MATCH(29,'Transfer Engine'!$C$2:$C$679,0)))</f>
        <v/>
      </c>
      <c r="I38" s="8">
        <f>IF(ISNA(MATCH(29,'Transfer Engine'!$C$2:$C$679,0)),"",INDEX('Compliance Database'!$I$2:$I$679,MATCH(29,'Transfer Engine'!$C$2:$C$679,0)))</f>
        <v/>
      </c>
      <c r="J38" s="8">
        <f>IF(ISNA(MATCH(29,'Transfer Engine'!$C$2:$C$679,0)),"",INDEX('Compliance Database'!$J$2:$J$679,MATCH(29,'Transfer Engine'!$C$2:$C$679,0)))</f>
        <v/>
      </c>
      <c r="K38">
        <f>IF(ISNA(MATCH(29,'Transfer Engine'!$C$2:$C$679,0)),"",INDEX('Compliance Database'!$K$2:$K$679,MATCH(29,'Transfer Engine'!$C$2:$C$679,0)))</f>
        <v/>
      </c>
      <c r="L38" s="8">
        <f>IF(ISNA(MATCH(29,'Transfer Engine'!$C$2:$C$679,0)),"",INDEX('Compliance Database'!$L$2:$L$679,MATCH(29,'Transfer Engine'!$C$2:$C$679,0)))</f>
        <v/>
      </c>
      <c r="M38" s="8">
        <f>IF(ISNA(MATCH(29,'Transfer Engine'!$C$2:$C$679,0)),"",INDEX('Compliance Database'!$M$2:$M$679,MATCH(29,'Transfer Engine'!$C$2:$C$679,0)))</f>
        <v/>
      </c>
      <c r="N38" s="8">
        <f>IF(ISNA(MATCH(29,'Transfer Engine'!$C$2:$C$679,0)),"",INDEX('Compliance Database'!$N$2:$N$679,MATCH(29,'Transfer Engine'!$C$2:$C$679,0)))</f>
        <v/>
      </c>
      <c r="O38" s="8">
        <f>IF(ISNA(MATCH(29,'Transfer Engine'!$C$2:$C$679,0)),"",INDEX('Compliance Database'!$O$2:$O$679,MATCH(29,'Transfer Engine'!$C$2:$C$679,0)))</f>
        <v/>
      </c>
      <c r="P38">
        <f>IF(ISNA(MATCH(29,'Transfer Engine'!$C$2:$C$679,0)),"",HYPERLINK(INDEX('Compliance Database'!$P$2:$P$679,MATCH(29,'Transfer Engine'!$C$2:$C$679,0)),"Open PDF"))</f>
        <v/>
      </c>
    </row>
    <row r="39">
      <c r="A39">
        <f>IF(ISNA(MATCH(30,'Transfer Engine'!$C$2:$C$679,0)),"",INDEX('Compliance Database'!$A$2:$A$679,MATCH(30,'Transfer Engine'!$C$2:$C$679,0)))</f>
        <v/>
      </c>
      <c r="B39">
        <f>IF(ISNA(MATCH(30,'Transfer Engine'!$C$2:$C$679,0)),"",INDEX('Compliance Database'!$B$2:$B$679,MATCH(30,'Transfer Engine'!$C$2:$C$679,0)))</f>
        <v/>
      </c>
      <c r="C39">
        <f>IF(ISNA(MATCH(30,'Transfer Engine'!$C$2:$C$679,0)),"",INDEX('Compliance Database'!$C$2:$C$679,MATCH(30,'Transfer Engine'!$C$2:$C$679,0)))</f>
        <v/>
      </c>
      <c r="D39" s="8">
        <f>IF(ISNA(MATCH(30,'Transfer Engine'!$C$2:$C$679,0)),"",INDEX('Compliance Database'!$D$2:$D$679,MATCH(30,'Transfer Engine'!$C$2:$C$679,0)))</f>
        <v/>
      </c>
      <c r="E39">
        <f>IF(ISNA(MATCH(30,'Transfer Engine'!$C$2:$C$679,0)),"",INDEX('Compliance Database'!$E$2:$E$679,MATCH(30,'Transfer Engine'!$C$2:$C$679,0)))</f>
        <v/>
      </c>
      <c r="F39">
        <f>IF(ISNA(MATCH(30,'Transfer Engine'!$C$2:$C$679,0)),"",INDEX('Compliance Database'!$F$2:$F$679,MATCH(30,'Transfer Engine'!$C$2:$C$679,0)))</f>
        <v/>
      </c>
      <c r="G39">
        <f>IF(ISNA(MATCH(30,'Transfer Engine'!$C$2:$C$679,0)),"",INDEX('Compliance Database'!$G$2:$G$679,MATCH(30,'Transfer Engine'!$C$2:$C$679,0)))</f>
        <v/>
      </c>
      <c r="H39">
        <f>IF(ISNA(MATCH(30,'Transfer Engine'!$C$2:$C$679,0)),"",INDEX('Compliance Database'!$H$2:$H$679,MATCH(30,'Transfer Engine'!$C$2:$C$679,0)))</f>
        <v/>
      </c>
      <c r="I39" s="8">
        <f>IF(ISNA(MATCH(30,'Transfer Engine'!$C$2:$C$679,0)),"",INDEX('Compliance Database'!$I$2:$I$679,MATCH(30,'Transfer Engine'!$C$2:$C$679,0)))</f>
        <v/>
      </c>
      <c r="J39" s="8">
        <f>IF(ISNA(MATCH(30,'Transfer Engine'!$C$2:$C$679,0)),"",INDEX('Compliance Database'!$J$2:$J$679,MATCH(30,'Transfer Engine'!$C$2:$C$679,0)))</f>
        <v/>
      </c>
      <c r="K39">
        <f>IF(ISNA(MATCH(30,'Transfer Engine'!$C$2:$C$679,0)),"",INDEX('Compliance Database'!$K$2:$K$679,MATCH(30,'Transfer Engine'!$C$2:$C$679,0)))</f>
        <v/>
      </c>
      <c r="L39" s="8">
        <f>IF(ISNA(MATCH(30,'Transfer Engine'!$C$2:$C$679,0)),"",INDEX('Compliance Database'!$L$2:$L$679,MATCH(30,'Transfer Engine'!$C$2:$C$679,0)))</f>
        <v/>
      </c>
      <c r="M39" s="8">
        <f>IF(ISNA(MATCH(30,'Transfer Engine'!$C$2:$C$679,0)),"",INDEX('Compliance Database'!$M$2:$M$679,MATCH(30,'Transfer Engine'!$C$2:$C$679,0)))</f>
        <v/>
      </c>
      <c r="N39" s="8">
        <f>IF(ISNA(MATCH(30,'Transfer Engine'!$C$2:$C$679,0)),"",INDEX('Compliance Database'!$N$2:$N$679,MATCH(30,'Transfer Engine'!$C$2:$C$679,0)))</f>
        <v/>
      </c>
      <c r="O39" s="8">
        <f>IF(ISNA(MATCH(30,'Transfer Engine'!$C$2:$C$679,0)),"",INDEX('Compliance Database'!$O$2:$O$679,MATCH(30,'Transfer Engine'!$C$2:$C$679,0)))</f>
        <v/>
      </c>
      <c r="P39">
        <f>IF(ISNA(MATCH(30,'Transfer Engine'!$C$2:$C$679,0)),"",HYPERLINK(INDEX('Compliance Database'!$P$2:$P$679,MATCH(30,'Transfer Engine'!$C$2:$C$679,0)),"Open PDF"))</f>
        <v/>
      </c>
    </row>
    <row r="40">
      <c r="A40">
        <f>IF(ISNA(MATCH(31,'Transfer Engine'!$C$2:$C$679,0)),"",INDEX('Compliance Database'!$A$2:$A$679,MATCH(31,'Transfer Engine'!$C$2:$C$679,0)))</f>
        <v/>
      </c>
      <c r="B40">
        <f>IF(ISNA(MATCH(31,'Transfer Engine'!$C$2:$C$679,0)),"",INDEX('Compliance Database'!$B$2:$B$679,MATCH(31,'Transfer Engine'!$C$2:$C$679,0)))</f>
        <v/>
      </c>
      <c r="C40">
        <f>IF(ISNA(MATCH(31,'Transfer Engine'!$C$2:$C$679,0)),"",INDEX('Compliance Database'!$C$2:$C$679,MATCH(31,'Transfer Engine'!$C$2:$C$679,0)))</f>
        <v/>
      </c>
      <c r="D40" s="8">
        <f>IF(ISNA(MATCH(31,'Transfer Engine'!$C$2:$C$679,0)),"",INDEX('Compliance Database'!$D$2:$D$679,MATCH(31,'Transfer Engine'!$C$2:$C$679,0)))</f>
        <v/>
      </c>
      <c r="E40">
        <f>IF(ISNA(MATCH(31,'Transfer Engine'!$C$2:$C$679,0)),"",INDEX('Compliance Database'!$E$2:$E$679,MATCH(31,'Transfer Engine'!$C$2:$C$679,0)))</f>
        <v/>
      </c>
      <c r="F40">
        <f>IF(ISNA(MATCH(31,'Transfer Engine'!$C$2:$C$679,0)),"",INDEX('Compliance Database'!$F$2:$F$679,MATCH(31,'Transfer Engine'!$C$2:$C$679,0)))</f>
        <v/>
      </c>
      <c r="G40">
        <f>IF(ISNA(MATCH(31,'Transfer Engine'!$C$2:$C$679,0)),"",INDEX('Compliance Database'!$G$2:$G$679,MATCH(31,'Transfer Engine'!$C$2:$C$679,0)))</f>
        <v/>
      </c>
      <c r="H40">
        <f>IF(ISNA(MATCH(31,'Transfer Engine'!$C$2:$C$679,0)),"",INDEX('Compliance Database'!$H$2:$H$679,MATCH(31,'Transfer Engine'!$C$2:$C$679,0)))</f>
        <v/>
      </c>
      <c r="I40" s="8">
        <f>IF(ISNA(MATCH(31,'Transfer Engine'!$C$2:$C$679,0)),"",INDEX('Compliance Database'!$I$2:$I$679,MATCH(31,'Transfer Engine'!$C$2:$C$679,0)))</f>
        <v/>
      </c>
      <c r="J40" s="8">
        <f>IF(ISNA(MATCH(31,'Transfer Engine'!$C$2:$C$679,0)),"",INDEX('Compliance Database'!$J$2:$J$679,MATCH(31,'Transfer Engine'!$C$2:$C$679,0)))</f>
        <v/>
      </c>
      <c r="K40">
        <f>IF(ISNA(MATCH(31,'Transfer Engine'!$C$2:$C$679,0)),"",INDEX('Compliance Database'!$K$2:$K$679,MATCH(31,'Transfer Engine'!$C$2:$C$679,0)))</f>
        <v/>
      </c>
      <c r="L40" s="8">
        <f>IF(ISNA(MATCH(31,'Transfer Engine'!$C$2:$C$679,0)),"",INDEX('Compliance Database'!$L$2:$L$679,MATCH(31,'Transfer Engine'!$C$2:$C$679,0)))</f>
        <v/>
      </c>
      <c r="M40" s="8">
        <f>IF(ISNA(MATCH(31,'Transfer Engine'!$C$2:$C$679,0)),"",INDEX('Compliance Database'!$M$2:$M$679,MATCH(31,'Transfer Engine'!$C$2:$C$679,0)))</f>
        <v/>
      </c>
      <c r="N40" s="8">
        <f>IF(ISNA(MATCH(31,'Transfer Engine'!$C$2:$C$679,0)),"",INDEX('Compliance Database'!$N$2:$N$679,MATCH(31,'Transfer Engine'!$C$2:$C$679,0)))</f>
        <v/>
      </c>
      <c r="O40" s="8">
        <f>IF(ISNA(MATCH(31,'Transfer Engine'!$C$2:$C$679,0)),"",INDEX('Compliance Database'!$O$2:$O$679,MATCH(31,'Transfer Engine'!$C$2:$C$679,0)))</f>
        <v/>
      </c>
      <c r="P40">
        <f>IF(ISNA(MATCH(31,'Transfer Engine'!$C$2:$C$679,0)),"",HYPERLINK(INDEX('Compliance Database'!$P$2:$P$679,MATCH(31,'Transfer Engine'!$C$2:$C$679,0)),"Open PDF"))</f>
        <v/>
      </c>
    </row>
    <row r="41">
      <c r="A41">
        <f>IF(ISNA(MATCH(32,'Transfer Engine'!$C$2:$C$679,0)),"",INDEX('Compliance Database'!$A$2:$A$679,MATCH(32,'Transfer Engine'!$C$2:$C$679,0)))</f>
        <v/>
      </c>
      <c r="B41">
        <f>IF(ISNA(MATCH(32,'Transfer Engine'!$C$2:$C$679,0)),"",INDEX('Compliance Database'!$B$2:$B$679,MATCH(32,'Transfer Engine'!$C$2:$C$679,0)))</f>
        <v/>
      </c>
      <c r="C41">
        <f>IF(ISNA(MATCH(32,'Transfer Engine'!$C$2:$C$679,0)),"",INDEX('Compliance Database'!$C$2:$C$679,MATCH(32,'Transfer Engine'!$C$2:$C$679,0)))</f>
        <v/>
      </c>
      <c r="D41" s="8">
        <f>IF(ISNA(MATCH(32,'Transfer Engine'!$C$2:$C$679,0)),"",INDEX('Compliance Database'!$D$2:$D$679,MATCH(32,'Transfer Engine'!$C$2:$C$679,0)))</f>
        <v/>
      </c>
      <c r="E41">
        <f>IF(ISNA(MATCH(32,'Transfer Engine'!$C$2:$C$679,0)),"",INDEX('Compliance Database'!$E$2:$E$679,MATCH(32,'Transfer Engine'!$C$2:$C$679,0)))</f>
        <v/>
      </c>
      <c r="F41">
        <f>IF(ISNA(MATCH(32,'Transfer Engine'!$C$2:$C$679,0)),"",INDEX('Compliance Database'!$F$2:$F$679,MATCH(32,'Transfer Engine'!$C$2:$C$679,0)))</f>
        <v/>
      </c>
      <c r="G41">
        <f>IF(ISNA(MATCH(32,'Transfer Engine'!$C$2:$C$679,0)),"",INDEX('Compliance Database'!$G$2:$G$679,MATCH(32,'Transfer Engine'!$C$2:$C$679,0)))</f>
        <v/>
      </c>
      <c r="H41">
        <f>IF(ISNA(MATCH(32,'Transfer Engine'!$C$2:$C$679,0)),"",INDEX('Compliance Database'!$H$2:$H$679,MATCH(32,'Transfer Engine'!$C$2:$C$679,0)))</f>
        <v/>
      </c>
      <c r="I41" s="8">
        <f>IF(ISNA(MATCH(32,'Transfer Engine'!$C$2:$C$679,0)),"",INDEX('Compliance Database'!$I$2:$I$679,MATCH(32,'Transfer Engine'!$C$2:$C$679,0)))</f>
        <v/>
      </c>
      <c r="J41" s="8">
        <f>IF(ISNA(MATCH(32,'Transfer Engine'!$C$2:$C$679,0)),"",INDEX('Compliance Database'!$J$2:$J$679,MATCH(32,'Transfer Engine'!$C$2:$C$679,0)))</f>
        <v/>
      </c>
      <c r="K41">
        <f>IF(ISNA(MATCH(32,'Transfer Engine'!$C$2:$C$679,0)),"",INDEX('Compliance Database'!$K$2:$K$679,MATCH(32,'Transfer Engine'!$C$2:$C$679,0)))</f>
        <v/>
      </c>
      <c r="L41" s="8">
        <f>IF(ISNA(MATCH(32,'Transfer Engine'!$C$2:$C$679,0)),"",INDEX('Compliance Database'!$L$2:$L$679,MATCH(32,'Transfer Engine'!$C$2:$C$679,0)))</f>
        <v/>
      </c>
      <c r="M41" s="8">
        <f>IF(ISNA(MATCH(32,'Transfer Engine'!$C$2:$C$679,0)),"",INDEX('Compliance Database'!$M$2:$M$679,MATCH(32,'Transfer Engine'!$C$2:$C$679,0)))</f>
        <v/>
      </c>
      <c r="N41" s="8">
        <f>IF(ISNA(MATCH(32,'Transfer Engine'!$C$2:$C$679,0)),"",INDEX('Compliance Database'!$N$2:$N$679,MATCH(32,'Transfer Engine'!$C$2:$C$679,0)))</f>
        <v/>
      </c>
      <c r="O41" s="8">
        <f>IF(ISNA(MATCH(32,'Transfer Engine'!$C$2:$C$679,0)),"",INDEX('Compliance Database'!$O$2:$O$679,MATCH(32,'Transfer Engine'!$C$2:$C$679,0)))</f>
        <v/>
      </c>
      <c r="P41">
        <f>IF(ISNA(MATCH(32,'Transfer Engine'!$C$2:$C$679,0)),"",HYPERLINK(INDEX('Compliance Database'!$P$2:$P$679,MATCH(32,'Transfer Engine'!$C$2:$C$679,0)),"Open PDF"))</f>
        <v/>
      </c>
    </row>
    <row r="42">
      <c r="A42">
        <f>IF(ISNA(MATCH(33,'Transfer Engine'!$C$2:$C$679,0)),"",INDEX('Compliance Database'!$A$2:$A$679,MATCH(33,'Transfer Engine'!$C$2:$C$679,0)))</f>
        <v/>
      </c>
      <c r="B42">
        <f>IF(ISNA(MATCH(33,'Transfer Engine'!$C$2:$C$679,0)),"",INDEX('Compliance Database'!$B$2:$B$679,MATCH(33,'Transfer Engine'!$C$2:$C$679,0)))</f>
        <v/>
      </c>
      <c r="C42">
        <f>IF(ISNA(MATCH(33,'Transfer Engine'!$C$2:$C$679,0)),"",INDEX('Compliance Database'!$C$2:$C$679,MATCH(33,'Transfer Engine'!$C$2:$C$679,0)))</f>
        <v/>
      </c>
      <c r="D42" s="8">
        <f>IF(ISNA(MATCH(33,'Transfer Engine'!$C$2:$C$679,0)),"",INDEX('Compliance Database'!$D$2:$D$679,MATCH(33,'Transfer Engine'!$C$2:$C$679,0)))</f>
        <v/>
      </c>
      <c r="E42">
        <f>IF(ISNA(MATCH(33,'Transfer Engine'!$C$2:$C$679,0)),"",INDEX('Compliance Database'!$E$2:$E$679,MATCH(33,'Transfer Engine'!$C$2:$C$679,0)))</f>
        <v/>
      </c>
      <c r="F42">
        <f>IF(ISNA(MATCH(33,'Transfer Engine'!$C$2:$C$679,0)),"",INDEX('Compliance Database'!$F$2:$F$679,MATCH(33,'Transfer Engine'!$C$2:$C$679,0)))</f>
        <v/>
      </c>
      <c r="G42">
        <f>IF(ISNA(MATCH(33,'Transfer Engine'!$C$2:$C$679,0)),"",INDEX('Compliance Database'!$G$2:$G$679,MATCH(33,'Transfer Engine'!$C$2:$C$679,0)))</f>
        <v/>
      </c>
      <c r="H42">
        <f>IF(ISNA(MATCH(33,'Transfer Engine'!$C$2:$C$679,0)),"",INDEX('Compliance Database'!$H$2:$H$679,MATCH(33,'Transfer Engine'!$C$2:$C$679,0)))</f>
        <v/>
      </c>
      <c r="I42" s="8">
        <f>IF(ISNA(MATCH(33,'Transfer Engine'!$C$2:$C$679,0)),"",INDEX('Compliance Database'!$I$2:$I$679,MATCH(33,'Transfer Engine'!$C$2:$C$679,0)))</f>
        <v/>
      </c>
      <c r="J42" s="8">
        <f>IF(ISNA(MATCH(33,'Transfer Engine'!$C$2:$C$679,0)),"",INDEX('Compliance Database'!$J$2:$J$679,MATCH(33,'Transfer Engine'!$C$2:$C$679,0)))</f>
        <v/>
      </c>
      <c r="K42">
        <f>IF(ISNA(MATCH(33,'Transfer Engine'!$C$2:$C$679,0)),"",INDEX('Compliance Database'!$K$2:$K$679,MATCH(33,'Transfer Engine'!$C$2:$C$679,0)))</f>
        <v/>
      </c>
      <c r="L42" s="8">
        <f>IF(ISNA(MATCH(33,'Transfer Engine'!$C$2:$C$679,0)),"",INDEX('Compliance Database'!$L$2:$L$679,MATCH(33,'Transfer Engine'!$C$2:$C$679,0)))</f>
        <v/>
      </c>
      <c r="M42" s="8">
        <f>IF(ISNA(MATCH(33,'Transfer Engine'!$C$2:$C$679,0)),"",INDEX('Compliance Database'!$M$2:$M$679,MATCH(33,'Transfer Engine'!$C$2:$C$679,0)))</f>
        <v/>
      </c>
      <c r="N42" s="8">
        <f>IF(ISNA(MATCH(33,'Transfer Engine'!$C$2:$C$679,0)),"",INDEX('Compliance Database'!$N$2:$N$679,MATCH(33,'Transfer Engine'!$C$2:$C$679,0)))</f>
        <v/>
      </c>
      <c r="O42" s="8">
        <f>IF(ISNA(MATCH(33,'Transfer Engine'!$C$2:$C$679,0)),"",INDEX('Compliance Database'!$O$2:$O$679,MATCH(33,'Transfer Engine'!$C$2:$C$679,0)))</f>
        <v/>
      </c>
      <c r="P42">
        <f>IF(ISNA(MATCH(33,'Transfer Engine'!$C$2:$C$679,0)),"",HYPERLINK(INDEX('Compliance Database'!$P$2:$P$679,MATCH(33,'Transfer Engine'!$C$2:$C$679,0)),"Open PDF"))</f>
        <v/>
      </c>
    </row>
    <row r="43">
      <c r="A43">
        <f>IF(ISNA(MATCH(34,'Transfer Engine'!$C$2:$C$679,0)),"",INDEX('Compliance Database'!$A$2:$A$679,MATCH(34,'Transfer Engine'!$C$2:$C$679,0)))</f>
        <v/>
      </c>
      <c r="B43">
        <f>IF(ISNA(MATCH(34,'Transfer Engine'!$C$2:$C$679,0)),"",INDEX('Compliance Database'!$B$2:$B$679,MATCH(34,'Transfer Engine'!$C$2:$C$679,0)))</f>
        <v/>
      </c>
      <c r="C43">
        <f>IF(ISNA(MATCH(34,'Transfer Engine'!$C$2:$C$679,0)),"",INDEX('Compliance Database'!$C$2:$C$679,MATCH(34,'Transfer Engine'!$C$2:$C$679,0)))</f>
        <v/>
      </c>
      <c r="D43" s="8">
        <f>IF(ISNA(MATCH(34,'Transfer Engine'!$C$2:$C$679,0)),"",INDEX('Compliance Database'!$D$2:$D$679,MATCH(34,'Transfer Engine'!$C$2:$C$679,0)))</f>
        <v/>
      </c>
      <c r="E43">
        <f>IF(ISNA(MATCH(34,'Transfer Engine'!$C$2:$C$679,0)),"",INDEX('Compliance Database'!$E$2:$E$679,MATCH(34,'Transfer Engine'!$C$2:$C$679,0)))</f>
        <v/>
      </c>
      <c r="F43">
        <f>IF(ISNA(MATCH(34,'Transfer Engine'!$C$2:$C$679,0)),"",INDEX('Compliance Database'!$F$2:$F$679,MATCH(34,'Transfer Engine'!$C$2:$C$679,0)))</f>
        <v/>
      </c>
      <c r="G43">
        <f>IF(ISNA(MATCH(34,'Transfer Engine'!$C$2:$C$679,0)),"",INDEX('Compliance Database'!$G$2:$G$679,MATCH(34,'Transfer Engine'!$C$2:$C$679,0)))</f>
        <v/>
      </c>
      <c r="H43">
        <f>IF(ISNA(MATCH(34,'Transfer Engine'!$C$2:$C$679,0)),"",INDEX('Compliance Database'!$H$2:$H$679,MATCH(34,'Transfer Engine'!$C$2:$C$679,0)))</f>
        <v/>
      </c>
      <c r="I43" s="8">
        <f>IF(ISNA(MATCH(34,'Transfer Engine'!$C$2:$C$679,0)),"",INDEX('Compliance Database'!$I$2:$I$679,MATCH(34,'Transfer Engine'!$C$2:$C$679,0)))</f>
        <v/>
      </c>
      <c r="J43" s="8">
        <f>IF(ISNA(MATCH(34,'Transfer Engine'!$C$2:$C$679,0)),"",INDEX('Compliance Database'!$J$2:$J$679,MATCH(34,'Transfer Engine'!$C$2:$C$679,0)))</f>
        <v/>
      </c>
      <c r="K43">
        <f>IF(ISNA(MATCH(34,'Transfer Engine'!$C$2:$C$679,0)),"",INDEX('Compliance Database'!$K$2:$K$679,MATCH(34,'Transfer Engine'!$C$2:$C$679,0)))</f>
        <v/>
      </c>
      <c r="L43" s="8">
        <f>IF(ISNA(MATCH(34,'Transfer Engine'!$C$2:$C$679,0)),"",INDEX('Compliance Database'!$L$2:$L$679,MATCH(34,'Transfer Engine'!$C$2:$C$679,0)))</f>
        <v/>
      </c>
      <c r="M43" s="8">
        <f>IF(ISNA(MATCH(34,'Transfer Engine'!$C$2:$C$679,0)),"",INDEX('Compliance Database'!$M$2:$M$679,MATCH(34,'Transfer Engine'!$C$2:$C$679,0)))</f>
        <v/>
      </c>
      <c r="N43" s="8">
        <f>IF(ISNA(MATCH(34,'Transfer Engine'!$C$2:$C$679,0)),"",INDEX('Compliance Database'!$N$2:$N$679,MATCH(34,'Transfer Engine'!$C$2:$C$679,0)))</f>
        <v/>
      </c>
      <c r="O43" s="8">
        <f>IF(ISNA(MATCH(34,'Transfer Engine'!$C$2:$C$679,0)),"",INDEX('Compliance Database'!$O$2:$O$679,MATCH(34,'Transfer Engine'!$C$2:$C$679,0)))</f>
        <v/>
      </c>
      <c r="P43">
        <f>IF(ISNA(MATCH(34,'Transfer Engine'!$C$2:$C$679,0)),"",HYPERLINK(INDEX('Compliance Database'!$P$2:$P$679,MATCH(34,'Transfer Engine'!$C$2:$C$679,0)),"Open PDF"))</f>
        <v/>
      </c>
    </row>
    <row r="44">
      <c r="A44">
        <f>IF(ISNA(MATCH(35,'Transfer Engine'!$C$2:$C$679,0)),"",INDEX('Compliance Database'!$A$2:$A$679,MATCH(35,'Transfer Engine'!$C$2:$C$679,0)))</f>
        <v/>
      </c>
      <c r="B44">
        <f>IF(ISNA(MATCH(35,'Transfer Engine'!$C$2:$C$679,0)),"",INDEX('Compliance Database'!$B$2:$B$679,MATCH(35,'Transfer Engine'!$C$2:$C$679,0)))</f>
        <v/>
      </c>
      <c r="C44">
        <f>IF(ISNA(MATCH(35,'Transfer Engine'!$C$2:$C$679,0)),"",INDEX('Compliance Database'!$C$2:$C$679,MATCH(35,'Transfer Engine'!$C$2:$C$679,0)))</f>
        <v/>
      </c>
      <c r="D44" s="8">
        <f>IF(ISNA(MATCH(35,'Transfer Engine'!$C$2:$C$679,0)),"",INDEX('Compliance Database'!$D$2:$D$679,MATCH(35,'Transfer Engine'!$C$2:$C$679,0)))</f>
        <v/>
      </c>
      <c r="E44">
        <f>IF(ISNA(MATCH(35,'Transfer Engine'!$C$2:$C$679,0)),"",INDEX('Compliance Database'!$E$2:$E$679,MATCH(35,'Transfer Engine'!$C$2:$C$679,0)))</f>
        <v/>
      </c>
      <c r="F44">
        <f>IF(ISNA(MATCH(35,'Transfer Engine'!$C$2:$C$679,0)),"",INDEX('Compliance Database'!$F$2:$F$679,MATCH(35,'Transfer Engine'!$C$2:$C$679,0)))</f>
        <v/>
      </c>
      <c r="G44">
        <f>IF(ISNA(MATCH(35,'Transfer Engine'!$C$2:$C$679,0)),"",INDEX('Compliance Database'!$G$2:$G$679,MATCH(35,'Transfer Engine'!$C$2:$C$679,0)))</f>
        <v/>
      </c>
      <c r="H44">
        <f>IF(ISNA(MATCH(35,'Transfer Engine'!$C$2:$C$679,0)),"",INDEX('Compliance Database'!$H$2:$H$679,MATCH(35,'Transfer Engine'!$C$2:$C$679,0)))</f>
        <v/>
      </c>
      <c r="I44" s="8">
        <f>IF(ISNA(MATCH(35,'Transfer Engine'!$C$2:$C$679,0)),"",INDEX('Compliance Database'!$I$2:$I$679,MATCH(35,'Transfer Engine'!$C$2:$C$679,0)))</f>
        <v/>
      </c>
      <c r="J44" s="8">
        <f>IF(ISNA(MATCH(35,'Transfer Engine'!$C$2:$C$679,0)),"",INDEX('Compliance Database'!$J$2:$J$679,MATCH(35,'Transfer Engine'!$C$2:$C$679,0)))</f>
        <v/>
      </c>
      <c r="K44">
        <f>IF(ISNA(MATCH(35,'Transfer Engine'!$C$2:$C$679,0)),"",INDEX('Compliance Database'!$K$2:$K$679,MATCH(35,'Transfer Engine'!$C$2:$C$679,0)))</f>
        <v/>
      </c>
      <c r="L44" s="8">
        <f>IF(ISNA(MATCH(35,'Transfer Engine'!$C$2:$C$679,0)),"",INDEX('Compliance Database'!$L$2:$L$679,MATCH(35,'Transfer Engine'!$C$2:$C$679,0)))</f>
        <v/>
      </c>
      <c r="M44" s="8">
        <f>IF(ISNA(MATCH(35,'Transfer Engine'!$C$2:$C$679,0)),"",INDEX('Compliance Database'!$M$2:$M$679,MATCH(35,'Transfer Engine'!$C$2:$C$679,0)))</f>
        <v/>
      </c>
      <c r="N44" s="8">
        <f>IF(ISNA(MATCH(35,'Transfer Engine'!$C$2:$C$679,0)),"",INDEX('Compliance Database'!$N$2:$N$679,MATCH(35,'Transfer Engine'!$C$2:$C$679,0)))</f>
        <v/>
      </c>
      <c r="O44" s="8">
        <f>IF(ISNA(MATCH(35,'Transfer Engine'!$C$2:$C$679,0)),"",INDEX('Compliance Database'!$O$2:$O$679,MATCH(35,'Transfer Engine'!$C$2:$C$679,0)))</f>
        <v/>
      </c>
      <c r="P44">
        <f>IF(ISNA(MATCH(35,'Transfer Engine'!$C$2:$C$679,0)),"",HYPERLINK(INDEX('Compliance Database'!$P$2:$P$679,MATCH(35,'Transfer Engine'!$C$2:$C$679,0)),"Open PDF"))</f>
        <v/>
      </c>
    </row>
    <row r="45">
      <c r="A45">
        <f>IF(ISNA(MATCH(36,'Transfer Engine'!$C$2:$C$679,0)),"",INDEX('Compliance Database'!$A$2:$A$679,MATCH(36,'Transfer Engine'!$C$2:$C$679,0)))</f>
        <v/>
      </c>
      <c r="B45">
        <f>IF(ISNA(MATCH(36,'Transfer Engine'!$C$2:$C$679,0)),"",INDEX('Compliance Database'!$B$2:$B$679,MATCH(36,'Transfer Engine'!$C$2:$C$679,0)))</f>
        <v/>
      </c>
      <c r="C45">
        <f>IF(ISNA(MATCH(36,'Transfer Engine'!$C$2:$C$679,0)),"",INDEX('Compliance Database'!$C$2:$C$679,MATCH(36,'Transfer Engine'!$C$2:$C$679,0)))</f>
        <v/>
      </c>
      <c r="D45" s="8">
        <f>IF(ISNA(MATCH(36,'Transfer Engine'!$C$2:$C$679,0)),"",INDEX('Compliance Database'!$D$2:$D$679,MATCH(36,'Transfer Engine'!$C$2:$C$679,0)))</f>
        <v/>
      </c>
      <c r="E45">
        <f>IF(ISNA(MATCH(36,'Transfer Engine'!$C$2:$C$679,0)),"",INDEX('Compliance Database'!$E$2:$E$679,MATCH(36,'Transfer Engine'!$C$2:$C$679,0)))</f>
        <v/>
      </c>
      <c r="F45">
        <f>IF(ISNA(MATCH(36,'Transfer Engine'!$C$2:$C$679,0)),"",INDEX('Compliance Database'!$F$2:$F$679,MATCH(36,'Transfer Engine'!$C$2:$C$679,0)))</f>
        <v/>
      </c>
      <c r="G45">
        <f>IF(ISNA(MATCH(36,'Transfer Engine'!$C$2:$C$679,0)),"",INDEX('Compliance Database'!$G$2:$G$679,MATCH(36,'Transfer Engine'!$C$2:$C$679,0)))</f>
        <v/>
      </c>
      <c r="H45">
        <f>IF(ISNA(MATCH(36,'Transfer Engine'!$C$2:$C$679,0)),"",INDEX('Compliance Database'!$H$2:$H$679,MATCH(36,'Transfer Engine'!$C$2:$C$679,0)))</f>
        <v/>
      </c>
      <c r="I45" s="8">
        <f>IF(ISNA(MATCH(36,'Transfer Engine'!$C$2:$C$679,0)),"",INDEX('Compliance Database'!$I$2:$I$679,MATCH(36,'Transfer Engine'!$C$2:$C$679,0)))</f>
        <v/>
      </c>
      <c r="J45" s="8">
        <f>IF(ISNA(MATCH(36,'Transfer Engine'!$C$2:$C$679,0)),"",INDEX('Compliance Database'!$J$2:$J$679,MATCH(36,'Transfer Engine'!$C$2:$C$679,0)))</f>
        <v/>
      </c>
      <c r="K45">
        <f>IF(ISNA(MATCH(36,'Transfer Engine'!$C$2:$C$679,0)),"",INDEX('Compliance Database'!$K$2:$K$679,MATCH(36,'Transfer Engine'!$C$2:$C$679,0)))</f>
        <v/>
      </c>
      <c r="L45" s="8">
        <f>IF(ISNA(MATCH(36,'Transfer Engine'!$C$2:$C$679,0)),"",INDEX('Compliance Database'!$L$2:$L$679,MATCH(36,'Transfer Engine'!$C$2:$C$679,0)))</f>
        <v/>
      </c>
      <c r="M45" s="8">
        <f>IF(ISNA(MATCH(36,'Transfer Engine'!$C$2:$C$679,0)),"",INDEX('Compliance Database'!$M$2:$M$679,MATCH(36,'Transfer Engine'!$C$2:$C$679,0)))</f>
        <v/>
      </c>
      <c r="N45" s="8">
        <f>IF(ISNA(MATCH(36,'Transfer Engine'!$C$2:$C$679,0)),"",INDEX('Compliance Database'!$N$2:$N$679,MATCH(36,'Transfer Engine'!$C$2:$C$679,0)))</f>
        <v/>
      </c>
      <c r="O45" s="8">
        <f>IF(ISNA(MATCH(36,'Transfer Engine'!$C$2:$C$679,0)),"",INDEX('Compliance Database'!$O$2:$O$679,MATCH(36,'Transfer Engine'!$C$2:$C$679,0)))</f>
        <v/>
      </c>
      <c r="P45">
        <f>IF(ISNA(MATCH(36,'Transfer Engine'!$C$2:$C$679,0)),"",HYPERLINK(INDEX('Compliance Database'!$P$2:$P$679,MATCH(36,'Transfer Engine'!$C$2:$C$679,0)),"Open PDF"))</f>
        <v/>
      </c>
    </row>
    <row r="46">
      <c r="A46">
        <f>IF(ISNA(MATCH(37,'Transfer Engine'!$C$2:$C$679,0)),"",INDEX('Compliance Database'!$A$2:$A$679,MATCH(37,'Transfer Engine'!$C$2:$C$679,0)))</f>
        <v/>
      </c>
      <c r="B46">
        <f>IF(ISNA(MATCH(37,'Transfer Engine'!$C$2:$C$679,0)),"",INDEX('Compliance Database'!$B$2:$B$679,MATCH(37,'Transfer Engine'!$C$2:$C$679,0)))</f>
        <v/>
      </c>
      <c r="C46">
        <f>IF(ISNA(MATCH(37,'Transfer Engine'!$C$2:$C$679,0)),"",INDEX('Compliance Database'!$C$2:$C$679,MATCH(37,'Transfer Engine'!$C$2:$C$679,0)))</f>
        <v/>
      </c>
      <c r="D46" s="8">
        <f>IF(ISNA(MATCH(37,'Transfer Engine'!$C$2:$C$679,0)),"",INDEX('Compliance Database'!$D$2:$D$679,MATCH(37,'Transfer Engine'!$C$2:$C$679,0)))</f>
        <v/>
      </c>
      <c r="E46">
        <f>IF(ISNA(MATCH(37,'Transfer Engine'!$C$2:$C$679,0)),"",INDEX('Compliance Database'!$E$2:$E$679,MATCH(37,'Transfer Engine'!$C$2:$C$679,0)))</f>
        <v/>
      </c>
      <c r="F46">
        <f>IF(ISNA(MATCH(37,'Transfer Engine'!$C$2:$C$679,0)),"",INDEX('Compliance Database'!$F$2:$F$679,MATCH(37,'Transfer Engine'!$C$2:$C$679,0)))</f>
        <v/>
      </c>
      <c r="G46">
        <f>IF(ISNA(MATCH(37,'Transfer Engine'!$C$2:$C$679,0)),"",INDEX('Compliance Database'!$G$2:$G$679,MATCH(37,'Transfer Engine'!$C$2:$C$679,0)))</f>
        <v/>
      </c>
      <c r="H46">
        <f>IF(ISNA(MATCH(37,'Transfer Engine'!$C$2:$C$679,0)),"",INDEX('Compliance Database'!$H$2:$H$679,MATCH(37,'Transfer Engine'!$C$2:$C$679,0)))</f>
        <v/>
      </c>
      <c r="I46" s="8">
        <f>IF(ISNA(MATCH(37,'Transfer Engine'!$C$2:$C$679,0)),"",INDEX('Compliance Database'!$I$2:$I$679,MATCH(37,'Transfer Engine'!$C$2:$C$679,0)))</f>
        <v/>
      </c>
      <c r="J46" s="8">
        <f>IF(ISNA(MATCH(37,'Transfer Engine'!$C$2:$C$679,0)),"",INDEX('Compliance Database'!$J$2:$J$679,MATCH(37,'Transfer Engine'!$C$2:$C$679,0)))</f>
        <v/>
      </c>
      <c r="K46">
        <f>IF(ISNA(MATCH(37,'Transfer Engine'!$C$2:$C$679,0)),"",INDEX('Compliance Database'!$K$2:$K$679,MATCH(37,'Transfer Engine'!$C$2:$C$679,0)))</f>
        <v/>
      </c>
      <c r="L46" s="8">
        <f>IF(ISNA(MATCH(37,'Transfer Engine'!$C$2:$C$679,0)),"",INDEX('Compliance Database'!$L$2:$L$679,MATCH(37,'Transfer Engine'!$C$2:$C$679,0)))</f>
        <v/>
      </c>
      <c r="M46" s="8">
        <f>IF(ISNA(MATCH(37,'Transfer Engine'!$C$2:$C$679,0)),"",INDEX('Compliance Database'!$M$2:$M$679,MATCH(37,'Transfer Engine'!$C$2:$C$679,0)))</f>
        <v/>
      </c>
      <c r="N46" s="8">
        <f>IF(ISNA(MATCH(37,'Transfer Engine'!$C$2:$C$679,0)),"",INDEX('Compliance Database'!$N$2:$N$679,MATCH(37,'Transfer Engine'!$C$2:$C$679,0)))</f>
        <v/>
      </c>
      <c r="O46" s="8">
        <f>IF(ISNA(MATCH(37,'Transfer Engine'!$C$2:$C$679,0)),"",INDEX('Compliance Database'!$O$2:$O$679,MATCH(37,'Transfer Engine'!$C$2:$C$679,0)))</f>
        <v/>
      </c>
      <c r="P46">
        <f>IF(ISNA(MATCH(37,'Transfer Engine'!$C$2:$C$679,0)),"",HYPERLINK(INDEX('Compliance Database'!$P$2:$P$679,MATCH(37,'Transfer Engine'!$C$2:$C$679,0)),"Open PDF"))</f>
        <v/>
      </c>
    </row>
    <row r="47">
      <c r="A47">
        <f>IF(ISNA(MATCH(38,'Transfer Engine'!$C$2:$C$679,0)),"",INDEX('Compliance Database'!$A$2:$A$679,MATCH(38,'Transfer Engine'!$C$2:$C$679,0)))</f>
        <v/>
      </c>
      <c r="B47">
        <f>IF(ISNA(MATCH(38,'Transfer Engine'!$C$2:$C$679,0)),"",INDEX('Compliance Database'!$B$2:$B$679,MATCH(38,'Transfer Engine'!$C$2:$C$679,0)))</f>
        <v/>
      </c>
      <c r="C47">
        <f>IF(ISNA(MATCH(38,'Transfer Engine'!$C$2:$C$679,0)),"",INDEX('Compliance Database'!$C$2:$C$679,MATCH(38,'Transfer Engine'!$C$2:$C$679,0)))</f>
        <v/>
      </c>
      <c r="D47" s="8">
        <f>IF(ISNA(MATCH(38,'Transfer Engine'!$C$2:$C$679,0)),"",INDEX('Compliance Database'!$D$2:$D$679,MATCH(38,'Transfer Engine'!$C$2:$C$679,0)))</f>
        <v/>
      </c>
      <c r="E47">
        <f>IF(ISNA(MATCH(38,'Transfer Engine'!$C$2:$C$679,0)),"",INDEX('Compliance Database'!$E$2:$E$679,MATCH(38,'Transfer Engine'!$C$2:$C$679,0)))</f>
        <v/>
      </c>
      <c r="F47">
        <f>IF(ISNA(MATCH(38,'Transfer Engine'!$C$2:$C$679,0)),"",INDEX('Compliance Database'!$F$2:$F$679,MATCH(38,'Transfer Engine'!$C$2:$C$679,0)))</f>
        <v/>
      </c>
      <c r="G47">
        <f>IF(ISNA(MATCH(38,'Transfer Engine'!$C$2:$C$679,0)),"",INDEX('Compliance Database'!$G$2:$G$679,MATCH(38,'Transfer Engine'!$C$2:$C$679,0)))</f>
        <v/>
      </c>
      <c r="H47">
        <f>IF(ISNA(MATCH(38,'Transfer Engine'!$C$2:$C$679,0)),"",INDEX('Compliance Database'!$H$2:$H$679,MATCH(38,'Transfer Engine'!$C$2:$C$679,0)))</f>
        <v/>
      </c>
      <c r="I47" s="8">
        <f>IF(ISNA(MATCH(38,'Transfer Engine'!$C$2:$C$679,0)),"",INDEX('Compliance Database'!$I$2:$I$679,MATCH(38,'Transfer Engine'!$C$2:$C$679,0)))</f>
        <v/>
      </c>
      <c r="J47" s="8">
        <f>IF(ISNA(MATCH(38,'Transfer Engine'!$C$2:$C$679,0)),"",INDEX('Compliance Database'!$J$2:$J$679,MATCH(38,'Transfer Engine'!$C$2:$C$679,0)))</f>
        <v/>
      </c>
      <c r="K47">
        <f>IF(ISNA(MATCH(38,'Transfer Engine'!$C$2:$C$679,0)),"",INDEX('Compliance Database'!$K$2:$K$679,MATCH(38,'Transfer Engine'!$C$2:$C$679,0)))</f>
        <v/>
      </c>
      <c r="L47" s="8">
        <f>IF(ISNA(MATCH(38,'Transfer Engine'!$C$2:$C$679,0)),"",INDEX('Compliance Database'!$L$2:$L$679,MATCH(38,'Transfer Engine'!$C$2:$C$679,0)))</f>
        <v/>
      </c>
      <c r="M47" s="8">
        <f>IF(ISNA(MATCH(38,'Transfer Engine'!$C$2:$C$679,0)),"",INDEX('Compliance Database'!$M$2:$M$679,MATCH(38,'Transfer Engine'!$C$2:$C$679,0)))</f>
        <v/>
      </c>
      <c r="N47" s="8">
        <f>IF(ISNA(MATCH(38,'Transfer Engine'!$C$2:$C$679,0)),"",INDEX('Compliance Database'!$N$2:$N$679,MATCH(38,'Transfer Engine'!$C$2:$C$679,0)))</f>
        <v/>
      </c>
      <c r="O47" s="8">
        <f>IF(ISNA(MATCH(38,'Transfer Engine'!$C$2:$C$679,0)),"",INDEX('Compliance Database'!$O$2:$O$679,MATCH(38,'Transfer Engine'!$C$2:$C$679,0)))</f>
        <v/>
      </c>
      <c r="P47">
        <f>IF(ISNA(MATCH(38,'Transfer Engine'!$C$2:$C$679,0)),"",HYPERLINK(INDEX('Compliance Database'!$P$2:$P$679,MATCH(38,'Transfer Engine'!$C$2:$C$679,0)),"Open PDF"))</f>
        <v/>
      </c>
    </row>
    <row r="48">
      <c r="A48">
        <f>IF(ISNA(MATCH(39,'Transfer Engine'!$C$2:$C$679,0)),"",INDEX('Compliance Database'!$A$2:$A$679,MATCH(39,'Transfer Engine'!$C$2:$C$679,0)))</f>
        <v/>
      </c>
      <c r="B48">
        <f>IF(ISNA(MATCH(39,'Transfer Engine'!$C$2:$C$679,0)),"",INDEX('Compliance Database'!$B$2:$B$679,MATCH(39,'Transfer Engine'!$C$2:$C$679,0)))</f>
        <v/>
      </c>
      <c r="C48">
        <f>IF(ISNA(MATCH(39,'Transfer Engine'!$C$2:$C$679,0)),"",INDEX('Compliance Database'!$C$2:$C$679,MATCH(39,'Transfer Engine'!$C$2:$C$679,0)))</f>
        <v/>
      </c>
      <c r="D48" s="8">
        <f>IF(ISNA(MATCH(39,'Transfer Engine'!$C$2:$C$679,0)),"",INDEX('Compliance Database'!$D$2:$D$679,MATCH(39,'Transfer Engine'!$C$2:$C$679,0)))</f>
        <v/>
      </c>
      <c r="E48">
        <f>IF(ISNA(MATCH(39,'Transfer Engine'!$C$2:$C$679,0)),"",INDEX('Compliance Database'!$E$2:$E$679,MATCH(39,'Transfer Engine'!$C$2:$C$679,0)))</f>
        <v/>
      </c>
      <c r="F48">
        <f>IF(ISNA(MATCH(39,'Transfer Engine'!$C$2:$C$679,0)),"",INDEX('Compliance Database'!$F$2:$F$679,MATCH(39,'Transfer Engine'!$C$2:$C$679,0)))</f>
        <v/>
      </c>
      <c r="G48">
        <f>IF(ISNA(MATCH(39,'Transfer Engine'!$C$2:$C$679,0)),"",INDEX('Compliance Database'!$G$2:$G$679,MATCH(39,'Transfer Engine'!$C$2:$C$679,0)))</f>
        <v/>
      </c>
      <c r="H48">
        <f>IF(ISNA(MATCH(39,'Transfer Engine'!$C$2:$C$679,0)),"",INDEX('Compliance Database'!$H$2:$H$679,MATCH(39,'Transfer Engine'!$C$2:$C$679,0)))</f>
        <v/>
      </c>
      <c r="I48" s="8">
        <f>IF(ISNA(MATCH(39,'Transfer Engine'!$C$2:$C$679,0)),"",INDEX('Compliance Database'!$I$2:$I$679,MATCH(39,'Transfer Engine'!$C$2:$C$679,0)))</f>
        <v/>
      </c>
      <c r="J48" s="8">
        <f>IF(ISNA(MATCH(39,'Transfer Engine'!$C$2:$C$679,0)),"",INDEX('Compliance Database'!$J$2:$J$679,MATCH(39,'Transfer Engine'!$C$2:$C$679,0)))</f>
        <v/>
      </c>
      <c r="K48">
        <f>IF(ISNA(MATCH(39,'Transfer Engine'!$C$2:$C$679,0)),"",INDEX('Compliance Database'!$K$2:$K$679,MATCH(39,'Transfer Engine'!$C$2:$C$679,0)))</f>
        <v/>
      </c>
      <c r="L48" s="8">
        <f>IF(ISNA(MATCH(39,'Transfer Engine'!$C$2:$C$679,0)),"",INDEX('Compliance Database'!$L$2:$L$679,MATCH(39,'Transfer Engine'!$C$2:$C$679,0)))</f>
        <v/>
      </c>
      <c r="M48" s="8">
        <f>IF(ISNA(MATCH(39,'Transfer Engine'!$C$2:$C$679,0)),"",INDEX('Compliance Database'!$M$2:$M$679,MATCH(39,'Transfer Engine'!$C$2:$C$679,0)))</f>
        <v/>
      </c>
      <c r="N48" s="8">
        <f>IF(ISNA(MATCH(39,'Transfer Engine'!$C$2:$C$679,0)),"",INDEX('Compliance Database'!$N$2:$N$679,MATCH(39,'Transfer Engine'!$C$2:$C$679,0)))</f>
        <v/>
      </c>
      <c r="O48" s="8">
        <f>IF(ISNA(MATCH(39,'Transfer Engine'!$C$2:$C$679,0)),"",INDEX('Compliance Database'!$O$2:$O$679,MATCH(39,'Transfer Engine'!$C$2:$C$679,0)))</f>
        <v/>
      </c>
      <c r="P48">
        <f>IF(ISNA(MATCH(39,'Transfer Engine'!$C$2:$C$679,0)),"",HYPERLINK(INDEX('Compliance Database'!$P$2:$P$679,MATCH(39,'Transfer Engine'!$C$2:$C$679,0)),"Open PDF"))</f>
        <v/>
      </c>
    </row>
    <row r="49">
      <c r="A49">
        <f>IF(ISNA(MATCH(40,'Transfer Engine'!$C$2:$C$679,0)),"",INDEX('Compliance Database'!$A$2:$A$679,MATCH(40,'Transfer Engine'!$C$2:$C$679,0)))</f>
        <v/>
      </c>
      <c r="B49">
        <f>IF(ISNA(MATCH(40,'Transfer Engine'!$C$2:$C$679,0)),"",INDEX('Compliance Database'!$B$2:$B$679,MATCH(40,'Transfer Engine'!$C$2:$C$679,0)))</f>
        <v/>
      </c>
      <c r="C49">
        <f>IF(ISNA(MATCH(40,'Transfer Engine'!$C$2:$C$679,0)),"",INDEX('Compliance Database'!$C$2:$C$679,MATCH(40,'Transfer Engine'!$C$2:$C$679,0)))</f>
        <v/>
      </c>
      <c r="D49" s="8">
        <f>IF(ISNA(MATCH(40,'Transfer Engine'!$C$2:$C$679,0)),"",INDEX('Compliance Database'!$D$2:$D$679,MATCH(40,'Transfer Engine'!$C$2:$C$679,0)))</f>
        <v/>
      </c>
      <c r="E49">
        <f>IF(ISNA(MATCH(40,'Transfer Engine'!$C$2:$C$679,0)),"",INDEX('Compliance Database'!$E$2:$E$679,MATCH(40,'Transfer Engine'!$C$2:$C$679,0)))</f>
        <v/>
      </c>
      <c r="F49">
        <f>IF(ISNA(MATCH(40,'Transfer Engine'!$C$2:$C$679,0)),"",INDEX('Compliance Database'!$F$2:$F$679,MATCH(40,'Transfer Engine'!$C$2:$C$679,0)))</f>
        <v/>
      </c>
      <c r="G49">
        <f>IF(ISNA(MATCH(40,'Transfer Engine'!$C$2:$C$679,0)),"",INDEX('Compliance Database'!$G$2:$G$679,MATCH(40,'Transfer Engine'!$C$2:$C$679,0)))</f>
        <v/>
      </c>
      <c r="H49">
        <f>IF(ISNA(MATCH(40,'Transfer Engine'!$C$2:$C$679,0)),"",INDEX('Compliance Database'!$H$2:$H$679,MATCH(40,'Transfer Engine'!$C$2:$C$679,0)))</f>
        <v/>
      </c>
      <c r="I49" s="8">
        <f>IF(ISNA(MATCH(40,'Transfer Engine'!$C$2:$C$679,0)),"",INDEX('Compliance Database'!$I$2:$I$679,MATCH(40,'Transfer Engine'!$C$2:$C$679,0)))</f>
        <v/>
      </c>
      <c r="J49" s="8">
        <f>IF(ISNA(MATCH(40,'Transfer Engine'!$C$2:$C$679,0)),"",INDEX('Compliance Database'!$J$2:$J$679,MATCH(40,'Transfer Engine'!$C$2:$C$679,0)))</f>
        <v/>
      </c>
      <c r="K49">
        <f>IF(ISNA(MATCH(40,'Transfer Engine'!$C$2:$C$679,0)),"",INDEX('Compliance Database'!$K$2:$K$679,MATCH(40,'Transfer Engine'!$C$2:$C$679,0)))</f>
        <v/>
      </c>
      <c r="L49" s="8">
        <f>IF(ISNA(MATCH(40,'Transfer Engine'!$C$2:$C$679,0)),"",INDEX('Compliance Database'!$L$2:$L$679,MATCH(40,'Transfer Engine'!$C$2:$C$679,0)))</f>
        <v/>
      </c>
      <c r="M49" s="8">
        <f>IF(ISNA(MATCH(40,'Transfer Engine'!$C$2:$C$679,0)),"",INDEX('Compliance Database'!$M$2:$M$679,MATCH(40,'Transfer Engine'!$C$2:$C$679,0)))</f>
        <v/>
      </c>
      <c r="N49" s="8">
        <f>IF(ISNA(MATCH(40,'Transfer Engine'!$C$2:$C$679,0)),"",INDEX('Compliance Database'!$N$2:$N$679,MATCH(40,'Transfer Engine'!$C$2:$C$679,0)))</f>
        <v/>
      </c>
      <c r="O49" s="8">
        <f>IF(ISNA(MATCH(40,'Transfer Engine'!$C$2:$C$679,0)),"",INDEX('Compliance Database'!$O$2:$O$679,MATCH(40,'Transfer Engine'!$C$2:$C$679,0)))</f>
        <v/>
      </c>
      <c r="P49">
        <f>IF(ISNA(MATCH(40,'Transfer Engine'!$C$2:$C$679,0)),"",HYPERLINK(INDEX('Compliance Database'!$P$2:$P$679,MATCH(40,'Transfer Engine'!$C$2:$C$679,0)),"Open PDF"))</f>
        <v/>
      </c>
    </row>
    <row r="50">
      <c r="A50">
        <f>IF(ISNA(MATCH(41,'Transfer Engine'!$C$2:$C$679,0)),"",INDEX('Compliance Database'!$A$2:$A$679,MATCH(41,'Transfer Engine'!$C$2:$C$679,0)))</f>
        <v/>
      </c>
      <c r="B50">
        <f>IF(ISNA(MATCH(41,'Transfer Engine'!$C$2:$C$679,0)),"",INDEX('Compliance Database'!$B$2:$B$679,MATCH(41,'Transfer Engine'!$C$2:$C$679,0)))</f>
        <v/>
      </c>
      <c r="C50">
        <f>IF(ISNA(MATCH(41,'Transfer Engine'!$C$2:$C$679,0)),"",INDEX('Compliance Database'!$C$2:$C$679,MATCH(41,'Transfer Engine'!$C$2:$C$679,0)))</f>
        <v/>
      </c>
      <c r="D50" s="8">
        <f>IF(ISNA(MATCH(41,'Transfer Engine'!$C$2:$C$679,0)),"",INDEX('Compliance Database'!$D$2:$D$679,MATCH(41,'Transfer Engine'!$C$2:$C$679,0)))</f>
        <v/>
      </c>
      <c r="E50">
        <f>IF(ISNA(MATCH(41,'Transfer Engine'!$C$2:$C$679,0)),"",INDEX('Compliance Database'!$E$2:$E$679,MATCH(41,'Transfer Engine'!$C$2:$C$679,0)))</f>
        <v/>
      </c>
      <c r="F50">
        <f>IF(ISNA(MATCH(41,'Transfer Engine'!$C$2:$C$679,0)),"",INDEX('Compliance Database'!$F$2:$F$679,MATCH(41,'Transfer Engine'!$C$2:$C$679,0)))</f>
        <v/>
      </c>
      <c r="G50">
        <f>IF(ISNA(MATCH(41,'Transfer Engine'!$C$2:$C$679,0)),"",INDEX('Compliance Database'!$G$2:$G$679,MATCH(41,'Transfer Engine'!$C$2:$C$679,0)))</f>
        <v/>
      </c>
      <c r="H50">
        <f>IF(ISNA(MATCH(41,'Transfer Engine'!$C$2:$C$679,0)),"",INDEX('Compliance Database'!$H$2:$H$679,MATCH(41,'Transfer Engine'!$C$2:$C$679,0)))</f>
        <v/>
      </c>
      <c r="I50" s="8">
        <f>IF(ISNA(MATCH(41,'Transfer Engine'!$C$2:$C$679,0)),"",INDEX('Compliance Database'!$I$2:$I$679,MATCH(41,'Transfer Engine'!$C$2:$C$679,0)))</f>
        <v/>
      </c>
      <c r="J50" s="8">
        <f>IF(ISNA(MATCH(41,'Transfer Engine'!$C$2:$C$679,0)),"",INDEX('Compliance Database'!$J$2:$J$679,MATCH(41,'Transfer Engine'!$C$2:$C$679,0)))</f>
        <v/>
      </c>
      <c r="K50">
        <f>IF(ISNA(MATCH(41,'Transfer Engine'!$C$2:$C$679,0)),"",INDEX('Compliance Database'!$K$2:$K$679,MATCH(41,'Transfer Engine'!$C$2:$C$679,0)))</f>
        <v/>
      </c>
      <c r="L50" s="8">
        <f>IF(ISNA(MATCH(41,'Transfer Engine'!$C$2:$C$679,0)),"",INDEX('Compliance Database'!$L$2:$L$679,MATCH(41,'Transfer Engine'!$C$2:$C$679,0)))</f>
        <v/>
      </c>
      <c r="M50" s="8">
        <f>IF(ISNA(MATCH(41,'Transfer Engine'!$C$2:$C$679,0)),"",INDEX('Compliance Database'!$M$2:$M$679,MATCH(41,'Transfer Engine'!$C$2:$C$679,0)))</f>
        <v/>
      </c>
      <c r="N50" s="8">
        <f>IF(ISNA(MATCH(41,'Transfer Engine'!$C$2:$C$679,0)),"",INDEX('Compliance Database'!$N$2:$N$679,MATCH(41,'Transfer Engine'!$C$2:$C$679,0)))</f>
        <v/>
      </c>
      <c r="O50" s="8">
        <f>IF(ISNA(MATCH(41,'Transfer Engine'!$C$2:$C$679,0)),"",INDEX('Compliance Database'!$O$2:$O$679,MATCH(41,'Transfer Engine'!$C$2:$C$679,0)))</f>
        <v/>
      </c>
      <c r="P50">
        <f>IF(ISNA(MATCH(41,'Transfer Engine'!$C$2:$C$679,0)),"",HYPERLINK(INDEX('Compliance Database'!$P$2:$P$679,MATCH(41,'Transfer Engine'!$C$2:$C$679,0)),"Open PDF"))</f>
        <v/>
      </c>
    </row>
    <row r="51">
      <c r="A51">
        <f>IF(ISNA(MATCH(42,'Transfer Engine'!$C$2:$C$679,0)),"",INDEX('Compliance Database'!$A$2:$A$679,MATCH(42,'Transfer Engine'!$C$2:$C$679,0)))</f>
        <v/>
      </c>
      <c r="B51">
        <f>IF(ISNA(MATCH(42,'Transfer Engine'!$C$2:$C$679,0)),"",INDEX('Compliance Database'!$B$2:$B$679,MATCH(42,'Transfer Engine'!$C$2:$C$679,0)))</f>
        <v/>
      </c>
      <c r="C51">
        <f>IF(ISNA(MATCH(42,'Transfer Engine'!$C$2:$C$679,0)),"",INDEX('Compliance Database'!$C$2:$C$679,MATCH(42,'Transfer Engine'!$C$2:$C$679,0)))</f>
        <v/>
      </c>
      <c r="D51" s="8">
        <f>IF(ISNA(MATCH(42,'Transfer Engine'!$C$2:$C$679,0)),"",INDEX('Compliance Database'!$D$2:$D$679,MATCH(42,'Transfer Engine'!$C$2:$C$679,0)))</f>
        <v/>
      </c>
      <c r="E51">
        <f>IF(ISNA(MATCH(42,'Transfer Engine'!$C$2:$C$679,0)),"",INDEX('Compliance Database'!$E$2:$E$679,MATCH(42,'Transfer Engine'!$C$2:$C$679,0)))</f>
        <v/>
      </c>
      <c r="F51">
        <f>IF(ISNA(MATCH(42,'Transfer Engine'!$C$2:$C$679,0)),"",INDEX('Compliance Database'!$F$2:$F$679,MATCH(42,'Transfer Engine'!$C$2:$C$679,0)))</f>
        <v/>
      </c>
      <c r="G51">
        <f>IF(ISNA(MATCH(42,'Transfer Engine'!$C$2:$C$679,0)),"",INDEX('Compliance Database'!$G$2:$G$679,MATCH(42,'Transfer Engine'!$C$2:$C$679,0)))</f>
        <v/>
      </c>
      <c r="H51">
        <f>IF(ISNA(MATCH(42,'Transfer Engine'!$C$2:$C$679,0)),"",INDEX('Compliance Database'!$H$2:$H$679,MATCH(42,'Transfer Engine'!$C$2:$C$679,0)))</f>
        <v/>
      </c>
      <c r="I51" s="8">
        <f>IF(ISNA(MATCH(42,'Transfer Engine'!$C$2:$C$679,0)),"",INDEX('Compliance Database'!$I$2:$I$679,MATCH(42,'Transfer Engine'!$C$2:$C$679,0)))</f>
        <v/>
      </c>
      <c r="J51" s="8">
        <f>IF(ISNA(MATCH(42,'Transfer Engine'!$C$2:$C$679,0)),"",INDEX('Compliance Database'!$J$2:$J$679,MATCH(42,'Transfer Engine'!$C$2:$C$679,0)))</f>
        <v/>
      </c>
      <c r="K51">
        <f>IF(ISNA(MATCH(42,'Transfer Engine'!$C$2:$C$679,0)),"",INDEX('Compliance Database'!$K$2:$K$679,MATCH(42,'Transfer Engine'!$C$2:$C$679,0)))</f>
        <v/>
      </c>
      <c r="L51" s="8">
        <f>IF(ISNA(MATCH(42,'Transfer Engine'!$C$2:$C$679,0)),"",INDEX('Compliance Database'!$L$2:$L$679,MATCH(42,'Transfer Engine'!$C$2:$C$679,0)))</f>
        <v/>
      </c>
      <c r="M51" s="8">
        <f>IF(ISNA(MATCH(42,'Transfer Engine'!$C$2:$C$679,0)),"",INDEX('Compliance Database'!$M$2:$M$679,MATCH(42,'Transfer Engine'!$C$2:$C$679,0)))</f>
        <v/>
      </c>
      <c r="N51" s="8">
        <f>IF(ISNA(MATCH(42,'Transfer Engine'!$C$2:$C$679,0)),"",INDEX('Compliance Database'!$N$2:$N$679,MATCH(42,'Transfer Engine'!$C$2:$C$679,0)))</f>
        <v/>
      </c>
      <c r="O51" s="8">
        <f>IF(ISNA(MATCH(42,'Transfer Engine'!$C$2:$C$679,0)),"",INDEX('Compliance Database'!$O$2:$O$679,MATCH(42,'Transfer Engine'!$C$2:$C$679,0)))</f>
        <v/>
      </c>
      <c r="P51">
        <f>IF(ISNA(MATCH(42,'Transfer Engine'!$C$2:$C$679,0)),"",HYPERLINK(INDEX('Compliance Database'!$P$2:$P$679,MATCH(42,'Transfer Engine'!$C$2:$C$679,0)),"Open PDF"))</f>
        <v/>
      </c>
    </row>
    <row r="52">
      <c r="A52">
        <f>IF(ISNA(MATCH(43,'Transfer Engine'!$C$2:$C$679,0)),"",INDEX('Compliance Database'!$A$2:$A$679,MATCH(43,'Transfer Engine'!$C$2:$C$679,0)))</f>
        <v/>
      </c>
      <c r="B52">
        <f>IF(ISNA(MATCH(43,'Transfer Engine'!$C$2:$C$679,0)),"",INDEX('Compliance Database'!$B$2:$B$679,MATCH(43,'Transfer Engine'!$C$2:$C$679,0)))</f>
        <v/>
      </c>
      <c r="C52">
        <f>IF(ISNA(MATCH(43,'Transfer Engine'!$C$2:$C$679,0)),"",INDEX('Compliance Database'!$C$2:$C$679,MATCH(43,'Transfer Engine'!$C$2:$C$679,0)))</f>
        <v/>
      </c>
      <c r="D52" s="8">
        <f>IF(ISNA(MATCH(43,'Transfer Engine'!$C$2:$C$679,0)),"",INDEX('Compliance Database'!$D$2:$D$679,MATCH(43,'Transfer Engine'!$C$2:$C$679,0)))</f>
        <v/>
      </c>
      <c r="E52">
        <f>IF(ISNA(MATCH(43,'Transfer Engine'!$C$2:$C$679,0)),"",INDEX('Compliance Database'!$E$2:$E$679,MATCH(43,'Transfer Engine'!$C$2:$C$679,0)))</f>
        <v/>
      </c>
      <c r="F52">
        <f>IF(ISNA(MATCH(43,'Transfer Engine'!$C$2:$C$679,0)),"",INDEX('Compliance Database'!$F$2:$F$679,MATCH(43,'Transfer Engine'!$C$2:$C$679,0)))</f>
        <v/>
      </c>
      <c r="G52">
        <f>IF(ISNA(MATCH(43,'Transfer Engine'!$C$2:$C$679,0)),"",INDEX('Compliance Database'!$G$2:$G$679,MATCH(43,'Transfer Engine'!$C$2:$C$679,0)))</f>
        <v/>
      </c>
      <c r="H52">
        <f>IF(ISNA(MATCH(43,'Transfer Engine'!$C$2:$C$679,0)),"",INDEX('Compliance Database'!$H$2:$H$679,MATCH(43,'Transfer Engine'!$C$2:$C$679,0)))</f>
        <v/>
      </c>
      <c r="I52" s="8">
        <f>IF(ISNA(MATCH(43,'Transfer Engine'!$C$2:$C$679,0)),"",INDEX('Compliance Database'!$I$2:$I$679,MATCH(43,'Transfer Engine'!$C$2:$C$679,0)))</f>
        <v/>
      </c>
      <c r="J52" s="8">
        <f>IF(ISNA(MATCH(43,'Transfer Engine'!$C$2:$C$679,0)),"",INDEX('Compliance Database'!$J$2:$J$679,MATCH(43,'Transfer Engine'!$C$2:$C$679,0)))</f>
        <v/>
      </c>
      <c r="K52">
        <f>IF(ISNA(MATCH(43,'Transfer Engine'!$C$2:$C$679,0)),"",INDEX('Compliance Database'!$K$2:$K$679,MATCH(43,'Transfer Engine'!$C$2:$C$679,0)))</f>
        <v/>
      </c>
      <c r="L52" s="8">
        <f>IF(ISNA(MATCH(43,'Transfer Engine'!$C$2:$C$679,0)),"",INDEX('Compliance Database'!$L$2:$L$679,MATCH(43,'Transfer Engine'!$C$2:$C$679,0)))</f>
        <v/>
      </c>
      <c r="M52" s="8">
        <f>IF(ISNA(MATCH(43,'Transfer Engine'!$C$2:$C$679,0)),"",INDEX('Compliance Database'!$M$2:$M$679,MATCH(43,'Transfer Engine'!$C$2:$C$679,0)))</f>
        <v/>
      </c>
      <c r="N52" s="8">
        <f>IF(ISNA(MATCH(43,'Transfer Engine'!$C$2:$C$679,0)),"",INDEX('Compliance Database'!$N$2:$N$679,MATCH(43,'Transfer Engine'!$C$2:$C$679,0)))</f>
        <v/>
      </c>
      <c r="O52" s="8">
        <f>IF(ISNA(MATCH(43,'Transfer Engine'!$C$2:$C$679,0)),"",INDEX('Compliance Database'!$O$2:$O$679,MATCH(43,'Transfer Engine'!$C$2:$C$679,0)))</f>
        <v/>
      </c>
      <c r="P52">
        <f>IF(ISNA(MATCH(43,'Transfer Engine'!$C$2:$C$679,0)),"",HYPERLINK(INDEX('Compliance Database'!$P$2:$P$679,MATCH(43,'Transfer Engine'!$C$2:$C$679,0)),"Open PDF"))</f>
        <v/>
      </c>
    </row>
    <row r="53">
      <c r="A53">
        <f>IF(ISNA(MATCH(44,'Transfer Engine'!$C$2:$C$679,0)),"",INDEX('Compliance Database'!$A$2:$A$679,MATCH(44,'Transfer Engine'!$C$2:$C$679,0)))</f>
        <v/>
      </c>
      <c r="B53">
        <f>IF(ISNA(MATCH(44,'Transfer Engine'!$C$2:$C$679,0)),"",INDEX('Compliance Database'!$B$2:$B$679,MATCH(44,'Transfer Engine'!$C$2:$C$679,0)))</f>
        <v/>
      </c>
      <c r="C53">
        <f>IF(ISNA(MATCH(44,'Transfer Engine'!$C$2:$C$679,0)),"",INDEX('Compliance Database'!$C$2:$C$679,MATCH(44,'Transfer Engine'!$C$2:$C$679,0)))</f>
        <v/>
      </c>
      <c r="D53" s="8">
        <f>IF(ISNA(MATCH(44,'Transfer Engine'!$C$2:$C$679,0)),"",INDEX('Compliance Database'!$D$2:$D$679,MATCH(44,'Transfer Engine'!$C$2:$C$679,0)))</f>
        <v/>
      </c>
      <c r="E53">
        <f>IF(ISNA(MATCH(44,'Transfer Engine'!$C$2:$C$679,0)),"",INDEX('Compliance Database'!$E$2:$E$679,MATCH(44,'Transfer Engine'!$C$2:$C$679,0)))</f>
        <v/>
      </c>
      <c r="F53">
        <f>IF(ISNA(MATCH(44,'Transfer Engine'!$C$2:$C$679,0)),"",INDEX('Compliance Database'!$F$2:$F$679,MATCH(44,'Transfer Engine'!$C$2:$C$679,0)))</f>
        <v/>
      </c>
      <c r="G53">
        <f>IF(ISNA(MATCH(44,'Transfer Engine'!$C$2:$C$679,0)),"",INDEX('Compliance Database'!$G$2:$G$679,MATCH(44,'Transfer Engine'!$C$2:$C$679,0)))</f>
        <v/>
      </c>
      <c r="H53">
        <f>IF(ISNA(MATCH(44,'Transfer Engine'!$C$2:$C$679,0)),"",INDEX('Compliance Database'!$H$2:$H$679,MATCH(44,'Transfer Engine'!$C$2:$C$679,0)))</f>
        <v/>
      </c>
      <c r="I53" s="8">
        <f>IF(ISNA(MATCH(44,'Transfer Engine'!$C$2:$C$679,0)),"",INDEX('Compliance Database'!$I$2:$I$679,MATCH(44,'Transfer Engine'!$C$2:$C$679,0)))</f>
        <v/>
      </c>
      <c r="J53" s="8">
        <f>IF(ISNA(MATCH(44,'Transfer Engine'!$C$2:$C$679,0)),"",INDEX('Compliance Database'!$J$2:$J$679,MATCH(44,'Transfer Engine'!$C$2:$C$679,0)))</f>
        <v/>
      </c>
      <c r="K53">
        <f>IF(ISNA(MATCH(44,'Transfer Engine'!$C$2:$C$679,0)),"",INDEX('Compliance Database'!$K$2:$K$679,MATCH(44,'Transfer Engine'!$C$2:$C$679,0)))</f>
        <v/>
      </c>
      <c r="L53" s="8">
        <f>IF(ISNA(MATCH(44,'Transfer Engine'!$C$2:$C$679,0)),"",INDEX('Compliance Database'!$L$2:$L$679,MATCH(44,'Transfer Engine'!$C$2:$C$679,0)))</f>
        <v/>
      </c>
      <c r="M53" s="8">
        <f>IF(ISNA(MATCH(44,'Transfer Engine'!$C$2:$C$679,0)),"",INDEX('Compliance Database'!$M$2:$M$679,MATCH(44,'Transfer Engine'!$C$2:$C$679,0)))</f>
        <v/>
      </c>
      <c r="N53" s="8">
        <f>IF(ISNA(MATCH(44,'Transfer Engine'!$C$2:$C$679,0)),"",INDEX('Compliance Database'!$N$2:$N$679,MATCH(44,'Transfer Engine'!$C$2:$C$679,0)))</f>
        <v/>
      </c>
      <c r="O53" s="8">
        <f>IF(ISNA(MATCH(44,'Transfer Engine'!$C$2:$C$679,0)),"",INDEX('Compliance Database'!$O$2:$O$679,MATCH(44,'Transfer Engine'!$C$2:$C$679,0)))</f>
        <v/>
      </c>
      <c r="P53">
        <f>IF(ISNA(MATCH(44,'Transfer Engine'!$C$2:$C$679,0)),"",HYPERLINK(INDEX('Compliance Database'!$P$2:$P$679,MATCH(44,'Transfer Engine'!$C$2:$C$679,0)),"Open PDF"))</f>
        <v/>
      </c>
    </row>
    <row r="54">
      <c r="A54">
        <f>IF(ISNA(MATCH(45,'Transfer Engine'!$C$2:$C$679,0)),"",INDEX('Compliance Database'!$A$2:$A$679,MATCH(45,'Transfer Engine'!$C$2:$C$679,0)))</f>
        <v/>
      </c>
      <c r="B54">
        <f>IF(ISNA(MATCH(45,'Transfer Engine'!$C$2:$C$679,0)),"",INDEX('Compliance Database'!$B$2:$B$679,MATCH(45,'Transfer Engine'!$C$2:$C$679,0)))</f>
        <v/>
      </c>
      <c r="C54">
        <f>IF(ISNA(MATCH(45,'Transfer Engine'!$C$2:$C$679,0)),"",INDEX('Compliance Database'!$C$2:$C$679,MATCH(45,'Transfer Engine'!$C$2:$C$679,0)))</f>
        <v/>
      </c>
      <c r="D54" s="8">
        <f>IF(ISNA(MATCH(45,'Transfer Engine'!$C$2:$C$679,0)),"",INDEX('Compliance Database'!$D$2:$D$679,MATCH(45,'Transfer Engine'!$C$2:$C$679,0)))</f>
        <v/>
      </c>
      <c r="E54">
        <f>IF(ISNA(MATCH(45,'Transfer Engine'!$C$2:$C$679,0)),"",INDEX('Compliance Database'!$E$2:$E$679,MATCH(45,'Transfer Engine'!$C$2:$C$679,0)))</f>
        <v/>
      </c>
      <c r="F54">
        <f>IF(ISNA(MATCH(45,'Transfer Engine'!$C$2:$C$679,0)),"",INDEX('Compliance Database'!$F$2:$F$679,MATCH(45,'Transfer Engine'!$C$2:$C$679,0)))</f>
        <v/>
      </c>
      <c r="G54">
        <f>IF(ISNA(MATCH(45,'Transfer Engine'!$C$2:$C$679,0)),"",INDEX('Compliance Database'!$G$2:$G$679,MATCH(45,'Transfer Engine'!$C$2:$C$679,0)))</f>
        <v/>
      </c>
      <c r="H54">
        <f>IF(ISNA(MATCH(45,'Transfer Engine'!$C$2:$C$679,0)),"",INDEX('Compliance Database'!$H$2:$H$679,MATCH(45,'Transfer Engine'!$C$2:$C$679,0)))</f>
        <v/>
      </c>
      <c r="I54" s="8">
        <f>IF(ISNA(MATCH(45,'Transfer Engine'!$C$2:$C$679,0)),"",INDEX('Compliance Database'!$I$2:$I$679,MATCH(45,'Transfer Engine'!$C$2:$C$679,0)))</f>
        <v/>
      </c>
      <c r="J54" s="8">
        <f>IF(ISNA(MATCH(45,'Transfer Engine'!$C$2:$C$679,0)),"",INDEX('Compliance Database'!$J$2:$J$679,MATCH(45,'Transfer Engine'!$C$2:$C$679,0)))</f>
        <v/>
      </c>
      <c r="K54">
        <f>IF(ISNA(MATCH(45,'Transfer Engine'!$C$2:$C$679,0)),"",INDEX('Compliance Database'!$K$2:$K$679,MATCH(45,'Transfer Engine'!$C$2:$C$679,0)))</f>
        <v/>
      </c>
      <c r="L54" s="8">
        <f>IF(ISNA(MATCH(45,'Transfer Engine'!$C$2:$C$679,0)),"",INDEX('Compliance Database'!$L$2:$L$679,MATCH(45,'Transfer Engine'!$C$2:$C$679,0)))</f>
        <v/>
      </c>
      <c r="M54" s="8">
        <f>IF(ISNA(MATCH(45,'Transfer Engine'!$C$2:$C$679,0)),"",INDEX('Compliance Database'!$M$2:$M$679,MATCH(45,'Transfer Engine'!$C$2:$C$679,0)))</f>
        <v/>
      </c>
      <c r="N54" s="8">
        <f>IF(ISNA(MATCH(45,'Transfer Engine'!$C$2:$C$679,0)),"",INDEX('Compliance Database'!$N$2:$N$679,MATCH(45,'Transfer Engine'!$C$2:$C$679,0)))</f>
        <v/>
      </c>
      <c r="O54" s="8">
        <f>IF(ISNA(MATCH(45,'Transfer Engine'!$C$2:$C$679,0)),"",INDEX('Compliance Database'!$O$2:$O$679,MATCH(45,'Transfer Engine'!$C$2:$C$679,0)))</f>
        <v/>
      </c>
      <c r="P54">
        <f>IF(ISNA(MATCH(45,'Transfer Engine'!$C$2:$C$679,0)),"",HYPERLINK(INDEX('Compliance Database'!$P$2:$P$679,MATCH(45,'Transfer Engine'!$C$2:$C$679,0)),"Open PDF"))</f>
        <v/>
      </c>
    </row>
    <row r="55">
      <c r="A55">
        <f>IF(ISNA(MATCH(46,'Transfer Engine'!$C$2:$C$679,0)),"",INDEX('Compliance Database'!$A$2:$A$679,MATCH(46,'Transfer Engine'!$C$2:$C$679,0)))</f>
        <v/>
      </c>
      <c r="B55">
        <f>IF(ISNA(MATCH(46,'Transfer Engine'!$C$2:$C$679,0)),"",INDEX('Compliance Database'!$B$2:$B$679,MATCH(46,'Transfer Engine'!$C$2:$C$679,0)))</f>
        <v/>
      </c>
      <c r="C55">
        <f>IF(ISNA(MATCH(46,'Transfer Engine'!$C$2:$C$679,0)),"",INDEX('Compliance Database'!$C$2:$C$679,MATCH(46,'Transfer Engine'!$C$2:$C$679,0)))</f>
        <v/>
      </c>
      <c r="D55" s="8">
        <f>IF(ISNA(MATCH(46,'Transfer Engine'!$C$2:$C$679,0)),"",INDEX('Compliance Database'!$D$2:$D$679,MATCH(46,'Transfer Engine'!$C$2:$C$679,0)))</f>
        <v/>
      </c>
      <c r="E55">
        <f>IF(ISNA(MATCH(46,'Transfer Engine'!$C$2:$C$679,0)),"",INDEX('Compliance Database'!$E$2:$E$679,MATCH(46,'Transfer Engine'!$C$2:$C$679,0)))</f>
        <v/>
      </c>
      <c r="F55">
        <f>IF(ISNA(MATCH(46,'Transfer Engine'!$C$2:$C$679,0)),"",INDEX('Compliance Database'!$F$2:$F$679,MATCH(46,'Transfer Engine'!$C$2:$C$679,0)))</f>
        <v/>
      </c>
      <c r="G55">
        <f>IF(ISNA(MATCH(46,'Transfer Engine'!$C$2:$C$679,0)),"",INDEX('Compliance Database'!$G$2:$G$679,MATCH(46,'Transfer Engine'!$C$2:$C$679,0)))</f>
        <v/>
      </c>
      <c r="H55">
        <f>IF(ISNA(MATCH(46,'Transfer Engine'!$C$2:$C$679,0)),"",INDEX('Compliance Database'!$H$2:$H$679,MATCH(46,'Transfer Engine'!$C$2:$C$679,0)))</f>
        <v/>
      </c>
      <c r="I55" s="8">
        <f>IF(ISNA(MATCH(46,'Transfer Engine'!$C$2:$C$679,0)),"",INDEX('Compliance Database'!$I$2:$I$679,MATCH(46,'Transfer Engine'!$C$2:$C$679,0)))</f>
        <v/>
      </c>
      <c r="J55" s="8">
        <f>IF(ISNA(MATCH(46,'Transfer Engine'!$C$2:$C$679,0)),"",INDEX('Compliance Database'!$J$2:$J$679,MATCH(46,'Transfer Engine'!$C$2:$C$679,0)))</f>
        <v/>
      </c>
      <c r="K55">
        <f>IF(ISNA(MATCH(46,'Transfer Engine'!$C$2:$C$679,0)),"",INDEX('Compliance Database'!$K$2:$K$679,MATCH(46,'Transfer Engine'!$C$2:$C$679,0)))</f>
        <v/>
      </c>
      <c r="L55" s="8">
        <f>IF(ISNA(MATCH(46,'Transfer Engine'!$C$2:$C$679,0)),"",INDEX('Compliance Database'!$L$2:$L$679,MATCH(46,'Transfer Engine'!$C$2:$C$679,0)))</f>
        <v/>
      </c>
      <c r="M55" s="8">
        <f>IF(ISNA(MATCH(46,'Transfer Engine'!$C$2:$C$679,0)),"",INDEX('Compliance Database'!$M$2:$M$679,MATCH(46,'Transfer Engine'!$C$2:$C$679,0)))</f>
        <v/>
      </c>
      <c r="N55" s="8">
        <f>IF(ISNA(MATCH(46,'Transfer Engine'!$C$2:$C$679,0)),"",INDEX('Compliance Database'!$N$2:$N$679,MATCH(46,'Transfer Engine'!$C$2:$C$679,0)))</f>
        <v/>
      </c>
      <c r="O55" s="8">
        <f>IF(ISNA(MATCH(46,'Transfer Engine'!$C$2:$C$679,0)),"",INDEX('Compliance Database'!$O$2:$O$679,MATCH(46,'Transfer Engine'!$C$2:$C$679,0)))</f>
        <v/>
      </c>
      <c r="P55">
        <f>IF(ISNA(MATCH(46,'Transfer Engine'!$C$2:$C$679,0)),"",HYPERLINK(INDEX('Compliance Database'!$P$2:$P$679,MATCH(46,'Transfer Engine'!$C$2:$C$679,0)),"Open PDF"))</f>
        <v/>
      </c>
    </row>
    <row r="56">
      <c r="A56">
        <f>IF(ISNA(MATCH(47,'Transfer Engine'!$C$2:$C$679,0)),"",INDEX('Compliance Database'!$A$2:$A$679,MATCH(47,'Transfer Engine'!$C$2:$C$679,0)))</f>
        <v/>
      </c>
      <c r="B56">
        <f>IF(ISNA(MATCH(47,'Transfer Engine'!$C$2:$C$679,0)),"",INDEX('Compliance Database'!$B$2:$B$679,MATCH(47,'Transfer Engine'!$C$2:$C$679,0)))</f>
        <v/>
      </c>
      <c r="C56">
        <f>IF(ISNA(MATCH(47,'Transfer Engine'!$C$2:$C$679,0)),"",INDEX('Compliance Database'!$C$2:$C$679,MATCH(47,'Transfer Engine'!$C$2:$C$679,0)))</f>
        <v/>
      </c>
      <c r="D56" s="8">
        <f>IF(ISNA(MATCH(47,'Transfer Engine'!$C$2:$C$679,0)),"",INDEX('Compliance Database'!$D$2:$D$679,MATCH(47,'Transfer Engine'!$C$2:$C$679,0)))</f>
        <v/>
      </c>
      <c r="E56">
        <f>IF(ISNA(MATCH(47,'Transfer Engine'!$C$2:$C$679,0)),"",INDEX('Compliance Database'!$E$2:$E$679,MATCH(47,'Transfer Engine'!$C$2:$C$679,0)))</f>
        <v/>
      </c>
      <c r="F56">
        <f>IF(ISNA(MATCH(47,'Transfer Engine'!$C$2:$C$679,0)),"",INDEX('Compliance Database'!$F$2:$F$679,MATCH(47,'Transfer Engine'!$C$2:$C$679,0)))</f>
        <v/>
      </c>
      <c r="G56">
        <f>IF(ISNA(MATCH(47,'Transfer Engine'!$C$2:$C$679,0)),"",INDEX('Compliance Database'!$G$2:$G$679,MATCH(47,'Transfer Engine'!$C$2:$C$679,0)))</f>
        <v/>
      </c>
      <c r="H56">
        <f>IF(ISNA(MATCH(47,'Transfer Engine'!$C$2:$C$679,0)),"",INDEX('Compliance Database'!$H$2:$H$679,MATCH(47,'Transfer Engine'!$C$2:$C$679,0)))</f>
        <v/>
      </c>
      <c r="I56" s="8">
        <f>IF(ISNA(MATCH(47,'Transfer Engine'!$C$2:$C$679,0)),"",INDEX('Compliance Database'!$I$2:$I$679,MATCH(47,'Transfer Engine'!$C$2:$C$679,0)))</f>
        <v/>
      </c>
      <c r="J56" s="8">
        <f>IF(ISNA(MATCH(47,'Transfer Engine'!$C$2:$C$679,0)),"",INDEX('Compliance Database'!$J$2:$J$679,MATCH(47,'Transfer Engine'!$C$2:$C$679,0)))</f>
        <v/>
      </c>
      <c r="K56">
        <f>IF(ISNA(MATCH(47,'Transfer Engine'!$C$2:$C$679,0)),"",INDEX('Compliance Database'!$K$2:$K$679,MATCH(47,'Transfer Engine'!$C$2:$C$679,0)))</f>
        <v/>
      </c>
      <c r="L56" s="8">
        <f>IF(ISNA(MATCH(47,'Transfer Engine'!$C$2:$C$679,0)),"",INDEX('Compliance Database'!$L$2:$L$679,MATCH(47,'Transfer Engine'!$C$2:$C$679,0)))</f>
        <v/>
      </c>
      <c r="M56" s="8">
        <f>IF(ISNA(MATCH(47,'Transfer Engine'!$C$2:$C$679,0)),"",INDEX('Compliance Database'!$M$2:$M$679,MATCH(47,'Transfer Engine'!$C$2:$C$679,0)))</f>
        <v/>
      </c>
      <c r="N56" s="8">
        <f>IF(ISNA(MATCH(47,'Transfer Engine'!$C$2:$C$679,0)),"",INDEX('Compliance Database'!$N$2:$N$679,MATCH(47,'Transfer Engine'!$C$2:$C$679,0)))</f>
        <v/>
      </c>
      <c r="O56" s="8">
        <f>IF(ISNA(MATCH(47,'Transfer Engine'!$C$2:$C$679,0)),"",INDEX('Compliance Database'!$O$2:$O$679,MATCH(47,'Transfer Engine'!$C$2:$C$679,0)))</f>
        <v/>
      </c>
      <c r="P56">
        <f>IF(ISNA(MATCH(47,'Transfer Engine'!$C$2:$C$679,0)),"",HYPERLINK(INDEX('Compliance Database'!$P$2:$P$679,MATCH(47,'Transfer Engine'!$C$2:$C$679,0)),"Open PDF"))</f>
        <v/>
      </c>
    </row>
    <row r="57">
      <c r="A57">
        <f>IF(ISNA(MATCH(48,'Transfer Engine'!$C$2:$C$679,0)),"",INDEX('Compliance Database'!$A$2:$A$679,MATCH(48,'Transfer Engine'!$C$2:$C$679,0)))</f>
        <v/>
      </c>
      <c r="B57">
        <f>IF(ISNA(MATCH(48,'Transfer Engine'!$C$2:$C$679,0)),"",INDEX('Compliance Database'!$B$2:$B$679,MATCH(48,'Transfer Engine'!$C$2:$C$679,0)))</f>
        <v/>
      </c>
      <c r="C57">
        <f>IF(ISNA(MATCH(48,'Transfer Engine'!$C$2:$C$679,0)),"",INDEX('Compliance Database'!$C$2:$C$679,MATCH(48,'Transfer Engine'!$C$2:$C$679,0)))</f>
        <v/>
      </c>
      <c r="D57" s="8">
        <f>IF(ISNA(MATCH(48,'Transfer Engine'!$C$2:$C$679,0)),"",INDEX('Compliance Database'!$D$2:$D$679,MATCH(48,'Transfer Engine'!$C$2:$C$679,0)))</f>
        <v/>
      </c>
      <c r="E57">
        <f>IF(ISNA(MATCH(48,'Transfer Engine'!$C$2:$C$679,0)),"",INDEX('Compliance Database'!$E$2:$E$679,MATCH(48,'Transfer Engine'!$C$2:$C$679,0)))</f>
        <v/>
      </c>
      <c r="F57">
        <f>IF(ISNA(MATCH(48,'Transfer Engine'!$C$2:$C$679,0)),"",INDEX('Compliance Database'!$F$2:$F$679,MATCH(48,'Transfer Engine'!$C$2:$C$679,0)))</f>
        <v/>
      </c>
      <c r="G57">
        <f>IF(ISNA(MATCH(48,'Transfer Engine'!$C$2:$C$679,0)),"",INDEX('Compliance Database'!$G$2:$G$679,MATCH(48,'Transfer Engine'!$C$2:$C$679,0)))</f>
        <v/>
      </c>
      <c r="H57">
        <f>IF(ISNA(MATCH(48,'Transfer Engine'!$C$2:$C$679,0)),"",INDEX('Compliance Database'!$H$2:$H$679,MATCH(48,'Transfer Engine'!$C$2:$C$679,0)))</f>
        <v/>
      </c>
      <c r="I57" s="8">
        <f>IF(ISNA(MATCH(48,'Transfer Engine'!$C$2:$C$679,0)),"",INDEX('Compliance Database'!$I$2:$I$679,MATCH(48,'Transfer Engine'!$C$2:$C$679,0)))</f>
        <v/>
      </c>
      <c r="J57" s="8">
        <f>IF(ISNA(MATCH(48,'Transfer Engine'!$C$2:$C$679,0)),"",INDEX('Compliance Database'!$J$2:$J$679,MATCH(48,'Transfer Engine'!$C$2:$C$679,0)))</f>
        <v/>
      </c>
      <c r="K57">
        <f>IF(ISNA(MATCH(48,'Transfer Engine'!$C$2:$C$679,0)),"",INDEX('Compliance Database'!$K$2:$K$679,MATCH(48,'Transfer Engine'!$C$2:$C$679,0)))</f>
        <v/>
      </c>
      <c r="L57" s="8">
        <f>IF(ISNA(MATCH(48,'Transfer Engine'!$C$2:$C$679,0)),"",INDEX('Compliance Database'!$L$2:$L$679,MATCH(48,'Transfer Engine'!$C$2:$C$679,0)))</f>
        <v/>
      </c>
      <c r="M57" s="8">
        <f>IF(ISNA(MATCH(48,'Transfer Engine'!$C$2:$C$679,0)),"",INDEX('Compliance Database'!$M$2:$M$679,MATCH(48,'Transfer Engine'!$C$2:$C$679,0)))</f>
        <v/>
      </c>
      <c r="N57" s="8">
        <f>IF(ISNA(MATCH(48,'Transfer Engine'!$C$2:$C$679,0)),"",INDEX('Compliance Database'!$N$2:$N$679,MATCH(48,'Transfer Engine'!$C$2:$C$679,0)))</f>
        <v/>
      </c>
      <c r="O57" s="8">
        <f>IF(ISNA(MATCH(48,'Transfer Engine'!$C$2:$C$679,0)),"",INDEX('Compliance Database'!$O$2:$O$679,MATCH(48,'Transfer Engine'!$C$2:$C$679,0)))</f>
        <v/>
      </c>
      <c r="P57">
        <f>IF(ISNA(MATCH(48,'Transfer Engine'!$C$2:$C$679,0)),"",HYPERLINK(INDEX('Compliance Database'!$P$2:$P$679,MATCH(48,'Transfer Engine'!$C$2:$C$679,0)),"Open PDF"))</f>
        <v/>
      </c>
    </row>
    <row r="58">
      <c r="A58">
        <f>IF(ISNA(MATCH(49,'Transfer Engine'!$C$2:$C$679,0)),"",INDEX('Compliance Database'!$A$2:$A$679,MATCH(49,'Transfer Engine'!$C$2:$C$679,0)))</f>
        <v/>
      </c>
      <c r="B58">
        <f>IF(ISNA(MATCH(49,'Transfer Engine'!$C$2:$C$679,0)),"",INDEX('Compliance Database'!$B$2:$B$679,MATCH(49,'Transfer Engine'!$C$2:$C$679,0)))</f>
        <v/>
      </c>
      <c r="C58">
        <f>IF(ISNA(MATCH(49,'Transfer Engine'!$C$2:$C$679,0)),"",INDEX('Compliance Database'!$C$2:$C$679,MATCH(49,'Transfer Engine'!$C$2:$C$679,0)))</f>
        <v/>
      </c>
      <c r="D58" s="8">
        <f>IF(ISNA(MATCH(49,'Transfer Engine'!$C$2:$C$679,0)),"",INDEX('Compliance Database'!$D$2:$D$679,MATCH(49,'Transfer Engine'!$C$2:$C$679,0)))</f>
        <v/>
      </c>
      <c r="E58">
        <f>IF(ISNA(MATCH(49,'Transfer Engine'!$C$2:$C$679,0)),"",INDEX('Compliance Database'!$E$2:$E$679,MATCH(49,'Transfer Engine'!$C$2:$C$679,0)))</f>
        <v/>
      </c>
      <c r="F58">
        <f>IF(ISNA(MATCH(49,'Transfer Engine'!$C$2:$C$679,0)),"",INDEX('Compliance Database'!$F$2:$F$679,MATCH(49,'Transfer Engine'!$C$2:$C$679,0)))</f>
        <v/>
      </c>
      <c r="G58">
        <f>IF(ISNA(MATCH(49,'Transfer Engine'!$C$2:$C$679,0)),"",INDEX('Compliance Database'!$G$2:$G$679,MATCH(49,'Transfer Engine'!$C$2:$C$679,0)))</f>
        <v/>
      </c>
      <c r="H58">
        <f>IF(ISNA(MATCH(49,'Transfer Engine'!$C$2:$C$679,0)),"",INDEX('Compliance Database'!$H$2:$H$679,MATCH(49,'Transfer Engine'!$C$2:$C$679,0)))</f>
        <v/>
      </c>
      <c r="I58" s="8">
        <f>IF(ISNA(MATCH(49,'Transfer Engine'!$C$2:$C$679,0)),"",INDEX('Compliance Database'!$I$2:$I$679,MATCH(49,'Transfer Engine'!$C$2:$C$679,0)))</f>
        <v/>
      </c>
      <c r="J58" s="8">
        <f>IF(ISNA(MATCH(49,'Transfer Engine'!$C$2:$C$679,0)),"",INDEX('Compliance Database'!$J$2:$J$679,MATCH(49,'Transfer Engine'!$C$2:$C$679,0)))</f>
        <v/>
      </c>
      <c r="K58">
        <f>IF(ISNA(MATCH(49,'Transfer Engine'!$C$2:$C$679,0)),"",INDEX('Compliance Database'!$K$2:$K$679,MATCH(49,'Transfer Engine'!$C$2:$C$679,0)))</f>
        <v/>
      </c>
      <c r="L58" s="8">
        <f>IF(ISNA(MATCH(49,'Transfer Engine'!$C$2:$C$679,0)),"",INDEX('Compliance Database'!$L$2:$L$679,MATCH(49,'Transfer Engine'!$C$2:$C$679,0)))</f>
        <v/>
      </c>
      <c r="M58" s="8">
        <f>IF(ISNA(MATCH(49,'Transfer Engine'!$C$2:$C$679,0)),"",INDEX('Compliance Database'!$M$2:$M$679,MATCH(49,'Transfer Engine'!$C$2:$C$679,0)))</f>
        <v/>
      </c>
      <c r="N58" s="8">
        <f>IF(ISNA(MATCH(49,'Transfer Engine'!$C$2:$C$679,0)),"",INDEX('Compliance Database'!$N$2:$N$679,MATCH(49,'Transfer Engine'!$C$2:$C$679,0)))</f>
        <v/>
      </c>
      <c r="O58" s="8">
        <f>IF(ISNA(MATCH(49,'Transfer Engine'!$C$2:$C$679,0)),"",INDEX('Compliance Database'!$O$2:$O$679,MATCH(49,'Transfer Engine'!$C$2:$C$679,0)))</f>
        <v/>
      </c>
      <c r="P58">
        <f>IF(ISNA(MATCH(49,'Transfer Engine'!$C$2:$C$679,0)),"",HYPERLINK(INDEX('Compliance Database'!$P$2:$P$679,MATCH(49,'Transfer Engine'!$C$2:$C$679,0)),"Open PDF"))</f>
        <v/>
      </c>
    </row>
    <row r="59">
      <c r="A59">
        <f>IF(ISNA(MATCH(50,'Transfer Engine'!$C$2:$C$679,0)),"",INDEX('Compliance Database'!$A$2:$A$679,MATCH(50,'Transfer Engine'!$C$2:$C$679,0)))</f>
        <v/>
      </c>
      <c r="B59">
        <f>IF(ISNA(MATCH(50,'Transfer Engine'!$C$2:$C$679,0)),"",INDEX('Compliance Database'!$B$2:$B$679,MATCH(50,'Transfer Engine'!$C$2:$C$679,0)))</f>
        <v/>
      </c>
      <c r="C59">
        <f>IF(ISNA(MATCH(50,'Transfer Engine'!$C$2:$C$679,0)),"",INDEX('Compliance Database'!$C$2:$C$679,MATCH(50,'Transfer Engine'!$C$2:$C$679,0)))</f>
        <v/>
      </c>
      <c r="D59" s="8">
        <f>IF(ISNA(MATCH(50,'Transfer Engine'!$C$2:$C$679,0)),"",INDEX('Compliance Database'!$D$2:$D$679,MATCH(50,'Transfer Engine'!$C$2:$C$679,0)))</f>
        <v/>
      </c>
      <c r="E59">
        <f>IF(ISNA(MATCH(50,'Transfer Engine'!$C$2:$C$679,0)),"",INDEX('Compliance Database'!$E$2:$E$679,MATCH(50,'Transfer Engine'!$C$2:$C$679,0)))</f>
        <v/>
      </c>
      <c r="F59">
        <f>IF(ISNA(MATCH(50,'Transfer Engine'!$C$2:$C$679,0)),"",INDEX('Compliance Database'!$F$2:$F$679,MATCH(50,'Transfer Engine'!$C$2:$C$679,0)))</f>
        <v/>
      </c>
      <c r="G59">
        <f>IF(ISNA(MATCH(50,'Transfer Engine'!$C$2:$C$679,0)),"",INDEX('Compliance Database'!$G$2:$G$679,MATCH(50,'Transfer Engine'!$C$2:$C$679,0)))</f>
        <v/>
      </c>
      <c r="H59">
        <f>IF(ISNA(MATCH(50,'Transfer Engine'!$C$2:$C$679,0)),"",INDEX('Compliance Database'!$H$2:$H$679,MATCH(50,'Transfer Engine'!$C$2:$C$679,0)))</f>
        <v/>
      </c>
      <c r="I59" s="8">
        <f>IF(ISNA(MATCH(50,'Transfer Engine'!$C$2:$C$679,0)),"",INDEX('Compliance Database'!$I$2:$I$679,MATCH(50,'Transfer Engine'!$C$2:$C$679,0)))</f>
        <v/>
      </c>
      <c r="J59" s="8">
        <f>IF(ISNA(MATCH(50,'Transfer Engine'!$C$2:$C$679,0)),"",INDEX('Compliance Database'!$J$2:$J$679,MATCH(50,'Transfer Engine'!$C$2:$C$679,0)))</f>
        <v/>
      </c>
      <c r="K59">
        <f>IF(ISNA(MATCH(50,'Transfer Engine'!$C$2:$C$679,0)),"",INDEX('Compliance Database'!$K$2:$K$679,MATCH(50,'Transfer Engine'!$C$2:$C$679,0)))</f>
        <v/>
      </c>
      <c r="L59" s="8">
        <f>IF(ISNA(MATCH(50,'Transfer Engine'!$C$2:$C$679,0)),"",INDEX('Compliance Database'!$L$2:$L$679,MATCH(50,'Transfer Engine'!$C$2:$C$679,0)))</f>
        <v/>
      </c>
      <c r="M59" s="8">
        <f>IF(ISNA(MATCH(50,'Transfer Engine'!$C$2:$C$679,0)),"",INDEX('Compliance Database'!$M$2:$M$679,MATCH(50,'Transfer Engine'!$C$2:$C$679,0)))</f>
        <v/>
      </c>
      <c r="N59" s="8">
        <f>IF(ISNA(MATCH(50,'Transfer Engine'!$C$2:$C$679,0)),"",INDEX('Compliance Database'!$N$2:$N$679,MATCH(50,'Transfer Engine'!$C$2:$C$679,0)))</f>
        <v/>
      </c>
      <c r="O59" s="8">
        <f>IF(ISNA(MATCH(50,'Transfer Engine'!$C$2:$C$679,0)),"",INDEX('Compliance Database'!$O$2:$O$679,MATCH(50,'Transfer Engine'!$C$2:$C$679,0)))</f>
        <v/>
      </c>
      <c r="P59">
        <f>IF(ISNA(MATCH(50,'Transfer Engine'!$C$2:$C$679,0)),"",HYPERLINK(INDEX('Compliance Database'!$P$2:$P$679,MATCH(50,'Transfer Engine'!$C$2:$C$679,0)),"Open PDF"))</f>
        <v/>
      </c>
    </row>
    <row r="60">
      <c r="A60">
        <f>IF(ISNA(MATCH(51,'Transfer Engine'!$C$2:$C$679,0)),"",INDEX('Compliance Database'!$A$2:$A$679,MATCH(51,'Transfer Engine'!$C$2:$C$679,0)))</f>
        <v/>
      </c>
      <c r="B60">
        <f>IF(ISNA(MATCH(51,'Transfer Engine'!$C$2:$C$679,0)),"",INDEX('Compliance Database'!$B$2:$B$679,MATCH(51,'Transfer Engine'!$C$2:$C$679,0)))</f>
        <v/>
      </c>
      <c r="C60">
        <f>IF(ISNA(MATCH(51,'Transfer Engine'!$C$2:$C$679,0)),"",INDEX('Compliance Database'!$C$2:$C$679,MATCH(51,'Transfer Engine'!$C$2:$C$679,0)))</f>
        <v/>
      </c>
      <c r="D60" s="8">
        <f>IF(ISNA(MATCH(51,'Transfer Engine'!$C$2:$C$679,0)),"",INDEX('Compliance Database'!$D$2:$D$679,MATCH(51,'Transfer Engine'!$C$2:$C$679,0)))</f>
        <v/>
      </c>
      <c r="E60">
        <f>IF(ISNA(MATCH(51,'Transfer Engine'!$C$2:$C$679,0)),"",INDEX('Compliance Database'!$E$2:$E$679,MATCH(51,'Transfer Engine'!$C$2:$C$679,0)))</f>
        <v/>
      </c>
      <c r="F60">
        <f>IF(ISNA(MATCH(51,'Transfer Engine'!$C$2:$C$679,0)),"",INDEX('Compliance Database'!$F$2:$F$679,MATCH(51,'Transfer Engine'!$C$2:$C$679,0)))</f>
        <v/>
      </c>
      <c r="G60">
        <f>IF(ISNA(MATCH(51,'Transfer Engine'!$C$2:$C$679,0)),"",INDEX('Compliance Database'!$G$2:$G$679,MATCH(51,'Transfer Engine'!$C$2:$C$679,0)))</f>
        <v/>
      </c>
      <c r="H60">
        <f>IF(ISNA(MATCH(51,'Transfer Engine'!$C$2:$C$679,0)),"",INDEX('Compliance Database'!$H$2:$H$679,MATCH(51,'Transfer Engine'!$C$2:$C$679,0)))</f>
        <v/>
      </c>
      <c r="I60" s="8">
        <f>IF(ISNA(MATCH(51,'Transfer Engine'!$C$2:$C$679,0)),"",INDEX('Compliance Database'!$I$2:$I$679,MATCH(51,'Transfer Engine'!$C$2:$C$679,0)))</f>
        <v/>
      </c>
      <c r="J60" s="8">
        <f>IF(ISNA(MATCH(51,'Transfer Engine'!$C$2:$C$679,0)),"",INDEX('Compliance Database'!$J$2:$J$679,MATCH(51,'Transfer Engine'!$C$2:$C$679,0)))</f>
        <v/>
      </c>
      <c r="K60">
        <f>IF(ISNA(MATCH(51,'Transfer Engine'!$C$2:$C$679,0)),"",INDEX('Compliance Database'!$K$2:$K$679,MATCH(51,'Transfer Engine'!$C$2:$C$679,0)))</f>
        <v/>
      </c>
      <c r="L60" s="8">
        <f>IF(ISNA(MATCH(51,'Transfer Engine'!$C$2:$C$679,0)),"",INDEX('Compliance Database'!$L$2:$L$679,MATCH(51,'Transfer Engine'!$C$2:$C$679,0)))</f>
        <v/>
      </c>
      <c r="M60" s="8">
        <f>IF(ISNA(MATCH(51,'Transfer Engine'!$C$2:$C$679,0)),"",INDEX('Compliance Database'!$M$2:$M$679,MATCH(51,'Transfer Engine'!$C$2:$C$679,0)))</f>
        <v/>
      </c>
      <c r="N60" s="8">
        <f>IF(ISNA(MATCH(51,'Transfer Engine'!$C$2:$C$679,0)),"",INDEX('Compliance Database'!$N$2:$N$679,MATCH(51,'Transfer Engine'!$C$2:$C$679,0)))</f>
        <v/>
      </c>
      <c r="O60" s="8">
        <f>IF(ISNA(MATCH(51,'Transfer Engine'!$C$2:$C$679,0)),"",INDEX('Compliance Database'!$O$2:$O$679,MATCH(51,'Transfer Engine'!$C$2:$C$679,0)))</f>
        <v/>
      </c>
      <c r="P60">
        <f>IF(ISNA(MATCH(51,'Transfer Engine'!$C$2:$C$679,0)),"",HYPERLINK(INDEX('Compliance Database'!$P$2:$P$679,MATCH(51,'Transfer Engine'!$C$2:$C$679,0)),"Open PDF"))</f>
        <v/>
      </c>
    </row>
    <row r="61">
      <c r="A61">
        <f>IF(ISNA(MATCH(52,'Transfer Engine'!$C$2:$C$679,0)),"",INDEX('Compliance Database'!$A$2:$A$679,MATCH(52,'Transfer Engine'!$C$2:$C$679,0)))</f>
        <v/>
      </c>
      <c r="B61">
        <f>IF(ISNA(MATCH(52,'Transfer Engine'!$C$2:$C$679,0)),"",INDEX('Compliance Database'!$B$2:$B$679,MATCH(52,'Transfer Engine'!$C$2:$C$679,0)))</f>
        <v/>
      </c>
      <c r="C61">
        <f>IF(ISNA(MATCH(52,'Transfer Engine'!$C$2:$C$679,0)),"",INDEX('Compliance Database'!$C$2:$C$679,MATCH(52,'Transfer Engine'!$C$2:$C$679,0)))</f>
        <v/>
      </c>
      <c r="D61" s="8">
        <f>IF(ISNA(MATCH(52,'Transfer Engine'!$C$2:$C$679,0)),"",INDEX('Compliance Database'!$D$2:$D$679,MATCH(52,'Transfer Engine'!$C$2:$C$679,0)))</f>
        <v/>
      </c>
      <c r="E61">
        <f>IF(ISNA(MATCH(52,'Transfer Engine'!$C$2:$C$679,0)),"",INDEX('Compliance Database'!$E$2:$E$679,MATCH(52,'Transfer Engine'!$C$2:$C$679,0)))</f>
        <v/>
      </c>
      <c r="F61">
        <f>IF(ISNA(MATCH(52,'Transfer Engine'!$C$2:$C$679,0)),"",INDEX('Compliance Database'!$F$2:$F$679,MATCH(52,'Transfer Engine'!$C$2:$C$679,0)))</f>
        <v/>
      </c>
      <c r="G61">
        <f>IF(ISNA(MATCH(52,'Transfer Engine'!$C$2:$C$679,0)),"",INDEX('Compliance Database'!$G$2:$G$679,MATCH(52,'Transfer Engine'!$C$2:$C$679,0)))</f>
        <v/>
      </c>
      <c r="H61">
        <f>IF(ISNA(MATCH(52,'Transfer Engine'!$C$2:$C$679,0)),"",INDEX('Compliance Database'!$H$2:$H$679,MATCH(52,'Transfer Engine'!$C$2:$C$679,0)))</f>
        <v/>
      </c>
      <c r="I61" s="8">
        <f>IF(ISNA(MATCH(52,'Transfer Engine'!$C$2:$C$679,0)),"",INDEX('Compliance Database'!$I$2:$I$679,MATCH(52,'Transfer Engine'!$C$2:$C$679,0)))</f>
        <v/>
      </c>
      <c r="J61" s="8">
        <f>IF(ISNA(MATCH(52,'Transfer Engine'!$C$2:$C$679,0)),"",INDEX('Compliance Database'!$J$2:$J$679,MATCH(52,'Transfer Engine'!$C$2:$C$679,0)))</f>
        <v/>
      </c>
      <c r="K61">
        <f>IF(ISNA(MATCH(52,'Transfer Engine'!$C$2:$C$679,0)),"",INDEX('Compliance Database'!$K$2:$K$679,MATCH(52,'Transfer Engine'!$C$2:$C$679,0)))</f>
        <v/>
      </c>
      <c r="L61" s="8">
        <f>IF(ISNA(MATCH(52,'Transfer Engine'!$C$2:$C$679,0)),"",INDEX('Compliance Database'!$L$2:$L$679,MATCH(52,'Transfer Engine'!$C$2:$C$679,0)))</f>
        <v/>
      </c>
      <c r="M61" s="8">
        <f>IF(ISNA(MATCH(52,'Transfer Engine'!$C$2:$C$679,0)),"",INDEX('Compliance Database'!$M$2:$M$679,MATCH(52,'Transfer Engine'!$C$2:$C$679,0)))</f>
        <v/>
      </c>
      <c r="N61" s="8">
        <f>IF(ISNA(MATCH(52,'Transfer Engine'!$C$2:$C$679,0)),"",INDEX('Compliance Database'!$N$2:$N$679,MATCH(52,'Transfer Engine'!$C$2:$C$679,0)))</f>
        <v/>
      </c>
      <c r="O61" s="8">
        <f>IF(ISNA(MATCH(52,'Transfer Engine'!$C$2:$C$679,0)),"",INDEX('Compliance Database'!$O$2:$O$679,MATCH(52,'Transfer Engine'!$C$2:$C$679,0)))</f>
        <v/>
      </c>
      <c r="P61">
        <f>IF(ISNA(MATCH(52,'Transfer Engine'!$C$2:$C$679,0)),"",HYPERLINK(INDEX('Compliance Database'!$P$2:$P$679,MATCH(52,'Transfer Engine'!$C$2:$C$679,0)),"Open PDF"))</f>
        <v/>
      </c>
    </row>
    <row r="62">
      <c r="A62">
        <f>IF(ISNA(MATCH(53,'Transfer Engine'!$C$2:$C$679,0)),"",INDEX('Compliance Database'!$A$2:$A$679,MATCH(53,'Transfer Engine'!$C$2:$C$679,0)))</f>
        <v/>
      </c>
      <c r="B62">
        <f>IF(ISNA(MATCH(53,'Transfer Engine'!$C$2:$C$679,0)),"",INDEX('Compliance Database'!$B$2:$B$679,MATCH(53,'Transfer Engine'!$C$2:$C$679,0)))</f>
        <v/>
      </c>
      <c r="C62">
        <f>IF(ISNA(MATCH(53,'Transfer Engine'!$C$2:$C$679,0)),"",INDEX('Compliance Database'!$C$2:$C$679,MATCH(53,'Transfer Engine'!$C$2:$C$679,0)))</f>
        <v/>
      </c>
      <c r="D62" s="8">
        <f>IF(ISNA(MATCH(53,'Transfer Engine'!$C$2:$C$679,0)),"",INDEX('Compliance Database'!$D$2:$D$679,MATCH(53,'Transfer Engine'!$C$2:$C$679,0)))</f>
        <v/>
      </c>
      <c r="E62">
        <f>IF(ISNA(MATCH(53,'Transfer Engine'!$C$2:$C$679,0)),"",INDEX('Compliance Database'!$E$2:$E$679,MATCH(53,'Transfer Engine'!$C$2:$C$679,0)))</f>
        <v/>
      </c>
      <c r="F62">
        <f>IF(ISNA(MATCH(53,'Transfer Engine'!$C$2:$C$679,0)),"",INDEX('Compliance Database'!$F$2:$F$679,MATCH(53,'Transfer Engine'!$C$2:$C$679,0)))</f>
        <v/>
      </c>
      <c r="G62">
        <f>IF(ISNA(MATCH(53,'Transfer Engine'!$C$2:$C$679,0)),"",INDEX('Compliance Database'!$G$2:$G$679,MATCH(53,'Transfer Engine'!$C$2:$C$679,0)))</f>
        <v/>
      </c>
      <c r="H62">
        <f>IF(ISNA(MATCH(53,'Transfer Engine'!$C$2:$C$679,0)),"",INDEX('Compliance Database'!$H$2:$H$679,MATCH(53,'Transfer Engine'!$C$2:$C$679,0)))</f>
        <v/>
      </c>
      <c r="I62" s="8">
        <f>IF(ISNA(MATCH(53,'Transfer Engine'!$C$2:$C$679,0)),"",INDEX('Compliance Database'!$I$2:$I$679,MATCH(53,'Transfer Engine'!$C$2:$C$679,0)))</f>
        <v/>
      </c>
      <c r="J62" s="8">
        <f>IF(ISNA(MATCH(53,'Transfer Engine'!$C$2:$C$679,0)),"",INDEX('Compliance Database'!$J$2:$J$679,MATCH(53,'Transfer Engine'!$C$2:$C$679,0)))</f>
        <v/>
      </c>
      <c r="K62">
        <f>IF(ISNA(MATCH(53,'Transfer Engine'!$C$2:$C$679,0)),"",INDEX('Compliance Database'!$K$2:$K$679,MATCH(53,'Transfer Engine'!$C$2:$C$679,0)))</f>
        <v/>
      </c>
      <c r="L62" s="8">
        <f>IF(ISNA(MATCH(53,'Transfer Engine'!$C$2:$C$679,0)),"",INDEX('Compliance Database'!$L$2:$L$679,MATCH(53,'Transfer Engine'!$C$2:$C$679,0)))</f>
        <v/>
      </c>
      <c r="M62" s="8">
        <f>IF(ISNA(MATCH(53,'Transfer Engine'!$C$2:$C$679,0)),"",INDEX('Compliance Database'!$M$2:$M$679,MATCH(53,'Transfer Engine'!$C$2:$C$679,0)))</f>
        <v/>
      </c>
      <c r="N62" s="8">
        <f>IF(ISNA(MATCH(53,'Transfer Engine'!$C$2:$C$679,0)),"",INDEX('Compliance Database'!$N$2:$N$679,MATCH(53,'Transfer Engine'!$C$2:$C$679,0)))</f>
        <v/>
      </c>
      <c r="O62" s="8">
        <f>IF(ISNA(MATCH(53,'Transfer Engine'!$C$2:$C$679,0)),"",INDEX('Compliance Database'!$O$2:$O$679,MATCH(53,'Transfer Engine'!$C$2:$C$679,0)))</f>
        <v/>
      </c>
      <c r="P62">
        <f>IF(ISNA(MATCH(53,'Transfer Engine'!$C$2:$C$679,0)),"",HYPERLINK(INDEX('Compliance Database'!$P$2:$P$679,MATCH(53,'Transfer Engine'!$C$2:$C$679,0)),"Open PDF"))</f>
        <v/>
      </c>
    </row>
    <row r="63">
      <c r="A63">
        <f>IF(ISNA(MATCH(54,'Transfer Engine'!$C$2:$C$679,0)),"",INDEX('Compliance Database'!$A$2:$A$679,MATCH(54,'Transfer Engine'!$C$2:$C$679,0)))</f>
        <v/>
      </c>
      <c r="B63">
        <f>IF(ISNA(MATCH(54,'Transfer Engine'!$C$2:$C$679,0)),"",INDEX('Compliance Database'!$B$2:$B$679,MATCH(54,'Transfer Engine'!$C$2:$C$679,0)))</f>
        <v/>
      </c>
      <c r="C63">
        <f>IF(ISNA(MATCH(54,'Transfer Engine'!$C$2:$C$679,0)),"",INDEX('Compliance Database'!$C$2:$C$679,MATCH(54,'Transfer Engine'!$C$2:$C$679,0)))</f>
        <v/>
      </c>
      <c r="D63" s="8">
        <f>IF(ISNA(MATCH(54,'Transfer Engine'!$C$2:$C$679,0)),"",INDEX('Compliance Database'!$D$2:$D$679,MATCH(54,'Transfer Engine'!$C$2:$C$679,0)))</f>
        <v/>
      </c>
      <c r="E63">
        <f>IF(ISNA(MATCH(54,'Transfer Engine'!$C$2:$C$679,0)),"",INDEX('Compliance Database'!$E$2:$E$679,MATCH(54,'Transfer Engine'!$C$2:$C$679,0)))</f>
        <v/>
      </c>
      <c r="F63">
        <f>IF(ISNA(MATCH(54,'Transfer Engine'!$C$2:$C$679,0)),"",INDEX('Compliance Database'!$F$2:$F$679,MATCH(54,'Transfer Engine'!$C$2:$C$679,0)))</f>
        <v/>
      </c>
      <c r="G63">
        <f>IF(ISNA(MATCH(54,'Transfer Engine'!$C$2:$C$679,0)),"",INDEX('Compliance Database'!$G$2:$G$679,MATCH(54,'Transfer Engine'!$C$2:$C$679,0)))</f>
        <v/>
      </c>
      <c r="H63">
        <f>IF(ISNA(MATCH(54,'Transfer Engine'!$C$2:$C$679,0)),"",INDEX('Compliance Database'!$H$2:$H$679,MATCH(54,'Transfer Engine'!$C$2:$C$679,0)))</f>
        <v/>
      </c>
      <c r="I63" s="8">
        <f>IF(ISNA(MATCH(54,'Transfer Engine'!$C$2:$C$679,0)),"",INDEX('Compliance Database'!$I$2:$I$679,MATCH(54,'Transfer Engine'!$C$2:$C$679,0)))</f>
        <v/>
      </c>
      <c r="J63" s="8">
        <f>IF(ISNA(MATCH(54,'Transfer Engine'!$C$2:$C$679,0)),"",INDEX('Compliance Database'!$J$2:$J$679,MATCH(54,'Transfer Engine'!$C$2:$C$679,0)))</f>
        <v/>
      </c>
      <c r="K63">
        <f>IF(ISNA(MATCH(54,'Transfer Engine'!$C$2:$C$679,0)),"",INDEX('Compliance Database'!$K$2:$K$679,MATCH(54,'Transfer Engine'!$C$2:$C$679,0)))</f>
        <v/>
      </c>
      <c r="L63" s="8">
        <f>IF(ISNA(MATCH(54,'Transfer Engine'!$C$2:$C$679,0)),"",INDEX('Compliance Database'!$L$2:$L$679,MATCH(54,'Transfer Engine'!$C$2:$C$679,0)))</f>
        <v/>
      </c>
      <c r="M63" s="8">
        <f>IF(ISNA(MATCH(54,'Transfer Engine'!$C$2:$C$679,0)),"",INDEX('Compliance Database'!$M$2:$M$679,MATCH(54,'Transfer Engine'!$C$2:$C$679,0)))</f>
        <v/>
      </c>
      <c r="N63" s="8">
        <f>IF(ISNA(MATCH(54,'Transfer Engine'!$C$2:$C$679,0)),"",INDEX('Compliance Database'!$N$2:$N$679,MATCH(54,'Transfer Engine'!$C$2:$C$679,0)))</f>
        <v/>
      </c>
      <c r="O63" s="8">
        <f>IF(ISNA(MATCH(54,'Transfer Engine'!$C$2:$C$679,0)),"",INDEX('Compliance Database'!$O$2:$O$679,MATCH(54,'Transfer Engine'!$C$2:$C$679,0)))</f>
        <v/>
      </c>
      <c r="P63">
        <f>IF(ISNA(MATCH(54,'Transfer Engine'!$C$2:$C$679,0)),"",HYPERLINK(INDEX('Compliance Database'!$P$2:$P$679,MATCH(54,'Transfer Engine'!$C$2:$C$679,0)),"Open PDF"))</f>
        <v/>
      </c>
    </row>
    <row r="64">
      <c r="A64">
        <f>IF(ISNA(MATCH(55,'Transfer Engine'!$C$2:$C$679,0)),"",INDEX('Compliance Database'!$A$2:$A$679,MATCH(55,'Transfer Engine'!$C$2:$C$679,0)))</f>
        <v/>
      </c>
      <c r="B64">
        <f>IF(ISNA(MATCH(55,'Transfer Engine'!$C$2:$C$679,0)),"",INDEX('Compliance Database'!$B$2:$B$679,MATCH(55,'Transfer Engine'!$C$2:$C$679,0)))</f>
        <v/>
      </c>
      <c r="C64">
        <f>IF(ISNA(MATCH(55,'Transfer Engine'!$C$2:$C$679,0)),"",INDEX('Compliance Database'!$C$2:$C$679,MATCH(55,'Transfer Engine'!$C$2:$C$679,0)))</f>
        <v/>
      </c>
      <c r="D64" s="8">
        <f>IF(ISNA(MATCH(55,'Transfer Engine'!$C$2:$C$679,0)),"",INDEX('Compliance Database'!$D$2:$D$679,MATCH(55,'Transfer Engine'!$C$2:$C$679,0)))</f>
        <v/>
      </c>
      <c r="E64">
        <f>IF(ISNA(MATCH(55,'Transfer Engine'!$C$2:$C$679,0)),"",INDEX('Compliance Database'!$E$2:$E$679,MATCH(55,'Transfer Engine'!$C$2:$C$679,0)))</f>
        <v/>
      </c>
      <c r="F64">
        <f>IF(ISNA(MATCH(55,'Transfer Engine'!$C$2:$C$679,0)),"",INDEX('Compliance Database'!$F$2:$F$679,MATCH(55,'Transfer Engine'!$C$2:$C$679,0)))</f>
        <v/>
      </c>
      <c r="G64">
        <f>IF(ISNA(MATCH(55,'Transfer Engine'!$C$2:$C$679,0)),"",INDEX('Compliance Database'!$G$2:$G$679,MATCH(55,'Transfer Engine'!$C$2:$C$679,0)))</f>
        <v/>
      </c>
      <c r="H64">
        <f>IF(ISNA(MATCH(55,'Transfer Engine'!$C$2:$C$679,0)),"",INDEX('Compliance Database'!$H$2:$H$679,MATCH(55,'Transfer Engine'!$C$2:$C$679,0)))</f>
        <v/>
      </c>
      <c r="I64" s="8">
        <f>IF(ISNA(MATCH(55,'Transfer Engine'!$C$2:$C$679,0)),"",INDEX('Compliance Database'!$I$2:$I$679,MATCH(55,'Transfer Engine'!$C$2:$C$679,0)))</f>
        <v/>
      </c>
      <c r="J64" s="8">
        <f>IF(ISNA(MATCH(55,'Transfer Engine'!$C$2:$C$679,0)),"",INDEX('Compliance Database'!$J$2:$J$679,MATCH(55,'Transfer Engine'!$C$2:$C$679,0)))</f>
        <v/>
      </c>
      <c r="K64">
        <f>IF(ISNA(MATCH(55,'Transfer Engine'!$C$2:$C$679,0)),"",INDEX('Compliance Database'!$K$2:$K$679,MATCH(55,'Transfer Engine'!$C$2:$C$679,0)))</f>
        <v/>
      </c>
      <c r="L64" s="8">
        <f>IF(ISNA(MATCH(55,'Transfer Engine'!$C$2:$C$679,0)),"",INDEX('Compliance Database'!$L$2:$L$679,MATCH(55,'Transfer Engine'!$C$2:$C$679,0)))</f>
        <v/>
      </c>
      <c r="M64" s="8">
        <f>IF(ISNA(MATCH(55,'Transfer Engine'!$C$2:$C$679,0)),"",INDEX('Compliance Database'!$M$2:$M$679,MATCH(55,'Transfer Engine'!$C$2:$C$679,0)))</f>
        <v/>
      </c>
      <c r="N64" s="8">
        <f>IF(ISNA(MATCH(55,'Transfer Engine'!$C$2:$C$679,0)),"",INDEX('Compliance Database'!$N$2:$N$679,MATCH(55,'Transfer Engine'!$C$2:$C$679,0)))</f>
        <v/>
      </c>
      <c r="O64" s="8">
        <f>IF(ISNA(MATCH(55,'Transfer Engine'!$C$2:$C$679,0)),"",INDEX('Compliance Database'!$O$2:$O$679,MATCH(55,'Transfer Engine'!$C$2:$C$679,0)))</f>
        <v/>
      </c>
      <c r="P64">
        <f>IF(ISNA(MATCH(55,'Transfer Engine'!$C$2:$C$679,0)),"",HYPERLINK(INDEX('Compliance Database'!$P$2:$P$679,MATCH(55,'Transfer Engine'!$C$2:$C$679,0)),"Open PDF"))</f>
        <v/>
      </c>
    </row>
    <row r="65">
      <c r="A65">
        <f>IF(ISNA(MATCH(56,'Transfer Engine'!$C$2:$C$679,0)),"",INDEX('Compliance Database'!$A$2:$A$679,MATCH(56,'Transfer Engine'!$C$2:$C$679,0)))</f>
        <v/>
      </c>
      <c r="B65">
        <f>IF(ISNA(MATCH(56,'Transfer Engine'!$C$2:$C$679,0)),"",INDEX('Compliance Database'!$B$2:$B$679,MATCH(56,'Transfer Engine'!$C$2:$C$679,0)))</f>
        <v/>
      </c>
      <c r="C65">
        <f>IF(ISNA(MATCH(56,'Transfer Engine'!$C$2:$C$679,0)),"",INDEX('Compliance Database'!$C$2:$C$679,MATCH(56,'Transfer Engine'!$C$2:$C$679,0)))</f>
        <v/>
      </c>
      <c r="D65" s="8">
        <f>IF(ISNA(MATCH(56,'Transfer Engine'!$C$2:$C$679,0)),"",INDEX('Compliance Database'!$D$2:$D$679,MATCH(56,'Transfer Engine'!$C$2:$C$679,0)))</f>
        <v/>
      </c>
      <c r="E65">
        <f>IF(ISNA(MATCH(56,'Transfer Engine'!$C$2:$C$679,0)),"",INDEX('Compliance Database'!$E$2:$E$679,MATCH(56,'Transfer Engine'!$C$2:$C$679,0)))</f>
        <v/>
      </c>
      <c r="F65">
        <f>IF(ISNA(MATCH(56,'Transfer Engine'!$C$2:$C$679,0)),"",INDEX('Compliance Database'!$F$2:$F$679,MATCH(56,'Transfer Engine'!$C$2:$C$679,0)))</f>
        <v/>
      </c>
      <c r="G65">
        <f>IF(ISNA(MATCH(56,'Transfer Engine'!$C$2:$C$679,0)),"",INDEX('Compliance Database'!$G$2:$G$679,MATCH(56,'Transfer Engine'!$C$2:$C$679,0)))</f>
        <v/>
      </c>
      <c r="H65">
        <f>IF(ISNA(MATCH(56,'Transfer Engine'!$C$2:$C$679,0)),"",INDEX('Compliance Database'!$H$2:$H$679,MATCH(56,'Transfer Engine'!$C$2:$C$679,0)))</f>
        <v/>
      </c>
      <c r="I65" s="8">
        <f>IF(ISNA(MATCH(56,'Transfer Engine'!$C$2:$C$679,0)),"",INDEX('Compliance Database'!$I$2:$I$679,MATCH(56,'Transfer Engine'!$C$2:$C$679,0)))</f>
        <v/>
      </c>
      <c r="J65" s="8">
        <f>IF(ISNA(MATCH(56,'Transfer Engine'!$C$2:$C$679,0)),"",INDEX('Compliance Database'!$J$2:$J$679,MATCH(56,'Transfer Engine'!$C$2:$C$679,0)))</f>
        <v/>
      </c>
      <c r="K65">
        <f>IF(ISNA(MATCH(56,'Transfer Engine'!$C$2:$C$679,0)),"",INDEX('Compliance Database'!$K$2:$K$679,MATCH(56,'Transfer Engine'!$C$2:$C$679,0)))</f>
        <v/>
      </c>
      <c r="L65" s="8">
        <f>IF(ISNA(MATCH(56,'Transfer Engine'!$C$2:$C$679,0)),"",INDEX('Compliance Database'!$L$2:$L$679,MATCH(56,'Transfer Engine'!$C$2:$C$679,0)))</f>
        <v/>
      </c>
      <c r="M65" s="8">
        <f>IF(ISNA(MATCH(56,'Transfer Engine'!$C$2:$C$679,0)),"",INDEX('Compliance Database'!$M$2:$M$679,MATCH(56,'Transfer Engine'!$C$2:$C$679,0)))</f>
        <v/>
      </c>
      <c r="N65" s="8">
        <f>IF(ISNA(MATCH(56,'Transfer Engine'!$C$2:$C$679,0)),"",INDEX('Compliance Database'!$N$2:$N$679,MATCH(56,'Transfer Engine'!$C$2:$C$679,0)))</f>
        <v/>
      </c>
      <c r="O65" s="8">
        <f>IF(ISNA(MATCH(56,'Transfer Engine'!$C$2:$C$679,0)),"",INDEX('Compliance Database'!$O$2:$O$679,MATCH(56,'Transfer Engine'!$C$2:$C$679,0)))</f>
        <v/>
      </c>
      <c r="P65">
        <f>IF(ISNA(MATCH(56,'Transfer Engine'!$C$2:$C$679,0)),"",HYPERLINK(INDEX('Compliance Database'!$P$2:$P$679,MATCH(56,'Transfer Engine'!$C$2:$C$679,0)),"Open PDF"))</f>
        <v/>
      </c>
    </row>
    <row r="66">
      <c r="A66">
        <f>IF(ISNA(MATCH(57,'Transfer Engine'!$C$2:$C$679,0)),"",INDEX('Compliance Database'!$A$2:$A$679,MATCH(57,'Transfer Engine'!$C$2:$C$679,0)))</f>
        <v/>
      </c>
      <c r="B66">
        <f>IF(ISNA(MATCH(57,'Transfer Engine'!$C$2:$C$679,0)),"",INDEX('Compliance Database'!$B$2:$B$679,MATCH(57,'Transfer Engine'!$C$2:$C$679,0)))</f>
        <v/>
      </c>
      <c r="C66">
        <f>IF(ISNA(MATCH(57,'Transfer Engine'!$C$2:$C$679,0)),"",INDEX('Compliance Database'!$C$2:$C$679,MATCH(57,'Transfer Engine'!$C$2:$C$679,0)))</f>
        <v/>
      </c>
      <c r="D66" s="8">
        <f>IF(ISNA(MATCH(57,'Transfer Engine'!$C$2:$C$679,0)),"",INDEX('Compliance Database'!$D$2:$D$679,MATCH(57,'Transfer Engine'!$C$2:$C$679,0)))</f>
        <v/>
      </c>
      <c r="E66">
        <f>IF(ISNA(MATCH(57,'Transfer Engine'!$C$2:$C$679,0)),"",INDEX('Compliance Database'!$E$2:$E$679,MATCH(57,'Transfer Engine'!$C$2:$C$679,0)))</f>
        <v/>
      </c>
      <c r="F66">
        <f>IF(ISNA(MATCH(57,'Transfer Engine'!$C$2:$C$679,0)),"",INDEX('Compliance Database'!$F$2:$F$679,MATCH(57,'Transfer Engine'!$C$2:$C$679,0)))</f>
        <v/>
      </c>
      <c r="G66">
        <f>IF(ISNA(MATCH(57,'Transfer Engine'!$C$2:$C$679,0)),"",INDEX('Compliance Database'!$G$2:$G$679,MATCH(57,'Transfer Engine'!$C$2:$C$679,0)))</f>
        <v/>
      </c>
      <c r="H66">
        <f>IF(ISNA(MATCH(57,'Transfer Engine'!$C$2:$C$679,0)),"",INDEX('Compliance Database'!$H$2:$H$679,MATCH(57,'Transfer Engine'!$C$2:$C$679,0)))</f>
        <v/>
      </c>
      <c r="I66" s="8">
        <f>IF(ISNA(MATCH(57,'Transfer Engine'!$C$2:$C$679,0)),"",INDEX('Compliance Database'!$I$2:$I$679,MATCH(57,'Transfer Engine'!$C$2:$C$679,0)))</f>
        <v/>
      </c>
      <c r="J66" s="8">
        <f>IF(ISNA(MATCH(57,'Transfer Engine'!$C$2:$C$679,0)),"",INDEX('Compliance Database'!$J$2:$J$679,MATCH(57,'Transfer Engine'!$C$2:$C$679,0)))</f>
        <v/>
      </c>
      <c r="K66">
        <f>IF(ISNA(MATCH(57,'Transfer Engine'!$C$2:$C$679,0)),"",INDEX('Compliance Database'!$K$2:$K$679,MATCH(57,'Transfer Engine'!$C$2:$C$679,0)))</f>
        <v/>
      </c>
      <c r="L66" s="8">
        <f>IF(ISNA(MATCH(57,'Transfer Engine'!$C$2:$C$679,0)),"",INDEX('Compliance Database'!$L$2:$L$679,MATCH(57,'Transfer Engine'!$C$2:$C$679,0)))</f>
        <v/>
      </c>
      <c r="M66" s="8">
        <f>IF(ISNA(MATCH(57,'Transfer Engine'!$C$2:$C$679,0)),"",INDEX('Compliance Database'!$M$2:$M$679,MATCH(57,'Transfer Engine'!$C$2:$C$679,0)))</f>
        <v/>
      </c>
      <c r="N66" s="8">
        <f>IF(ISNA(MATCH(57,'Transfer Engine'!$C$2:$C$679,0)),"",INDEX('Compliance Database'!$N$2:$N$679,MATCH(57,'Transfer Engine'!$C$2:$C$679,0)))</f>
        <v/>
      </c>
      <c r="O66" s="8">
        <f>IF(ISNA(MATCH(57,'Transfer Engine'!$C$2:$C$679,0)),"",INDEX('Compliance Database'!$O$2:$O$679,MATCH(57,'Transfer Engine'!$C$2:$C$679,0)))</f>
        <v/>
      </c>
      <c r="P66">
        <f>IF(ISNA(MATCH(57,'Transfer Engine'!$C$2:$C$679,0)),"",HYPERLINK(INDEX('Compliance Database'!$P$2:$P$679,MATCH(57,'Transfer Engine'!$C$2:$C$679,0)),"Open PDF"))</f>
        <v/>
      </c>
    </row>
    <row r="67">
      <c r="A67">
        <f>IF(ISNA(MATCH(58,'Transfer Engine'!$C$2:$C$679,0)),"",INDEX('Compliance Database'!$A$2:$A$679,MATCH(58,'Transfer Engine'!$C$2:$C$679,0)))</f>
        <v/>
      </c>
      <c r="B67">
        <f>IF(ISNA(MATCH(58,'Transfer Engine'!$C$2:$C$679,0)),"",INDEX('Compliance Database'!$B$2:$B$679,MATCH(58,'Transfer Engine'!$C$2:$C$679,0)))</f>
        <v/>
      </c>
      <c r="C67">
        <f>IF(ISNA(MATCH(58,'Transfer Engine'!$C$2:$C$679,0)),"",INDEX('Compliance Database'!$C$2:$C$679,MATCH(58,'Transfer Engine'!$C$2:$C$679,0)))</f>
        <v/>
      </c>
      <c r="D67" s="8">
        <f>IF(ISNA(MATCH(58,'Transfer Engine'!$C$2:$C$679,0)),"",INDEX('Compliance Database'!$D$2:$D$679,MATCH(58,'Transfer Engine'!$C$2:$C$679,0)))</f>
        <v/>
      </c>
      <c r="E67">
        <f>IF(ISNA(MATCH(58,'Transfer Engine'!$C$2:$C$679,0)),"",INDEX('Compliance Database'!$E$2:$E$679,MATCH(58,'Transfer Engine'!$C$2:$C$679,0)))</f>
        <v/>
      </c>
      <c r="F67">
        <f>IF(ISNA(MATCH(58,'Transfer Engine'!$C$2:$C$679,0)),"",INDEX('Compliance Database'!$F$2:$F$679,MATCH(58,'Transfer Engine'!$C$2:$C$679,0)))</f>
        <v/>
      </c>
      <c r="G67">
        <f>IF(ISNA(MATCH(58,'Transfer Engine'!$C$2:$C$679,0)),"",INDEX('Compliance Database'!$G$2:$G$679,MATCH(58,'Transfer Engine'!$C$2:$C$679,0)))</f>
        <v/>
      </c>
      <c r="H67">
        <f>IF(ISNA(MATCH(58,'Transfer Engine'!$C$2:$C$679,0)),"",INDEX('Compliance Database'!$H$2:$H$679,MATCH(58,'Transfer Engine'!$C$2:$C$679,0)))</f>
        <v/>
      </c>
      <c r="I67" s="8">
        <f>IF(ISNA(MATCH(58,'Transfer Engine'!$C$2:$C$679,0)),"",INDEX('Compliance Database'!$I$2:$I$679,MATCH(58,'Transfer Engine'!$C$2:$C$679,0)))</f>
        <v/>
      </c>
      <c r="J67" s="8">
        <f>IF(ISNA(MATCH(58,'Transfer Engine'!$C$2:$C$679,0)),"",INDEX('Compliance Database'!$J$2:$J$679,MATCH(58,'Transfer Engine'!$C$2:$C$679,0)))</f>
        <v/>
      </c>
      <c r="K67">
        <f>IF(ISNA(MATCH(58,'Transfer Engine'!$C$2:$C$679,0)),"",INDEX('Compliance Database'!$K$2:$K$679,MATCH(58,'Transfer Engine'!$C$2:$C$679,0)))</f>
        <v/>
      </c>
      <c r="L67" s="8">
        <f>IF(ISNA(MATCH(58,'Transfer Engine'!$C$2:$C$679,0)),"",INDEX('Compliance Database'!$L$2:$L$679,MATCH(58,'Transfer Engine'!$C$2:$C$679,0)))</f>
        <v/>
      </c>
      <c r="M67" s="8">
        <f>IF(ISNA(MATCH(58,'Transfer Engine'!$C$2:$C$679,0)),"",INDEX('Compliance Database'!$M$2:$M$679,MATCH(58,'Transfer Engine'!$C$2:$C$679,0)))</f>
        <v/>
      </c>
      <c r="N67" s="8">
        <f>IF(ISNA(MATCH(58,'Transfer Engine'!$C$2:$C$679,0)),"",INDEX('Compliance Database'!$N$2:$N$679,MATCH(58,'Transfer Engine'!$C$2:$C$679,0)))</f>
        <v/>
      </c>
      <c r="O67" s="8">
        <f>IF(ISNA(MATCH(58,'Transfer Engine'!$C$2:$C$679,0)),"",INDEX('Compliance Database'!$O$2:$O$679,MATCH(58,'Transfer Engine'!$C$2:$C$679,0)))</f>
        <v/>
      </c>
      <c r="P67">
        <f>IF(ISNA(MATCH(58,'Transfer Engine'!$C$2:$C$679,0)),"",HYPERLINK(INDEX('Compliance Database'!$P$2:$P$679,MATCH(58,'Transfer Engine'!$C$2:$C$679,0)),"Open PDF"))</f>
        <v/>
      </c>
    </row>
    <row r="68">
      <c r="A68">
        <f>IF(ISNA(MATCH(59,'Transfer Engine'!$C$2:$C$679,0)),"",INDEX('Compliance Database'!$A$2:$A$679,MATCH(59,'Transfer Engine'!$C$2:$C$679,0)))</f>
        <v/>
      </c>
      <c r="B68">
        <f>IF(ISNA(MATCH(59,'Transfer Engine'!$C$2:$C$679,0)),"",INDEX('Compliance Database'!$B$2:$B$679,MATCH(59,'Transfer Engine'!$C$2:$C$679,0)))</f>
        <v/>
      </c>
      <c r="C68">
        <f>IF(ISNA(MATCH(59,'Transfer Engine'!$C$2:$C$679,0)),"",INDEX('Compliance Database'!$C$2:$C$679,MATCH(59,'Transfer Engine'!$C$2:$C$679,0)))</f>
        <v/>
      </c>
      <c r="D68" s="8">
        <f>IF(ISNA(MATCH(59,'Transfer Engine'!$C$2:$C$679,0)),"",INDEX('Compliance Database'!$D$2:$D$679,MATCH(59,'Transfer Engine'!$C$2:$C$679,0)))</f>
        <v/>
      </c>
      <c r="E68">
        <f>IF(ISNA(MATCH(59,'Transfer Engine'!$C$2:$C$679,0)),"",INDEX('Compliance Database'!$E$2:$E$679,MATCH(59,'Transfer Engine'!$C$2:$C$679,0)))</f>
        <v/>
      </c>
      <c r="F68">
        <f>IF(ISNA(MATCH(59,'Transfer Engine'!$C$2:$C$679,0)),"",INDEX('Compliance Database'!$F$2:$F$679,MATCH(59,'Transfer Engine'!$C$2:$C$679,0)))</f>
        <v/>
      </c>
      <c r="G68">
        <f>IF(ISNA(MATCH(59,'Transfer Engine'!$C$2:$C$679,0)),"",INDEX('Compliance Database'!$G$2:$G$679,MATCH(59,'Transfer Engine'!$C$2:$C$679,0)))</f>
        <v/>
      </c>
      <c r="H68">
        <f>IF(ISNA(MATCH(59,'Transfer Engine'!$C$2:$C$679,0)),"",INDEX('Compliance Database'!$H$2:$H$679,MATCH(59,'Transfer Engine'!$C$2:$C$679,0)))</f>
        <v/>
      </c>
      <c r="I68" s="8">
        <f>IF(ISNA(MATCH(59,'Transfer Engine'!$C$2:$C$679,0)),"",INDEX('Compliance Database'!$I$2:$I$679,MATCH(59,'Transfer Engine'!$C$2:$C$679,0)))</f>
        <v/>
      </c>
      <c r="J68" s="8">
        <f>IF(ISNA(MATCH(59,'Transfer Engine'!$C$2:$C$679,0)),"",INDEX('Compliance Database'!$J$2:$J$679,MATCH(59,'Transfer Engine'!$C$2:$C$679,0)))</f>
        <v/>
      </c>
      <c r="K68">
        <f>IF(ISNA(MATCH(59,'Transfer Engine'!$C$2:$C$679,0)),"",INDEX('Compliance Database'!$K$2:$K$679,MATCH(59,'Transfer Engine'!$C$2:$C$679,0)))</f>
        <v/>
      </c>
      <c r="L68" s="8">
        <f>IF(ISNA(MATCH(59,'Transfer Engine'!$C$2:$C$679,0)),"",INDEX('Compliance Database'!$L$2:$L$679,MATCH(59,'Transfer Engine'!$C$2:$C$679,0)))</f>
        <v/>
      </c>
      <c r="M68" s="8">
        <f>IF(ISNA(MATCH(59,'Transfer Engine'!$C$2:$C$679,0)),"",INDEX('Compliance Database'!$M$2:$M$679,MATCH(59,'Transfer Engine'!$C$2:$C$679,0)))</f>
        <v/>
      </c>
      <c r="N68" s="8">
        <f>IF(ISNA(MATCH(59,'Transfer Engine'!$C$2:$C$679,0)),"",INDEX('Compliance Database'!$N$2:$N$679,MATCH(59,'Transfer Engine'!$C$2:$C$679,0)))</f>
        <v/>
      </c>
      <c r="O68" s="8">
        <f>IF(ISNA(MATCH(59,'Transfer Engine'!$C$2:$C$679,0)),"",INDEX('Compliance Database'!$O$2:$O$679,MATCH(59,'Transfer Engine'!$C$2:$C$679,0)))</f>
        <v/>
      </c>
      <c r="P68">
        <f>IF(ISNA(MATCH(59,'Transfer Engine'!$C$2:$C$679,0)),"",HYPERLINK(INDEX('Compliance Database'!$P$2:$P$679,MATCH(59,'Transfer Engine'!$C$2:$C$679,0)),"Open PDF"))</f>
        <v/>
      </c>
    </row>
    <row r="69">
      <c r="A69">
        <f>IF(ISNA(MATCH(60,'Transfer Engine'!$C$2:$C$679,0)),"",INDEX('Compliance Database'!$A$2:$A$679,MATCH(60,'Transfer Engine'!$C$2:$C$679,0)))</f>
        <v/>
      </c>
      <c r="B69">
        <f>IF(ISNA(MATCH(60,'Transfer Engine'!$C$2:$C$679,0)),"",INDEX('Compliance Database'!$B$2:$B$679,MATCH(60,'Transfer Engine'!$C$2:$C$679,0)))</f>
        <v/>
      </c>
      <c r="C69">
        <f>IF(ISNA(MATCH(60,'Transfer Engine'!$C$2:$C$679,0)),"",INDEX('Compliance Database'!$C$2:$C$679,MATCH(60,'Transfer Engine'!$C$2:$C$679,0)))</f>
        <v/>
      </c>
      <c r="D69" s="8">
        <f>IF(ISNA(MATCH(60,'Transfer Engine'!$C$2:$C$679,0)),"",INDEX('Compliance Database'!$D$2:$D$679,MATCH(60,'Transfer Engine'!$C$2:$C$679,0)))</f>
        <v/>
      </c>
      <c r="E69">
        <f>IF(ISNA(MATCH(60,'Transfer Engine'!$C$2:$C$679,0)),"",INDEX('Compliance Database'!$E$2:$E$679,MATCH(60,'Transfer Engine'!$C$2:$C$679,0)))</f>
        <v/>
      </c>
      <c r="F69">
        <f>IF(ISNA(MATCH(60,'Transfer Engine'!$C$2:$C$679,0)),"",INDEX('Compliance Database'!$F$2:$F$679,MATCH(60,'Transfer Engine'!$C$2:$C$679,0)))</f>
        <v/>
      </c>
      <c r="G69">
        <f>IF(ISNA(MATCH(60,'Transfer Engine'!$C$2:$C$679,0)),"",INDEX('Compliance Database'!$G$2:$G$679,MATCH(60,'Transfer Engine'!$C$2:$C$679,0)))</f>
        <v/>
      </c>
      <c r="H69">
        <f>IF(ISNA(MATCH(60,'Transfer Engine'!$C$2:$C$679,0)),"",INDEX('Compliance Database'!$H$2:$H$679,MATCH(60,'Transfer Engine'!$C$2:$C$679,0)))</f>
        <v/>
      </c>
      <c r="I69" s="8">
        <f>IF(ISNA(MATCH(60,'Transfer Engine'!$C$2:$C$679,0)),"",INDEX('Compliance Database'!$I$2:$I$679,MATCH(60,'Transfer Engine'!$C$2:$C$679,0)))</f>
        <v/>
      </c>
      <c r="J69" s="8">
        <f>IF(ISNA(MATCH(60,'Transfer Engine'!$C$2:$C$679,0)),"",INDEX('Compliance Database'!$J$2:$J$679,MATCH(60,'Transfer Engine'!$C$2:$C$679,0)))</f>
        <v/>
      </c>
      <c r="K69">
        <f>IF(ISNA(MATCH(60,'Transfer Engine'!$C$2:$C$679,0)),"",INDEX('Compliance Database'!$K$2:$K$679,MATCH(60,'Transfer Engine'!$C$2:$C$679,0)))</f>
        <v/>
      </c>
      <c r="L69" s="8">
        <f>IF(ISNA(MATCH(60,'Transfer Engine'!$C$2:$C$679,0)),"",INDEX('Compliance Database'!$L$2:$L$679,MATCH(60,'Transfer Engine'!$C$2:$C$679,0)))</f>
        <v/>
      </c>
      <c r="M69" s="8">
        <f>IF(ISNA(MATCH(60,'Transfer Engine'!$C$2:$C$679,0)),"",INDEX('Compliance Database'!$M$2:$M$679,MATCH(60,'Transfer Engine'!$C$2:$C$679,0)))</f>
        <v/>
      </c>
      <c r="N69" s="8">
        <f>IF(ISNA(MATCH(60,'Transfer Engine'!$C$2:$C$679,0)),"",INDEX('Compliance Database'!$N$2:$N$679,MATCH(60,'Transfer Engine'!$C$2:$C$679,0)))</f>
        <v/>
      </c>
      <c r="O69" s="8">
        <f>IF(ISNA(MATCH(60,'Transfer Engine'!$C$2:$C$679,0)),"",INDEX('Compliance Database'!$O$2:$O$679,MATCH(60,'Transfer Engine'!$C$2:$C$679,0)))</f>
        <v/>
      </c>
      <c r="P69">
        <f>IF(ISNA(MATCH(60,'Transfer Engine'!$C$2:$C$679,0)),"",HYPERLINK(INDEX('Compliance Database'!$P$2:$P$679,MATCH(60,'Transfer Engine'!$C$2:$C$679,0)),"Open PDF"))</f>
        <v/>
      </c>
    </row>
    <row r="70">
      <c r="A70">
        <f>IF(ISNA(MATCH(61,'Transfer Engine'!$C$2:$C$679,0)),"",INDEX('Compliance Database'!$A$2:$A$679,MATCH(61,'Transfer Engine'!$C$2:$C$679,0)))</f>
        <v/>
      </c>
      <c r="B70">
        <f>IF(ISNA(MATCH(61,'Transfer Engine'!$C$2:$C$679,0)),"",INDEX('Compliance Database'!$B$2:$B$679,MATCH(61,'Transfer Engine'!$C$2:$C$679,0)))</f>
        <v/>
      </c>
      <c r="C70">
        <f>IF(ISNA(MATCH(61,'Transfer Engine'!$C$2:$C$679,0)),"",INDEX('Compliance Database'!$C$2:$C$679,MATCH(61,'Transfer Engine'!$C$2:$C$679,0)))</f>
        <v/>
      </c>
      <c r="D70" s="8">
        <f>IF(ISNA(MATCH(61,'Transfer Engine'!$C$2:$C$679,0)),"",INDEX('Compliance Database'!$D$2:$D$679,MATCH(61,'Transfer Engine'!$C$2:$C$679,0)))</f>
        <v/>
      </c>
      <c r="E70">
        <f>IF(ISNA(MATCH(61,'Transfer Engine'!$C$2:$C$679,0)),"",INDEX('Compliance Database'!$E$2:$E$679,MATCH(61,'Transfer Engine'!$C$2:$C$679,0)))</f>
        <v/>
      </c>
      <c r="F70">
        <f>IF(ISNA(MATCH(61,'Transfer Engine'!$C$2:$C$679,0)),"",INDEX('Compliance Database'!$F$2:$F$679,MATCH(61,'Transfer Engine'!$C$2:$C$679,0)))</f>
        <v/>
      </c>
      <c r="G70">
        <f>IF(ISNA(MATCH(61,'Transfer Engine'!$C$2:$C$679,0)),"",INDEX('Compliance Database'!$G$2:$G$679,MATCH(61,'Transfer Engine'!$C$2:$C$679,0)))</f>
        <v/>
      </c>
      <c r="H70">
        <f>IF(ISNA(MATCH(61,'Transfer Engine'!$C$2:$C$679,0)),"",INDEX('Compliance Database'!$H$2:$H$679,MATCH(61,'Transfer Engine'!$C$2:$C$679,0)))</f>
        <v/>
      </c>
      <c r="I70" s="8">
        <f>IF(ISNA(MATCH(61,'Transfer Engine'!$C$2:$C$679,0)),"",INDEX('Compliance Database'!$I$2:$I$679,MATCH(61,'Transfer Engine'!$C$2:$C$679,0)))</f>
        <v/>
      </c>
      <c r="J70" s="8">
        <f>IF(ISNA(MATCH(61,'Transfer Engine'!$C$2:$C$679,0)),"",INDEX('Compliance Database'!$J$2:$J$679,MATCH(61,'Transfer Engine'!$C$2:$C$679,0)))</f>
        <v/>
      </c>
      <c r="K70">
        <f>IF(ISNA(MATCH(61,'Transfer Engine'!$C$2:$C$679,0)),"",INDEX('Compliance Database'!$K$2:$K$679,MATCH(61,'Transfer Engine'!$C$2:$C$679,0)))</f>
        <v/>
      </c>
      <c r="L70" s="8">
        <f>IF(ISNA(MATCH(61,'Transfer Engine'!$C$2:$C$679,0)),"",INDEX('Compliance Database'!$L$2:$L$679,MATCH(61,'Transfer Engine'!$C$2:$C$679,0)))</f>
        <v/>
      </c>
      <c r="M70" s="8">
        <f>IF(ISNA(MATCH(61,'Transfer Engine'!$C$2:$C$679,0)),"",INDEX('Compliance Database'!$M$2:$M$679,MATCH(61,'Transfer Engine'!$C$2:$C$679,0)))</f>
        <v/>
      </c>
      <c r="N70" s="8">
        <f>IF(ISNA(MATCH(61,'Transfer Engine'!$C$2:$C$679,0)),"",INDEX('Compliance Database'!$N$2:$N$679,MATCH(61,'Transfer Engine'!$C$2:$C$679,0)))</f>
        <v/>
      </c>
      <c r="O70" s="8">
        <f>IF(ISNA(MATCH(61,'Transfer Engine'!$C$2:$C$679,0)),"",INDEX('Compliance Database'!$O$2:$O$679,MATCH(61,'Transfer Engine'!$C$2:$C$679,0)))</f>
        <v/>
      </c>
      <c r="P70">
        <f>IF(ISNA(MATCH(61,'Transfer Engine'!$C$2:$C$679,0)),"",HYPERLINK(INDEX('Compliance Database'!$P$2:$P$679,MATCH(61,'Transfer Engine'!$C$2:$C$679,0)),"Open PDF"))</f>
        <v/>
      </c>
    </row>
    <row r="71">
      <c r="A71">
        <f>IF(ISNA(MATCH(62,'Transfer Engine'!$C$2:$C$679,0)),"",INDEX('Compliance Database'!$A$2:$A$679,MATCH(62,'Transfer Engine'!$C$2:$C$679,0)))</f>
        <v/>
      </c>
      <c r="B71">
        <f>IF(ISNA(MATCH(62,'Transfer Engine'!$C$2:$C$679,0)),"",INDEX('Compliance Database'!$B$2:$B$679,MATCH(62,'Transfer Engine'!$C$2:$C$679,0)))</f>
        <v/>
      </c>
      <c r="C71">
        <f>IF(ISNA(MATCH(62,'Transfer Engine'!$C$2:$C$679,0)),"",INDEX('Compliance Database'!$C$2:$C$679,MATCH(62,'Transfer Engine'!$C$2:$C$679,0)))</f>
        <v/>
      </c>
      <c r="D71" s="8">
        <f>IF(ISNA(MATCH(62,'Transfer Engine'!$C$2:$C$679,0)),"",INDEX('Compliance Database'!$D$2:$D$679,MATCH(62,'Transfer Engine'!$C$2:$C$679,0)))</f>
        <v/>
      </c>
      <c r="E71">
        <f>IF(ISNA(MATCH(62,'Transfer Engine'!$C$2:$C$679,0)),"",INDEX('Compliance Database'!$E$2:$E$679,MATCH(62,'Transfer Engine'!$C$2:$C$679,0)))</f>
        <v/>
      </c>
      <c r="F71">
        <f>IF(ISNA(MATCH(62,'Transfer Engine'!$C$2:$C$679,0)),"",INDEX('Compliance Database'!$F$2:$F$679,MATCH(62,'Transfer Engine'!$C$2:$C$679,0)))</f>
        <v/>
      </c>
      <c r="G71">
        <f>IF(ISNA(MATCH(62,'Transfer Engine'!$C$2:$C$679,0)),"",INDEX('Compliance Database'!$G$2:$G$679,MATCH(62,'Transfer Engine'!$C$2:$C$679,0)))</f>
        <v/>
      </c>
      <c r="H71">
        <f>IF(ISNA(MATCH(62,'Transfer Engine'!$C$2:$C$679,0)),"",INDEX('Compliance Database'!$H$2:$H$679,MATCH(62,'Transfer Engine'!$C$2:$C$679,0)))</f>
        <v/>
      </c>
      <c r="I71" s="8">
        <f>IF(ISNA(MATCH(62,'Transfer Engine'!$C$2:$C$679,0)),"",INDEX('Compliance Database'!$I$2:$I$679,MATCH(62,'Transfer Engine'!$C$2:$C$679,0)))</f>
        <v/>
      </c>
      <c r="J71" s="8">
        <f>IF(ISNA(MATCH(62,'Transfer Engine'!$C$2:$C$679,0)),"",INDEX('Compliance Database'!$J$2:$J$679,MATCH(62,'Transfer Engine'!$C$2:$C$679,0)))</f>
        <v/>
      </c>
      <c r="K71">
        <f>IF(ISNA(MATCH(62,'Transfer Engine'!$C$2:$C$679,0)),"",INDEX('Compliance Database'!$K$2:$K$679,MATCH(62,'Transfer Engine'!$C$2:$C$679,0)))</f>
        <v/>
      </c>
      <c r="L71" s="8">
        <f>IF(ISNA(MATCH(62,'Transfer Engine'!$C$2:$C$679,0)),"",INDEX('Compliance Database'!$L$2:$L$679,MATCH(62,'Transfer Engine'!$C$2:$C$679,0)))</f>
        <v/>
      </c>
      <c r="M71" s="8">
        <f>IF(ISNA(MATCH(62,'Transfer Engine'!$C$2:$C$679,0)),"",INDEX('Compliance Database'!$M$2:$M$679,MATCH(62,'Transfer Engine'!$C$2:$C$679,0)))</f>
        <v/>
      </c>
      <c r="N71" s="8">
        <f>IF(ISNA(MATCH(62,'Transfer Engine'!$C$2:$C$679,0)),"",INDEX('Compliance Database'!$N$2:$N$679,MATCH(62,'Transfer Engine'!$C$2:$C$679,0)))</f>
        <v/>
      </c>
      <c r="O71" s="8">
        <f>IF(ISNA(MATCH(62,'Transfer Engine'!$C$2:$C$679,0)),"",INDEX('Compliance Database'!$O$2:$O$679,MATCH(62,'Transfer Engine'!$C$2:$C$679,0)))</f>
        <v/>
      </c>
      <c r="P71">
        <f>IF(ISNA(MATCH(62,'Transfer Engine'!$C$2:$C$679,0)),"",HYPERLINK(INDEX('Compliance Database'!$P$2:$P$679,MATCH(62,'Transfer Engine'!$C$2:$C$679,0)),"Open PDF"))</f>
        <v/>
      </c>
    </row>
    <row r="72">
      <c r="A72">
        <f>IF(ISNA(MATCH(63,'Transfer Engine'!$C$2:$C$679,0)),"",INDEX('Compliance Database'!$A$2:$A$679,MATCH(63,'Transfer Engine'!$C$2:$C$679,0)))</f>
        <v/>
      </c>
      <c r="B72">
        <f>IF(ISNA(MATCH(63,'Transfer Engine'!$C$2:$C$679,0)),"",INDEX('Compliance Database'!$B$2:$B$679,MATCH(63,'Transfer Engine'!$C$2:$C$679,0)))</f>
        <v/>
      </c>
      <c r="C72">
        <f>IF(ISNA(MATCH(63,'Transfer Engine'!$C$2:$C$679,0)),"",INDEX('Compliance Database'!$C$2:$C$679,MATCH(63,'Transfer Engine'!$C$2:$C$679,0)))</f>
        <v/>
      </c>
      <c r="D72" s="8">
        <f>IF(ISNA(MATCH(63,'Transfer Engine'!$C$2:$C$679,0)),"",INDEX('Compliance Database'!$D$2:$D$679,MATCH(63,'Transfer Engine'!$C$2:$C$679,0)))</f>
        <v/>
      </c>
      <c r="E72">
        <f>IF(ISNA(MATCH(63,'Transfer Engine'!$C$2:$C$679,0)),"",INDEX('Compliance Database'!$E$2:$E$679,MATCH(63,'Transfer Engine'!$C$2:$C$679,0)))</f>
        <v/>
      </c>
      <c r="F72">
        <f>IF(ISNA(MATCH(63,'Transfer Engine'!$C$2:$C$679,0)),"",INDEX('Compliance Database'!$F$2:$F$679,MATCH(63,'Transfer Engine'!$C$2:$C$679,0)))</f>
        <v/>
      </c>
      <c r="G72">
        <f>IF(ISNA(MATCH(63,'Transfer Engine'!$C$2:$C$679,0)),"",INDEX('Compliance Database'!$G$2:$G$679,MATCH(63,'Transfer Engine'!$C$2:$C$679,0)))</f>
        <v/>
      </c>
      <c r="H72">
        <f>IF(ISNA(MATCH(63,'Transfer Engine'!$C$2:$C$679,0)),"",INDEX('Compliance Database'!$H$2:$H$679,MATCH(63,'Transfer Engine'!$C$2:$C$679,0)))</f>
        <v/>
      </c>
      <c r="I72" s="8">
        <f>IF(ISNA(MATCH(63,'Transfer Engine'!$C$2:$C$679,0)),"",INDEX('Compliance Database'!$I$2:$I$679,MATCH(63,'Transfer Engine'!$C$2:$C$679,0)))</f>
        <v/>
      </c>
      <c r="J72" s="8">
        <f>IF(ISNA(MATCH(63,'Transfer Engine'!$C$2:$C$679,0)),"",INDEX('Compliance Database'!$J$2:$J$679,MATCH(63,'Transfer Engine'!$C$2:$C$679,0)))</f>
        <v/>
      </c>
      <c r="K72">
        <f>IF(ISNA(MATCH(63,'Transfer Engine'!$C$2:$C$679,0)),"",INDEX('Compliance Database'!$K$2:$K$679,MATCH(63,'Transfer Engine'!$C$2:$C$679,0)))</f>
        <v/>
      </c>
      <c r="L72" s="8">
        <f>IF(ISNA(MATCH(63,'Transfer Engine'!$C$2:$C$679,0)),"",INDEX('Compliance Database'!$L$2:$L$679,MATCH(63,'Transfer Engine'!$C$2:$C$679,0)))</f>
        <v/>
      </c>
      <c r="M72" s="8">
        <f>IF(ISNA(MATCH(63,'Transfer Engine'!$C$2:$C$679,0)),"",INDEX('Compliance Database'!$M$2:$M$679,MATCH(63,'Transfer Engine'!$C$2:$C$679,0)))</f>
        <v/>
      </c>
      <c r="N72" s="8">
        <f>IF(ISNA(MATCH(63,'Transfer Engine'!$C$2:$C$679,0)),"",INDEX('Compliance Database'!$N$2:$N$679,MATCH(63,'Transfer Engine'!$C$2:$C$679,0)))</f>
        <v/>
      </c>
      <c r="O72" s="8">
        <f>IF(ISNA(MATCH(63,'Transfer Engine'!$C$2:$C$679,0)),"",INDEX('Compliance Database'!$O$2:$O$679,MATCH(63,'Transfer Engine'!$C$2:$C$679,0)))</f>
        <v/>
      </c>
      <c r="P72">
        <f>IF(ISNA(MATCH(63,'Transfer Engine'!$C$2:$C$679,0)),"",HYPERLINK(INDEX('Compliance Database'!$P$2:$P$679,MATCH(63,'Transfer Engine'!$C$2:$C$679,0)),"Open PDF"))</f>
        <v/>
      </c>
    </row>
    <row r="73">
      <c r="A73">
        <f>IF(ISNA(MATCH(64,'Transfer Engine'!$C$2:$C$679,0)),"",INDEX('Compliance Database'!$A$2:$A$679,MATCH(64,'Transfer Engine'!$C$2:$C$679,0)))</f>
        <v/>
      </c>
      <c r="B73">
        <f>IF(ISNA(MATCH(64,'Transfer Engine'!$C$2:$C$679,0)),"",INDEX('Compliance Database'!$B$2:$B$679,MATCH(64,'Transfer Engine'!$C$2:$C$679,0)))</f>
        <v/>
      </c>
      <c r="C73">
        <f>IF(ISNA(MATCH(64,'Transfer Engine'!$C$2:$C$679,0)),"",INDEX('Compliance Database'!$C$2:$C$679,MATCH(64,'Transfer Engine'!$C$2:$C$679,0)))</f>
        <v/>
      </c>
      <c r="D73" s="8">
        <f>IF(ISNA(MATCH(64,'Transfer Engine'!$C$2:$C$679,0)),"",INDEX('Compliance Database'!$D$2:$D$679,MATCH(64,'Transfer Engine'!$C$2:$C$679,0)))</f>
        <v/>
      </c>
      <c r="E73">
        <f>IF(ISNA(MATCH(64,'Transfer Engine'!$C$2:$C$679,0)),"",INDEX('Compliance Database'!$E$2:$E$679,MATCH(64,'Transfer Engine'!$C$2:$C$679,0)))</f>
        <v/>
      </c>
      <c r="F73">
        <f>IF(ISNA(MATCH(64,'Transfer Engine'!$C$2:$C$679,0)),"",INDEX('Compliance Database'!$F$2:$F$679,MATCH(64,'Transfer Engine'!$C$2:$C$679,0)))</f>
        <v/>
      </c>
      <c r="G73">
        <f>IF(ISNA(MATCH(64,'Transfer Engine'!$C$2:$C$679,0)),"",INDEX('Compliance Database'!$G$2:$G$679,MATCH(64,'Transfer Engine'!$C$2:$C$679,0)))</f>
        <v/>
      </c>
      <c r="H73">
        <f>IF(ISNA(MATCH(64,'Transfer Engine'!$C$2:$C$679,0)),"",INDEX('Compliance Database'!$H$2:$H$679,MATCH(64,'Transfer Engine'!$C$2:$C$679,0)))</f>
        <v/>
      </c>
      <c r="I73" s="8">
        <f>IF(ISNA(MATCH(64,'Transfer Engine'!$C$2:$C$679,0)),"",INDEX('Compliance Database'!$I$2:$I$679,MATCH(64,'Transfer Engine'!$C$2:$C$679,0)))</f>
        <v/>
      </c>
      <c r="J73" s="8">
        <f>IF(ISNA(MATCH(64,'Transfer Engine'!$C$2:$C$679,0)),"",INDEX('Compliance Database'!$J$2:$J$679,MATCH(64,'Transfer Engine'!$C$2:$C$679,0)))</f>
        <v/>
      </c>
      <c r="K73">
        <f>IF(ISNA(MATCH(64,'Transfer Engine'!$C$2:$C$679,0)),"",INDEX('Compliance Database'!$K$2:$K$679,MATCH(64,'Transfer Engine'!$C$2:$C$679,0)))</f>
        <v/>
      </c>
      <c r="L73" s="8">
        <f>IF(ISNA(MATCH(64,'Transfer Engine'!$C$2:$C$679,0)),"",INDEX('Compliance Database'!$L$2:$L$679,MATCH(64,'Transfer Engine'!$C$2:$C$679,0)))</f>
        <v/>
      </c>
      <c r="M73" s="8">
        <f>IF(ISNA(MATCH(64,'Transfer Engine'!$C$2:$C$679,0)),"",INDEX('Compliance Database'!$M$2:$M$679,MATCH(64,'Transfer Engine'!$C$2:$C$679,0)))</f>
        <v/>
      </c>
      <c r="N73" s="8">
        <f>IF(ISNA(MATCH(64,'Transfer Engine'!$C$2:$C$679,0)),"",INDEX('Compliance Database'!$N$2:$N$679,MATCH(64,'Transfer Engine'!$C$2:$C$679,0)))</f>
        <v/>
      </c>
      <c r="O73" s="8">
        <f>IF(ISNA(MATCH(64,'Transfer Engine'!$C$2:$C$679,0)),"",INDEX('Compliance Database'!$O$2:$O$679,MATCH(64,'Transfer Engine'!$C$2:$C$679,0)))</f>
        <v/>
      </c>
      <c r="P73">
        <f>IF(ISNA(MATCH(64,'Transfer Engine'!$C$2:$C$679,0)),"",HYPERLINK(INDEX('Compliance Database'!$P$2:$P$679,MATCH(64,'Transfer Engine'!$C$2:$C$679,0)),"Open PDF"))</f>
        <v/>
      </c>
    </row>
    <row r="74">
      <c r="A74">
        <f>IF(ISNA(MATCH(65,'Transfer Engine'!$C$2:$C$679,0)),"",INDEX('Compliance Database'!$A$2:$A$679,MATCH(65,'Transfer Engine'!$C$2:$C$679,0)))</f>
        <v/>
      </c>
      <c r="B74">
        <f>IF(ISNA(MATCH(65,'Transfer Engine'!$C$2:$C$679,0)),"",INDEX('Compliance Database'!$B$2:$B$679,MATCH(65,'Transfer Engine'!$C$2:$C$679,0)))</f>
        <v/>
      </c>
      <c r="C74">
        <f>IF(ISNA(MATCH(65,'Transfer Engine'!$C$2:$C$679,0)),"",INDEX('Compliance Database'!$C$2:$C$679,MATCH(65,'Transfer Engine'!$C$2:$C$679,0)))</f>
        <v/>
      </c>
      <c r="D74" s="8">
        <f>IF(ISNA(MATCH(65,'Transfer Engine'!$C$2:$C$679,0)),"",INDEX('Compliance Database'!$D$2:$D$679,MATCH(65,'Transfer Engine'!$C$2:$C$679,0)))</f>
        <v/>
      </c>
      <c r="E74">
        <f>IF(ISNA(MATCH(65,'Transfer Engine'!$C$2:$C$679,0)),"",INDEX('Compliance Database'!$E$2:$E$679,MATCH(65,'Transfer Engine'!$C$2:$C$679,0)))</f>
        <v/>
      </c>
      <c r="F74">
        <f>IF(ISNA(MATCH(65,'Transfer Engine'!$C$2:$C$679,0)),"",INDEX('Compliance Database'!$F$2:$F$679,MATCH(65,'Transfer Engine'!$C$2:$C$679,0)))</f>
        <v/>
      </c>
      <c r="G74">
        <f>IF(ISNA(MATCH(65,'Transfer Engine'!$C$2:$C$679,0)),"",INDEX('Compliance Database'!$G$2:$G$679,MATCH(65,'Transfer Engine'!$C$2:$C$679,0)))</f>
        <v/>
      </c>
      <c r="H74">
        <f>IF(ISNA(MATCH(65,'Transfer Engine'!$C$2:$C$679,0)),"",INDEX('Compliance Database'!$H$2:$H$679,MATCH(65,'Transfer Engine'!$C$2:$C$679,0)))</f>
        <v/>
      </c>
      <c r="I74" s="8">
        <f>IF(ISNA(MATCH(65,'Transfer Engine'!$C$2:$C$679,0)),"",INDEX('Compliance Database'!$I$2:$I$679,MATCH(65,'Transfer Engine'!$C$2:$C$679,0)))</f>
        <v/>
      </c>
      <c r="J74" s="8">
        <f>IF(ISNA(MATCH(65,'Transfer Engine'!$C$2:$C$679,0)),"",INDEX('Compliance Database'!$J$2:$J$679,MATCH(65,'Transfer Engine'!$C$2:$C$679,0)))</f>
        <v/>
      </c>
      <c r="K74">
        <f>IF(ISNA(MATCH(65,'Transfer Engine'!$C$2:$C$679,0)),"",INDEX('Compliance Database'!$K$2:$K$679,MATCH(65,'Transfer Engine'!$C$2:$C$679,0)))</f>
        <v/>
      </c>
      <c r="L74" s="8">
        <f>IF(ISNA(MATCH(65,'Transfer Engine'!$C$2:$C$679,0)),"",INDEX('Compliance Database'!$L$2:$L$679,MATCH(65,'Transfer Engine'!$C$2:$C$679,0)))</f>
        <v/>
      </c>
      <c r="M74" s="8">
        <f>IF(ISNA(MATCH(65,'Transfer Engine'!$C$2:$C$679,0)),"",INDEX('Compliance Database'!$M$2:$M$679,MATCH(65,'Transfer Engine'!$C$2:$C$679,0)))</f>
        <v/>
      </c>
      <c r="N74" s="8">
        <f>IF(ISNA(MATCH(65,'Transfer Engine'!$C$2:$C$679,0)),"",INDEX('Compliance Database'!$N$2:$N$679,MATCH(65,'Transfer Engine'!$C$2:$C$679,0)))</f>
        <v/>
      </c>
      <c r="O74" s="8">
        <f>IF(ISNA(MATCH(65,'Transfer Engine'!$C$2:$C$679,0)),"",INDEX('Compliance Database'!$O$2:$O$679,MATCH(65,'Transfer Engine'!$C$2:$C$679,0)))</f>
        <v/>
      </c>
      <c r="P74">
        <f>IF(ISNA(MATCH(65,'Transfer Engine'!$C$2:$C$679,0)),"",HYPERLINK(INDEX('Compliance Database'!$P$2:$P$679,MATCH(65,'Transfer Engine'!$C$2:$C$679,0)),"Open PDF"))</f>
        <v/>
      </c>
    </row>
    <row r="75">
      <c r="A75">
        <f>IF(ISNA(MATCH(66,'Transfer Engine'!$C$2:$C$679,0)),"",INDEX('Compliance Database'!$A$2:$A$679,MATCH(66,'Transfer Engine'!$C$2:$C$679,0)))</f>
        <v/>
      </c>
      <c r="B75">
        <f>IF(ISNA(MATCH(66,'Transfer Engine'!$C$2:$C$679,0)),"",INDEX('Compliance Database'!$B$2:$B$679,MATCH(66,'Transfer Engine'!$C$2:$C$679,0)))</f>
        <v/>
      </c>
      <c r="C75">
        <f>IF(ISNA(MATCH(66,'Transfer Engine'!$C$2:$C$679,0)),"",INDEX('Compliance Database'!$C$2:$C$679,MATCH(66,'Transfer Engine'!$C$2:$C$679,0)))</f>
        <v/>
      </c>
      <c r="D75" s="8">
        <f>IF(ISNA(MATCH(66,'Transfer Engine'!$C$2:$C$679,0)),"",INDEX('Compliance Database'!$D$2:$D$679,MATCH(66,'Transfer Engine'!$C$2:$C$679,0)))</f>
        <v/>
      </c>
      <c r="E75">
        <f>IF(ISNA(MATCH(66,'Transfer Engine'!$C$2:$C$679,0)),"",INDEX('Compliance Database'!$E$2:$E$679,MATCH(66,'Transfer Engine'!$C$2:$C$679,0)))</f>
        <v/>
      </c>
      <c r="F75">
        <f>IF(ISNA(MATCH(66,'Transfer Engine'!$C$2:$C$679,0)),"",INDEX('Compliance Database'!$F$2:$F$679,MATCH(66,'Transfer Engine'!$C$2:$C$679,0)))</f>
        <v/>
      </c>
      <c r="G75">
        <f>IF(ISNA(MATCH(66,'Transfer Engine'!$C$2:$C$679,0)),"",INDEX('Compliance Database'!$G$2:$G$679,MATCH(66,'Transfer Engine'!$C$2:$C$679,0)))</f>
        <v/>
      </c>
      <c r="H75">
        <f>IF(ISNA(MATCH(66,'Transfer Engine'!$C$2:$C$679,0)),"",INDEX('Compliance Database'!$H$2:$H$679,MATCH(66,'Transfer Engine'!$C$2:$C$679,0)))</f>
        <v/>
      </c>
      <c r="I75" s="8">
        <f>IF(ISNA(MATCH(66,'Transfer Engine'!$C$2:$C$679,0)),"",INDEX('Compliance Database'!$I$2:$I$679,MATCH(66,'Transfer Engine'!$C$2:$C$679,0)))</f>
        <v/>
      </c>
      <c r="J75" s="8">
        <f>IF(ISNA(MATCH(66,'Transfer Engine'!$C$2:$C$679,0)),"",INDEX('Compliance Database'!$J$2:$J$679,MATCH(66,'Transfer Engine'!$C$2:$C$679,0)))</f>
        <v/>
      </c>
      <c r="K75">
        <f>IF(ISNA(MATCH(66,'Transfer Engine'!$C$2:$C$679,0)),"",INDEX('Compliance Database'!$K$2:$K$679,MATCH(66,'Transfer Engine'!$C$2:$C$679,0)))</f>
        <v/>
      </c>
      <c r="L75" s="8">
        <f>IF(ISNA(MATCH(66,'Transfer Engine'!$C$2:$C$679,0)),"",INDEX('Compliance Database'!$L$2:$L$679,MATCH(66,'Transfer Engine'!$C$2:$C$679,0)))</f>
        <v/>
      </c>
      <c r="M75" s="8">
        <f>IF(ISNA(MATCH(66,'Transfer Engine'!$C$2:$C$679,0)),"",INDEX('Compliance Database'!$M$2:$M$679,MATCH(66,'Transfer Engine'!$C$2:$C$679,0)))</f>
        <v/>
      </c>
      <c r="N75" s="8">
        <f>IF(ISNA(MATCH(66,'Transfer Engine'!$C$2:$C$679,0)),"",INDEX('Compliance Database'!$N$2:$N$679,MATCH(66,'Transfer Engine'!$C$2:$C$679,0)))</f>
        <v/>
      </c>
      <c r="O75" s="8">
        <f>IF(ISNA(MATCH(66,'Transfer Engine'!$C$2:$C$679,0)),"",INDEX('Compliance Database'!$O$2:$O$679,MATCH(66,'Transfer Engine'!$C$2:$C$679,0)))</f>
        <v/>
      </c>
      <c r="P75">
        <f>IF(ISNA(MATCH(66,'Transfer Engine'!$C$2:$C$679,0)),"",HYPERLINK(INDEX('Compliance Database'!$P$2:$P$679,MATCH(66,'Transfer Engine'!$C$2:$C$679,0)),"Open PDF"))</f>
        <v/>
      </c>
    </row>
    <row r="76">
      <c r="A76">
        <f>IF(ISNA(MATCH(67,'Transfer Engine'!$C$2:$C$679,0)),"",INDEX('Compliance Database'!$A$2:$A$679,MATCH(67,'Transfer Engine'!$C$2:$C$679,0)))</f>
        <v/>
      </c>
      <c r="B76">
        <f>IF(ISNA(MATCH(67,'Transfer Engine'!$C$2:$C$679,0)),"",INDEX('Compliance Database'!$B$2:$B$679,MATCH(67,'Transfer Engine'!$C$2:$C$679,0)))</f>
        <v/>
      </c>
      <c r="C76">
        <f>IF(ISNA(MATCH(67,'Transfer Engine'!$C$2:$C$679,0)),"",INDEX('Compliance Database'!$C$2:$C$679,MATCH(67,'Transfer Engine'!$C$2:$C$679,0)))</f>
        <v/>
      </c>
      <c r="D76" s="8">
        <f>IF(ISNA(MATCH(67,'Transfer Engine'!$C$2:$C$679,0)),"",INDEX('Compliance Database'!$D$2:$D$679,MATCH(67,'Transfer Engine'!$C$2:$C$679,0)))</f>
        <v/>
      </c>
      <c r="E76">
        <f>IF(ISNA(MATCH(67,'Transfer Engine'!$C$2:$C$679,0)),"",INDEX('Compliance Database'!$E$2:$E$679,MATCH(67,'Transfer Engine'!$C$2:$C$679,0)))</f>
        <v/>
      </c>
      <c r="F76">
        <f>IF(ISNA(MATCH(67,'Transfer Engine'!$C$2:$C$679,0)),"",INDEX('Compliance Database'!$F$2:$F$679,MATCH(67,'Transfer Engine'!$C$2:$C$679,0)))</f>
        <v/>
      </c>
      <c r="G76">
        <f>IF(ISNA(MATCH(67,'Transfer Engine'!$C$2:$C$679,0)),"",INDEX('Compliance Database'!$G$2:$G$679,MATCH(67,'Transfer Engine'!$C$2:$C$679,0)))</f>
        <v/>
      </c>
      <c r="H76">
        <f>IF(ISNA(MATCH(67,'Transfer Engine'!$C$2:$C$679,0)),"",INDEX('Compliance Database'!$H$2:$H$679,MATCH(67,'Transfer Engine'!$C$2:$C$679,0)))</f>
        <v/>
      </c>
      <c r="I76" s="8">
        <f>IF(ISNA(MATCH(67,'Transfer Engine'!$C$2:$C$679,0)),"",INDEX('Compliance Database'!$I$2:$I$679,MATCH(67,'Transfer Engine'!$C$2:$C$679,0)))</f>
        <v/>
      </c>
      <c r="J76" s="8">
        <f>IF(ISNA(MATCH(67,'Transfer Engine'!$C$2:$C$679,0)),"",INDEX('Compliance Database'!$J$2:$J$679,MATCH(67,'Transfer Engine'!$C$2:$C$679,0)))</f>
        <v/>
      </c>
      <c r="K76">
        <f>IF(ISNA(MATCH(67,'Transfer Engine'!$C$2:$C$679,0)),"",INDEX('Compliance Database'!$K$2:$K$679,MATCH(67,'Transfer Engine'!$C$2:$C$679,0)))</f>
        <v/>
      </c>
      <c r="L76" s="8">
        <f>IF(ISNA(MATCH(67,'Transfer Engine'!$C$2:$C$679,0)),"",INDEX('Compliance Database'!$L$2:$L$679,MATCH(67,'Transfer Engine'!$C$2:$C$679,0)))</f>
        <v/>
      </c>
      <c r="M76" s="8">
        <f>IF(ISNA(MATCH(67,'Transfer Engine'!$C$2:$C$679,0)),"",INDEX('Compliance Database'!$M$2:$M$679,MATCH(67,'Transfer Engine'!$C$2:$C$679,0)))</f>
        <v/>
      </c>
      <c r="N76" s="8">
        <f>IF(ISNA(MATCH(67,'Transfer Engine'!$C$2:$C$679,0)),"",INDEX('Compliance Database'!$N$2:$N$679,MATCH(67,'Transfer Engine'!$C$2:$C$679,0)))</f>
        <v/>
      </c>
      <c r="O76" s="8">
        <f>IF(ISNA(MATCH(67,'Transfer Engine'!$C$2:$C$679,0)),"",INDEX('Compliance Database'!$O$2:$O$679,MATCH(67,'Transfer Engine'!$C$2:$C$679,0)))</f>
        <v/>
      </c>
      <c r="P76">
        <f>IF(ISNA(MATCH(67,'Transfer Engine'!$C$2:$C$679,0)),"",HYPERLINK(INDEX('Compliance Database'!$P$2:$P$679,MATCH(67,'Transfer Engine'!$C$2:$C$679,0)),"Open PDF"))</f>
        <v/>
      </c>
    </row>
    <row r="77">
      <c r="A77">
        <f>IF(ISNA(MATCH(68,'Transfer Engine'!$C$2:$C$679,0)),"",INDEX('Compliance Database'!$A$2:$A$679,MATCH(68,'Transfer Engine'!$C$2:$C$679,0)))</f>
        <v/>
      </c>
      <c r="B77">
        <f>IF(ISNA(MATCH(68,'Transfer Engine'!$C$2:$C$679,0)),"",INDEX('Compliance Database'!$B$2:$B$679,MATCH(68,'Transfer Engine'!$C$2:$C$679,0)))</f>
        <v/>
      </c>
      <c r="C77">
        <f>IF(ISNA(MATCH(68,'Transfer Engine'!$C$2:$C$679,0)),"",INDEX('Compliance Database'!$C$2:$C$679,MATCH(68,'Transfer Engine'!$C$2:$C$679,0)))</f>
        <v/>
      </c>
      <c r="D77" s="8">
        <f>IF(ISNA(MATCH(68,'Transfer Engine'!$C$2:$C$679,0)),"",INDEX('Compliance Database'!$D$2:$D$679,MATCH(68,'Transfer Engine'!$C$2:$C$679,0)))</f>
        <v/>
      </c>
      <c r="E77">
        <f>IF(ISNA(MATCH(68,'Transfer Engine'!$C$2:$C$679,0)),"",INDEX('Compliance Database'!$E$2:$E$679,MATCH(68,'Transfer Engine'!$C$2:$C$679,0)))</f>
        <v/>
      </c>
      <c r="F77">
        <f>IF(ISNA(MATCH(68,'Transfer Engine'!$C$2:$C$679,0)),"",INDEX('Compliance Database'!$F$2:$F$679,MATCH(68,'Transfer Engine'!$C$2:$C$679,0)))</f>
        <v/>
      </c>
      <c r="G77">
        <f>IF(ISNA(MATCH(68,'Transfer Engine'!$C$2:$C$679,0)),"",INDEX('Compliance Database'!$G$2:$G$679,MATCH(68,'Transfer Engine'!$C$2:$C$679,0)))</f>
        <v/>
      </c>
      <c r="H77">
        <f>IF(ISNA(MATCH(68,'Transfer Engine'!$C$2:$C$679,0)),"",INDEX('Compliance Database'!$H$2:$H$679,MATCH(68,'Transfer Engine'!$C$2:$C$679,0)))</f>
        <v/>
      </c>
      <c r="I77" s="8">
        <f>IF(ISNA(MATCH(68,'Transfer Engine'!$C$2:$C$679,0)),"",INDEX('Compliance Database'!$I$2:$I$679,MATCH(68,'Transfer Engine'!$C$2:$C$679,0)))</f>
        <v/>
      </c>
      <c r="J77" s="8">
        <f>IF(ISNA(MATCH(68,'Transfer Engine'!$C$2:$C$679,0)),"",INDEX('Compliance Database'!$J$2:$J$679,MATCH(68,'Transfer Engine'!$C$2:$C$679,0)))</f>
        <v/>
      </c>
      <c r="K77">
        <f>IF(ISNA(MATCH(68,'Transfer Engine'!$C$2:$C$679,0)),"",INDEX('Compliance Database'!$K$2:$K$679,MATCH(68,'Transfer Engine'!$C$2:$C$679,0)))</f>
        <v/>
      </c>
      <c r="L77" s="8">
        <f>IF(ISNA(MATCH(68,'Transfer Engine'!$C$2:$C$679,0)),"",INDEX('Compliance Database'!$L$2:$L$679,MATCH(68,'Transfer Engine'!$C$2:$C$679,0)))</f>
        <v/>
      </c>
      <c r="M77" s="8">
        <f>IF(ISNA(MATCH(68,'Transfer Engine'!$C$2:$C$679,0)),"",INDEX('Compliance Database'!$M$2:$M$679,MATCH(68,'Transfer Engine'!$C$2:$C$679,0)))</f>
        <v/>
      </c>
      <c r="N77" s="8">
        <f>IF(ISNA(MATCH(68,'Transfer Engine'!$C$2:$C$679,0)),"",INDEX('Compliance Database'!$N$2:$N$679,MATCH(68,'Transfer Engine'!$C$2:$C$679,0)))</f>
        <v/>
      </c>
      <c r="O77" s="8">
        <f>IF(ISNA(MATCH(68,'Transfer Engine'!$C$2:$C$679,0)),"",INDEX('Compliance Database'!$O$2:$O$679,MATCH(68,'Transfer Engine'!$C$2:$C$679,0)))</f>
        <v/>
      </c>
      <c r="P77">
        <f>IF(ISNA(MATCH(68,'Transfer Engine'!$C$2:$C$679,0)),"",HYPERLINK(INDEX('Compliance Database'!$P$2:$P$679,MATCH(68,'Transfer Engine'!$C$2:$C$679,0)),"Open PDF"))</f>
        <v/>
      </c>
    </row>
    <row r="78">
      <c r="A78">
        <f>IF(ISNA(MATCH(69,'Transfer Engine'!$C$2:$C$679,0)),"",INDEX('Compliance Database'!$A$2:$A$679,MATCH(69,'Transfer Engine'!$C$2:$C$679,0)))</f>
        <v/>
      </c>
      <c r="B78">
        <f>IF(ISNA(MATCH(69,'Transfer Engine'!$C$2:$C$679,0)),"",INDEX('Compliance Database'!$B$2:$B$679,MATCH(69,'Transfer Engine'!$C$2:$C$679,0)))</f>
        <v/>
      </c>
      <c r="C78">
        <f>IF(ISNA(MATCH(69,'Transfer Engine'!$C$2:$C$679,0)),"",INDEX('Compliance Database'!$C$2:$C$679,MATCH(69,'Transfer Engine'!$C$2:$C$679,0)))</f>
        <v/>
      </c>
      <c r="D78" s="8">
        <f>IF(ISNA(MATCH(69,'Transfer Engine'!$C$2:$C$679,0)),"",INDEX('Compliance Database'!$D$2:$D$679,MATCH(69,'Transfer Engine'!$C$2:$C$679,0)))</f>
        <v/>
      </c>
      <c r="E78">
        <f>IF(ISNA(MATCH(69,'Transfer Engine'!$C$2:$C$679,0)),"",INDEX('Compliance Database'!$E$2:$E$679,MATCH(69,'Transfer Engine'!$C$2:$C$679,0)))</f>
        <v/>
      </c>
      <c r="F78">
        <f>IF(ISNA(MATCH(69,'Transfer Engine'!$C$2:$C$679,0)),"",INDEX('Compliance Database'!$F$2:$F$679,MATCH(69,'Transfer Engine'!$C$2:$C$679,0)))</f>
        <v/>
      </c>
      <c r="G78">
        <f>IF(ISNA(MATCH(69,'Transfer Engine'!$C$2:$C$679,0)),"",INDEX('Compliance Database'!$G$2:$G$679,MATCH(69,'Transfer Engine'!$C$2:$C$679,0)))</f>
        <v/>
      </c>
      <c r="H78">
        <f>IF(ISNA(MATCH(69,'Transfer Engine'!$C$2:$C$679,0)),"",INDEX('Compliance Database'!$H$2:$H$679,MATCH(69,'Transfer Engine'!$C$2:$C$679,0)))</f>
        <v/>
      </c>
      <c r="I78" s="8">
        <f>IF(ISNA(MATCH(69,'Transfer Engine'!$C$2:$C$679,0)),"",INDEX('Compliance Database'!$I$2:$I$679,MATCH(69,'Transfer Engine'!$C$2:$C$679,0)))</f>
        <v/>
      </c>
      <c r="J78" s="8">
        <f>IF(ISNA(MATCH(69,'Transfer Engine'!$C$2:$C$679,0)),"",INDEX('Compliance Database'!$J$2:$J$679,MATCH(69,'Transfer Engine'!$C$2:$C$679,0)))</f>
        <v/>
      </c>
      <c r="K78">
        <f>IF(ISNA(MATCH(69,'Transfer Engine'!$C$2:$C$679,0)),"",INDEX('Compliance Database'!$K$2:$K$679,MATCH(69,'Transfer Engine'!$C$2:$C$679,0)))</f>
        <v/>
      </c>
      <c r="L78" s="8">
        <f>IF(ISNA(MATCH(69,'Transfer Engine'!$C$2:$C$679,0)),"",INDEX('Compliance Database'!$L$2:$L$679,MATCH(69,'Transfer Engine'!$C$2:$C$679,0)))</f>
        <v/>
      </c>
      <c r="M78" s="8">
        <f>IF(ISNA(MATCH(69,'Transfer Engine'!$C$2:$C$679,0)),"",INDEX('Compliance Database'!$M$2:$M$679,MATCH(69,'Transfer Engine'!$C$2:$C$679,0)))</f>
        <v/>
      </c>
      <c r="N78" s="8">
        <f>IF(ISNA(MATCH(69,'Transfer Engine'!$C$2:$C$679,0)),"",INDEX('Compliance Database'!$N$2:$N$679,MATCH(69,'Transfer Engine'!$C$2:$C$679,0)))</f>
        <v/>
      </c>
      <c r="O78" s="8">
        <f>IF(ISNA(MATCH(69,'Transfer Engine'!$C$2:$C$679,0)),"",INDEX('Compliance Database'!$O$2:$O$679,MATCH(69,'Transfer Engine'!$C$2:$C$679,0)))</f>
        <v/>
      </c>
      <c r="P78">
        <f>IF(ISNA(MATCH(69,'Transfer Engine'!$C$2:$C$679,0)),"",HYPERLINK(INDEX('Compliance Database'!$P$2:$P$679,MATCH(69,'Transfer Engine'!$C$2:$C$679,0)),"Open PDF"))</f>
        <v/>
      </c>
    </row>
    <row r="79">
      <c r="A79">
        <f>IF(ISNA(MATCH(70,'Transfer Engine'!$C$2:$C$679,0)),"",INDEX('Compliance Database'!$A$2:$A$679,MATCH(70,'Transfer Engine'!$C$2:$C$679,0)))</f>
        <v/>
      </c>
      <c r="B79">
        <f>IF(ISNA(MATCH(70,'Transfer Engine'!$C$2:$C$679,0)),"",INDEX('Compliance Database'!$B$2:$B$679,MATCH(70,'Transfer Engine'!$C$2:$C$679,0)))</f>
        <v/>
      </c>
      <c r="C79">
        <f>IF(ISNA(MATCH(70,'Transfer Engine'!$C$2:$C$679,0)),"",INDEX('Compliance Database'!$C$2:$C$679,MATCH(70,'Transfer Engine'!$C$2:$C$679,0)))</f>
        <v/>
      </c>
      <c r="D79" s="8">
        <f>IF(ISNA(MATCH(70,'Transfer Engine'!$C$2:$C$679,0)),"",INDEX('Compliance Database'!$D$2:$D$679,MATCH(70,'Transfer Engine'!$C$2:$C$679,0)))</f>
        <v/>
      </c>
      <c r="E79">
        <f>IF(ISNA(MATCH(70,'Transfer Engine'!$C$2:$C$679,0)),"",INDEX('Compliance Database'!$E$2:$E$679,MATCH(70,'Transfer Engine'!$C$2:$C$679,0)))</f>
        <v/>
      </c>
      <c r="F79">
        <f>IF(ISNA(MATCH(70,'Transfer Engine'!$C$2:$C$679,0)),"",INDEX('Compliance Database'!$F$2:$F$679,MATCH(70,'Transfer Engine'!$C$2:$C$679,0)))</f>
        <v/>
      </c>
      <c r="G79">
        <f>IF(ISNA(MATCH(70,'Transfer Engine'!$C$2:$C$679,0)),"",INDEX('Compliance Database'!$G$2:$G$679,MATCH(70,'Transfer Engine'!$C$2:$C$679,0)))</f>
        <v/>
      </c>
      <c r="H79">
        <f>IF(ISNA(MATCH(70,'Transfer Engine'!$C$2:$C$679,0)),"",INDEX('Compliance Database'!$H$2:$H$679,MATCH(70,'Transfer Engine'!$C$2:$C$679,0)))</f>
        <v/>
      </c>
      <c r="I79" s="8">
        <f>IF(ISNA(MATCH(70,'Transfer Engine'!$C$2:$C$679,0)),"",INDEX('Compliance Database'!$I$2:$I$679,MATCH(70,'Transfer Engine'!$C$2:$C$679,0)))</f>
        <v/>
      </c>
      <c r="J79" s="8">
        <f>IF(ISNA(MATCH(70,'Transfer Engine'!$C$2:$C$679,0)),"",INDEX('Compliance Database'!$J$2:$J$679,MATCH(70,'Transfer Engine'!$C$2:$C$679,0)))</f>
        <v/>
      </c>
      <c r="K79">
        <f>IF(ISNA(MATCH(70,'Transfer Engine'!$C$2:$C$679,0)),"",INDEX('Compliance Database'!$K$2:$K$679,MATCH(70,'Transfer Engine'!$C$2:$C$679,0)))</f>
        <v/>
      </c>
      <c r="L79" s="8">
        <f>IF(ISNA(MATCH(70,'Transfer Engine'!$C$2:$C$679,0)),"",INDEX('Compliance Database'!$L$2:$L$679,MATCH(70,'Transfer Engine'!$C$2:$C$679,0)))</f>
        <v/>
      </c>
      <c r="M79" s="8">
        <f>IF(ISNA(MATCH(70,'Transfer Engine'!$C$2:$C$679,0)),"",INDEX('Compliance Database'!$M$2:$M$679,MATCH(70,'Transfer Engine'!$C$2:$C$679,0)))</f>
        <v/>
      </c>
      <c r="N79" s="8">
        <f>IF(ISNA(MATCH(70,'Transfer Engine'!$C$2:$C$679,0)),"",INDEX('Compliance Database'!$N$2:$N$679,MATCH(70,'Transfer Engine'!$C$2:$C$679,0)))</f>
        <v/>
      </c>
      <c r="O79" s="8">
        <f>IF(ISNA(MATCH(70,'Transfer Engine'!$C$2:$C$679,0)),"",INDEX('Compliance Database'!$O$2:$O$679,MATCH(70,'Transfer Engine'!$C$2:$C$679,0)))</f>
        <v/>
      </c>
      <c r="P79">
        <f>IF(ISNA(MATCH(70,'Transfer Engine'!$C$2:$C$679,0)),"",HYPERLINK(INDEX('Compliance Database'!$P$2:$P$679,MATCH(70,'Transfer Engine'!$C$2:$C$679,0)),"Open PDF"))</f>
        <v/>
      </c>
    </row>
    <row r="80">
      <c r="A80">
        <f>IF(ISNA(MATCH(71,'Transfer Engine'!$C$2:$C$679,0)),"",INDEX('Compliance Database'!$A$2:$A$679,MATCH(71,'Transfer Engine'!$C$2:$C$679,0)))</f>
        <v/>
      </c>
      <c r="B80">
        <f>IF(ISNA(MATCH(71,'Transfer Engine'!$C$2:$C$679,0)),"",INDEX('Compliance Database'!$B$2:$B$679,MATCH(71,'Transfer Engine'!$C$2:$C$679,0)))</f>
        <v/>
      </c>
      <c r="C80">
        <f>IF(ISNA(MATCH(71,'Transfer Engine'!$C$2:$C$679,0)),"",INDEX('Compliance Database'!$C$2:$C$679,MATCH(71,'Transfer Engine'!$C$2:$C$679,0)))</f>
        <v/>
      </c>
      <c r="D80" s="8">
        <f>IF(ISNA(MATCH(71,'Transfer Engine'!$C$2:$C$679,0)),"",INDEX('Compliance Database'!$D$2:$D$679,MATCH(71,'Transfer Engine'!$C$2:$C$679,0)))</f>
        <v/>
      </c>
      <c r="E80">
        <f>IF(ISNA(MATCH(71,'Transfer Engine'!$C$2:$C$679,0)),"",INDEX('Compliance Database'!$E$2:$E$679,MATCH(71,'Transfer Engine'!$C$2:$C$679,0)))</f>
        <v/>
      </c>
      <c r="F80">
        <f>IF(ISNA(MATCH(71,'Transfer Engine'!$C$2:$C$679,0)),"",INDEX('Compliance Database'!$F$2:$F$679,MATCH(71,'Transfer Engine'!$C$2:$C$679,0)))</f>
        <v/>
      </c>
      <c r="G80">
        <f>IF(ISNA(MATCH(71,'Transfer Engine'!$C$2:$C$679,0)),"",INDEX('Compliance Database'!$G$2:$G$679,MATCH(71,'Transfer Engine'!$C$2:$C$679,0)))</f>
        <v/>
      </c>
      <c r="H80">
        <f>IF(ISNA(MATCH(71,'Transfer Engine'!$C$2:$C$679,0)),"",INDEX('Compliance Database'!$H$2:$H$679,MATCH(71,'Transfer Engine'!$C$2:$C$679,0)))</f>
        <v/>
      </c>
      <c r="I80" s="8">
        <f>IF(ISNA(MATCH(71,'Transfer Engine'!$C$2:$C$679,0)),"",INDEX('Compliance Database'!$I$2:$I$679,MATCH(71,'Transfer Engine'!$C$2:$C$679,0)))</f>
        <v/>
      </c>
      <c r="J80" s="8">
        <f>IF(ISNA(MATCH(71,'Transfer Engine'!$C$2:$C$679,0)),"",INDEX('Compliance Database'!$J$2:$J$679,MATCH(71,'Transfer Engine'!$C$2:$C$679,0)))</f>
        <v/>
      </c>
      <c r="K80">
        <f>IF(ISNA(MATCH(71,'Transfer Engine'!$C$2:$C$679,0)),"",INDEX('Compliance Database'!$K$2:$K$679,MATCH(71,'Transfer Engine'!$C$2:$C$679,0)))</f>
        <v/>
      </c>
      <c r="L80" s="8">
        <f>IF(ISNA(MATCH(71,'Transfer Engine'!$C$2:$C$679,0)),"",INDEX('Compliance Database'!$L$2:$L$679,MATCH(71,'Transfer Engine'!$C$2:$C$679,0)))</f>
        <v/>
      </c>
      <c r="M80" s="8">
        <f>IF(ISNA(MATCH(71,'Transfer Engine'!$C$2:$C$679,0)),"",INDEX('Compliance Database'!$M$2:$M$679,MATCH(71,'Transfer Engine'!$C$2:$C$679,0)))</f>
        <v/>
      </c>
      <c r="N80" s="8">
        <f>IF(ISNA(MATCH(71,'Transfer Engine'!$C$2:$C$679,0)),"",INDEX('Compliance Database'!$N$2:$N$679,MATCH(71,'Transfer Engine'!$C$2:$C$679,0)))</f>
        <v/>
      </c>
      <c r="O80" s="8">
        <f>IF(ISNA(MATCH(71,'Transfer Engine'!$C$2:$C$679,0)),"",INDEX('Compliance Database'!$O$2:$O$679,MATCH(71,'Transfer Engine'!$C$2:$C$679,0)))</f>
        <v/>
      </c>
      <c r="P80">
        <f>IF(ISNA(MATCH(71,'Transfer Engine'!$C$2:$C$679,0)),"",HYPERLINK(INDEX('Compliance Database'!$P$2:$P$679,MATCH(71,'Transfer Engine'!$C$2:$C$679,0)),"Open PDF"))</f>
        <v/>
      </c>
    </row>
    <row r="81">
      <c r="A81">
        <f>IF(ISNA(MATCH(72,'Transfer Engine'!$C$2:$C$679,0)),"",INDEX('Compliance Database'!$A$2:$A$679,MATCH(72,'Transfer Engine'!$C$2:$C$679,0)))</f>
        <v/>
      </c>
      <c r="B81">
        <f>IF(ISNA(MATCH(72,'Transfer Engine'!$C$2:$C$679,0)),"",INDEX('Compliance Database'!$B$2:$B$679,MATCH(72,'Transfer Engine'!$C$2:$C$679,0)))</f>
        <v/>
      </c>
      <c r="C81">
        <f>IF(ISNA(MATCH(72,'Transfer Engine'!$C$2:$C$679,0)),"",INDEX('Compliance Database'!$C$2:$C$679,MATCH(72,'Transfer Engine'!$C$2:$C$679,0)))</f>
        <v/>
      </c>
      <c r="D81" s="8">
        <f>IF(ISNA(MATCH(72,'Transfer Engine'!$C$2:$C$679,0)),"",INDEX('Compliance Database'!$D$2:$D$679,MATCH(72,'Transfer Engine'!$C$2:$C$679,0)))</f>
        <v/>
      </c>
      <c r="E81">
        <f>IF(ISNA(MATCH(72,'Transfer Engine'!$C$2:$C$679,0)),"",INDEX('Compliance Database'!$E$2:$E$679,MATCH(72,'Transfer Engine'!$C$2:$C$679,0)))</f>
        <v/>
      </c>
      <c r="F81">
        <f>IF(ISNA(MATCH(72,'Transfer Engine'!$C$2:$C$679,0)),"",INDEX('Compliance Database'!$F$2:$F$679,MATCH(72,'Transfer Engine'!$C$2:$C$679,0)))</f>
        <v/>
      </c>
      <c r="G81">
        <f>IF(ISNA(MATCH(72,'Transfer Engine'!$C$2:$C$679,0)),"",INDEX('Compliance Database'!$G$2:$G$679,MATCH(72,'Transfer Engine'!$C$2:$C$679,0)))</f>
        <v/>
      </c>
      <c r="H81">
        <f>IF(ISNA(MATCH(72,'Transfer Engine'!$C$2:$C$679,0)),"",INDEX('Compliance Database'!$H$2:$H$679,MATCH(72,'Transfer Engine'!$C$2:$C$679,0)))</f>
        <v/>
      </c>
      <c r="I81" s="8">
        <f>IF(ISNA(MATCH(72,'Transfer Engine'!$C$2:$C$679,0)),"",INDEX('Compliance Database'!$I$2:$I$679,MATCH(72,'Transfer Engine'!$C$2:$C$679,0)))</f>
        <v/>
      </c>
      <c r="J81" s="8">
        <f>IF(ISNA(MATCH(72,'Transfer Engine'!$C$2:$C$679,0)),"",INDEX('Compliance Database'!$J$2:$J$679,MATCH(72,'Transfer Engine'!$C$2:$C$679,0)))</f>
        <v/>
      </c>
      <c r="K81">
        <f>IF(ISNA(MATCH(72,'Transfer Engine'!$C$2:$C$679,0)),"",INDEX('Compliance Database'!$K$2:$K$679,MATCH(72,'Transfer Engine'!$C$2:$C$679,0)))</f>
        <v/>
      </c>
      <c r="L81" s="8">
        <f>IF(ISNA(MATCH(72,'Transfer Engine'!$C$2:$C$679,0)),"",INDEX('Compliance Database'!$L$2:$L$679,MATCH(72,'Transfer Engine'!$C$2:$C$679,0)))</f>
        <v/>
      </c>
      <c r="M81" s="8">
        <f>IF(ISNA(MATCH(72,'Transfer Engine'!$C$2:$C$679,0)),"",INDEX('Compliance Database'!$M$2:$M$679,MATCH(72,'Transfer Engine'!$C$2:$C$679,0)))</f>
        <v/>
      </c>
      <c r="N81" s="8">
        <f>IF(ISNA(MATCH(72,'Transfer Engine'!$C$2:$C$679,0)),"",INDEX('Compliance Database'!$N$2:$N$679,MATCH(72,'Transfer Engine'!$C$2:$C$679,0)))</f>
        <v/>
      </c>
      <c r="O81" s="8">
        <f>IF(ISNA(MATCH(72,'Transfer Engine'!$C$2:$C$679,0)),"",INDEX('Compliance Database'!$O$2:$O$679,MATCH(72,'Transfer Engine'!$C$2:$C$679,0)))</f>
        <v/>
      </c>
      <c r="P81">
        <f>IF(ISNA(MATCH(72,'Transfer Engine'!$C$2:$C$679,0)),"",HYPERLINK(INDEX('Compliance Database'!$P$2:$P$679,MATCH(72,'Transfer Engine'!$C$2:$C$679,0)),"Open PDF"))</f>
        <v/>
      </c>
    </row>
    <row r="82">
      <c r="A82">
        <f>IF(ISNA(MATCH(73,'Transfer Engine'!$C$2:$C$679,0)),"",INDEX('Compliance Database'!$A$2:$A$679,MATCH(73,'Transfer Engine'!$C$2:$C$679,0)))</f>
        <v/>
      </c>
      <c r="B82">
        <f>IF(ISNA(MATCH(73,'Transfer Engine'!$C$2:$C$679,0)),"",INDEX('Compliance Database'!$B$2:$B$679,MATCH(73,'Transfer Engine'!$C$2:$C$679,0)))</f>
        <v/>
      </c>
      <c r="C82">
        <f>IF(ISNA(MATCH(73,'Transfer Engine'!$C$2:$C$679,0)),"",INDEX('Compliance Database'!$C$2:$C$679,MATCH(73,'Transfer Engine'!$C$2:$C$679,0)))</f>
        <v/>
      </c>
      <c r="D82" s="8">
        <f>IF(ISNA(MATCH(73,'Transfer Engine'!$C$2:$C$679,0)),"",INDEX('Compliance Database'!$D$2:$D$679,MATCH(73,'Transfer Engine'!$C$2:$C$679,0)))</f>
        <v/>
      </c>
      <c r="E82">
        <f>IF(ISNA(MATCH(73,'Transfer Engine'!$C$2:$C$679,0)),"",INDEX('Compliance Database'!$E$2:$E$679,MATCH(73,'Transfer Engine'!$C$2:$C$679,0)))</f>
        <v/>
      </c>
      <c r="F82">
        <f>IF(ISNA(MATCH(73,'Transfer Engine'!$C$2:$C$679,0)),"",INDEX('Compliance Database'!$F$2:$F$679,MATCH(73,'Transfer Engine'!$C$2:$C$679,0)))</f>
        <v/>
      </c>
      <c r="G82">
        <f>IF(ISNA(MATCH(73,'Transfer Engine'!$C$2:$C$679,0)),"",INDEX('Compliance Database'!$G$2:$G$679,MATCH(73,'Transfer Engine'!$C$2:$C$679,0)))</f>
        <v/>
      </c>
      <c r="H82">
        <f>IF(ISNA(MATCH(73,'Transfer Engine'!$C$2:$C$679,0)),"",INDEX('Compliance Database'!$H$2:$H$679,MATCH(73,'Transfer Engine'!$C$2:$C$679,0)))</f>
        <v/>
      </c>
      <c r="I82" s="8">
        <f>IF(ISNA(MATCH(73,'Transfer Engine'!$C$2:$C$679,0)),"",INDEX('Compliance Database'!$I$2:$I$679,MATCH(73,'Transfer Engine'!$C$2:$C$679,0)))</f>
        <v/>
      </c>
      <c r="J82" s="8">
        <f>IF(ISNA(MATCH(73,'Transfer Engine'!$C$2:$C$679,0)),"",INDEX('Compliance Database'!$J$2:$J$679,MATCH(73,'Transfer Engine'!$C$2:$C$679,0)))</f>
        <v/>
      </c>
      <c r="K82">
        <f>IF(ISNA(MATCH(73,'Transfer Engine'!$C$2:$C$679,0)),"",INDEX('Compliance Database'!$K$2:$K$679,MATCH(73,'Transfer Engine'!$C$2:$C$679,0)))</f>
        <v/>
      </c>
      <c r="L82" s="8">
        <f>IF(ISNA(MATCH(73,'Transfer Engine'!$C$2:$C$679,0)),"",INDEX('Compliance Database'!$L$2:$L$679,MATCH(73,'Transfer Engine'!$C$2:$C$679,0)))</f>
        <v/>
      </c>
      <c r="M82" s="8">
        <f>IF(ISNA(MATCH(73,'Transfer Engine'!$C$2:$C$679,0)),"",INDEX('Compliance Database'!$M$2:$M$679,MATCH(73,'Transfer Engine'!$C$2:$C$679,0)))</f>
        <v/>
      </c>
      <c r="N82" s="8">
        <f>IF(ISNA(MATCH(73,'Transfer Engine'!$C$2:$C$679,0)),"",INDEX('Compliance Database'!$N$2:$N$679,MATCH(73,'Transfer Engine'!$C$2:$C$679,0)))</f>
        <v/>
      </c>
      <c r="O82" s="8">
        <f>IF(ISNA(MATCH(73,'Transfer Engine'!$C$2:$C$679,0)),"",INDEX('Compliance Database'!$O$2:$O$679,MATCH(73,'Transfer Engine'!$C$2:$C$679,0)))</f>
        <v/>
      </c>
      <c r="P82">
        <f>IF(ISNA(MATCH(73,'Transfer Engine'!$C$2:$C$679,0)),"",HYPERLINK(INDEX('Compliance Database'!$P$2:$P$679,MATCH(73,'Transfer Engine'!$C$2:$C$679,0)),"Open PDF"))</f>
        <v/>
      </c>
    </row>
    <row r="83">
      <c r="A83">
        <f>IF(ISNA(MATCH(74,'Transfer Engine'!$C$2:$C$679,0)),"",INDEX('Compliance Database'!$A$2:$A$679,MATCH(74,'Transfer Engine'!$C$2:$C$679,0)))</f>
        <v/>
      </c>
      <c r="B83">
        <f>IF(ISNA(MATCH(74,'Transfer Engine'!$C$2:$C$679,0)),"",INDEX('Compliance Database'!$B$2:$B$679,MATCH(74,'Transfer Engine'!$C$2:$C$679,0)))</f>
        <v/>
      </c>
      <c r="C83">
        <f>IF(ISNA(MATCH(74,'Transfer Engine'!$C$2:$C$679,0)),"",INDEX('Compliance Database'!$C$2:$C$679,MATCH(74,'Transfer Engine'!$C$2:$C$679,0)))</f>
        <v/>
      </c>
      <c r="D83" s="8">
        <f>IF(ISNA(MATCH(74,'Transfer Engine'!$C$2:$C$679,0)),"",INDEX('Compliance Database'!$D$2:$D$679,MATCH(74,'Transfer Engine'!$C$2:$C$679,0)))</f>
        <v/>
      </c>
      <c r="E83">
        <f>IF(ISNA(MATCH(74,'Transfer Engine'!$C$2:$C$679,0)),"",INDEX('Compliance Database'!$E$2:$E$679,MATCH(74,'Transfer Engine'!$C$2:$C$679,0)))</f>
        <v/>
      </c>
      <c r="F83">
        <f>IF(ISNA(MATCH(74,'Transfer Engine'!$C$2:$C$679,0)),"",INDEX('Compliance Database'!$F$2:$F$679,MATCH(74,'Transfer Engine'!$C$2:$C$679,0)))</f>
        <v/>
      </c>
      <c r="G83">
        <f>IF(ISNA(MATCH(74,'Transfer Engine'!$C$2:$C$679,0)),"",INDEX('Compliance Database'!$G$2:$G$679,MATCH(74,'Transfer Engine'!$C$2:$C$679,0)))</f>
        <v/>
      </c>
      <c r="H83">
        <f>IF(ISNA(MATCH(74,'Transfer Engine'!$C$2:$C$679,0)),"",INDEX('Compliance Database'!$H$2:$H$679,MATCH(74,'Transfer Engine'!$C$2:$C$679,0)))</f>
        <v/>
      </c>
      <c r="I83" s="8">
        <f>IF(ISNA(MATCH(74,'Transfer Engine'!$C$2:$C$679,0)),"",INDEX('Compliance Database'!$I$2:$I$679,MATCH(74,'Transfer Engine'!$C$2:$C$679,0)))</f>
        <v/>
      </c>
      <c r="J83" s="8">
        <f>IF(ISNA(MATCH(74,'Transfer Engine'!$C$2:$C$679,0)),"",INDEX('Compliance Database'!$J$2:$J$679,MATCH(74,'Transfer Engine'!$C$2:$C$679,0)))</f>
        <v/>
      </c>
      <c r="K83">
        <f>IF(ISNA(MATCH(74,'Transfer Engine'!$C$2:$C$679,0)),"",INDEX('Compliance Database'!$K$2:$K$679,MATCH(74,'Transfer Engine'!$C$2:$C$679,0)))</f>
        <v/>
      </c>
      <c r="L83" s="8">
        <f>IF(ISNA(MATCH(74,'Transfer Engine'!$C$2:$C$679,0)),"",INDEX('Compliance Database'!$L$2:$L$679,MATCH(74,'Transfer Engine'!$C$2:$C$679,0)))</f>
        <v/>
      </c>
      <c r="M83" s="8">
        <f>IF(ISNA(MATCH(74,'Transfer Engine'!$C$2:$C$679,0)),"",INDEX('Compliance Database'!$M$2:$M$679,MATCH(74,'Transfer Engine'!$C$2:$C$679,0)))</f>
        <v/>
      </c>
      <c r="N83" s="8">
        <f>IF(ISNA(MATCH(74,'Transfer Engine'!$C$2:$C$679,0)),"",INDEX('Compliance Database'!$N$2:$N$679,MATCH(74,'Transfer Engine'!$C$2:$C$679,0)))</f>
        <v/>
      </c>
      <c r="O83" s="8">
        <f>IF(ISNA(MATCH(74,'Transfer Engine'!$C$2:$C$679,0)),"",INDEX('Compliance Database'!$O$2:$O$679,MATCH(74,'Transfer Engine'!$C$2:$C$679,0)))</f>
        <v/>
      </c>
      <c r="P83">
        <f>IF(ISNA(MATCH(74,'Transfer Engine'!$C$2:$C$679,0)),"",HYPERLINK(INDEX('Compliance Database'!$P$2:$P$679,MATCH(74,'Transfer Engine'!$C$2:$C$679,0)),"Open PDF"))</f>
        <v/>
      </c>
    </row>
    <row r="84">
      <c r="A84">
        <f>IF(ISNA(MATCH(75,'Transfer Engine'!$C$2:$C$679,0)),"",INDEX('Compliance Database'!$A$2:$A$679,MATCH(75,'Transfer Engine'!$C$2:$C$679,0)))</f>
        <v/>
      </c>
      <c r="B84">
        <f>IF(ISNA(MATCH(75,'Transfer Engine'!$C$2:$C$679,0)),"",INDEX('Compliance Database'!$B$2:$B$679,MATCH(75,'Transfer Engine'!$C$2:$C$679,0)))</f>
        <v/>
      </c>
      <c r="C84">
        <f>IF(ISNA(MATCH(75,'Transfer Engine'!$C$2:$C$679,0)),"",INDEX('Compliance Database'!$C$2:$C$679,MATCH(75,'Transfer Engine'!$C$2:$C$679,0)))</f>
        <v/>
      </c>
      <c r="D84" s="8">
        <f>IF(ISNA(MATCH(75,'Transfer Engine'!$C$2:$C$679,0)),"",INDEX('Compliance Database'!$D$2:$D$679,MATCH(75,'Transfer Engine'!$C$2:$C$679,0)))</f>
        <v/>
      </c>
      <c r="E84">
        <f>IF(ISNA(MATCH(75,'Transfer Engine'!$C$2:$C$679,0)),"",INDEX('Compliance Database'!$E$2:$E$679,MATCH(75,'Transfer Engine'!$C$2:$C$679,0)))</f>
        <v/>
      </c>
      <c r="F84">
        <f>IF(ISNA(MATCH(75,'Transfer Engine'!$C$2:$C$679,0)),"",INDEX('Compliance Database'!$F$2:$F$679,MATCH(75,'Transfer Engine'!$C$2:$C$679,0)))</f>
        <v/>
      </c>
      <c r="G84">
        <f>IF(ISNA(MATCH(75,'Transfer Engine'!$C$2:$C$679,0)),"",INDEX('Compliance Database'!$G$2:$G$679,MATCH(75,'Transfer Engine'!$C$2:$C$679,0)))</f>
        <v/>
      </c>
      <c r="H84">
        <f>IF(ISNA(MATCH(75,'Transfer Engine'!$C$2:$C$679,0)),"",INDEX('Compliance Database'!$H$2:$H$679,MATCH(75,'Transfer Engine'!$C$2:$C$679,0)))</f>
        <v/>
      </c>
      <c r="I84" s="8">
        <f>IF(ISNA(MATCH(75,'Transfer Engine'!$C$2:$C$679,0)),"",INDEX('Compliance Database'!$I$2:$I$679,MATCH(75,'Transfer Engine'!$C$2:$C$679,0)))</f>
        <v/>
      </c>
      <c r="J84" s="8">
        <f>IF(ISNA(MATCH(75,'Transfer Engine'!$C$2:$C$679,0)),"",INDEX('Compliance Database'!$J$2:$J$679,MATCH(75,'Transfer Engine'!$C$2:$C$679,0)))</f>
        <v/>
      </c>
      <c r="K84">
        <f>IF(ISNA(MATCH(75,'Transfer Engine'!$C$2:$C$679,0)),"",INDEX('Compliance Database'!$K$2:$K$679,MATCH(75,'Transfer Engine'!$C$2:$C$679,0)))</f>
        <v/>
      </c>
      <c r="L84" s="8">
        <f>IF(ISNA(MATCH(75,'Transfer Engine'!$C$2:$C$679,0)),"",INDEX('Compliance Database'!$L$2:$L$679,MATCH(75,'Transfer Engine'!$C$2:$C$679,0)))</f>
        <v/>
      </c>
      <c r="M84" s="8">
        <f>IF(ISNA(MATCH(75,'Transfer Engine'!$C$2:$C$679,0)),"",INDEX('Compliance Database'!$M$2:$M$679,MATCH(75,'Transfer Engine'!$C$2:$C$679,0)))</f>
        <v/>
      </c>
      <c r="N84" s="8">
        <f>IF(ISNA(MATCH(75,'Transfer Engine'!$C$2:$C$679,0)),"",INDEX('Compliance Database'!$N$2:$N$679,MATCH(75,'Transfer Engine'!$C$2:$C$679,0)))</f>
        <v/>
      </c>
      <c r="O84" s="8">
        <f>IF(ISNA(MATCH(75,'Transfer Engine'!$C$2:$C$679,0)),"",INDEX('Compliance Database'!$O$2:$O$679,MATCH(75,'Transfer Engine'!$C$2:$C$679,0)))</f>
        <v/>
      </c>
      <c r="P84">
        <f>IF(ISNA(MATCH(75,'Transfer Engine'!$C$2:$C$679,0)),"",HYPERLINK(INDEX('Compliance Database'!$P$2:$P$679,MATCH(75,'Transfer Engine'!$C$2:$C$679,0)),"Open PDF"))</f>
        <v/>
      </c>
    </row>
    <row r="85">
      <c r="A85">
        <f>IF(ISNA(MATCH(76,'Transfer Engine'!$C$2:$C$679,0)),"",INDEX('Compliance Database'!$A$2:$A$679,MATCH(76,'Transfer Engine'!$C$2:$C$679,0)))</f>
        <v/>
      </c>
      <c r="B85">
        <f>IF(ISNA(MATCH(76,'Transfer Engine'!$C$2:$C$679,0)),"",INDEX('Compliance Database'!$B$2:$B$679,MATCH(76,'Transfer Engine'!$C$2:$C$679,0)))</f>
        <v/>
      </c>
      <c r="C85">
        <f>IF(ISNA(MATCH(76,'Transfer Engine'!$C$2:$C$679,0)),"",INDEX('Compliance Database'!$C$2:$C$679,MATCH(76,'Transfer Engine'!$C$2:$C$679,0)))</f>
        <v/>
      </c>
      <c r="D85" s="8">
        <f>IF(ISNA(MATCH(76,'Transfer Engine'!$C$2:$C$679,0)),"",INDEX('Compliance Database'!$D$2:$D$679,MATCH(76,'Transfer Engine'!$C$2:$C$679,0)))</f>
        <v/>
      </c>
      <c r="E85">
        <f>IF(ISNA(MATCH(76,'Transfer Engine'!$C$2:$C$679,0)),"",INDEX('Compliance Database'!$E$2:$E$679,MATCH(76,'Transfer Engine'!$C$2:$C$679,0)))</f>
        <v/>
      </c>
      <c r="F85">
        <f>IF(ISNA(MATCH(76,'Transfer Engine'!$C$2:$C$679,0)),"",INDEX('Compliance Database'!$F$2:$F$679,MATCH(76,'Transfer Engine'!$C$2:$C$679,0)))</f>
        <v/>
      </c>
      <c r="G85">
        <f>IF(ISNA(MATCH(76,'Transfer Engine'!$C$2:$C$679,0)),"",INDEX('Compliance Database'!$G$2:$G$679,MATCH(76,'Transfer Engine'!$C$2:$C$679,0)))</f>
        <v/>
      </c>
      <c r="H85">
        <f>IF(ISNA(MATCH(76,'Transfer Engine'!$C$2:$C$679,0)),"",INDEX('Compliance Database'!$H$2:$H$679,MATCH(76,'Transfer Engine'!$C$2:$C$679,0)))</f>
        <v/>
      </c>
      <c r="I85" s="8">
        <f>IF(ISNA(MATCH(76,'Transfer Engine'!$C$2:$C$679,0)),"",INDEX('Compliance Database'!$I$2:$I$679,MATCH(76,'Transfer Engine'!$C$2:$C$679,0)))</f>
        <v/>
      </c>
      <c r="J85" s="8">
        <f>IF(ISNA(MATCH(76,'Transfer Engine'!$C$2:$C$679,0)),"",INDEX('Compliance Database'!$J$2:$J$679,MATCH(76,'Transfer Engine'!$C$2:$C$679,0)))</f>
        <v/>
      </c>
      <c r="K85">
        <f>IF(ISNA(MATCH(76,'Transfer Engine'!$C$2:$C$679,0)),"",INDEX('Compliance Database'!$K$2:$K$679,MATCH(76,'Transfer Engine'!$C$2:$C$679,0)))</f>
        <v/>
      </c>
      <c r="L85" s="8">
        <f>IF(ISNA(MATCH(76,'Transfer Engine'!$C$2:$C$679,0)),"",INDEX('Compliance Database'!$L$2:$L$679,MATCH(76,'Transfer Engine'!$C$2:$C$679,0)))</f>
        <v/>
      </c>
      <c r="M85" s="8">
        <f>IF(ISNA(MATCH(76,'Transfer Engine'!$C$2:$C$679,0)),"",INDEX('Compliance Database'!$M$2:$M$679,MATCH(76,'Transfer Engine'!$C$2:$C$679,0)))</f>
        <v/>
      </c>
      <c r="N85" s="8">
        <f>IF(ISNA(MATCH(76,'Transfer Engine'!$C$2:$C$679,0)),"",INDEX('Compliance Database'!$N$2:$N$679,MATCH(76,'Transfer Engine'!$C$2:$C$679,0)))</f>
        <v/>
      </c>
      <c r="O85" s="8">
        <f>IF(ISNA(MATCH(76,'Transfer Engine'!$C$2:$C$679,0)),"",INDEX('Compliance Database'!$O$2:$O$679,MATCH(76,'Transfer Engine'!$C$2:$C$679,0)))</f>
        <v/>
      </c>
      <c r="P85">
        <f>IF(ISNA(MATCH(76,'Transfer Engine'!$C$2:$C$679,0)),"",HYPERLINK(INDEX('Compliance Database'!$P$2:$P$679,MATCH(76,'Transfer Engine'!$C$2:$C$679,0)),"Open PDF"))</f>
        <v/>
      </c>
    </row>
    <row r="86">
      <c r="A86">
        <f>IF(ISNA(MATCH(77,'Transfer Engine'!$C$2:$C$679,0)),"",INDEX('Compliance Database'!$A$2:$A$679,MATCH(77,'Transfer Engine'!$C$2:$C$679,0)))</f>
        <v/>
      </c>
      <c r="B86">
        <f>IF(ISNA(MATCH(77,'Transfer Engine'!$C$2:$C$679,0)),"",INDEX('Compliance Database'!$B$2:$B$679,MATCH(77,'Transfer Engine'!$C$2:$C$679,0)))</f>
        <v/>
      </c>
      <c r="C86">
        <f>IF(ISNA(MATCH(77,'Transfer Engine'!$C$2:$C$679,0)),"",INDEX('Compliance Database'!$C$2:$C$679,MATCH(77,'Transfer Engine'!$C$2:$C$679,0)))</f>
        <v/>
      </c>
      <c r="D86" s="8">
        <f>IF(ISNA(MATCH(77,'Transfer Engine'!$C$2:$C$679,0)),"",INDEX('Compliance Database'!$D$2:$D$679,MATCH(77,'Transfer Engine'!$C$2:$C$679,0)))</f>
        <v/>
      </c>
      <c r="E86">
        <f>IF(ISNA(MATCH(77,'Transfer Engine'!$C$2:$C$679,0)),"",INDEX('Compliance Database'!$E$2:$E$679,MATCH(77,'Transfer Engine'!$C$2:$C$679,0)))</f>
        <v/>
      </c>
      <c r="F86">
        <f>IF(ISNA(MATCH(77,'Transfer Engine'!$C$2:$C$679,0)),"",INDEX('Compliance Database'!$F$2:$F$679,MATCH(77,'Transfer Engine'!$C$2:$C$679,0)))</f>
        <v/>
      </c>
      <c r="G86">
        <f>IF(ISNA(MATCH(77,'Transfer Engine'!$C$2:$C$679,0)),"",INDEX('Compliance Database'!$G$2:$G$679,MATCH(77,'Transfer Engine'!$C$2:$C$679,0)))</f>
        <v/>
      </c>
      <c r="H86">
        <f>IF(ISNA(MATCH(77,'Transfer Engine'!$C$2:$C$679,0)),"",INDEX('Compliance Database'!$H$2:$H$679,MATCH(77,'Transfer Engine'!$C$2:$C$679,0)))</f>
        <v/>
      </c>
      <c r="I86" s="8">
        <f>IF(ISNA(MATCH(77,'Transfer Engine'!$C$2:$C$679,0)),"",INDEX('Compliance Database'!$I$2:$I$679,MATCH(77,'Transfer Engine'!$C$2:$C$679,0)))</f>
        <v/>
      </c>
      <c r="J86" s="8">
        <f>IF(ISNA(MATCH(77,'Transfer Engine'!$C$2:$C$679,0)),"",INDEX('Compliance Database'!$J$2:$J$679,MATCH(77,'Transfer Engine'!$C$2:$C$679,0)))</f>
        <v/>
      </c>
      <c r="K86">
        <f>IF(ISNA(MATCH(77,'Transfer Engine'!$C$2:$C$679,0)),"",INDEX('Compliance Database'!$K$2:$K$679,MATCH(77,'Transfer Engine'!$C$2:$C$679,0)))</f>
        <v/>
      </c>
      <c r="L86" s="8">
        <f>IF(ISNA(MATCH(77,'Transfer Engine'!$C$2:$C$679,0)),"",INDEX('Compliance Database'!$L$2:$L$679,MATCH(77,'Transfer Engine'!$C$2:$C$679,0)))</f>
        <v/>
      </c>
      <c r="M86" s="8">
        <f>IF(ISNA(MATCH(77,'Transfer Engine'!$C$2:$C$679,0)),"",INDEX('Compliance Database'!$M$2:$M$679,MATCH(77,'Transfer Engine'!$C$2:$C$679,0)))</f>
        <v/>
      </c>
      <c r="N86" s="8">
        <f>IF(ISNA(MATCH(77,'Transfer Engine'!$C$2:$C$679,0)),"",INDEX('Compliance Database'!$N$2:$N$679,MATCH(77,'Transfer Engine'!$C$2:$C$679,0)))</f>
        <v/>
      </c>
      <c r="O86" s="8">
        <f>IF(ISNA(MATCH(77,'Transfer Engine'!$C$2:$C$679,0)),"",INDEX('Compliance Database'!$O$2:$O$679,MATCH(77,'Transfer Engine'!$C$2:$C$679,0)))</f>
        <v/>
      </c>
      <c r="P86">
        <f>IF(ISNA(MATCH(77,'Transfer Engine'!$C$2:$C$679,0)),"",HYPERLINK(INDEX('Compliance Database'!$P$2:$P$679,MATCH(77,'Transfer Engine'!$C$2:$C$679,0)),"Open PDF"))</f>
        <v/>
      </c>
    </row>
    <row r="87">
      <c r="A87">
        <f>IF(ISNA(MATCH(78,'Transfer Engine'!$C$2:$C$679,0)),"",INDEX('Compliance Database'!$A$2:$A$679,MATCH(78,'Transfer Engine'!$C$2:$C$679,0)))</f>
        <v/>
      </c>
      <c r="B87">
        <f>IF(ISNA(MATCH(78,'Transfer Engine'!$C$2:$C$679,0)),"",INDEX('Compliance Database'!$B$2:$B$679,MATCH(78,'Transfer Engine'!$C$2:$C$679,0)))</f>
        <v/>
      </c>
      <c r="C87">
        <f>IF(ISNA(MATCH(78,'Transfer Engine'!$C$2:$C$679,0)),"",INDEX('Compliance Database'!$C$2:$C$679,MATCH(78,'Transfer Engine'!$C$2:$C$679,0)))</f>
        <v/>
      </c>
      <c r="D87" s="8">
        <f>IF(ISNA(MATCH(78,'Transfer Engine'!$C$2:$C$679,0)),"",INDEX('Compliance Database'!$D$2:$D$679,MATCH(78,'Transfer Engine'!$C$2:$C$679,0)))</f>
        <v/>
      </c>
      <c r="E87">
        <f>IF(ISNA(MATCH(78,'Transfer Engine'!$C$2:$C$679,0)),"",INDEX('Compliance Database'!$E$2:$E$679,MATCH(78,'Transfer Engine'!$C$2:$C$679,0)))</f>
        <v/>
      </c>
      <c r="F87">
        <f>IF(ISNA(MATCH(78,'Transfer Engine'!$C$2:$C$679,0)),"",INDEX('Compliance Database'!$F$2:$F$679,MATCH(78,'Transfer Engine'!$C$2:$C$679,0)))</f>
        <v/>
      </c>
      <c r="G87">
        <f>IF(ISNA(MATCH(78,'Transfer Engine'!$C$2:$C$679,0)),"",INDEX('Compliance Database'!$G$2:$G$679,MATCH(78,'Transfer Engine'!$C$2:$C$679,0)))</f>
        <v/>
      </c>
      <c r="H87">
        <f>IF(ISNA(MATCH(78,'Transfer Engine'!$C$2:$C$679,0)),"",INDEX('Compliance Database'!$H$2:$H$679,MATCH(78,'Transfer Engine'!$C$2:$C$679,0)))</f>
        <v/>
      </c>
      <c r="I87" s="8">
        <f>IF(ISNA(MATCH(78,'Transfer Engine'!$C$2:$C$679,0)),"",INDEX('Compliance Database'!$I$2:$I$679,MATCH(78,'Transfer Engine'!$C$2:$C$679,0)))</f>
        <v/>
      </c>
      <c r="J87" s="8">
        <f>IF(ISNA(MATCH(78,'Transfer Engine'!$C$2:$C$679,0)),"",INDEX('Compliance Database'!$J$2:$J$679,MATCH(78,'Transfer Engine'!$C$2:$C$679,0)))</f>
        <v/>
      </c>
      <c r="K87">
        <f>IF(ISNA(MATCH(78,'Transfer Engine'!$C$2:$C$679,0)),"",INDEX('Compliance Database'!$K$2:$K$679,MATCH(78,'Transfer Engine'!$C$2:$C$679,0)))</f>
        <v/>
      </c>
      <c r="L87" s="8">
        <f>IF(ISNA(MATCH(78,'Transfer Engine'!$C$2:$C$679,0)),"",INDEX('Compliance Database'!$L$2:$L$679,MATCH(78,'Transfer Engine'!$C$2:$C$679,0)))</f>
        <v/>
      </c>
      <c r="M87" s="8">
        <f>IF(ISNA(MATCH(78,'Transfer Engine'!$C$2:$C$679,0)),"",INDEX('Compliance Database'!$M$2:$M$679,MATCH(78,'Transfer Engine'!$C$2:$C$679,0)))</f>
        <v/>
      </c>
      <c r="N87" s="8">
        <f>IF(ISNA(MATCH(78,'Transfer Engine'!$C$2:$C$679,0)),"",INDEX('Compliance Database'!$N$2:$N$679,MATCH(78,'Transfer Engine'!$C$2:$C$679,0)))</f>
        <v/>
      </c>
      <c r="O87" s="8">
        <f>IF(ISNA(MATCH(78,'Transfer Engine'!$C$2:$C$679,0)),"",INDEX('Compliance Database'!$O$2:$O$679,MATCH(78,'Transfer Engine'!$C$2:$C$679,0)))</f>
        <v/>
      </c>
      <c r="P87">
        <f>IF(ISNA(MATCH(78,'Transfer Engine'!$C$2:$C$679,0)),"",HYPERLINK(INDEX('Compliance Database'!$P$2:$P$679,MATCH(78,'Transfer Engine'!$C$2:$C$679,0)),"Open PDF"))</f>
        <v/>
      </c>
    </row>
    <row r="88">
      <c r="A88">
        <f>IF(ISNA(MATCH(79,'Transfer Engine'!$C$2:$C$679,0)),"",INDEX('Compliance Database'!$A$2:$A$679,MATCH(79,'Transfer Engine'!$C$2:$C$679,0)))</f>
        <v/>
      </c>
      <c r="B88">
        <f>IF(ISNA(MATCH(79,'Transfer Engine'!$C$2:$C$679,0)),"",INDEX('Compliance Database'!$B$2:$B$679,MATCH(79,'Transfer Engine'!$C$2:$C$679,0)))</f>
        <v/>
      </c>
      <c r="C88">
        <f>IF(ISNA(MATCH(79,'Transfer Engine'!$C$2:$C$679,0)),"",INDEX('Compliance Database'!$C$2:$C$679,MATCH(79,'Transfer Engine'!$C$2:$C$679,0)))</f>
        <v/>
      </c>
      <c r="D88" s="8">
        <f>IF(ISNA(MATCH(79,'Transfer Engine'!$C$2:$C$679,0)),"",INDEX('Compliance Database'!$D$2:$D$679,MATCH(79,'Transfer Engine'!$C$2:$C$679,0)))</f>
        <v/>
      </c>
      <c r="E88">
        <f>IF(ISNA(MATCH(79,'Transfer Engine'!$C$2:$C$679,0)),"",INDEX('Compliance Database'!$E$2:$E$679,MATCH(79,'Transfer Engine'!$C$2:$C$679,0)))</f>
        <v/>
      </c>
      <c r="F88">
        <f>IF(ISNA(MATCH(79,'Transfer Engine'!$C$2:$C$679,0)),"",INDEX('Compliance Database'!$F$2:$F$679,MATCH(79,'Transfer Engine'!$C$2:$C$679,0)))</f>
        <v/>
      </c>
      <c r="G88">
        <f>IF(ISNA(MATCH(79,'Transfer Engine'!$C$2:$C$679,0)),"",INDEX('Compliance Database'!$G$2:$G$679,MATCH(79,'Transfer Engine'!$C$2:$C$679,0)))</f>
        <v/>
      </c>
      <c r="H88">
        <f>IF(ISNA(MATCH(79,'Transfer Engine'!$C$2:$C$679,0)),"",INDEX('Compliance Database'!$H$2:$H$679,MATCH(79,'Transfer Engine'!$C$2:$C$679,0)))</f>
        <v/>
      </c>
      <c r="I88" s="8">
        <f>IF(ISNA(MATCH(79,'Transfer Engine'!$C$2:$C$679,0)),"",INDEX('Compliance Database'!$I$2:$I$679,MATCH(79,'Transfer Engine'!$C$2:$C$679,0)))</f>
        <v/>
      </c>
      <c r="J88" s="8">
        <f>IF(ISNA(MATCH(79,'Transfer Engine'!$C$2:$C$679,0)),"",INDEX('Compliance Database'!$J$2:$J$679,MATCH(79,'Transfer Engine'!$C$2:$C$679,0)))</f>
        <v/>
      </c>
      <c r="K88">
        <f>IF(ISNA(MATCH(79,'Transfer Engine'!$C$2:$C$679,0)),"",INDEX('Compliance Database'!$K$2:$K$679,MATCH(79,'Transfer Engine'!$C$2:$C$679,0)))</f>
        <v/>
      </c>
      <c r="L88" s="8">
        <f>IF(ISNA(MATCH(79,'Transfer Engine'!$C$2:$C$679,0)),"",INDEX('Compliance Database'!$L$2:$L$679,MATCH(79,'Transfer Engine'!$C$2:$C$679,0)))</f>
        <v/>
      </c>
      <c r="M88" s="8">
        <f>IF(ISNA(MATCH(79,'Transfer Engine'!$C$2:$C$679,0)),"",INDEX('Compliance Database'!$M$2:$M$679,MATCH(79,'Transfer Engine'!$C$2:$C$679,0)))</f>
        <v/>
      </c>
      <c r="N88" s="8">
        <f>IF(ISNA(MATCH(79,'Transfer Engine'!$C$2:$C$679,0)),"",INDEX('Compliance Database'!$N$2:$N$679,MATCH(79,'Transfer Engine'!$C$2:$C$679,0)))</f>
        <v/>
      </c>
      <c r="O88" s="8">
        <f>IF(ISNA(MATCH(79,'Transfer Engine'!$C$2:$C$679,0)),"",INDEX('Compliance Database'!$O$2:$O$679,MATCH(79,'Transfer Engine'!$C$2:$C$679,0)))</f>
        <v/>
      </c>
      <c r="P88">
        <f>IF(ISNA(MATCH(79,'Transfer Engine'!$C$2:$C$679,0)),"",HYPERLINK(INDEX('Compliance Database'!$P$2:$P$679,MATCH(79,'Transfer Engine'!$C$2:$C$679,0)),"Open PDF"))</f>
        <v/>
      </c>
    </row>
    <row r="89">
      <c r="A89">
        <f>IF(ISNA(MATCH(80,'Transfer Engine'!$C$2:$C$679,0)),"",INDEX('Compliance Database'!$A$2:$A$679,MATCH(80,'Transfer Engine'!$C$2:$C$679,0)))</f>
        <v/>
      </c>
      <c r="B89">
        <f>IF(ISNA(MATCH(80,'Transfer Engine'!$C$2:$C$679,0)),"",INDEX('Compliance Database'!$B$2:$B$679,MATCH(80,'Transfer Engine'!$C$2:$C$679,0)))</f>
        <v/>
      </c>
      <c r="C89">
        <f>IF(ISNA(MATCH(80,'Transfer Engine'!$C$2:$C$679,0)),"",INDEX('Compliance Database'!$C$2:$C$679,MATCH(80,'Transfer Engine'!$C$2:$C$679,0)))</f>
        <v/>
      </c>
      <c r="D89" s="8">
        <f>IF(ISNA(MATCH(80,'Transfer Engine'!$C$2:$C$679,0)),"",INDEX('Compliance Database'!$D$2:$D$679,MATCH(80,'Transfer Engine'!$C$2:$C$679,0)))</f>
        <v/>
      </c>
      <c r="E89">
        <f>IF(ISNA(MATCH(80,'Transfer Engine'!$C$2:$C$679,0)),"",INDEX('Compliance Database'!$E$2:$E$679,MATCH(80,'Transfer Engine'!$C$2:$C$679,0)))</f>
        <v/>
      </c>
      <c r="F89">
        <f>IF(ISNA(MATCH(80,'Transfer Engine'!$C$2:$C$679,0)),"",INDEX('Compliance Database'!$F$2:$F$679,MATCH(80,'Transfer Engine'!$C$2:$C$679,0)))</f>
        <v/>
      </c>
      <c r="G89">
        <f>IF(ISNA(MATCH(80,'Transfer Engine'!$C$2:$C$679,0)),"",INDEX('Compliance Database'!$G$2:$G$679,MATCH(80,'Transfer Engine'!$C$2:$C$679,0)))</f>
        <v/>
      </c>
      <c r="H89">
        <f>IF(ISNA(MATCH(80,'Transfer Engine'!$C$2:$C$679,0)),"",INDEX('Compliance Database'!$H$2:$H$679,MATCH(80,'Transfer Engine'!$C$2:$C$679,0)))</f>
        <v/>
      </c>
      <c r="I89" s="8">
        <f>IF(ISNA(MATCH(80,'Transfer Engine'!$C$2:$C$679,0)),"",INDEX('Compliance Database'!$I$2:$I$679,MATCH(80,'Transfer Engine'!$C$2:$C$679,0)))</f>
        <v/>
      </c>
      <c r="J89" s="8">
        <f>IF(ISNA(MATCH(80,'Transfer Engine'!$C$2:$C$679,0)),"",INDEX('Compliance Database'!$J$2:$J$679,MATCH(80,'Transfer Engine'!$C$2:$C$679,0)))</f>
        <v/>
      </c>
      <c r="K89">
        <f>IF(ISNA(MATCH(80,'Transfer Engine'!$C$2:$C$679,0)),"",INDEX('Compliance Database'!$K$2:$K$679,MATCH(80,'Transfer Engine'!$C$2:$C$679,0)))</f>
        <v/>
      </c>
      <c r="L89" s="8">
        <f>IF(ISNA(MATCH(80,'Transfer Engine'!$C$2:$C$679,0)),"",INDEX('Compliance Database'!$L$2:$L$679,MATCH(80,'Transfer Engine'!$C$2:$C$679,0)))</f>
        <v/>
      </c>
      <c r="M89" s="8">
        <f>IF(ISNA(MATCH(80,'Transfer Engine'!$C$2:$C$679,0)),"",INDEX('Compliance Database'!$M$2:$M$679,MATCH(80,'Transfer Engine'!$C$2:$C$679,0)))</f>
        <v/>
      </c>
      <c r="N89" s="8">
        <f>IF(ISNA(MATCH(80,'Transfer Engine'!$C$2:$C$679,0)),"",INDEX('Compliance Database'!$N$2:$N$679,MATCH(80,'Transfer Engine'!$C$2:$C$679,0)))</f>
        <v/>
      </c>
      <c r="O89" s="8">
        <f>IF(ISNA(MATCH(80,'Transfer Engine'!$C$2:$C$679,0)),"",INDEX('Compliance Database'!$O$2:$O$679,MATCH(80,'Transfer Engine'!$C$2:$C$679,0)))</f>
        <v/>
      </c>
      <c r="P89">
        <f>IF(ISNA(MATCH(80,'Transfer Engine'!$C$2:$C$679,0)),"",HYPERLINK(INDEX('Compliance Database'!$P$2:$P$679,MATCH(80,'Transfer Engine'!$C$2:$C$679,0)),"Open PDF"))</f>
        <v/>
      </c>
    </row>
    <row r="90">
      <c r="A90">
        <f>IF(ISNA(MATCH(81,'Transfer Engine'!$C$2:$C$679,0)),"",INDEX('Compliance Database'!$A$2:$A$679,MATCH(81,'Transfer Engine'!$C$2:$C$679,0)))</f>
        <v/>
      </c>
      <c r="B90">
        <f>IF(ISNA(MATCH(81,'Transfer Engine'!$C$2:$C$679,0)),"",INDEX('Compliance Database'!$B$2:$B$679,MATCH(81,'Transfer Engine'!$C$2:$C$679,0)))</f>
        <v/>
      </c>
      <c r="C90">
        <f>IF(ISNA(MATCH(81,'Transfer Engine'!$C$2:$C$679,0)),"",INDEX('Compliance Database'!$C$2:$C$679,MATCH(81,'Transfer Engine'!$C$2:$C$679,0)))</f>
        <v/>
      </c>
      <c r="D90" s="8">
        <f>IF(ISNA(MATCH(81,'Transfer Engine'!$C$2:$C$679,0)),"",INDEX('Compliance Database'!$D$2:$D$679,MATCH(81,'Transfer Engine'!$C$2:$C$679,0)))</f>
        <v/>
      </c>
      <c r="E90">
        <f>IF(ISNA(MATCH(81,'Transfer Engine'!$C$2:$C$679,0)),"",INDEX('Compliance Database'!$E$2:$E$679,MATCH(81,'Transfer Engine'!$C$2:$C$679,0)))</f>
        <v/>
      </c>
      <c r="F90">
        <f>IF(ISNA(MATCH(81,'Transfer Engine'!$C$2:$C$679,0)),"",INDEX('Compliance Database'!$F$2:$F$679,MATCH(81,'Transfer Engine'!$C$2:$C$679,0)))</f>
        <v/>
      </c>
      <c r="G90">
        <f>IF(ISNA(MATCH(81,'Transfer Engine'!$C$2:$C$679,0)),"",INDEX('Compliance Database'!$G$2:$G$679,MATCH(81,'Transfer Engine'!$C$2:$C$679,0)))</f>
        <v/>
      </c>
      <c r="H90">
        <f>IF(ISNA(MATCH(81,'Transfer Engine'!$C$2:$C$679,0)),"",INDEX('Compliance Database'!$H$2:$H$679,MATCH(81,'Transfer Engine'!$C$2:$C$679,0)))</f>
        <v/>
      </c>
      <c r="I90" s="8">
        <f>IF(ISNA(MATCH(81,'Transfer Engine'!$C$2:$C$679,0)),"",INDEX('Compliance Database'!$I$2:$I$679,MATCH(81,'Transfer Engine'!$C$2:$C$679,0)))</f>
        <v/>
      </c>
      <c r="J90" s="8">
        <f>IF(ISNA(MATCH(81,'Transfer Engine'!$C$2:$C$679,0)),"",INDEX('Compliance Database'!$J$2:$J$679,MATCH(81,'Transfer Engine'!$C$2:$C$679,0)))</f>
        <v/>
      </c>
      <c r="K90">
        <f>IF(ISNA(MATCH(81,'Transfer Engine'!$C$2:$C$679,0)),"",INDEX('Compliance Database'!$K$2:$K$679,MATCH(81,'Transfer Engine'!$C$2:$C$679,0)))</f>
        <v/>
      </c>
      <c r="L90" s="8">
        <f>IF(ISNA(MATCH(81,'Transfer Engine'!$C$2:$C$679,0)),"",INDEX('Compliance Database'!$L$2:$L$679,MATCH(81,'Transfer Engine'!$C$2:$C$679,0)))</f>
        <v/>
      </c>
      <c r="M90" s="8">
        <f>IF(ISNA(MATCH(81,'Transfer Engine'!$C$2:$C$679,0)),"",INDEX('Compliance Database'!$M$2:$M$679,MATCH(81,'Transfer Engine'!$C$2:$C$679,0)))</f>
        <v/>
      </c>
      <c r="N90" s="8">
        <f>IF(ISNA(MATCH(81,'Transfer Engine'!$C$2:$C$679,0)),"",INDEX('Compliance Database'!$N$2:$N$679,MATCH(81,'Transfer Engine'!$C$2:$C$679,0)))</f>
        <v/>
      </c>
      <c r="O90" s="8">
        <f>IF(ISNA(MATCH(81,'Transfer Engine'!$C$2:$C$679,0)),"",INDEX('Compliance Database'!$O$2:$O$679,MATCH(81,'Transfer Engine'!$C$2:$C$679,0)))</f>
        <v/>
      </c>
      <c r="P90">
        <f>IF(ISNA(MATCH(81,'Transfer Engine'!$C$2:$C$679,0)),"",HYPERLINK(INDEX('Compliance Database'!$P$2:$P$679,MATCH(81,'Transfer Engine'!$C$2:$C$679,0)),"Open PDF"))</f>
        <v/>
      </c>
    </row>
    <row r="91">
      <c r="A91">
        <f>IF(ISNA(MATCH(82,'Transfer Engine'!$C$2:$C$679,0)),"",INDEX('Compliance Database'!$A$2:$A$679,MATCH(82,'Transfer Engine'!$C$2:$C$679,0)))</f>
        <v/>
      </c>
      <c r="B91">
        <f>IF(ISNA(MATCH(82,'Transfer Engine'!$C$2:$C$679,0)),"",INDEX('Compliance Database'!$B$2:$B$679,MATCH(82,'Transfer Engine'!$C$2:$C$679,0)))</f>
        <v/>
      </c>
      <c r="C91">
        <f>IF(ISNA(MATCH(82,'Transfer Engine'!$C$2:$C$679,0)),"",INDEX('Compliance Database'!$C$2:$C$679,MATCH(82,'Transfer Engine'!$C$2:$C$679,0)))</f>
        <v/>
      </c>
      <c r="D91" s="8">
        <f>IF(ISNA(MATCH(82,'Transfer Engine'!$C$2:$C$679,0)),"",INDEX('Compliance Database'!$D$2:$D$679,MATCH(82,'Transfer Engine'!$C$2:$C$679,0)))</f>
        <v/>
      </c>
      <c r="E91">
        <f>IF(ISNA(MATCH(82,'Transfer Engine'!$C$2:$C$679,0)),"",INDEX('Compliance Database'!$E$2:$E$679,MATCH(82,'Transfer Engine'!$C$2:$C$679,0)))</f>
        <v/>
      </c>
      <c r="F91">
        <f>IF(ISNA(MATCH(82,'Transfer Engine'!$C$2:$C$679,0)),"",INDEX('Compliance Database'!$F$2:$F$679,MATCH(82,'Transfer Engine'!$C$2:$C$679,0)))</f>
        <v/>
      </c>
      <c r="G91">
        <f>IF(ISNA(MATCH(82,'Transfer Engine'!$C$2:$C$679,0)),"",INDEX('Compliance Database'!$G$2:$G$679,MATCH(82,'Transfer Engine'!$C$2:$C$679,0)))</f>
        <v/>
      </c>
      <c r="H91">
        <f>IF(ISNA(MATCH(82,'Transfer Engine'!$C$2:$C$679,0)),"",INDEX('Compliance Database'!$H$2:$H$679,MATCH(82,'Transfer Engine'!$C$2:$C$679,0)))</f>
        <v/>
      </c>
      <c r="I91" s="8">
        <f>IF(ISNA(MATCH(82,'Transfer Engine'!$C$2:$C$679,0)),"",INDEX('Compliance Database'!$I$2:$I$679,MATCH(82,'Transfer Engine'!$C$2:$C$679,0)))</f>
        <v/>
      </c>
      <c r="J91" s="8">
        <f>IF(ISNA(MATCH(82,'Transfer Engine'!$C$2:$C$679,0)),"",INDEX('Compliance Database'!$J$2:$J$679,MATCH(82,'Transfer Engine'!$C$2:$C$679,0)))</f>
        <v/>
      </c>
      <c r="K91">
        <f>IF(ISNA(MATCH(82,'Transfer Engine'!$C$2:$C$679,0)),"",INDEX('Compliance Database'!$K$2:$K$679,MATCH(82,'Transfer Engine'!$C$2:$C$679,0)))</f>
        <v/>
      </c>
      <c r="L91" s="8">
        <f>IF(ISNA(MATCH(82,'Transfer Engine'!$C$2:$C$679,0)),"",INDEX('Compliance Database'!$L$2:$L$679,MATCH(82,'Transfer Engine'!$C$2:$C$679,0)))</f>
        <v/>
      </c>
      <c r="M91" s="8">
        <f>IF(ISNA(MATCH(82,'Transfer Engine'!$C$2:$C$679,0)),"",INDEX('Compliance Database'!$M$2:$M$679,MATCH(82,'Transfer Engine'!$C$2:$C$679,0)))</f>
        <v/>
      </c>
      <c r="N91" s="8">
        <f>IF(ISNA(MATCH(82,'Transfer Engine'!$C$2:$C$679,0)),"",INDEX('Compliance Database'!$N$2:$N$679,MATCH(82,'Transfer Engine'!$C$2:$C$679,0)))</f>
        <v/>
      </c>
      <c r="O91" s="8">
        <f>IF(ISNA(MATCH(82,'Transfer Engine'!$C$2:$C$679,0)),"",INDEX('Compliance Database'!$O$2:$O$679,MATCH(82,'Transfer Engine'!$C$2:$C$679,0)))</f>
        <v/>
      </c>
      <c r="P91">
        <f>IF(ISNA(MATCH(82,'Transfer Engine'!$C$2:$C$679,0)),"",HYPERLINK(INDEX('Compliance Database'!$P$2:$P$679,MATCH(82,'Transfer Engine'!$C$2:$C$679,0)),"Open PDF"))</f>
        <v/>
      </c>
    </row>
    <row r="92">
      <c r="A92">
        <f>IF(ISNA(MATCH(83,'Transfer Engine'!$C$2:$C$679,0)),"",INDEX('Compliance Database'!$A$2:$A$679,MATCH(83,'Transfer Engine'!$C$2:$C$679,0)))</f>
        <v/>
      </c>
      <c r="B92">
        <f>IF(ISNA(MATCH(83,'Transfer Engine'!$C$2:$C$679,0)),"",INDEX('Compliance Database'!$B$2:$B$679,MATCH(83,'Transfer Engine'!$C$2:$C$679,0)))</f>
        <v/>
      </c>
      <c r="C92">
        <f>IF(ISNA(MATCH(83,'Transfer Engine'!$C$2:$C$679,0)),"",INDEX('Compliance Database'!$C$2:$C$679,MATCH(83,'Transfer Engine'!$C$2:$C$679,0)))</f>
        <v/>
      </c>
      <c r="D92" s="8">
        <f>IF(ISNA(MATCH(83,'Transfer Engine'!$C$2:$C$679,0)),"",INDEX('Compliance Database'!$D$2:$D$679,MATCH(83,'Transfer Engine'!$C$2:$C$679,0)))</f>
        <v/>
      </c>
      <c r="E92">
        <f>IF(ISNA(MATCH(83,'Transfer Engine'!$C$2:$C$679,0)),"",INDEX('Compliance Database'!$E$2:$E$679,MATCH(83,'Transfer Engine'!$C$2:$C$679,0)))</f>
        <v/>
      </c>
      <c r="F92">
        <f>IF(ISNA(MATCH(83,'Transfer Engine'!$C$2:$C$679,0)),"",INDEX('Compliance Database'!$F$2:$F$679,MATCH(83,'Transfer Engine'!$C$2:$C$679,0)))</f>
        <v/>
      </c>
      <c r="G92">
        <f>IF(ISNA(MATCH(83,'Transfer Engine'!$C$2:$C$679,0)),"",INDEX('Compliance Database'!$G$2:$G$679,MATCH(83,'Transfer Engine'!$C$2:$C$679,0)))</f>
        <v/>
      </c>
      <c r="H92">
        <f>IF(ISNA(MATCH(83,'Transfer Engine'!$C$2:$C$679,0)),"",INDEX('Compliance Database'!$H$2:$H$679,MATCH(83,'Transfer Engine'!$C$2:$C$679,0)))</f>
        <v/>
      </c>
      <c r="I92" s="8">
        <f>IF(ISNA(MATCH(83,'Transfer Engine'!$C$2:$C$679,0)),"",INDEX('Compliance Database'!$I$2:$I$679,MATCH(83,'Transfer Engine'!$C$2:$C$679,0)))</f>
        <v/>
      </c>
      <c r="J92" s="8">
        <f>IF(ISNA(MATCH(83,'Transfer Engine'!$C$2:$C$679,0)),"",INDEX('Compliance Database'!$J$2:$J$679,MATCH(83,'Transfer Engine'!$C$2:$C$679,0)))</f>
        <v/>
      </c>
      <c r="K92">
        <f>IF(ISNA(MATCH(83,'Transfer Engine'!$C$2:$C$679,0)),"",INDEX('Compliance Database'!$K$2:$K$679,MATCH(83,'Transfer Engine'!$C$2:$C$679,0)))</f>
        <v/>
      </c>
      <c r="L92" s="8">
        <f>IF(ISNA(MATCH(83,'Transfer Engine'!$C$2:$C$679,0)),"",INDEX('Compliance Database'!$L$2:$L$679,MATCH(83,'Transfer Engine'!$C$2:$C$679,0)))</f>
        <v/>
      </c>
      <c r="M92" s="8">
        <f>IF(ISNA(MATCH(83,'Transfer Engine'!$C$2:$C$679,0)),"",INDEX('Compliance Database'!$M$2:$M$679,MATCH(83,'Transfer Engine'!$C$2:$C$679,0)))</f>
        <v/>
      </c>
      <c r="N92" s="8">
        <f>IF(ISNA(MATCH(83,'Transfer Engine'!$C$2:$C$679,0)),"",INDEX('Compliance Database'!$N$2:$N$679,MATCH(83,'Transfer Engine'!$C$2:$C$679,0)))</f>
        <v/>
      </c>
      <c r="O92" s="8">
        <f>IF(ISNA(MATCH(83,'Transfer Engine'!$C$2:$C$679,0)),"",INDEX('Compliance Database'!$O$2:$O$679,MATCH(83,'Transfer Engine'!$C$2:$C$679,0)))</f>
        <v/>
      </c>
      <c r="P92">
        <f>IF(ISNA(MATCH(83,'Transfer Engine'!$C$2:$C$679,0)),"",HYPERLINK(INDEX('Compliance Database'!$P$2:$P$679,MATCH(83,'Transfer Engine'!$C$2:$C$679,0)),"Open PDF"))</f>
        <v/>
      </c>
    </row>
    <row r="93">
      <c r="A93">
        <f>IF(ISNA(MATCH(84,'Transfer Engine'!$C$2:$C$679,0)),"",INDEX('Compliance Database'!$A$2:$A$679,MATCH(84,'Transfer Engine'!$C$2:$C$679,0)))</f>
        <v/>
      </c>
      <c r="B93">
        <f>IF(ISNA(MATCH(84,'Transfer Engine'!$C$2:$C$679,0)),"",INDEX('Compliance Database'!$B$2:$B$679,MATCH(84,'Transfer Engine'!$C$2:$C$679,0)))</f>
        <v/>
      </c>
      <c r="C93">
        <f>IF(ISNA(MATCH(84,'Transfer Engine'!$C$2:$C$679,0)),"",INDEX('Compliance Database'!$C$2:$C$679,MATCH(84,'Transfer Engine'!$C$2:$C$679,0)))</f>
        <v/>
      </c>
      <c r="D93" s="8">
        <f>IF(ISNA(MATCH(84,'Transfer Engine'!$C$2:$C$679,0)),"",INDEX('Compliance Database'!$D$2:$D$679,MATCH(84,'Transfer Engine'!$C$2:$C$679,0)))</f>
        <v/>
      </c>
      <c r="E93">
        <f>IF(ISNA(MATCH(84,'Transfer Engine'!$C$2:$C$679,0)),"",INDEX('Compliance Database'!$E$2:$E$679,MATCH(84,'Transfer Engine'!$C$2:$C$679,0)))</f>
        <v/>
      </c>
      <c r="F93">
        <f>IF(ISNA(MATCH(84,'Transfer Engine'!$C$2:$C$679,0)),"",INDEX('Compliance Database'!$F$2:$F$679,MATCH(84,'Transfer Engine'!$C$2:$C$679,0)))</f>
        <v/>
      </c>
      <c r="G93">
        <f>IF(ISNA(MATCH(84,'Transfer Engine'!$C$2:$C$679,0)),"",INDEX('Compliance Database'!$G$2:$G$679,MATCH(84,'Transfer Engine'!$C$2:$C$679,0)))</f>
        <v/>
      </c>
      <c r="H93">
        <f>IF(ISNA(MATCH(84,'Transfer Engine'!$C$2:$C$679,0)),"",INDEX('Compliance Database'!$H$2:$H$679,MATCH(84,'Transfer Engine'!$C$2:$C$679,0)))</f>
        <v/>
      </c>
      <c r="I93" s="8">
        <f>IF(ISNA(MATCH(84,'Transfer Engine'!$C$2:$C$679,0)),"",INDEX('Compliance Database'!$I$2:$I$679,MATCH(84,'Transfer Engine'!$C$2:$C$679,0)))</f>
        <v/>
      </c>
      <c r="J93" s="8">
        <f>IF(ISNA(MATCH(84,'Transfer Engine'!$C$2:$C$679,0)),"",INDEX('Compliance Database'!$J$2:$J$679,MATCH(84,'Transfer Engine'!$C$2:$C$679,0)))</f>
        <v/>
      </c>
      <c r="K93">
        <f>IF(ISNA(MATCH(84,'Transfer Engine'!$C$2:$C$679,0)),"",INDEX('Compliance Database'!$K$2:$K$679,MATCH(84,'Transfer Engine'!$C$2:$C$679,0)))</f>
        <v/>
      </c>
      <c r="L93" s="8">
        <f>IF(ISNA(MATCH(84,'Transfer Engine'!$C$2:$C$679,0)),"",INDEX('Compliance Database'!$L$2:$L$679,MATCH(84,'Transfer Engine'!$C$2:$C$679,0)))</f>
        <v/>
      </c>
      <c r="M93" s="8">
        <f>IF(ISNA(MATCH(84,'Transfer Engine'!$C$2:$C$679,0)),"",INDEX('Compliance Database'!$M$2:$M$679,MATCH(84,'Transfer Engine'!$C$2:$C$679,0)))</f>
        <v/>
      </c>
      <c r="N93" s="8">
        <f>IF(ISNA(MATCH(84,'Transfer Engine'!$C$2:$C$679,0)),"",INDEX('Compliance Database'!$N$2:$N$679,MATCH(84,'Transfer Engine'!$C$2:$C$679,0)))</f>
        <v/>
      </c>
      <c r="O93" s="8">
        <f>IF(ISNA(MATCH(84,'Transfer Engine'!$C$2:$C$679,0)),"",INDEX('Compliance Database'!$O$2:$O$679,MATCH(84,'Transfer Engine'!$C$2:$C$679,0)))</f>
        <v/>
      </c>
      <c r="P93">
        <f>IF(ISNA(MATCH(84,'Transfer Engine'!$C$2:$C$679,0)),"",HYPERLINK(INDEX('Compliance Database'!$P$2:$P$679,MATCH(84,'Transfer Engine'!$C$2:$C$679,0)),"Open PDF"))</f>
        <v/>
      </c>
    </row>
    <row r="94">
      <c r="A94">
        <f>IF(ISNA(MATCH(85,'Transfer Engine'!$C$2:$C$679,0)),"",INDEX('Compliance Database'!$A$2:$A$679,MATCH(85,'Transfer Engine'!$C$2:$C$679,0)))</f>
        <v/>
      </c>
      <c r="B94">
        <f>IF(ISNA(MATCH(85,'Transfer Engine'!$C$2:$C$679,0)),"",INDEX('Compliance Database'!$B$2:$B$679,MATCH(85,'Transfer Engine'!$C$2:$C$679,0)))</f>
        <v/>
      </c>
      <c r="C94">
        <f>IF(ISNA(MATCH(85,'Transfer Engine'!$C$2:$C$679,0)),"",INDEX('Compliance Database'!$C$2:$C$679,MATCH(85,'Transfer Engine'!$C$2:$C$679,0)))</f>
        <v/>
      </c>
      <c r="D94" s="8">
        <f>IF(ISNA(MATCH(85,'Transfer Engine'!$C$2:$C$679,0)),"",INDEX('Compliance Database'!$D$2:$D$679,MATCH(85,'Transfer Engine'!$C$2:$C$679,0)))</f>
        <v/>
      </c>
      <c r="E94">
        <f>IF(ISNA(MATCH(85,'Transfer Engine'!$C$2:$C$679,0)),"",INDEX('Compliance Database'!$E$2:$E$679,MATCH(85,'Transfer Engine'!$C$2:$C$679,0)))</f>
        <v/>
      </c>
      <c r="F94">
        <f>IF(ISNA(MATCH(85,'Transfer Engine'!$C$2:$C$679,0)),"",INDEX('Compliance Database'!$F$2:$F$679,MATCH(85,'Transfer Engine'!$C$2:$C$679,0)))</f>
        <v/>
      </c>
      <c r="G94">
        <f>IF(ISNA(MATCH(85,'Transfer Engine'!$C$2:$C$679,0)),"",INDEX('Compliance Database'!$G$2:$G$679,MATCH(85,'Transfer Engine'!$C$2:$C$679,0)))</f>
        <v/>
      </c>
      <c r="H94">
        <f>IF(ISNA(MATCH(85,'Transfer Engine'!$C$2:$C$679,0)),"",INDEX('Compliance Database'!$H$2:$H$679,MATCH(85,'Transfer Engine'!$C$2:$C$679,0)))</f>
        <v/>
      </c>
      <c r="I94" s="8">
        <f>IF(ISNA(MATCH(85,'Transfer Engine'!$C$2:$C$679,0)),"",INDEX('Compliance Database'!$I$2:$I$679,MATCH(85,'Transfer Engine'!$C$2:$C$679,0)))</f>
        <v/>
      </c>
      <c r="J94" s="8">
        <f>IF(ISNA(MATCH(85,'Transfer Engine'!$C$2:$C$679,0)),"",INDEX('Compliance Database'!$J$2:$J$679,MATCH(85,'Transfer Engine'!$C$2:$C$679,0)))</f>
        <v/>
      </c>
      <c r="K94">
        <f>IF(ISNA(MATCH(85,'Transfer Engine'!$C$2:$C$679,0)),"",INDEX('Compliance Database'!$K$2:$K$679,MATCH(85,'Transfer Engine'!$C$2:$C$679,0)))</f>
        <v/>
      </c>
      <c r="L94" s="8">
        <f>IF(ISNA(MATCH(85,'Transfer Engine'!$C$2:$C$679,0)),"",INDEX('Compliance Database'!$L$2:$L$679,MATCH(85,'Transfer Engine'!$C$2:$C$679,0)))</f>
        <v/>
      </c>
      <c r="M94" s="8">
        <f>IF(ISNA(MATCH(85,'Transfer Engine'!$C$2:$C$679,0)),"",INDEX('Compliance Database'!$M$2:$M$679,MATCH(85,'Transfer Engine'!$C$2:$C$679,0)))</f>
        <v/>
      </c>
      <c r="N94" s="8">
        <f>IF(ISNA(MATCH(85,'Transfer Engine'!$C$2:$C$679,0)),"",INDEX('Compliance Database'!$N$2:$N$679,MATCH(85,'Transfer Engine'!$C$2:$C$679,0)))</f>
        <v/>
      </c>
      <c r="O94" s="8">
        <f>IF(ISNA(MATCH(85,'Transfer Engine'!$C$2:$C$679,0)),"",INDEX('Compliance Database'!$O$2:$O$679,MATCH(85,'Transfer Engine'!$C$2:$C$679,0)))</f>
        <v/>
      </c>
      <c r="P94">
        <f>IF(ISNA(MATCH(85,'Transfer Engine'!$C$2:$C$679,0)),"",HYPERLINK(INDEX('Compliance Database'!$P$2:$P$679,MATCH(85,'Transfer Engine'!$C$2:$C$679,0)),"Open PDF"))</f>
        <v/>
      </c>
    </row>
    <row r="95">
      <c r="A95">
        <f>IF(ISNA(MATCH(86,'Transfer Engine'!$C$2:$C$679,0)),"",INDEX('Compliance Database'!$A$2:$A$679,MATCH(86,'Transfer Engine'!$C$2:$C$679,0)))</f>
        <v/>
      </c>
      <c r="B95">
        <f>IF(ISNA(MATCH(86,'Transfer Engine'!$C$2:$C$679,0)),"",INDEX('Compliance Database'!$B$2:$B$679,MATCH(86,'Transfer Engine'!$C$2:$C$679,0)))</f>
        <v/>
      </c>
      <c r="C95">
        <f>IF(ISNA(MATCH(86,'Transfer Engine'!$C$2:$C$679,0)),"",INDEX('Compliance Database'!$C$2:$C$679,MATCH(86,'Transfer Engine'!$C$2:$C$679,0)))</f>
        <v/>
      </c>
      <c r="D95" s="8">
        <f>IF(ISNA(MATCH(86,'Transfer Engine'!$C$2:$C$679,0)),"",INDEX('Compliance Database'!$D$2:$D$679,MATCH(86,'Transfer Engine'!$C$2:$C$679,0)))</f>
        <v/>
      </c>
      <c r="E95">
        <f>IF(ISNA(MATCH(86,'Transfer Engine'!$C$2:$C$679,0)),"",INDEX('Compliance Database'!$E$2:$E$679,MATCH(86,'Transfer Engine'!$C$2:$C$679,0)))</f>
        <v/>
      </c>
      <c r="F95">
        <f>IF(ISNA(MATCH(86,'Transfer Engine'!$C$2:$C$679,0)),"",INDEX('Compliance Database'!$F$2:$F$679,MATCH(86,'Transfer Engine'!$C$2:$C$679,0)))</f>
        <v/>
      </c>
      <c r="G95">
        <f>IF(ISNA(MATCH(86,'Transfer Engine'!$C$2:$C$679,0)),"",INDEX('Compliance Database'!$G$2:$G$679,MATCH(86,'Transfer Engine'!$C$2:$C$679,0)))</f>
        <v/>
      </c>
      <c r="H95">
        <f>IF(ISNA(MATCH(86,'Transfer Engine'!$C$2:$C$679,0)),"",INDEX('Compliance Database'!$H$2:$H$679,MATCH(86,'Transfer Engine'!$C$2:$C$679,0)))</f>
        <v/>
      </c>
      <c r="I95" s="8">
        <f>IF(ISNA(MATCH(86,'Transfer Engine'!$C$2:$C$679,0)),"",INDEX('Compliance Database'!$I$2:$I$679,MATCH(86,'Transfer Engine'!$C$2:$C$679,0)))</f>
        <v/>
      </c>
      <c r="J95" s="8">
        <f>IF(ISNA(MATCH(86,'Transfer Engine'!$C$2:$C$679,0)),"",INDEX('Compliance Database'!$J$2:$J$679,MATCH(86,'Transfer Engine'!$C$2:$C$679,0)))</f>
        <v/>
      </c>
      <c r="K95">
        <f>IF(ISNA(MATCH(86,'Transfer Engine'!$C$2:$C$679,0)),"",INDEX('Compliance Database'!$K$2:$K$679,MATCH(86,'Transfer Engine'!$C$2:$C$679,0)))</f>
        <v/>
      </c>
      <c r="L95" s="8">
        <f>IF(ISNA(MATCH(86,'Transfer Engine'!$C$2:$C$679,0)),"",INDEX('Compliance Database'!$L$2:$L$679,MATCH(86,'Transfer Engine'!$C$2:$C$679,0)))</f>
        <v/>
      </c>
      <c r="M95" s="8">
        <f>IF(ISNA(MATCH(86,'Transfer Engine'!$C$2:$C$679,0)),"",INDEX('Compliance Database'!$M$2:$M$679,MATCH(86,'Transfer Engine'!$C$2:$C$679,0)))</f>
        <v/>
      </c>
      <c r="N95" s="8">
        <f>IF(ISNA(MATCH(86,'Transfer Engine'!$C$2:$C$679,0)),"",INDEX('Compliance Database'!$N$2:$N$679,MATCH(86,'Transfer Engine'!$C$2:$C$679,0)))</f>
        <v/>
      </c>
      <c r="O95" s="8">
        <f>IF(ISNA(MATCH(86,'Transfer Engine'!$C$2:$C$679,0)),"",INDEX('Compliance Database'!$O$2:$O$679,MATCH(86,'Transfer Engine'!$C$2:$C$679,0)))</f>
        <v/>
      </c>
      <c r="P95">
        <f>IF(ISNA(MATCH(86,'Transfer Engine'!$C$2:$C$679,0)),"",HYPERLINK(INDEX('Compliance Database'!$P$2:$P$679,MATCH(86,'Transfer Engine'!$C$2:$C$679,0)),"Open PDF"))</f>
        <v/>
      </c>
    </row>
    <row r="96">
      <c r="A96">
        <f>IF(ISNA(MATCH(87,'Transfer Engine'!$C$2:$C$679,0)),"",INDEX('Compliance Database'!$A$2:$A$679,MATCH(87,'Transfer Engine'!$C$2:$C$679,0)))</f>
        <v/>
      </c>
      <c r="B96">
        <f>IF(ISNA(MATCH(87,'Transfer Engine'!$C$2:$C$679,0)),"",INDEX('Compliance Database'!$B$2:$B$679,MATCH(87,'Transfer Engine'!$C$2:$C$679,0)))</f>
        <v/>
      </c>
      <c r="C96">
        <f>IF(ISNA(MATCH(87,'Transfer Engine'!$C$2:$C$679,0)),"",INDEX('Compliance Database'!$C$2:$C$679,MATCH(87,'Transfer Engine'!$C$2:$C$679,0)))</f>
        <v/>
      </c>
      <c r="D96" s="8">
        <f>IF(ISNA(MATCH(87,'Transfer Engine'!$C$2:$C$679,0)),"",INDEX('Compliance Database'!$D$2:$D$679,MATCH(87,'Transfer Engine'!$C$2:$C$679,0)))</f>
        <v/>
      </c>
      <c r="E96">
        <f>IF(ISNA(MATCH(87,'Transfer Engine'!$C$2:$C$679,0)),"",INDEX('Compliance Database'!$E$2:$E$679,MATCH(87,'Transfer Engine'!$C$2:$C$679,0)))</f>
        <v/>
      </c>
      <c r="F96">
        <f>IF(ISNA(MATCH(87,'Transfer Engine'!$C$2:$C$679,0)),"",INDEX('Compliance Database'!$F$2:$F$679,MATCH(87,'Transfer Engine'!$C$2:$C$679,0)))</f>
        <v/>
      </c>
      <c r="G96">
        <f>IF(ISNA(MATCH(87,'Transfer Engine'!$C$2:$C$679,0)),"",INDEX('Compliance Database'!$G$2:$G$679,MATCH(87,'Transfer Engine'!$C$2:$C$679,0)))</f>
        <v/>
      </c>
      <c r="H96">
        <f>IF(ISNA(MATCH(87,'Transfer Engine'!$C$2:$C$679,0)),"",INDEX('Compliance Database'!$H$2:$H$679,MATCH(87,'Transfer Engine'!$C$2:$C$679,0)))</f>
        <v/>
      </c>
      <c r="I96" s="8">
        <f>IF(ISNA(MATCH(87,'Transfer Engine'!$C$2:$C$679,0)),"",INDEX('Compliance Database'!$I$2:$I$679,MATCH(87,'Transfer Engine'!$C$2:$C$679,0)))</f>
        <v/>
      </c>
      <c r="J96" s="8">
        <f>IF(ISNA(MATCH(87,'Transfer Engine'!$C$2:$C$679,0)),"",INDEX('Compliance Database'!$J$2:$J$679,MATCH(87,'Transfer Engine'!$C$2:$C$679,0)))</f>
        <v/>
      </c>
      <c r="K96">
        <f>IF(ISNA(MATCH(87,'Transfer Engine'!$C$2:$C$679,0)),"",INDEX('Compliance Database'!$K$2:$K$679,MATCH(87,'Transfer Engine'!$C$2:$C$679,0)))</f>
        <v/>
      </c>
      <c r="L96" s="8">
        <f>IF(ISNA(MATCH(87,'Transfer Engine'!$C$2:$C$679,0)),"",INDEX('Compliance Database'!$L$2:$L$679,MATCH(87,'Transfer Engine'!$C$2:$C$679,0)))</f>
        <v/>
      </c>
      <c r="M96" s="8">
        <f>IF(ISNA(MATCH(87,'Transfer Engine'!$C$2:$C$679,0)),"",INDEX('Compliance Database'!$M$2:$M$679,MATCH(87,'Transfer Engine'!$C$2:$C$679,0)))</f>
        <v/>
      </c>
      <c r="N96" s="8">
        <f>IF(ISNA(MATCH(87,'Transfer Engine'!$C$2:$C$679,0)),"",INDEX('Compliance Database'!$N$2:$N$679,MATCH(87,'Transfer Engine'!$C$2:$C$679,0)))</f>
        <v/>
      </c>
      <c r="O96" s="8">
        <f>IF(ISNA(MATCH(87,'Transfer Engine'!$C$2:$C$679,0)),"",INDEX('Compliance Database'!$O$2:$O$679,MATCH(87,'Transfer Engine'!$C$2:$C$679,0)))</f>
        <v/>
      </c>
      <c r="P96">
        <f>IF(ISNA(MATCH(87,'Transfer Engine'!$C$2:$C$679,0)),"",HYPERLINK(INDEX('Compliance Database'!$P$2:$P$679,MATCH(87,'Transfer Engine'!$C$2:$C$679,0)),"Open PDF"))</f>
        <v/>
      </c>
    </row>
    <row r="97">
      <c r="A97">
        <f>IF(ISNA(MATCH(88,'Transfer Engine'!$C$2:$C$679,0)),"",INDEX('Compliance Database'!$A$2:$A$679,MATCH(88,'Transfer Engine'!$C$2:$C$679,0)))</f>
        <v/>
      </c>
      <c r="B97">
        <f>IF(ISNA(MATCH(88,'Transfer Engine'!$C$2:$C$679,0)),"",INDEX('Compliance Database'!$B$2:$B$679,MATCH(88,'Transfer Engine'!$C$2:$C$679,0)))</f>
        <v/>
      </c>
      <c r="C97">
        <f>IF(ISNA(MATCH(88,'Transfer Engine'!$C$2:$C$679,0)),"",INDEX('Compliance Database'!$C$2:$C$679,MATCH(88,'Transfer Engine'!$C$2:$C$679,0)))</f>
        <v/>
      </c>
      <c r="D97" s="8">
        <f>IF(ISNA(MATCH(88,'Transfer Engine'!$C$2:$C$679,0)),"",INDEX('Compliance Database'!$D$2:$D$679,MATCH(88,'Transfer Engine'!$C$2:$C$679,0)))</f>
        <v/>
      </c>
      <c r="E97">
        <f>IF(ISNA(MATCH(88,'Transfer Engine'!$C$2:$C$679,0)),"",INDEX('Compliance Database'!$E$2:$E$679,MATCH(88,'Transfer Engine'!$C$2:$C$679,0)))</f>
        <v/>
      </c>
      <c r="F97">
        <f>IF(ISNA(MATCH(88,'Transfer Engine'!$C$2:$C$679,0)),"",INDEX('Compliance Database'!$F$2:$F$679,MATCH(88,'Transfer Engine'!$C$2:$C$679,0)))</f>
        <v/>
      </c>
      <c r="G97">
        <f>IF(ISNA(MATCH(88,'Transfer Engine'!$C$2:$C$679,0)),"",INDEX('Compliance Database'!$G$2:$G$679,MATCH(88,'Transfer Engine'!$C$2:$C$679,0)))</f>
        <v/>
      </c>
      <c r="H97">
        <f>IF(ISNA(MATCH(88,'Transfer Engine'!$C$2:$C$679,0)),"",INDEX('Compliance Database'!$H$2:$H$679,MATCH(88,'Transfer Engine'!$C$2:$C$679,0)))</f>
        <v/>
      </c>
      <c r="I97" s="8">
        <f>IF(ISNA(MATCH(88,'Transfer Engine'!$C$2:$C$679,0)),"",INDEX('Compliance Database'!$I$2:$I$679,MATCH(88,'Transfer Engine'!$C$2:$C$679,0)))</f>
        <v/>
      </c>
      <c r="J97" s="8">
        <f>IF(ISNA(MATCH(88,'Transfer Engine'!$C$2:$C$679,0)),"",INDEX('Compliance Database'!$J$2:$J$679,MATCH(88,'Transfer Engine'!$C$2:$C$679,0)))</f>
        <v/>
      </c>
      <c r="K97">
        <f>IF(ISNA(MATCH(88,'Transfer Engine'!$C$2:$C$679,0)),"",INDEX('Compliance Database'!$K$2:$K$679,MATCH(88,'Transfer Engine'!$C$2:$C$679,0)))</f>
        <v/>
      </c>
      <c r="L97" s="8">
        <f>IF(ISNA(MATCH(88,'Transfer Engine'!$C$2:$C$679,0)),"",INDEX('Compliance Database'!$L$2:$L$679,MATCH(88,'Transfer Engine'!$C$2:$C$679,0)))</f>
        <v/>
      </c>
      <c r="M97" s="8">
        <f>IF(ISNA(MATCH(88,'Transfer Engine'!$C$2:$C$679,0)),"",INDEX('Compliance Database'!$M$2:$M$679,MATCH(88,'Transfer Engine'!$C$2:$C$679,0)))</f>
        <v/>
      </c>
      <c r="N97" s="8">
        <f>IF(ISNA(MATCH(88,'Transfer Engine'!$C$2:$C$679,0)),"",INDEX('Compliance Database'!$N$2:$N$679,MATCH(88,'Transfer Engine'!$C$2:$C$679,0)))</f>
        <v/>
      </c>
      <c r="O97" s="8">
        <f>IF(ISNA(MATCH(88,'Transfer Engine'!$C$2:$C$679,0)),"",INDEX('Compliance Database'!$O$2:$O$679,MATCH(88,'Transfer Engine'!$C$2:$C$679,0)))</f>
        <v/>
      </c>
      <c r="P97">
        <f>IF(ISNA(MATCH(88,'Transfer Engine'!$C$2:$C$679,0)),"",HYPERLINK(INDEX('Compliance Database'!$P$2:$P$679,MATCH(88,'Transfer Engine'!$C$2:$C$679,0)),"Open PDF"))</f>
        <v/>
      </c>
    </row>
    <row r="98">
      <c r="A98">
        <f>IF(ISNA(MATCH(89,'Transfer Engine'!$C$2:$C$679,0)),"",INDEX('Compliance Database'!$A$2:$A$679,MATCH(89,'Transfer Engine'!$C$2:$C$679,0)))</f>
        <v/>
      </c>
      <c r="B98">
        <f>IF(ISNA(MATCH(89,'Transfer Engine'!$C$2:$C$679,0)),"",INDEX('Compliance Database'!$B$2:$B$679,MATCH(89,'Transfer Engine'!$C$2:$C$679,0)))</f>
        <v/>
      </c>
      <c r="C98">
        <f>IF(ISNA(MATCH(89,'Transfer Engine'!$C$2:$C$679,0)),"",INDEX('Compliance Database'!$C$2:$C$679,MATCH(89,'Transfer Engine'!$C$2:$C$679,0)))</f>
        <v/>
      </c>
      <c r="D98" s="8">
        <f>IF(ISNA(MATCH(89,'Transfer Engine'!$C$2:$C$679,0)),"",INDEX('Compliance Database'!$D$2:$D$679,MATCH(89,'Transfer Engine'!$C$2:$C$679,0)))</f>
        <v/>
      </c>
      <c r="E98">
        <f>IF(ISNA(MATCH(89,'Transfer Engine'!$C$2:$C$679,0)),"",INDEX('Compliance Database'!$E$2:$E$679,MATCH(89,'Transfer Engine'!$C$2:$C$679,0)))</f>
        <v/>
      </c>
      <c r="F98">
        <f>IF(ISNA(MATCH(89,'Transfer Engine'!$C$2:$C$679,0)),"",INDEX('Compliance Database'!$F$2:$F$679,MATCH(89,'Transfer Engine'!$C$2:$C$679,0)))</f>
        <v/>
      </c>
      <c r="G98">
        <f>IF(ISNA(MATCH(89,'Transfer Engine'!$C$2:$C$679,0)),"",INDEX('Compliance Database'!$G$2:$G$679,MATCH(89,'Transfer Engine'!$C$2:$C$679,0)))</f>
        <v/>
      </c>
      <c r="H98">
        <f>IF(ISNA(MATCH(89,'Transfer Engine'!$C$2:$C$679,0)),"",INDEX('Compliance Database'!$H$2:$H$679,MATCH(89,'Transfer Engine'!$C$2:$C$679,0)))</f>
        <v/>
      </c>
      <c r="I98" s="8">
        <f>IF(ISNA(MATCH(89,'Transfer Engine'!$C$2:$C$679,0)),"",INDEX('Compliance Database'!$I$2:$I$679,MATCH(89,'Transfer Engine'!$C$2:$C$679,0)))</f>
        <v/>
      </c>
      <c r="J98" s="8">
        <f>IF(ISNA(MATCH(89,'Transfer Engine'!$C$2:$C$679,0)),"",INDEX('Compliance Database'!$J$2:$J$679,MATCH(89,'Transfer Engine'!$C$2:$C$679,0)))</f>
        <v/>
      </c>
      <c r="K98">
        <f>IF(ISNA(MATCH(89,'Transfer Engine'!$C$2:$C$679,0)),"",INDEX('Compliance Database'!$K$2:$K$679,MATCH(89,'Transfer Engine'!$C$2:$C$679,0)))</f>
        <v/>
      </c>
      <c r="L98" s="8">
        <f>IF(ISNA(MATCH(89,'Transfer Engine'!$C$2:$C$679,0)),"",INDEX('Compliance Database'!$L$2:$L$679,MATCH(89,'Transfer Engine'!$C$2:$C$679,0)))</f>
        <v/>
      </c>
      <c r="M98" s="8">
        <f>IF(ISNA(MATCH(89,'Transfer Engine'!$C$2:$C$679,0)),"",INDEX('Compliance Database'!$M$2:$M$679,MATCH(89,'Transfer Engine'!$C$2:$C$679,0)))</f>
        <v/>
      </c>
      <c r="N98" s="8">
        <f>IF(ISNA(MATCH(89,'Transfer Engine'!$C$2:$C$679,0)),"",INDEX('Compliance Database'!$N$2:$N$679,MATCH(89,'Transfer Engine'!$C$2:$C$679,0)))</f>
        <v/>
      </c>
      <c r="O98" s="8">
        <f>IF(ISNA(MATCH(89,'Transfer Engine'!$C$2:$C$679,0)),"",INDEX('Compliance Database'!$O$2:$O$679,MATCH(89,'Transfer Engine'!$C$2:$C$679,0)))</f>
        <v/>
      </c>
      <c r="P98">
        <f>IF(ISNA(MATCH(89,'Transfer Engine'!$C$2:$C$679,0)),"",HYPERLINK(INDEX('Compliance Database'!$P$2:$P$679,MATCH(89,'Transfer Engine'!$C$2:$C$679,0)),"Open PDF"))</f>
        <v/>
      </c>
    </row>
    <row r="99">
      <c r="A99">
        <f>IF(ISNA(MATCH(90,'Transfer Engine'!$C$2:$C$679,0)),"",INDEX('Compliance Database'!$A$2:$A$679,MATCH(90,'Transfer Engine'!$C$2:$C$679,0)))</f>
        <v/>
      </c>
      <c r="B99">
        <f>IF(ISNA(MATCH(90,'Transfer Engine'!$C$2:$C$679,0)),"",INDEX('Compliance Database'!$B$2:$B$679,MATCH(90,'Transfer Engine'!$C$2:$C$679,0)))</f>
        <v/>
      </c>
      <c r="C99">
        <f>IF(ISNA(MATCH(90,'Transfer Engine'!$C$2:$C$679,0)),"",INDEX('Compliance Database'!$C$2:$C$679,MATCH(90,'Transfer Engine'!$C$2:$C$679,0)))</f>
        <v/>
      </c>
      <c r="D99" s="8">
        <f>IF(ISNA(MATCH(90,'Transfer Engine'!$C$2:$C$679,0)),"",INDEX('Compliance Database'!$D$2:$D$679,MATCH(90,'Transfer Engine'!$C$2:$C$679,0)))</f>
        <v/>
      </c>
      <c r="E99">
        <f>IF(ISNA(MATCH(90,'Transfer Engine'!$C$2:$C$679,0)),"",INDEX('Compliance Database'!$E$2:$E$679,MATCH(90,'Transfer Engine'!$C$2:$C$679,0)))</f>
        <v/>
      </c>
      <c r="F99">
        <f>IF(ISNA(MATCH(90,'Transfer Engine'!$C$2:$C$679,0)),"",INDEX('Compliance Database'!$F$2:$F$679,MATCH(90,'Transfer Engine'!$C$2:$C$679,0)))</f>
        <v/>
      </c>
      <c r="G99">
        <f>IF(ISNA(MATCH(90,'Transfer Engine'!$C$2:$C$679,0)),"",INDEX('Compliance Database'!$G$2:$G$679,MATCH(90,'Transfer Engine'!$C$2:$C$679,0)))</f>
        <v/>
      </c>
      <c r="H99">
        <f>IF(ISNA(MATCH(90,'Transfer Engine'!$C$2:$C$679,0)),"",INDEX('Compliance Database'!$H$2:$H$679,MATCH(90,'Transfer Engine'!$C$2:$C$679,0)))</f>
        <v/>
      </c>
      <c r="I99" s="8">
        <f>IF(ISNA(MATCH(90,'Transfer Engine'!$C$2:$C$679,0)),"",INDEX('Compliance Database'!$I$2:$I$679,MATCH(90,'Transfer Engine'!$C$2:$C$679,0)))</f>
        <v/>
      </c>
      <c r="J99" s="8">
        <f>IF(ISNA(MATCH(90,'Transfer Engine'!$C$2:$C$679,0)),"",INDEX('Compliance Database'!$J$2:$J$679,MATCH(90,'Transfer Engine'!$C$2:$C$679,0)))</f>
        <v/>
      </c>
      <c r="K99">
        <f>IF(ISNA(MATCH(90,'Transfer Engine'!$C$2:$C$679,0)),"",INDEX('Compliance Database'!$K$2:$K$679,MATCH(90,'Transfer Engine'!$C$2:$C$679,0)))</f>
        <v/>
      </c>
      <c r="L99" s="8">
        <f>IF(ISNA(MATCH(90,'Transfer Engine'!$C$2:$C$679,0)),"",INDEX('Compliance Database'!$L$2:$L$679,MATCH(90,'Transfer Engine'!$C$2:$C$679,0)))</f>
        <v/>
      </c>
      <c r="M99" s="8">
        <f>IF(ISNA(MATCH(90,'Transfer Engine'!$C$2:$C$679,0)),"",INDEX('Compliance Database'!$M$2:$M$679,MATCH(90,'Transfer Engine'!$C$2:$C$679,0)))</f>
        <v/>
      </c>
      <c r="N99" s="8">
        <f>IF(ISNA(MATCH(90,'Transfer Engine'!$C$2:$C$679,0)),"",INDEX('Compliance Database'!$N$2:$N$679,MATCH(90,'Transfer Engine'!$C$2:$C$679,0)))</f>
        <v/>
      </c>
      <c r="O99" s="8">
        <f>IF(ISNA(MATCH(90,'Transfer Engine'!$C$2:$C$679,0)),"",INDEX('Compliance Database'!$O$2:$O$679,MATCH(90,'Transfer Engine'!$C$2:$C$679,0)))</f>
        <v/>
      </c>
      <c r="P99">
        <f>IF(ISNA(MATCH(90,'Transfer Engine'!$C$2:$C$679,0)),"",HYPERLINK(INDEX('Compliance Database'!$P$2:$P$679,MATCH(90,'Transfer Engine'!$C$2:$C$679,0)),"Open PDF"))</f>
        <v/>
      </c>
    </row>
    <row r="100">
      <c r="A100">
        <f>IF(ISNA(MATCH(91,'Transfer Engine'!$C$2:$C$679,0)),"",INDEX('Compliance Database'!$A$2:$A$679,MATCH(91,'Transfer Engine'!$C$2:$C$679,0)))</f>
        <v/>
      </c>
      <c r="B100">
        <f>IF(ISNA(MATCH(91,'Transfer Engine'!$C$2:$C$679,0)),"",INDEX('Compliance Database'!$B$2:$B$679,MATCH(91,'Transfer Engine'!$C$2:$C$679,0)))</f>
        <v/>
      </c>
      <c r="C100">
        <f>IF(ISNA(MATCH(91,'Transfer Engine'!$C$2:$C$679,0)),"",INDEX('Compliance Database'!$C$2:$C$679,MATCH(91,'Transfer Engine'!$C$2:$C$679,0)))</f>
        <v/>
      </c>
      <c r="D100" s="8">
        <f>IF(ISNA(MATCH(91,'Transfer Engine'!$C$2:$C$679,0)),"",INDEX('Compliance Database'!$D$2:$D$679,MATCH(91,'Transfer Engine'!$C$2:$C$679,0)))</f>
        <v/>
      </c>
      <c r="E100">
        <f>IF(ISNA(MATCH(91,'Transfer Engine'!$C$2:$C$679,0)),"",INDEX('Compliance Database'!$E$2:$E$679,MATCH(91,'Transfer Engine'!$C$2:$C$679,0)))</f>
        <v/>
      </c>
      <c r="F100">
        <f>IF(ISNA(MATCH(91,'Transfer Engine'!$C$2:$C$679,0)),"",INDEX('Compliance Database'!$F$2:$F$679,MATCH(91,'Transfer Engine'!$C$2:$C$679,0)))</f>
        <v/>
      </c>
      <c r="G100">
        <f>IF(ISNA(MATCH(91,'Transfer Engine'!$C$2:$C$679,0)),"",INDEX('Compliance Database'!$G$2:$G$679,MATCH(91,'Transfer Engine'!$C$2:$C$679,0)))</f>
        <v/>
      </c>
      <c r="H100">
        <f>IF(ISNA(MATCH(91,'Transfer Engine'!$C$2:$C$679,0)),"",INDEX('Compliance Database'!$H$2:$H$679,MATCH(91,'Transfer Engine'!$C$2:$C$679,0)))</f>
        <v/>
      </c>
      <c r="I100" s="8">
        <f>IF(ISNA(MATCH(91,'Transfer Engine'!$C$2:$C$679,0)),"",INDEX('Compliance Database'!$I$2:$I$679,MATCH(91,'Transfer Engine'!$C$2:$C$679,0)))</f>
        <v/>
      </c>
      <c r="J100" s="8">
        <f>IF(ISNA(MATCH(91,'Transfer Engine'!$C$2:$C$679,0)),"",INDEX('Compliance Database'!$J$2:$J$679,MATCH(91,'Transfer Engine'!$C$2:$C$679,0)))</f>
        <v/>
      </c>
      <c r="K100">
        <f>IF(ISNA(MATCH(91,'Transfer Engine'!$C$2:$C$679,0)),"",INDEX('Compliance Database'!$K$2:$K$679,MATCH(91,'Transfer Engine'!$C$2:$C$679,0)))</f>
        <v/>
      </c>
      <c r="L100" s="8">
        <f>IF(ISNA(MATCH(91,'Transfer Engine'!$C$2:$C$679,0)),"",INDEX('Compliance Database'!$L$2:$L$679,MATCH(91,'Transfer Engine'!$C$2:$C$679,0)))</f>
        <v/>
      </c>
      <c r="M100" s="8">
        <f>IF(ISNA(MATCH(91,'Transfer Engine'!$C$2:$C$679,0)),"",INDEX('Compliance Database'!$M$2:$M$679,MATCH(91,'Transfer Engine'!$C$2:$C$679,0)))</f>
        <v/>
      </c>
      <c r="N100" s="8">
        <f>IF(ISNA(MATCH(91,'Transfer Engine'!$C$2:$C$679,0)),"",INDEX('Compliance Database'!$N$2:$N$679,MATCH(91,'Transfer Engine'!$C$2:$C$679,0)))</f>
        <v/>
      </c>
      <c r="O100" s="8">
        <f>IF(ISNA(MATCH(91,'Transfer Engine'!$C$2:$C$679,0)),"",INDEX('Compliance Database'!$O$2:$O$679,MATCH(91,'Transfer Engine'!$C$2:$C$679,0)))</f>
        <v/>
      </c>
      <c r="P100">
        <f>IF(ISNA(MATCH(91,'Transfer Engine'!$C$2:$C$679,0)),"",HYPERLINK(INDEX('Compliance Database'!$P$2:$P$679,MATCH(91,'Transfer Engine'!$C$2:$C$679,0)),"Open PDF"))</f>
        <v/>
      </c>
    </row>
    <row r="101">
      <c r="A101">
        <f>IF(ISNA(MATCH(92,'Transfer Engine'!$C$2:$C$679,0)),"",INDEX('Compliance Database'!$A$2:$A$679,MATCH(92,'Transfer Engine'!$C$2:$C$679,0)))</f>
        <v/>
      </c>
      <c r="B101">
        <f>IF(ISNA(MATCH(92,'Transfer Engine'!$C$2:$C$679,0)),"",INDEX('Compliance Database'!$B$2:$B$679,MATCH(92,'Transfer Engine'!$C$2:$C$679,0)))</f>
        <v/>
      </c>
      <c r="C101">
        <f>IF(ISNA(MATCH(92,'Transfer Engine'!$C$2:$C$679,0)),"",INDEX('Compliance Database'!$C$2:$C$679,MATCH(92,'Transfer Engine'!$C$2:$C$679,0)))</f>
        <v/>
      </c>
      <c r="D101" s="8">
        <f>IF(ISNA(MATCH(92,'Transfer Engine'!$C$2:$C$679,0)),"",INDEX('Compliance Database'!$D$2:$D$679,MATCH(92,'Transfer Engine'!$C$2:$C$679,0)))</f>
        <v/>
      </c>
      <c r="E101">
        <f>IF(ISNA(MATCH(92,'Transfer Engine'!$C$2:$C$679,0)),"",INDEX('Compliance Database'!$E$2:$E$679,MATCH(92,'Transfer Engine'!$C$2:$C$679,0)))</f>
        <v/>
      </c>
      <c r="F101">
        <f>IF(ISNA(MATCH(92,'Transfer Engine'!$C$2:$C$679,0)),"",INDEX('Compliance Database'!$F$2:$F$679,MATCH(92,'Transfer Engine'!$C$2:$C$679,0)))</f>
        <v/>
      </c>
      <c r="G101">
        <f>IF(ISNA(MATCH(92,'Transfer Engine'!$C$2:$C$679,0)),"",INDEX('Compliance Database'!$G$2:$G$679,MATCH(92,'Transfer Engine'!$C$2:$C$679,0)))</f>
        <v/>
      </c>
      <c r="H101">
        <f>IF(ISNA(MATCH(92,'Transfer Engine'!$C$2:$C$679,0)),"",INDEX('Compliance Database'!$H$2:$H$679,MATCH(92,'Transfer Engine'!$C$2:$C$679,0)))</f>
        <v/>
      </c>
      <c r="I101" s="8">
        <f>IF(ISNA(MATCH(92,'Transfer Engine'!$C$2:$C$679,0)),"",INDEX('Compliance Database'!$I$2:$I$679,MATCH(92,'Transfer Engine'!$C$2:$C$679,0)))</f>
        <v/>
      </c>
      <c r="J101" s="8">
        <f>IF(ISNA(MATCH(92,'Transfer Engine'!$C$2:$C$679,0)),"",INDEX('Compliance Database'!$J$2:$J$679,MATCH(92,'Transfer Engine'!$C$2:$C$679,0)))</f>
        <v/>
      </c>
      <c r="K101">
        <f>IF(ISNA(MATCH(92,'Transfer Engine'!$C$2:$C$679,0)),"",INDEX('Compliance Database'!$K$2:$K$679,MATCH(92,'Transfer Engine'!$C$2:$C$679,0)))</f>
        <v/>
      </c>
      <c r="L101" s="8">
        <f>IF(ISNA(MATCH(92,'Transfer Engine'!$C$2:$C$679,0)),"",INDEX('Compliance Database'!$L$2:$L$679,MATCH(92,'Transfer Engine'!$C$2:$C$679,0)))</f>
        <v/>
      </c>
      <c r="M101" s="8">
        <f>IF(ISNA(MATCH(92,'Transfer Engine'!$C$2:$C$679,0)),"",INDEX('Compliance Database'!$M$2:$M$679,MATCH(92,'Transfer Engine'!$C$2:$C$679,0)))</f>
        <v/>
      </c>
      <c r="N101" s="8">
        <f>IF(ISNA(MATCH(92,'Transfer Engine'!$C$2:$C$679,0)),"",INDEX('Compliance Database'!$N$2:$N$679,MATCH(92,'Transfer Engine'!$C$2:$C$679,0)))</f>
        <v/>
      </c>
      <c r="O101" s="8">
        <f>IF(ISNA(MATCH(92,'Transfer Engine'!$C$2:$C$679,0)),"",INDEX('Compliance Database'!$O$2:$O$679,MATCH(92,'Transfer Engine'!$C$2:$C$679,0)))</f>
        <v/>
      </c>
      <c r="P101">
        <f>IF(ISNA(MATCH(92,'Transfer Engine'!$C$2:$C$679,0)),"",HYPERLINK(INDEX('Compliance Database'!$P$2:$P$679,MATCH(92,'Transfer Engine'!$C$2:$C$679,0)),"Open PDF"))</f>
        <v/>
      </c>
    </row>
    <row r="102">
      <c r="A102">
        <f>IF(ISNA(MATCH(93,'Transfer Engine'!$C$2:$C$679,0)),"",INDEX('Compliance Database'!$A$2:$A$679,MATCH(93,'Transfer Engine'!$C$2:$C$679,0)))</f>
        <v/>
      </c>
      <c r="B102">
        <f>IF(ISNA(MATCH(93,'Transfer Engine'!$C$2:$C$679,0)),"",INDEX('Compliance Database'!$B$2:$B$679,MATCH(93,'Transfer Engine'!$C$2:$C$679,0)))</f>
        <v/>
      </c>
      <c r="C102">
        <f>IF(ISNA(MATCH(93,'Transfer Engine'!$C$2:$C$679,0)),"",INDEX('Compliance Database'!$C$2:$C$679,MATCH(93,'Transfer Engine'!$C$2:$C$679,0)))</f>
        <v/>
      </c>
      <c r="D102" s="8">
        <f>IF(ISNA(MATCH(93,'Transfer Engine'!$C$2:$C$679,0)),"",INDEX('Compliance Database'!$D$2:$D$679,MATCH(93,'Transfer Engine'!$C$2:$C$679,0)))</f>
        <v/>
      </c>
      <c r="E102">
        <f>IF(ISNA(MATCH(93,'Transfer Engine'!$C$2:$C$679,0)),"",INDEX('Compliance Database'!$E$2:$E$679,MATCH(93,'Transfer Engine'!$C$2:$C$679,0)))</f>
        <v/>
      </c>
      <c r="F102">
        <f>IF(ISNA(MATCH(93,'Transfer Engine'!$C$2:$C$679,0)),"",INDEX('Compliance Database'!$F$2:$F$679,MATCH(93,'Transfer Engine'!$C$2:$C$679,0)))</f>
        <v/>
      </c>
      <c r="G102">
        <f>IF(ISNA(MATCH(93,'Transfer Engine'!$C$2:$C$679,0)),"",INDEX('Compliance Database'!$G$2:$G$679,MATCH(93,'Transfer Engine'!$C$2:$C$679,0)))</f>
        <v/>
      </c>
      <c r="H102">
        <f>IF(ISNA(MATCH(93,'Transfer Engine'!$C$2:$C$679,0)),"",INDEX('Compliance Database'!$H$2:$H$679,MATCH(93,'Transfer Engine'!$C$2:$C$679,0)))</f>
        <v/>
      </c>
      <c r="I102" s="8">
        <f>IF(ISNA(MATCH(93,'Transfer Engine'!$C$2:$C$679,0)),"",INDEX('Compliance Database'!$I$2:$I$679,MATCH(93,'Transfer Engine'!$C$2:$C$679,0)))</f>
        <v/>
      </c>
      <c r="J102" s="8">
        <f>IF(ISNA(MATCH(93,'Transfer Engine'!$C$2:$C$679,0)),"",INDEX('Compliance Database'!$J$2:$J$679,MATCH(93,'Transfer Engine'!$C$2:$C$679,0)))</f>
        <v/>
      </c>
      <c r="K102">
        <f>IF(ISNA(MATCH(93,'Transfer Engine'!$C$2:$C$679,0)),"",INDEX('Compliance Database'!$K$2:$K$679,MATCH(93,'Transfer Engine'!$C$2:$C$679,0)))</f>
        <v/>
      </c>
      <c r="L102" s="8">
        <f>IF(ISNA(MATCH(93,'Transfer Engine'!$C$2:$C$679,0)),"",INDEX('Compliance Database'!$L$2:$L$679,MATCH(93,'Transfer Engine'!$C$2:$C$679,0)))</f>
        <v/>
      </c>
      <c r="M102" s="8">
        <f>IF(ISNA(MATCH(93,'Transfer Engine'!$C$2:$C$679,0)),"",INDEX('Compliance Database'!$M$2:$M$679,MATCH(93,'Transfer Engine'!$C$2:$C$679,0)))</f>
        <v/>
      </c>
      <c r="N102" s="8">
        <f>IF(ISNA(MATCH(93,'Transfer Engine'!$C$2:$C$679,0)),"",INDEX('Compliance Database'!$N$2:$N$679,MATCH(93,'Transfer Engine'!$C$2:$C$679,0)))</f>
        <v/>
      </c>
      <c r="O102" s="8">
        <f>IF(ISNA(MATCH(93,'Transfer Engine'!$C$2:$C$679,0)),"",INDEX('Compliance Database'!$O$2:$O$679,MATCH(93,'Transfer Engine'!$C$2:$C$679,0)))</f>
        <v/>
      </c>
      <c r="P102">
        <f>IF(ISNA(MATCH(93,'Transfer Engine'!$C$2:$C$679,0)),"",HYPERLINK(INDEX('Compliance Database'!$P$2:$P$679,MATCH(93,'Transfer Engine'!$C$2:$C$679,0)),"Open PDF"))</f>
        <v/>
      </c>
    </row>
    <row r="103">
      <c r="A103">
        <f>IF(ISNA(MATCH(94,'Transfer Engine'!$C$2:$C$679,0)),"",INDEX('Compliance Database'!$A$2:$A$679,MATCH(94,'Transfer Engine'!$C$2:$C$679,0)))</f>
        <v/>
      </c>
      <c r="B103">
        <f>IF(ISNA(MATCH(94,'Transfer Engine'!$C$2:$C$679,0)),"",INDEX('Compliance Database'!$B$2:$B$679,MATCH(94,'Transfer Engine'!$C$2:$C$679,0)))</f>
        <v/>
      </c>
      <c r="C103">
        <f>IF(ISNA(MATCH(94,'Transfer Engine'!$C$2:$C$679,0)),"",INDEX('Compliance Database'!$C$2:$C$679,MATCH(94,'Transfer Engine'!$C$2:$C$679,0)))</f>
        <v/>
      </c>
      <c r="D103" s="8">
        <f>IF(ISNA(MATCH(94,'Transfer Engine'!$C$2:$C$679,0)),"",INDEX('Compliance Database'!$D$2:$D$679,MATCH(94,'Transfer Engine'!$C$2:$C$679,0)))</f>
        <v/>
      </c>
      <c r="E103">
        <f>IF(ISNA(MATCH(94,'Transfer Engine'!$C$2:$C$679,0)),"",INDEX('Compliance Database'!$E$2:$E$679,MATCH(94,'Transfer Engine'!$C$2:$C$679,0)))</f>
        <v/>
      </c>
      <c r="F103">
        <f>IF(ISNA(MATCH(94,'Transfer Engine'!$C$2:$C$679,0)),"",INDEX('Compliance Database'!$F$2:$F$679,MATCH(94,'Transfer Engine'!$C$2:$C$679,0)))</f>
        <v/>
      </c>
      <c r="G103">
        <f>IF(ISNA(MATCH(94,'Transfer Engine'!$C$2:$C$679,0)),"",INDEX('Compliance Database'!$G$2:$G$679,MATCH(94,'Transfer Engine'!$C$2:$C$679,0)))</f>
        <v/>
      </c>
      <c r="H103">
        <f>IF(ISNA(MATCH(94,'Transfer Engine'!$C$2:$C$679,0)),"",INDEX('Compliance Database'!$H$2:$H$679,MATCH(94,'Transfer Engine'!$C$2:$C$679,0)))</f>
        <v/>
      </c>
      <c r="I103" s="8">
        <f>IF(ISNA(MATCH(94,'Transfer Engine'!$C$2:$C$679,0)),"",INDEX('Compliance Database'!$I$2:$I$679,MATCH(94,'Transfer Engine'!$C$2:$C$679,0)))</f>
        <v/>
      </c>
      <c r="J103" s="8">
        <f>IF(ISNA(MATCH(94,'Transfer Engine'!$C$2:$C$679,0)),"",INDEX('Compliance Database'!$J$2:$J$679,MATCH(94,'Transfer Engine'!$C$2:$C$679,0)))</f>
        <v/>
      </c>
      <c r="K103">
        <f>IF(ISNA(MATCH(94,'Transfer Engine'!$C$2:$C$679,0)),"",INDEX('Compliance Database'!$K$2:$K$679,MATCH(94,'Transfer Engine'!$C$2:$C$679,0)))</f>
        <v/>
      </c>
      <c r="L103" s="8">
        <f>IF(ISNA(MATCH(94,'Transfer Engine'!$C$2:$C$679,0)),"",INDEX('Compliance Database'!$L$2:$L$679,MATCH(94,'Transfer Engine'!$C$2:$C$679,0)))</f>
        <v/>
      </c>
      <c r="M103" s="8">
        <f>IF(ISNA(MATCH(94,'Transfer Engine'!$C$2:$C$679,0)),"",INDEX('Compliance Database'!$M$2:$M$679,MATCH(94,'Transfer Engine'!$C$2:$C$679,0)))</f>
        <v/>
      </c>
      <c r="N103" s="8">
        <f>IF(ISNA(MATCH(94,'Transfer Engine'!$C$2:$C$679,0)),"",INDEX('Compliance Database'!$N$2:$N$679,MATCH(94,'Transfer Engine'!$C$2:$C$679,0)))</f>
        <v/>
      </c>
      <c r="O103" s="8">
        <f>IF(ISNA(MATCH(94,'Transfer Engine'!$C$2:$C$679,0)),"",INDEX('Compliance Database'!$O$2:$O$679,MATCH(94,'Transfer Engine'!$C$2:$C$679,0)))</f>
        <v/>
      </c>
      <c r="P103">
        <f>IF(ISNA(MATCH(94,'Transfer Engine'!$C$2:$C$679,0)),"",HYPERLINK(INDEX('Compliance Database'!$P$2:$P$679,MATCH(94,'Transfer Engine'!$C$2:$C$679,0)),"Open PDF"))</f>
        <v/>
      </c>
    </row>
    <row r="104">
      <c r="A104">
        <f>IF(ISNA(MATCH(95,'Transfer Engine'!$C$2:$C$679,0)),"",INDEX('Compliance Database'!$A$2:$A$679,MATCH(95,'Transfer Engine'!$C$2:$C$679,0)))</f>
        <v/>
      </c>
      <c r="B104">
        <f>IF(ISNA(MATCH(95,'Transfer Engine'!$C$2:$C$679,0)),"",INDEX('Compliance Database'!$B$2:$B$679,MATCH(95,'Transfer Engine'!$C$2:$C$679,0)))</f>
        <v/>
      </c>
      <c r="C104">
        <f>IF(ISNA(MATCH(95,'Transfer Engine'!$C$2:$C$679,0)),"",INDEX('Compliance Database'!$C$2:$C$679,MATCH(95,'Transfer Engine'!$C$2:$C$679,0)))</f>
        <v/>
      </c>
      <c r="D104" s="8">
        <f>IF(ISNA(MATCH(95,'Transfer Engine'!$C$2:$C$679,0)),"",INDEX('Compliance Database'!$D$2:$D$679,MATCH(95,'Transfer Engine'!$C$2:$C$679,0)))</f>
        <v/>
      </c>
      <c r="E104">
        <f>IF(ISNA(MATCH(95,'Transfer Engine'!$C$2:$C$679,0)),"",INDEX('Compliance Database'!$E$2:$E$679,MATCH(95,'Transfer Engine'!$C$2:$C$679,0)))</f>
        <v/>
      </c>
      <c r="F104">
        <f>IF(ISNA(MATCH(95,'Transfer Engine'!$C$2:$C$679,0)),"",INDEX('Compliance Database'!$F$2:$F$679,MATCH(95,'Transfer Engine'!$C$2:$C$679,0)))</f>
        <v/>
      </c>
      <c r="G104">
        <f>IF(ISNA(MATCH(95,'Transfer Engine'!$C$2:$C$679,0)),"",INDEX('Compliance Database'!$G$2:$G$679,MATCH(95,'Transfer Engine'!$C$2:$C$679,0)))</f>
        <v/>
      </c>
      <c r="H104">
        <f>IF(ISNA(MATCH(95,'Transfer Engine'!$C$2:$C$679,0)),"",INDEX('Compliance Database'!$H$2:$H$679,MATCH(95,'Transfer Engine'!$C$2:$C$679,0)))</f>
        <v/>
      </c>
      <c r="I104" s="8">
        <f>IF(ISNA(MATCH(95,'Transfer Engine'!$C$2:$C$679,0)),"",INDEX('Compliance Database'!$I$2:$I$679,MATCH(95,'Transfer Engine'!$C$2:$C$679,0)))</f>
        <v/>
      </c>
      <c r="J104" s="8">
        <f>IF(ISNA(MATCH(95,'Transfer Engine'!$C$2:$C$679,0)),"",INDEX('Compliance Database'!$J$2:$J$679,MATCH(95,'Transfer Engine'!$C$2:$C$679,0)))</f>
        <v/>
      </c>
      <c r="K104">
        <f>IF(ISNA(MATCH(95,'Transfer Engine'!$C$2:$C$679,0)),"",INDEX('Compliance Database'!$K$2:$K$679,MATCH(95,'Transfer Engine'!$C$2:$C$679,0)))</f>
        <v/>
      </c>
      <c r="L104" s="8">
        <f>IF(ISNA(MATCH(95,'Transfer Engine'!$C$2:$C$679,0)),"",INDEX('Compliance Database'!$L$2:$L$679,MATCH(95,'Transfer Engine'!$C$2:$C$679,0)))</f>
        <v/>
      </c>
      <c r="M104" s="8">
        <f>IF(ISNA(MATCH(95,'Transfer Engine'!$C$2:$C$679,0)),"",INDEX('Compliance Database'!$M$2:$M$679,MATCH(95,'Transfer Engine'!$C$2:$C$679,0)))</f>
        <v/>
      </c>
      <c r="N104" s="8">
        <f>IF(ISNA(MATCH(95,'Transfer Engine'!$C$2:$C$679,0)),"",INDEX('Compliance Database'!$N$2:$N$679,MATCH(95,'Transfer Engine'!$C$2:$C$679,0)))</f>
        <v/>
      </c>
      <c r="O104" s="8">
        <f>IF(ISNA(MATCH(95,'Transfer Engine'!$C$2:$C$679,0)),"",INDEX('Compliance Database'!$O$2:$O$679,MATCH(95,'Transfer Engine'!$C$2:$C$679,0)))</f>
        <v/>
      </c>
      <c r="P104">
        <f>IF(ISNA(MATCH(95,'Transfer Engine'!$C$2:$C$679,0)),"",HYPERLINK(INDEX('Compliance Database'!$P$2:$P$679,MATCH(95,'Transfer Engine'!$C$2:$C$679,0)),"Open PDF"))</f>
        <v/>
      </c>
    </row>
    <row r="105">
      <c r="A105">
        <f>IF(ISNA(MATCH(96,'Transfer Engine'!$C$2:$C$679,0)),"",INDEX('Compliance Database'!$A$2:$A$679,MATCH(96,'Transfer Engine'!$C$2:$C$679,0)))</f>
        <v/>
      </c>
      <c r="B105">
        <f>IF(ISNA(MATCH(96,'Transfer Engine'!$C$2:$C$679,0)),"",INDEX('Compliance Database'!$B$2:$B$679,MATCH(96,'Transfer Engine'!$C$2:$C$679,0)))</f>
        <v/>
      </c>
      <c r="C105">
        <f>IF(ISNA(MATCH(96,'Transfer Engine'!$C$2:$C$679,0)),"",INDEX('Compliance Database'!$C$2:$C$679,MATCH(96,'Transfer Engine'!$C$2:$C$679,0)))</f>
        <v/>
      </c>
      <c r="D105" s="8">
        <f>IF(ISNA(MATCH(96,'Transfer Engine'!$C$2:$C$679,0)),"",INDEX('Compliance Database'!$D$2:$D$679,MATCH(96,'Transfer Engine'!$C$2:$C$679,0)))</f>
        <v/>
      </c>
      <c r="E105">
        <f>IF(ISNA(MATCH(96,'Transfer Engine'!$C$2:$C$679,0)),"",INDEX('Compliance Database'!$E$2:$E$679,MATCH(96,'Transfer Engine'!$C$2:$C$679,0)))</f>
        <v/>
      </c>
      <c r="F105">
        <f>IF(ISNA(MATCH(96,'Transfer Engine'!$C$2:$C$679,0)),"",INDEX('Compliance Database'!$F$2:$F$679,MATCH(96,'Transfer Engine'!$C$2:$C$679,0)))</f>
        <v/>
      </c>
      <c r="G105">
        <f>IF(ISNA(MATCH(96,'Transfer Engine'!$C$2:$C$679,0)),"",INDEX('Compliance Database'!$G$2:$G$679,MATCH(96,'Transfer Engine'!$C$2:$C$679,0)))</f>
        <v/>
      </c>
      <c r="H105">
        <f>IF(ISNA(MATCH(96,'Transfer Engine'!$C$2:$C$679,0)),"",INDEX('Compliance Database'!$H$2:$H$679,MATCH(96,'Transfer Engine'!$C$2:$C$679,0)))</f>
        <v/>
      </c>
      <c r="I105" s="8">
        <f>IF(ISNA(MATCH(96,'Transfer Engine'!$C$2:$C$679,0)),"",INDEX('Compliance Database'!$I$2:$I$679,MATCH(96,'Transfer Engine'!$C$2:$C$679,0)))</f>
        <v/>
      </c>
      <c r="J105" s="8">
        <f>IF(ISNA(MATCH(96,'Transfer Engine'!$C$2:$C$679,0)),"",INDEX('Compliance Database'!$J$2:$J$679,MATCH(96,'Transfer Engine'!$C$2:$C$679,0)))</f>
        <v/>
      </c>
      <c r="K105">
        <f>IF(ISNA(MATCH(96,'Transfer Engine'!$C$2:$C$679,0)),"",INDEX('Compliance Database'!$K$2:$K$679,MATCH(96,'Transfer Engine'!$C$2:$C$679,0)))</f>
        <v/>
      </c>
      <c r="L105" s="8">
        <f>IF(ISNA(MATCH(96,'Transfer Engine'!$C$2:$C$679,0)),"",INDEX('Compliance Database'!$L$2:$L$679,MATCH(96,'Transfer Engine'!$C$2:$C$679,0)))</f>
        <v/>
      </c>
      <c r="M105" s="8">
        <f>IF(ISNA(MATCH(96,'Transfer Engine'!$C$2:$C$679,0)),"",INDEX('Compliance Database'!$M$2:$M$679,MATCH(96,'Transfer Engine'!$C$2:$C$679,0)))</f>
        <v/>
      </c>
      <c r="N105" s="8">
        <f>IF(ISNA(MATCH(96,'Transfer Engine'!$C$2:$C$679,0)),"",INDEX('Compliance Database'!$N$2:$N$679,MATCH(96,'Transfer Engine'!$C$2:$C$679,0)))</f>
        <v/>
      </c>
      <c r="O105" s="8">
        <f>IF(ISNA(MATCH(96,'Transfer Engine'!$C$2:$C$679,0)),"",INDEX('Compliance Database'!$O$2:$O$679,MATCH(96,'Transfer Engine'!$C$2:$C$679,0)))</f>
        <v/>
      </c>
      <c r="P105">
        <f>IF(ISNA(MATCH(96,'Transfer Engine'!$C$2:$C$679,0)),"",HYPERLINK(INDEX('Compliance Database'!$P$2:$P$679,MATCH(96,'Transfer Engine'!$C$2:$C$679,0)),"Open PDF"))</f>
        <v/>
      </c>
    </row>
    <row r="106">
      <c r="A106">
        <f>IF(ISNA(MATCH(97,'Transfer Engine'!$C$2:$C$679,0)),"",INDEX('Compliance Database'!$A$2:$A$679,MATCH(97,'Transfer Engine'!$C$2:$C$679,0)))</f>
        <v/>
      </c>
      <c r="B106">
        <f>IF(ISNA(MATCH(97,'Transfer Engine'!$C$2:$C$679,0)),"",INDEX('Compliance Database'!$B$2:$B$679,MATCH(97,'Transfer Engine'!$C$2:$C$679,0)))</f>
        <v/>
      </c>
      <c r="C106">
        <f>IF(ISNA(MATCH(97,'Transfer Engine'!$C$2:$C$679,0)),"",INDEX('Compliance Database'!$C$2:$C$679,MATCH(97,'Transfer Engine'!$C$2:$C$679,0)))</f>
        <v/>
      </c>
      <c r="D106" s="8">
        <f>IF(ISNA(MATCH(97,'Transfer Engine'!$C$2:$C$679,0)),"",INDEX('Compliance Database'!$D$2:$D$679,MATCH(97,'Transfer Engine'!$C$2:$C$679,0)))</f>
        <v/>
      </c>
      <c r="E106">
        <f>IF(ISNA(MATCH(97,'Transfer Engine'!$C$2:$C$679,0)),"",INDEX('Compliance Database'!$E$2:$E$679,MATCH(97,'Transfer Engine'!$C$2:$C$679,0)))</f>
        <v/>
      </c>
      <c r="F106">
        <f>IF(ISNA(MATCH(97,'Transfer Engine'!$C$2:$C$679,0)),"",INDEX('Compliance Database'!$F$2:$F$679,MATCH(97,'Transfer Engine'!$C$2:$C$679,0)))</f>
        <v/>
      </c>
      <c r="G106">
        <f>IF(ISNA(MATCH(97,'Transfer Engine'!$C$2:$C$679,0)),"",INDEX('Compliance Database'!$G$2:$G$679,MATCH(97,'Transfer Engine'!$C$2:$C$679,0)))</f>
        <v/>
      </c>
      <c r="H106">
        <f>IF(ISNA(MATCH(97,'Transfer Engine'!$C$2:$C$679,0)),"",INDEX('Compliance Database'!$H$2:$H$679,MATCH(97,'Transfer Engine'!$C$2:$C$679,0)))</f>
        <v/>
      </c>
      <c r="I106" s="8">
        <f>IF(ISNA(MATCH(97,'Transfer Engine'!$C$2:$C$679,0)),"",INDEX('Compliance Database'!$I$2:$I$679,MATCH(97,'Transfer Engine'!$C$2:$C$679,0)))</f>
        <v/>
      </c>
      <c r="J106" s="8">
        <f>IF(ISNA(MATCH(97,'Transfer Engine'!$C$2:$C$679,0)),"",INDEX('Compliance Database'!$J$2:$J$679,MATCH(97,'Transfer Engine'!$C$2:$C$679,0)))</f>
        <v/>
      </c>
      <c r="K106">
        <f>IF(ISNA(MATCH(97,'Transfer Engine'!$C$2:$C$679,0)),"",INDEX('Compliance Database'!$K$2:$K$679,MATCH(97,'Transfer Engine'!$C$2:$C$679,0)))</f>
        <v/>
      </c>
      <c r="L106" s="8">
        <f>IF(ISNA(MATCH(97,'Transfer Engine'!$C$2:$C$679,0)),"",INDEX('Compliance Database'!$L$2:$L$679,MATCH(97,'Transfer Engine'!$C$2:$C$679,0)))</f>
        <v/>
      </c>
      <c r="M106" s="8">
        <f>IF(ISNA(MATCH(97,'Transfer Engine'!$C$2:$C$679,0)),"",INDEX('Compliance Database'!$M$2:$M$679,MATCH(97,'Transfer Engine'!$C$2:$C$679,0)))</f>
        <v/>
      </c>
      <c r="N106" s="8">
        <f>IF(ISNA(MATCH(97,'Transfer Engine'!$C$2:$C$679,0)),"",INDEX('Compliance Database'!$N$2:$N$679,MATCH(97,'Transfer Engine'!$C$2:$C$679,0)))</f>
        <v/>
      </c>
      <c r="O106" s="8">
        <f>IF(ISNA(MATCH(97,'Transfer Engine'!$C$2:$C$679,0)),"",INDEX('Compliance Database'!$O$2:$O$679,MATCH(97,'Transfer Engine'!$C$2:$C$679,0)))</f>
        <v/>
      </c>
      <c r="P106">
        <f>IF(ISNA(MATCH(97,'Transfer Engine'!$C$2:$C$679,0)),"",HYPERLINK(INDEX('Compliance Database'!$P$2:$P$679,MATCH(97,'Transfer Engine'!$C$2:$C$679,0)),"Open PDF"))</f>
        <v/>
      </c>
    </row>
    <row r="107">
      <c r="A107">
        <f>IF(ISNA(MATCH(98,'Transfer Engine'!$C$2:$C$679,0)),"",INDEX('Compliance Database'!$A$2:$A$679,MATCH(98,'Transfer Engine'!$C$2:$C$679,0)))</f>
        <v/>
      </c>
      <c r="B107">
        <f>IF(ISNA(MATCH(98,'Transfer Engine'!$C$2:$C$679,0)),"",INDEX('Compliance Database'!$B$2:$B$679,MATCH(98,'Transfer Engine'!$C$2:$C$679,0)))</f>
        <v/>
      </c>
      <c r="C107">
        <f>IF(ISNA(MATCH(98,'Transfer Engine'!$C$2:$C$679,0)),"",INDEX('Compliance Database'!$C$2:$C$679,MATCH(98,'Transfer Engine'!$C$2:$C$679,0)))</f>
        <v/>
      </c>
      <c r="D107" s="8">
        <f>IF(ISNA(MATCH(98,'Transfer Engine'!$C$2:$C$679,0)),"",INDEX('Compliance Database'!$D$2:$D$679,MATCH(98,'Transfer Engine'!$C$2:$C$679,0)))</f>
        <v/>
      </c>
      <c r="E107">
        <f>IF(ISNA(MATCH(98,'Transfer Engine'!$C$2:$C$679,0)),"",INDEX('Compliance Database'!$E$2:$E$679,MATCH(98,'Transfer Engine'!$C$2:$C$679,0)))</f>
        <v/>
      </c>
      <c r="F107">
        <f>IF(ISNA(MATCH(98,'Transfer Engine'!$C$2:$C$679,0)),"",INDEX('Compliance Database'!$F$2:$F$679,MATCH(98,'Transfer Engine'!$C$2:$C$679,0)))</f>
        <v/>
      </c>
      <c r="G107">
        <f>IF(ISNA(MATCH(98,'Transfer Engine'!$C$2:$C$679,0)),"",INDEX('Compliance Database'!$G$2:$G$679,MATCH(98,'Transfer Engine'!$C$2:$C$679,0)))</f>
        <v/>
      </c>
      <c r="H107">
        <f>IF(ISNA(MATCH(98,'Transfer Engine'!$C$2:$C$679,0)),"",INDEX('Compliance Database'!$H$2:$H$679,MATCH(98,'Transfer Engine'!$C$2:$C$679,0)))</f>
        <v/>
      </c>
      <c r="I107" s="8">
        <f>IF(ISNA(MATCH(98,'Transfer Engine'!$C$2:$C$679,0)),"",INDEX('Compliance Database'!$I$2:$I$679,MATCH(98,'Transfer Engine'!$C$2:$C$679,0)))</f>
        <v/>
      </c>
      <c r="J107" s="8">
        <f>IF(ISNA(MATCH(98,'Transfer Engine'!$C$2:$C$679,0)),"",INDEX('Compliance Database'!$J$2:$J$679,MATCH(98,'Transfer Engine'!$C$2:$C$679,0)))</f>
        <v/>
      </c>
      <c r="K107">
        <f>IF(ISNA(MATCH(98,'Transfer Engine'!$C$2:$C$679,0)),"",INDEX('Compliance Database'!$K$2:$K$679,MATCH(98,'Transfer Engine'!$C$2:$C$679,0)))</f>
        <v/>
      </c>
      <c r="L107" s="8">
        <f>IF(ISNA(MATCH(98,'Transfer Engine'!$C$2:$C$679,0)),"",INDEX('Compliance Database'!$L$2:$L$679,MATCH(98,'Transfer Engine'!$C$2:$C$679,0)))</f>
        <v/>
      </c>
      <c r="M107" s="8">
        <f>IF(ISNA(MATCH(98,'Transfer Engine'!$C$2:$C$679,0)),"",INDEX('Compliance Database'!$M$2:$M$679,MATCH(98,'Transfer Engine'!$C$2:$C$679,0)))</f>
        <v/>
      </c>
      <c r="N107" s="8">
        <f>IF(ISNA(MATCH(98,'Transfer Engine'!$C$2:$C$679,0)),"",INDEX('Compliance Database'!$N$2:$N$679,MATCH(98,'Transfer Engine'!$C$2:$C$679,0)))</f>
        <v/>
      </c>
      <c r="O107" s="8">
        <f>IF(ISNA(MATCH(98,'Transfer Engine'!$C$2:$C$679,0)),"",INDEX('Compliance Database'!$O$2:$O$679,MATCH(98,'Transfer Engine'!$C$2:$C$679,0)))</f>
        <v/>
      </c>
      <c r="P107">
        <f>IF(ISNA(MATCH(98,'Transfer Engine'!$C$2:$C$679,0)),"",HYPERLINK(INDEX('Compliance Database'!$P$2:$P$679,MATCH(98,'Transfer Engine'!$C$2:$C$679,0)),"Open PDF"))</f>
        <v/>
      </c>
    </row>
    <row r="108">
      <c r="A108">
        <f>IF(ISNA(MATCH(99,'Transfer Engine'!$C$2:$C$679,0)),"",INDEX('Compliance Database'!$A$2:$A$679,MATCH(99,'Transfer Engine'!$C$2:$C$679,0)))</f>
        <v/>
      </c>
      <c r="B108">
        <f>IF(ISNA(MATCH(99,'Transfer Engine'!$C$2:$C$679,0)),"",INDEX('Compliance Database'!$B$2:$B$679,MATCH(99,'Transfer Engine'!$C$2:$C$679,0)))</f>
        <v/>
      </c>
      <c r="C108">
        <f>IF(ISNA(MATCH(99,'Transfer Engine'!$C$2:$C$679,0)),"",INDEX('Compliance Database'!$C$2:$C$679,MATCH(99,'Transfer Engine'!$C$2:$C$679,0)))</f>
        <v/>
      </c>
      <c r="D108" s="8">
        <f>IF(ISNA(MATCH(99,'Transfer Engine'!$C$2:$C$679,0)),"",INDEX('Compliance Database'!$D$2:$D$679,MATCH(99,'Transfer Engine'!$C$2:$C$679,0)))</f>
        <v/>
      </c>
      <c r="E108">
        <f>IF(ISNA(MATCH(99,'Transfer Engine'!$C$2:$C$679,0)),"",INDEX('Compliance Database'!$E$2:$E$679,MATCH(99,'Transfer Engine'!$C$2:$C$679,0)))</f>
        <v/>
      </c>
      <c r="F108">
        <f>IF(ISNA(MATCH(99,'Transfer Engine'!$C$2:$C$679,0)),"",INDEX('Compliance Database'!$F$2:$F$679,MATCH(99,'Transfer Engine'!$C$2:$C$679,0)))</f>
        <v/>
      </c>
      <c r="G108">
        <f>IF(ISNA(MATCH(99,'Transfer Engine'!$C$2:$C$679,0)),"",INDEX('Compliance Database'!$G$2:$G$679,MATCH(99,'Transfer Engine'!$C$2:$C$679,0)))</f>
        <v/>
      </c>
      <c r="H108">
        <f>IF(ISNA(MATCH(99,'Transfer Engine'!$C$2:$C$679,0)),"",INDEX('Compliance Database'!$H$2:$H$679,MATCH(99,'Transfer Engine'!$C$2:$C$679,0)))</f>
        <v/>
      </c>
      <c r="I108" s="8">
        <f>IF(ISNA(MATCH(99,'Transfer Engine'!$C$2:$C$679,0)),"",INDEX('Compliance Database'!$I$2:$I$679,MATCH(99,'Transfer Engine'!$C$2:$C$679,0)))</f>
        <v/>
      </c>
      <c r="J108" s="8">
        <f>IF(ISNA(MATCH(99,'Transfer Engine'!$C$2:$C$679,0)),"",INDEX('Compliance Database'!$J$2:$J$679,MATCH(99,'Transfer Engine'!$C$2:$C$679,0)))</f>
        <v/>
      </c>
      <c r="K108">
        <f>IF(ISNA(MATCH(99,'Transfer Engine'!$C$2:$C$679,0)),"",INDEX('Compliance Database'!$K$2:$K$679,MATCH(99,'Transfer Engine'!$C$2:$C$679,0)))</f>
        <v/>
      </c>
      <c r="L108" s="8">
        <f>IF(ISNA(MATCH(99,'Transfer Engine'!$C$2:$C$679,0)),"",INDEX('Compliance Database'!$L$2:$L$679,MATCH(99,'Transfer Engine'!$C$2:$C$679,0)))</f>
        <v/>
      </c>
      <c r="M108" s="8">
        <f>IF(ISNA(MATCH(99,'Transfer Engine'!$C$2:$C$679,0)),"",INDEX('Compliance Database'!$M$2:$M$679,MATCH(99,'Transfer Engine'!$C$2:$C$679,0)))</f>
        <v/>
      </c>
      <c r="N108" s="8">
        <f>IF(ISNA(MATCH(99,'Transfer Engine'!$C$2:$C$679,0)),"",INDEX('Compliance Database'!$N$2:$N$679,MATCH(99,'Transfer Engine'!$C$2:$C$679,0)))</f>
        <v/>
      </c>
      <c r="O108" s="8">
        <f>IF(ISNA(MATCH(99,'Transfer Engine'!$C$2:$C$679,0)),"",INDEX('Compliance Database'!$O$2:$O$679,MATCH(99,'Transfer Engine'!$C$2:$C$679,0)))</f>
        <v/>
      </c>
      <c r="P108">
        <f>IF(ISNA(MATCH(99,'Transfer Engine'!$C$2:$C$679,0)),"",HYPERLINK(INDEX('Compliance Database'!$P$2:$P$679,MATCH(99,'Transfer Engine'!$C$2:$C$679,0)),"Open PDF"))</f>
        <v/>
      </c>
    </row>
    <row r="109">
      <c r="A109">
        <f>IF(ISNA(MATCH(100,'Transfer Engine'!$C$2:$C$679,0)),"",INDEX('Compliance Database'!$A$2:$A$679,MATCH(100,'Transfer Engine'!$C$2:$C$679,0)))</f>
        <v/>
      </c>
      <c r="B109">
        <f>IF(ISNA(MATCH(100,'Transfer Engine'!$C$2:$C$679,0)),"",INDEX('Compliance Database'!$B$2:$B$679,MATCH(100,'Transfer Engine'!$C$2:$C$679,0)))</f>
        <v/>
      </c>
      <c r="C109">
        <f>IF(ISNA(MATCH(100,'Transfer Engine'!$C$2:$C$679,0)),"",INDEX('Compliance Database'!$C$2:$C$679,MATCH(100,'Transfer Engine'!$C$2:$C$679,0)))</f>
        <v/>
      </c>
      <c r="D109" s="8">
        <f>IF(ISNA(MATCH(100,'Transfer Engine'!$C$2:$C$679,0)),"",INDEX('Compliance Database'!$D$2:$D$679,MATCH(100,'Transfer Engine'!$C$2:$C$679,0)))</f>
        <v/>
      </c>
      <c r="E109">
        <f>IF(ISNA(MATCH(100,'Transfer Engine'!$C$2:$C$679,0)),"",INDEX('Compliance Database'!$E$2:$E$679,MATCH(100,'Transfer Engine'!$C$2:$C$679,0)))</f>
        <v/>
      </c>
      <c r="F109">
        <f>IF(ISNA(MATCH(100,'Transfer Engine'!$C$2:$C$679,0)),"",INDEX('Compliance Database'!$F$2:$F$679,MATCH(100,'Transfer Engine'!$C$2:$C$679,0)))</f>
        <v/>
      </c>
      <c r="G109">
        <f>IF(ISNA(MATCH(100,'Transfer Engine'!$C$2:$C$679,0)),"",INDEX('Compliance Database'!$G$2:$G$679,MATCH(100,'Transfer Engine'!$C$2:$C$679,0)))</f>
        <v/>
      </c>
      <c r="H109">
        <f>IF(ISNA(MATCH(100,'Transfer Engine'!$C$2:$C$679,0)),"",INDEX('Compliance Database'!$H$2:$H$679,MATCH(100,'Transfer Engine'!$C$2:$C$679,0)))</f>
        <v/>
      </c>
      <c r="I109" s="8">
        <f>IF(ISNA(MATCH(100,'Transfer Engine'!$C$2:$C$679,0)),"",INDEX('Compliance Database'!$I$2:$I$679,MATCH(100,'Transfer Engine'!$C$2:$C$679,0)))</f>
        <v/>
      </c>
      <c r="J109" s="8">
        <f>IF(ISNA(MATCH(100,'Transfer Engine'!$C$2:$C$679,0)),"",INDEX('Compliance Database'!$J$2:$J$679,MATCH(100,'Transfer Engine'!$C$2:$C$679,0)))</f>
        <v/>
      </c>
      <c r="K109">
        <f>IF(ISNA(MATCH(100,'Transfer Engine'!$C$2:$C$679,0)),"",INDEX('Compliance Database'!$K$2:$K$679,MATCH(100,'Transfer Engine'!$C$2:$C$679,0)))</f>
        <v/>
      </c>
      <c r="L109" s="8">
        <f>IF(ISNA(MATCH(100,'Transfer Engine'!$C$2:$C$679,0)),"",INDEX('Compliance Database'!$L$2:$L$679,MATCH(100,'Transfer Engine'!$C$2:$C$679,0)))</f>
        <v/>
      </c>
      <c r="M109" s="8">
        <f>IF(ISNA(MATCH(100,'Transfer Engine'!$C$2:$C$679,0)),"",INDEX('Compliance Database'!$M$2:$M$679,MATCH(100,'Transfer Engine'!$C$2:$C$679,0)))</f>
        <v/>
      </c>
      <c r="N109" s="8">
        <f>IF(ISNA(MATCH(100,'Transfer Engine'!$C$2:$C$679,0)),"",INDEX('Compliance Database'!$N$2:$N$679,MATCH(100,'Transfer Engine'!$C$2:$C$679,0)))</f>
        <v/>
      </c>
      <c r="O109" s="8">
        <f>IF(ISNA(MATCH(100,'Transfer Engine'!$C$2:$C$679,0)),"",INDEX('Compliance Database'!$O$2:$O$679,MATCH(100,'Transfer Engine'!$C$2:$C$679,0)))</f>
        <v/>
      </c>
      <c r="P109">
        <f>IF(ISNA(MATCH(100,'Transfer Engine'!$C$2:$C$679,0)),"",HYPERLINK(INDEX('Compliance Database'!$P$2:$P$679,MATCH(100,'Transfer Engine'!$C$2:$C$679,0)),"Open PDF"))</f>
        <v/>
      </c>
    </row>
    <row r="110">
      <c r="A110">
        <f>IF(ISNA(MATCH(101,'Transfer Engine'!$C$2:$C$679,0)),"",INDEX('Compliance Database'!$A$2:$A$679,MATCH(101,'Transfer Engine'!$C$2:$C$679,0)))</f>
        <v/>
      </c>
      <c r="B110">
        <f>IF(ISNA(MATCH(101,'Transfer Engine'!$C$2:$C$679,0)),"",INDEX('Compliance Database'!$B$2:$B$679,MATCH(101,'Transfer Engine'!$C$2:$C$679,0)))</f>
        <v/>
      </c>
      <c r="C110">
        <f>IF(ISNA(MATCH(101,'Transfer Engine'!$C$2:$C$679,0)),"",INDEX('Compliance Database'!$C$2:$C$679,MATCH(101,'Transfer Engine'!$C$2:$C$679,0)))</f>
        <v/>
      </c>
      <c r="D110" s="8">
        <f>IF(ISNA(MATCH(101,'Transfer Engine'!$C$2:$C$679,0)),"",INDEX('Compliance Database'!$D$2:$D$679,MATCH(101,'Transfer Engine'!$C$2:$C$679,0)))</f>
        <v/>
      </c>
      <c r="E110">
        <f>IF(ISNA(MATCH(101,'Transfer Engine'!$C$2:$C$679,0)),"",INDEX('Compliance Database'!$E$2:$E$679,MATCH(101,'Transfer Engine'!$C$2:$C$679,0)))</f>
        <v/>
      </c>
      <c r="F110">
        <f>IF(ISNA(MATCH(101,'Transfer Engine'!$C$2:$C$679,0)),"",INDEX('Compliance Database'!$F$2:$F$679,MATCH(101,'Transfer Engine'!$C$2:$C$679,0)))</f>
        <v/>
      </c>
      <c r="G110">
        <f>IF(ISNA(MATCH(101,'Transfer Engine'!$C$2:$C$679,0)),"",INDEX('Compliance Database'!$G$2:$G$679,MATCH(101,'Transfer Engine'!$C$2:$C$679,0)))</f>
        <v/>
      </c>
      <c r="H110">
        <f>IF(ISNA(MATCH(101,'Transfer Engine'!$C$2:$C$679,0)),"",INDEX('Compliance Database'!$H$2:$H$679,MATCH(101,'Transfer Engine'!$C$2:$C$679,0)))</f>
        <v/>
      </c>
      <c r="I110" s="8">
        <f>IF(ISNA(MATCH(101,'Transfer Engine'!$C$2:$C$679,0)),"",INDEX('Compliance Database'!$I$2:$I$679,MATCH(101,'Transfer Engine'!$C$2:$C$679,0)))</f>
        <v/>
      </c>
      <c r="J110" s="8">
        <f>IF(ISNA(MATCH(101,'Transfer Engine'!$C$2:$C$679,0)),"",INDEX('Compliance Database'!$J$2:$J$679,MATCH(101,'Transfer Engine'!$C$2:$C$679,0)))</f>
        <v/>
      </c>
      <c r="K110">
        <f>IF(ISNA(MATCH(101,'Transfer Engine'!$C$2:$C$679,0)),"",INDEX('Compliance Database'!$K$2:$K$679,MATCH(101,'Transfer Engine'!$C$2:$C$679,0)))</f>
        <v/>
      </c>
      <c r="L110" s="8">
        <f>IF(ISNA(MATCH(101,'Transfer Engine'!$C$2:$C$679,0)),"",INDEX('Compliance Database'!$L$2:$L$679,MATCH(101,'Transfer Engine'!$C$2:$C$679,0)))</f>
        <v/>
      </c>
      <c r="M110" s="8">
        <f>IF(ISNA(MATCH(101,'Transfer Engine'!$C$2:$C$679,0)),"",INDEX('Compliance Database'!$M$2:$M$679,MATCH(101,'Transfer Engine'!$C$2:$C$679,0)))</f>
        <v/>
      </c>
      <c r="N110" s="8">
        <f>IF(ISNA(MATCH(101,'Transfer Engine'!$C$2:$C$679,0)),"",INDEX('Compliance Database'!$N$2:$N$679,MATCH(101,'Transfer Engine'!$C$2:$C$679,0)))</f>
        <v/>
      </c>
      <c r="O110" s="8">
        <f>IF(ISNA(MATCH(101,'Transfer Engine'!$C$2:$C$679,0)),"",INDEX('Compliance Database'!$O$2:$O$679,MATCH(101,'Transfer Engine'!$C$2:$C$679,0)))</f>
        <v/>
      </c>
      <c r="P110">
        <f>IF(ISNA(MATCH(101,'Transfer Engine'!$C$2:$C$679,0)),"",HYPERLINK(INDEX('Compliance Database'!$P$2:$P$679,MATCH(101,'Transfer Engine'!$C$2:$C$679,0)),"Open PDF"))</f>
        <v/>
      </c>
    </row>
    <row r="111">
      <c r="A111">
        <f>IF(ISNA(MATCH(102,'Transfer Engine'!$C$2:$C$679,0)),"",INDEX('Compliance Database'!$A$2:$A$679,MATCH(102,'Transfer Engine'!$C$2:$C$679,0)))</f>
        <v/>
      </c>
      <c r="B111">
        <f>IF(ISNA(MATCH(102,'Transfer Engine'!$C$2:$C$679,0)),"",INDEX('Compliance Database'!$B$2:$B$679,MATCH(102,'Transfer Engine'!$C$2:$C$679,0)))</f>
        <v/>
      </c>
      <c r="C111">
        <f>IF(ISNA(MATCH(102,'Transfer Engine'!$C$2:$C$679,0)),"",INDEX('Compliance Database'!$C$2:$C$679,MATCH(102,'Transfer Engine'!$C$2:$C$679,0)))</f>
        <v/>
      </c>
      <c r="D111" s="8">
        <f>IF(ISNA(MATCH(102,'Transfer Engine'!$C$2:$C$679,0)),"",INDEX('Compliance Database'!$D$2:$D$679,MATCH(102,'Transfer Engine'!$C$2:$C$679,0)))</f>
        <v/>
      </c>
      <c r="E111">
        <f>IF(ISNA(MATCH(102,'Transfer Engine'!$C$2:$C$679,0)),"",INDEX('Compliance Database'!$E$2:$E$679,MATCH(102,'Transfer Engine'!$C$2:$C$679,0)))</f>
        <v/>
      </c>
      <c r="F111">
        <f>IF(ISNA(MATCH(102,'Transfer Engine'!$C$2:$C$679,0)),"",INDEX('Compliance Database'!$F$2:$F$679,MATCH(102,'Transfer Engine'!$C$2:$C$679,0)))</f>
        <v/>
      </c>
      <c r="G111">
        <f>IF(ISNA(MATCH(102,'Transfer Engine'!$C$2:$C$679,0)),"",INDEX('Compliance Database'!$G$2:$G$679,MATCH(102,'Transfer Engine'!$C$2:$C$679,0)))</f>
        <v/>
      </c>
      <c r="H111">
        <f>IF(ISNA(MATCH(102,'Transfer Engine'!$C$2:$C$679,0)),"",INDEX('Compliance Database'!$H$2:$H$679,MATCH(102,'Transfer Engine'!$C$2:$C$679,0)))</f>
        <v/>
      </c>
      <c r="I111" s="8">
        <f>IF(ISNA(MATCH(102,'Transfer Engine'!$C$2:$C$679,0)),"",INDEX('Compliance Database'!$I$2:$I$679,MATCH(102,'Transfer Engine'!$C$2:$C$679,0)))</f>
        <v/>
      </c>
      <c r="J111" s="8">
        <f>IF(ISNA(MATCH(102,'Transfer Engine'!$C$2:$C$679,0)),"",INDEX('Compliance Database'!$J$2:$J$679,MATCH(102,'Transfer Engine'!$C$2:$C$679,0)))</f>
        <v/>
      </c>
      <c r="K111">
        <f>IF(ISNA(MATCH(102,'Transfer Engine'!$C$2:$C$679,0)),"",INDEX('Compliance Database'!$K$2:$K$679,MATCH(102,'Transfer Engine'!$C$2:$C$679,0)))</f>
        <v/>
      </c>
      <c r="L111" s="8">
        <f>IF(ISNA(MATCH(102,'Transfer Engine'!$C$2:$C$679,0)),"",INDEX('Compliance Database'!$L$2:$L$679,MATCH(102,'Transfer Engine'!$C$2:$C$679,0)))</f>
        <v/>
      </c>
      <c r="M111" s="8">
        <f>IF(ISNA(MATCH(102,'Transfer Engine'!$C$2:$C$679,0)),"",INDEX('Compliance Database'!$M$2:$M$679,MATCH(102,'Transfer Engine'!$C$2:$C$679,0)))</f>
        <v/>
      </c>
      <c r="N111" s="8">
        <f>IF(ISNA(MATCH(102,'Transfer Engine'!$C$2:$C$679,0)),"",INDEX('Compliance Database'!$N$2:$N$679,MATCH(102,'Transfer Engine'!$C$2:$C$679,0)))</f>
        <v/>
      </c>
      <c r="O111" s="8">
        <f>IF(ISNA(MATCH(102,'Transfer Engine'!$C$2:$C$679,0)),"",INDEX('Compliance Database'!$O$2:$O$679,MATCH(102,'Transfer Engine'!$C$2:$C$679,0)))</f>
        <v/>
      </c>
      <c r="P111">
        <f>IF(ISNA(MATCH(102,'Transfer Engine'!$C$2:$C$679,0)),"",HYPERLINK(INDEX('Compliance Database'!$P$2:$P$679,MATCH(102,'Transfer Engine'!$C$2:$C$679,0)),"Open PDF"))</f>
        <v/>
      </c>
    </row>
    <row r="112">
      <c r="A112">
        <f>IF(ISNA(MATCH(103,'Transfer Engine'!$C$2:$C$679,0)),"",INDEX('Compliance Database'!$A$2:$A$679,MATCH(103,'Transfer Engine'!$C$2:$C$679,0)))</f>
        <v/>
      </c>
      <c r="B112">
        <f>IF(ISNA(MATCH(103,'Transfer Engine'!$C$2:$C$679,0)),"",INDEX('Compliance Database'!$B$2:$B$679,MATCH(103,'Transfer Engine'!$C$2:$C$679,0)))</f>
        <v/>
      </c>
      <c r="C112">
        <f>IF(ISNA(MATCH(103,'Transfer Engine'!$C$2:$C$679,0)),"",INDEX('Compliance Database'!$C$2:$C$679,MATCH(103,'Transfer Engine'!$C$2:$C$679,0)))</f>
        <v/>
      </c>
      <c r="D112" s="8">
        <f>IF(ISNA(MATCH(103,'Transfer Engine'!$C$2:$C$679,0)),"",INDEX('Compliance Database'!$D$2:$D$679,MATCH(103,'Transfer Engine'!$C$2:$C$679,0)))</f>
        <v/>
      </c>
      <c r="E112">
        <f>IF(ISNA(MATCH(103,'Transfer Engine'!$C$2:$C$679,0)),"",INDEX('Compliance Database'!$E$2:$E$679,MATCH(103,'Transfer Engine'!$C$2:$C$679,0)))</f>
        <v/>
      </c>
      <c r="F112">
        <f>IF(ISNA(MATCH(103,'Transfer Engine'!$C$2:$C$679,0)),"",INDEX('Compliance Database'!$F$2:$F$679,MATCH(103,'Transfer Engine'!$C$2:$C$679,0)))</f>
        <v/>
      </c>
      <c r="G112">
        <f>IF(ISNA(MATCH(103,'Transfer Engine'!$C$2:$C$679,0)),"",INDEX('Compliance Database'!$G$2:$G$679,MATCH(103,'Transfer Engine'!$C$2:$C$679,0)))</f>
        <v/>
      </c>
      <c r="H112">
        <f>IF(ISNA(MATCH(103,'Transfer Engine'!$C$2:$C$679,0)),"",INDEX('Compliance Database'!$H$2:$H$679,MATCH(103,'Transfer Engine'!$C$2:$C$679,0)))</f>
        <v/>
      </c>
      <c r="I112" s="8">
        <f>IF(ISNA(MATCH(103,'Transfer Engine'!$C$2:$C$679,0)),"",INDEX('Compliance Database'!$I$2:$I$679,MATCH(103,'Transfer Engine'!$C$2:$C$679,0)))</f>
        <v/>
      </c>
      <c r="J112" s="8">
        <f>IF(ISNA(MATCH(103,'Transfer Engine'!$C$2:$C$679,0)),"",INDEX('Compliance Database'!$J$2:$J$679,MATCH(103,'Transfer Engine'!$C$2:$C$679,0)))</f>
        <v/>
      </c>
      <c r="K112">
        <f>IF(ISNA(MATCH(103,'Transfer Engine'!$C$2:$C$679,0)),"",INDEX('Compliance Database'!$K$2:$K$679,MATCH(103,'Transfer Engine'!$C$2:$C$679,0)))</f>
        <v/>
      </c>
      <c r="L112" s="8">
        <f>IF(ISNA(MATCH(103,'Transfer Engine'!$C$2:$C$679,0)),"",INDEX('Compliance Database'!$L$2:$L$679,MATCH(103,'Transfer Engine'!$C$2:$C$679,0)))</f>
        <v/>
      </c>
      <c r="M112" s="8">
        <f>IF(ISNA(MATCH(103,'Transfer Engine'!$C$2:$C$679,0)),"",INDEX('Compliance Database'!$M$2:$M$679,MATCH(103,'Transfer Engine'!$C$2:$C$679,0)))</f>
        <v/>
      </c>
      <c r="N112" s="8">
        <f>IF(ISNA(MATCH(103,'Transfer Engine'!$C$2:$C$679,0)),"",INDEX('Compliance Database'!$N$2:$N$679,MATCH(103,'Transfer Engine'!$C$2:$C$679,0)))</f>
        <v/>
      </c>
      <c r="O112" s="8">
        <f>IF(ISNA(MATCH(103,'Transfer Engine'!$C$2:$C$679,0)),"",INDEX('Compliance Database'!$O$2:$O$679,MATCH(103,'Transfer Engine'!$C$2:$C$679,0)))</f>
        <v/>
      </c>
      <c r="P112">
        <f>IF(ISNA(MATCH(103,'Transfer Engine'!$C$2:$C$679,0)),"",HYPERLINK(INDEX('Compliance Database'!$P$2:$P$679,MATCH(103,'Transfer Engine'!$C$2:$C$679,0)),"Open PDF"))</f>
        <v/>
      </c>
    </row>
    <row r="113">
      <c r="A113">
        <f>IF(ISNA(MATCH(104,'Transfer Engine'!$C$2:$C$679,0)),"",INDEX('Compliance Database'!$A$2:$A$679,MATCH(104,'Transfer Engine'!$C$2:$C$679,0)))</f>
        <v/>
      </c>
      <c r="B113">
        <f>IF(ISNA(MATCH(104,'Transfer Engine'!$C$2:$C$679,0)),"",INDEX('Compliance Database'!$B$2:$B$679,MATCH(104,'Transfer Engine'!$C$2:$C$679,0)))</f>
        <v/>
      </c>
      <c r="C113">
        <f>IF(ISNA(MATCH(104,'Transfer Engine'!$C$2:$C$679,0)),"",INDEX('Compliance Database'!$C$2:$C$679,MATCH(104,'Transfer Engine'!$C$2:$C$679,0)))</f>
        <v/>
      </c>
      <c r="D113" s="8">
        <f>IF(ISNA(MATCH(104,'Transfer Engine'!$C$2:$C$679,0)),"",INDEX('Compliance Database'!$D$2:$D$679,MATCH(104,'Transfer Engine'!$C$2:$C$679,0)))</f>
        <v/>
      </c>
      <c r="E113">
        <f>IF(ISNA(MATCH(104,'Transfer Engine'!$C$2:$C$679,0)),"",INDEX('Compliance Database'!$E$2:$E$679,MATCH(104,'Transfer Engine'!$C$2:$C$679,0)))</f>
        <v/>
      </c>
      <c r="F113">
        <f>IF(ISNA(MATCH(104,'Transfer Engine'!$C$2:$C$679,0)),"",INDEX('Compliance Database'!$F$2:$F$679,MATCH(104,'Transfer Engine'!$C$2:$C$679,0)))</f>
        <v/>
      </c>
      <c r="G113">
        <f>IF(ISNA(MATCH(104,'Transfer Engine'!$C$2:$C$679,0)),"",INDEX('Compliance Database'!$G$2:$G$679,MATCH(104,'Transfer Engine'!$C$2:$C$679,0)))</f>
        <v/>
      </c>
      <c r="H113">
        <f>IF(ISNA(MATCH(104,'Transfer Engine'!$C$2:$C$679,0)),"",INDEX('Compliance Database'!$H$2:$H$679,MATCH(104,'Transfer Engine'!$C$2:$C$679,0)))</f>
        <v/>
      </c>
      <c r="I113" s="8">
        <f>IF(ISNA(MATCH(104,'Transfer Engine'!$C$2:$C$679,0)),"",INDEX('Compliance Database'!$I$2:$I$679,MATCH(104,'Transfer Engine'!$C$2:$C$679,0)))</f>
        <v/>
      </c>
      <c r="J113" s="8">
        <f>IF(ISNA(MATCH(104,'Transfer Engine'!$C$2:$C$679,0)),"",INDEX('Compliance Database'!$J$2:$J$679,MATCH(104,'Transfer Engine'!$C$2:$C$679,0)))</f>
        <v/>
      </c>
      <c r="K113">
        <f>IF(ISNA(MATCH(104,'Transfer Engine'!$C$2:$C$679,0)),"",INDEX('Compliance Database'!$K$2:$K$679,MATCH(104,'Transfer Engine'!$C$2:$C$679,0)))</f>
        <v/>
      </c>
      <c r="L113" s="8">
        <f>IF(ISNA(MATCH(104,'Transfer Engine'!$C$2:$C$679,0)),"",INDEX('Compliance Database'!$L$2:$L$679,MATCH(104,'Transfer Engine'!$C$2:$C$679,0)))</f>
        <v/>
      </c>
      <c r="M113" s="8">
        <f>IF(ISNA(MATCH(104,'Transfer Engine'!$C$2:$C$679,0)),"",INDEX('Compliance Database'!$M$2:$M$679,MATCH(104,'Transfer Engine'!$C$2:$C$679,0)))</f>
        <v/>
      </c>
      <c r="N113" s="8">
        <f>IF(ISNA(MATCH(104,'Transfer Engine'!$C$2:$C$679,0)),"",INDEX('Compliance Database'!$N$2:$N$679,MATCH(104,'Transfer Engine'!$C$2:$C$679,0)))</f>
        <v/>
      </c>
      <c r="O113" s="8">
        <f>IF(ISNA(MATCH(104,'Transfer Engine'!$C$2:$C$679,0)),"",INDEX('Compliance Database'!$O$2:$O$679,MATCH(104,'Transfer Engine'!$C$2:$C$679,0)))</f>
        <v/>
      </c>
      <c r="P113">
        <f>IF(ISNA(MATCH(104,'Transfer Engine'!$C$2:$C$679,0)),"",HYPERLINK(INDEX('Compliance Database'!$P$2:$P$679,MATCH(104,'Transfer Engine'!$C$2:$C$679,0)),"Open PDF"))</f>
        <v/>
      </c>
    </row>
    <row r="114">
      <c r="A114">
        <f>IF(ISNA(MATCH(105,'Transfer Engine'!$C$2:$C$679,0)),"",INDEX('Compliance Database'!$A$2:$A$679,MATCH(105,'Transfer Engine'!$C$2:$C$679,0)))</f>
        <v/>
      </c>
      <c r="B114">
        <f>IF(ISNA(MATCH(105,'Transfer Engine'!$C$2:$C$679,0)),"",INDEX('Compliance Database'!$B$2:$B$679,MATCH(105,'Transfer Engine'!$C$2:$C$679,0)))</f>
        <v/>
      </c>
      <c r="C114">
        <f>IF(ISNA(MATCH(105,'Transfer Engine'!$C$2:$C$679,0)),"",INDEX('Compliance Database'!$C$2:$C$679,MATCH(105,'Transfer Engine'!$C$2:$C$679,0)))</f>
        <v/>
      </c>
      <c r="D114" s="8">
        <f>IF(ISNA(MATCH(105,'Transfer Engine'!$C$2:$C$679,0)),"",INDEX('Compliance Database'!$D$2:$D$679,MATCH(105,'Transfer Engine'!$C$2:$C$679,0)))</f>
        <v/>
      </c>
      <c r="E114">
        <f>IF(ISNA(MATCH(105,'Transfer Engine'!$C$2:$C$679,0)),"",INDEX('Compliance Database'!$E$2:$E$679,MATCH(105,'Transfer Engine'!$C$2:$C$679,0)))</f>
        <v/>
      </c>
      <c r="F114">
        <f>IF(ISNA(MATCH(105,'Transfer Engine'!$C$2:$C$679,0)),"",INDEX('Compliance Database'!$F$2:$F$679,MATCH(105,'Transfer Engine'!$C$2:$C$679,0)))</f>
        <v/>
      </c>
      <c r="G114">
        <f>IF(ISNA(MATCH(105,'Transfer Engine'!$C$2:$C$679,0)),"",INDEX('Compliance Database'!$G$2:$G$679,MATCH(105,'Transfer Engine'!$C$2:$C$679,0)))</f>
        <v/>
      </c>
      <c r="H114">
        <f>IF(ISNA(MATCH(105,'Transfer Engine'!$C$2:$C$679,0)),"",INDEX('Compliance Database'!$H$2:$H$679,MATCH(105,'Transfer Engine'!$C$2:$C$679,0)))</f>
        <v/>
      </c>
      <c r="I114" s="8">
        <f>IF(ISNA(MATCH(105,'Transfer Engine'!$C$2:$C$679,0)),"",INDEX('Compliance Database'!$I$2:$I$679,MATCH(105,'Transfer Engine'!$C$2:$C$679,0)))</f>
        <v/>
      </c>
      <c r="J114" s="8">
        <f>IF(ISNA(MATCH(105,'Transfer Engine'!$C$2:$C$679,0)),"",INDEX('Compliance Database'!$J$2:$J$679,MATCH(105,'Transfer Engine'!$C$2:$C$679,0)))</f>
        <v/>
      </c>
      <c r="K114">
        <f>IF(ISNA(MATCH(105,'Transfer Engine'!$C$2:$C$679,0)),"",INDEX('Compliance Database'!$K$2:$K$679,MATCH(105,'Transfer Engine'!$C$2:$C$679,0)))</f>
        <v/>
      </c>
      <c r="L114" s="8">
        <f>IF(ISNA(MATCH(105,'Transfer Engine'!$C$2:$C$679,0)),"",INDEX('Compliance Database'!$L$2:$L$679,MATCH(105,'Transfer Engine'!$C$2:$C$679,0)))</f>
        <v/>
      </c>
      <c r="M114" s="8">
        <f>IF(ISNA(MATCH(105,'Transfer Engine'!$C$2:$C$679,0)),"",INDEX('Compliance Database'!$M$2:$M$679,MATCH(105,'Transfer Engine'!$C$2:$C$679,0)))</f>
        <v/>
      </c>
      <c r="N114" s="8">
        <f>IF(ISNA(MATCH(105,'Transfer Engine'!$C$2:$C$679,0)),"",INDEX('Compliance Database'!$N$2:$N$679,MATCH(105,'Transfer Engine'!$C$2:$C$679,0)))</f>
        <v/>
      </c>
      <c r="O114" s="8">
        <f>IF(ISNA(MATCH(105,'Transfer Engine'!$C$2:$C$679,0)),"",INDEX('Compliance Database'!$O$2:$O$679,MATCH(105,'Transfer Engine'!$C$2:$C$679,0)))</f>
        <v/>
      </c>
      <c r="P114">
        <f>IF(ISNA(MATCH(105,'Transfer Engine'!$C$2:$C$679,0)),"",HYPERLINK(INDEX('Compliance Database'!$P$2:$P$679,MATCH(105,'Transfer Engine'!$C$2:$C$679,0)),"Open PDF"))</f>
        <v/>
      </c>
    </row>
    <row r="115">
      <c r="A115">
        <f>IF(ISNA(MATCH(106,'Transfer Engine'!$C$2:$C$679,0)),"",INDEX('Compliance Database'!$A$2:$A$679,MATCH(106,'Transfer Engine'!$C$2:$C$679,0)))</f>
        <v/>
      </c>
      <c r="B115">
        <f>IF(ISNA(MATCH(106,'Transfer Engine'!$C$2:$C$679,0)),"",INDEX('Compliance Database'!$B$2:$B$679,MATCH(106,'Transfer Engine'!$C$2:$C$679,0)))</f>
        <v/>
      </c>
      <c r="C115">
        <f>IF(ISNA(MATCH(106,'Transfer Engine'!$C$2:$C$679,0)),"",INDEX('Compliance Database'!$C$2:$C$679,MATCH(106,'Transfer Engine'!$C$2:$C$679,0)))</f>
        <v/>
      </c>
      <c r="D115" s="8">
        <f>IF(ISNA(MATCH(106,'Transfer Engine'!$C$2:$C$679,0)),"",INDEX('Compliance Database'!$D$2:$D$679,MATCH(106,'Transfer Engine'!$C$2:$C$679,0)))</f>
        <v/>
      </c>
      <c r="E115">
        <f>IF(ISNA(MATCH(106,'Transfer Engine'!$C$2:$C$679,0)),"",INDEX('Compliance Database'!$E$2:$E$679,MATCH(106,'Transfer Engine'!$C$2:$C$679,0)))</f>
        <v/>
      </c>
      <c r="F115">
        <f>IF(ISNA(MATCH(106,'Transfer Engine'!$C$2:$C$679,0)),"",INDEX('Compliance Database'!$F$2:$F$679,MATCH(106,'Transfer Engine'!$C$2:$C$679,0)))</f>
        <v/>
      </c>
      <c r="G115">
        <f>IF(ISNA(MATCH(106,'Transfer Engine'!$C$2:$C$679,0)),"",INDEX('Compliance Database'!$G$2:$G$679,MATCH(106,'Transfer Engine'!$C$2:$C$679,0)))</f>
        <v/>
      </c>
      <c r="H115">
        <f>IF(ISNA(MATCH(106,'Transfer Engine'!$C$2:$C$679,0)),"",INDEX('Compliance Database'!$H$2:$H$679,MATCH(106,'Transfer Engine'!$C$2:$C$679,0)))</f>
        <v/>
      </c>
      <c r="I115" s="8">
        <f>IF(ISNA(MATCH(106,'Transfer Engine'!$C$2:$C$679,0)),"",INDEX('Compliance Database'!$I$2:$I$679,MATCH(106,'Transfer Engine'!$C$2:$C$679,0)))</f>
        <v/>
      </c>
      <c r="J115" s="8">
        <f>IF(ISNA(MATCH(106,'Transfer Engine'!$C$2:$C$679,0)),"",INDEX('Compliance Database'!$J$2:$J$679,MATCH(106,'Transfer Engine'!$C$2:$C$679,0)))</f>
        <v/>
      </c>
      <c r="K115">
        <f>IF(ISNA(MATCH(106,'Transfer Engine'!$C$2:$C$679,0)),"",INDEX('Compliance Database'!$K$2:$K$679,MATCH(106,'Transfer Engine'!$C$2:$C$679,0)))</f>
        <v/>
      </c>
      <c r="L115" s="8">
        <f>IF(ISNA(MATCH(106,'Transfer Engine'!$C$2:$C$679,0)),"",INDEX('Compliance Database'!$L$2:$L$679,MATCH(106,'Transfer Engine'!$C$2:$C$679,0)))</f>
        <v/>
      </c>
      <c r="M115" s="8">
        <f>IF(ISNA(MATCH(106,'Transfer Engine'!$C$2:$C$679,0)),"",INDEX('Compliance Database'!$M$2:$M$679,MATCH(106,'Transfer Engine'!$C$2:$C$679,0)))</f>
        <v/>
      </c>
      <c r="N115" s="8">
        <f>IF(ISNA(MATCH(106,'Transfer Engine'!$C$2:$C$679,0)),"",INDEX('Compliance Database'!$N$2:$N$679,MATCH(106,'Transfer Engine'!$C$2:$C$679,0)))</f>
        <v/>
      </c>
      <c r="O115" s="8">
        <f>IF(ISNA(MATCH(106,'Transfer Engine'!$C$2:$C$679,0)),"",INDEX('Compliance Database'!$O$2:$O$679,MATCH(106,'Transfer Engine'!$C$2:$C$679,0)))</f>
        <v/>
      </c>
      <c r="P115">
        <f>IF(ISNA(MATCH(106,'Transfer Engine'!$C$2:$C$679,0)),"",HYPERLINK(INDEX('Compliance Database'!$P$2:$P$679,MATCH(106,'Transfer Engine'!$C$2:$C$679,0)),"Open PDF"))</f>
        <v/>
      </c>
    </row>
    <row r="116">
      <c r="A116">
        <f>IF(ISNA(MATCH(107,'Transfer Engine'!$C$2:$C$679,0)),"",INDEX('Compliance Database'!$A$2:$A$679,MATCH(107,'Transfer Engine'!$C$2:$C$679,0)))</f>
        <v/>
      </c>
      <c r="B116">
        <f>IF(ISNA(MATCH(107,'Transfer Engine'!$C$2:$C$679,0)),"",INDEX('Compliance Database'!$B$2:$B$679,MATCH(107,'Transfer Engine'!$C$2:$C$679,0)))</f>
        <v/>
      </c>
      <c r="C116">
        <f>IF(ISNA(MATCH(107,'Transfer Engine'!$C$2:$C$679,0)),"",INDEX('Compliance Database'!$C$2:$C$679,MATCH(107,'Transfer Engine'!$C$2:$C$679,0)))</f>
        <v/>
      </c>
      <c r="D116" s="8">
        <f>IF(ISNA(MATCH(107,'Transfer Engine'!$C$2:$C$679,0)),"",INDEX('Compliance Database'!$D$2:$D$679,MATCH(107,'Transfer Engine'!$C$2:$C$679,0)))</f>
        <v/>
      </c>
      <c r="E116">
        <f>IF(ISNA(MATCH(107,'Transfer Engine'!$C$2:$C$679,0)),"",INDEX('Compliance Database'!$E$2:$E$679,MATCH(107,'Transfer Engine'!$C$2:$C$679,0)))</f>
        <v/>
      </c>
      <c r="F116">
        <f>IF(ISNA(MATCH(107,'Transfer Engine'!$C$2:$C$679,0)),"",INDEX('Compliance Database'!$F$2:$F$679,MATCH(107,'Transfer Engine'!$C$2:$C$679,0)))</f>
        <v/>
      </c>
      <c r="G116">
        <f>IF(ISNA(MATCH(107,'Transfer Engine'!$C$2:$C$679,0)),"",INDEX('Compliance Database'!$G$2:$G$679,MATCH(107,'Transfer Engine'!$C$2:$C$679,0)))</f>
        <v/>
      </c>
      <c r="H116">
        <f>IF(ISNA(MATCH(107,'Transfer Engine'!$C$2:$C$679,0)),"",INDEX('Compliance Database'!$H$2:$H$679,MATCH(107,'Transfer Engine'!$C$2:$C$679,0)))</f>
        <v/>
      </c>
      <c r="I116" s="8">
        <f>IF(ISNA(MATCH(107,'Transfer Engine'!$C$2:$C$679,0)),"",INDEX('Compliance Database'!$I$2:$I$679,MATCH(107,'Transfer Engine'!$C$2:$C$679,0)))</f>
        <v/>
      </c>
      <c r="J116" s="8">
        <f>IF(ISNA(MATCH(107,'Transfer Engine'!$C$2:$C$679,0)),"",INDEX('Compliance Database'!$J$2:$J$679,MATCH(107,'Transfer Engine'!$C$2:$C$679,0)))</f>
        <v/>
      </c>
      <c r="K116">
        <f>IF(ISNA(MATCH(107,'Transfer Engine'!$C$2:$C$679,0)),"",INDEX('Compliance Database'!$K$2:$K$679,MATCH(107,'Transfer Engine'!$C$2:$C$679,0)))</f>
        <v/>
      </c>
      <c r="L116" s="8">
        <f>IF(ISNA(MATCH(107,'Transfer Engine'!$C$2:$C$679,0)),"",INDEX('Compliance Database'!$L$2:$L$679,MATCH(107,'Transfer Engine'!$C$2:$C$679,0)))</f>
        <v/>
      </c>
      <c r="M116" s="8">
        <f>IF(ISNA(MATCH(107,'Transfer Engine'!$C$2:$C$679,0)),"",INDEX('Compliance Database'!$M$2:$M$679,MATCH(107,'Transfer Engine'!$C$2:$C$679,0)))</f>
        <v/>
      </c>
      <c r="N116" s="8">
        <f>IF(ISNA(MATCH(107,'Transfer Engine'!$C$2:$C$679,0)),"",INDEX('Compliance Database'!$N$2:$N$679,MATCH(107,'Transfer Engine'!$C$2:$C$679,0)))</f>
        <v/>
      </c>
      <c r="O116" s="8">
        <f>IF(ISNA(MATCH(107,'Transfer Engine'!$C$2:$C$679,0)),"",INDEX('Compliance Database'!$O$2:$O$679,MATCH(107,'Transfer Engine'!$C$2:$C$679,0)))</f>
        <v/>
      </c>
      <c r="P116">
        <f>IF(ISNA(MATCH(107,'Transfer Engine'!$C$2:$C$679,0)),"",HYPERLINK(INDEX('Compliance Database'!$P$2:$P$679,MATCH(107,'Transfer Engine'!$C$2:$C$679,0)),"Open PDF"))</f>
        <v/>
      </c>
    </row>
    <row r="117">
      <c r="A117">
        <f>IF(ISNA(MATCH(108,'Transfer Engine'!$C$2:$C$679,0)),"",INDEX('Compliance Database'!$A$2:$A$679,MATCH(108,'Transfer Engine'!$C$2:$C$679,0)))</f>
        <v/>
      </c>
      <c r="B117">
        <f>IF(ISNA(MATCH(108,'Transfer Engine'!$C$2:$C$679,0)),"",INDEX('Compliance Database'!$B$2:$B$679,MATCH(108,'Transfer Engine'!$C$2:$C$679,0)))</f>
        <v/>
      </c>
      <c r="C117">
        <f>IF(ISNA(MATCH(108,'Transfer Engine'!$C$2:$C$679,0)),"",INDEX('Compliance Database'!$C$2:$C$679,MATCH(108,'Transfer Engine'!$C$2:$C$679,0)))</f>
        <v/>
      </c>
      <c r="D117" s="8">
        <f>IF(ISNA(MATCH(108,'Transfer Engine'!$C$2:$C$679,0)),"",INDEX('Compliance Database'!$D$2:$D$679,MATCH(108,'Transfer Engine'!$C$2:$C$679,0)))</f>
        <v/>
      </c>
      <c r="E117">
        <f>IF(ISNA(MATCH(108,'Transfer Engine'!$C$2:$C$679,0)),"",INDEX('Compliance Database'!$E$2:$E$679,MATCH(108,'Transfer Engine'!$C$2:$C$679,0)))</f>
        <v/>
      </c>
      <c r="F117">
        <f>IF(ISNA(MATCH(108,'Transfer Engine'!$C$2:$C$679,0)),"",INDEX('Compliance Database'!$F$2:$F$679,MATCH(108,'Transfer Engine'!$C$2:$C$679,0)))</f>
        <v/>
      </c>
      <c r="G117">
        <f>IF(ISNA(MATCH(108,'Transfer Engine'!$C$2:$C$679,0)),"",INDEX('Compliance Database'!$G$2:$G$679,MATCH(108,'Transfer Engine'!$C$2:$C$679,0)))</f>
        <v/>
      </c>
      <c r="H117">
        <f>IF(ISNA(MATCH(108,'Transfer Engine'!$C$2:$C$679,0)),"",INDEX('Compliance Database'!$H$2:$H$679,MATCH(108,'Transfer Engine'!$C$2:$C$679,0)))</f>
        <v/>
      </c>
      <c r="I117" s="8">
        <f>IF(ISNA(MATCH(108,'Transfer Engine'!$C$2:$C$679,0)),"",INDEX('Compliance Database'!$I$2:$I$679,MATCH(108,'Transfer Engine'!$C$2:$C$679,0)))</f>
        <v/>
      </c>
      <c r="J117" s="8">
        <f>IF(ISNA(MATCH(108,'Transfer Engine'!$C$2:$C$679,0)),"",INDEX('Compliance Database'!$J$2:$J$679,MATCH(108,'Transfer Engine'!$C$2:$C$679,0)))</f>
        <v/>
      </c>
      <c r="K117">
        <f>IF(ISNA(MATCH(108,'Transfer Engine'!$C$2:$C$679,0)),"",INDEX('Compliance Database'!$K$2:$K$679,MATCH(108,'Transfer Engine'!$C$2:$C$679,0)))</f>
        <v/>
      </c>
      <c r="L117" s="8">
        <f>IF(ISNA(MATCH(108,'Transfer Engine'!$C$2:$C$679,0)),"",INDEX('Compliance Database'!$L$2:$L$679,MATCH(108,'Transfer Engine'!$C$2:$C$679,0)))</f>
        <v/>
      </c>
      <c r="M117" s="8">
        <f>IF(ISNA(MATCH(108,'Transfer Engine'!$C$2:$C$679,0)),"",INDEX('Compliance Database'!$M$2:$M$679,MATCH(108,'Transfer Engine'!$C$2:$C$679,0)))</f>
        <v/>
      </c>
      <c r="N117" s="8">
        <f>IF(ISNA(MATCH(108,'Transfer Engine'!$C$2:$C$679,0)),"",INDEX('Compliance Database'!$N$2:$N$679,MATCH(108,'Transfer Engine'!$C$2:$C$679,0)))</f>
        <v/>
      </c>
      <c r="O117" s="8">
        <f>IF(ISNA(MATCH(108,'Transfer Engine'!$C$2:$C$679,0)),"",INDEX('Compliance Database'!$O$2:$O$679,MATCH(108,'Transfer Engine'!$C$2:$C$679,0)))</f>
        <v/>
      </c>
      <c r="P117">
        <f>IF(ISNA(MATCH(108,'Transfer Engine'!$C$2:$C$679,0)),"",HYPERLINK(INDEX('Compliance Database'!$P$2:$P$679,MATCH(108,'Transfer Engine'!$C$2:$C$679,0)),"Open PDF"))</f>
        <v/>
      </c>
    </row>
    <row r="118">
      <c r="A118">
        <f>IF(ISNA(MATCH(109,'Transfer Engine'!$C$2:$C$679,0)),"",INDEX('Compliance Database'!$A$2:$A$679,MATCH(109,'Transfer Engine'!$C$2:$C$679,0)))</f>
        <v/>
      </c>
      <c r="B118">
        <f>IF(ISNA(MATCH(109,'Transfer Engine'!$C$2:$C$679,0)),"",INDEX('Compliance Database'!$B$2:$B$679,MATCH(109,'Transfer Engine'!$C$2:$C$679,0)))</f>
        <v/>
      </c>
      <c r="C118">
        <f>IF(ISNA(MATCH(109,'Transfer Engine'!$C$2:$C$679,0)),"",INDEX('Compliance Database'!$C$2:$C$679,MATCH(109,'Transfer Engine'!$C$2:$C$679,0)))</f>
        <v/>
      </c>
      <c r="D118" s="8">
        <f>IF(ISNA(MATCH(109,'Transfer Engine'!$C$2:$C$679,0)),"",INDEX('Compliance Database'!$D$2:$D$679,MATCH(109,'Transfer Engine'!$C$2:$C$679,0)))</f>
        <v/>
      </c>
      <c r="E118">
        <f>IF(ISNA(MATCH(109,'Transfer Engine'!$C$2:$C$679,0)),"",INDEX('Compliance Database'!$E$2:$E$679,MATCH(109,'Transfer Engine'!$C$2:$C$679,0)))</f>
        <v/>
      </c>
      <c r="F118">
        <f>IF(ISNA(MATCH(109,'Transfer Engine'!$C$2:$C$679,0)),"",INDEX('Compliance Database'!$F$2:$F$679,MATCH(109,'Transfer Engine'!$C$2:$C$679,0)))</f>
        <v/>
      </c>
      <c r="G118">
        <f>IF(ISNA(MATCH(109,'Transfer Engine'!$C$2:$C$679,0)),"",INDEX('Compliance Database'!$G$2:$G$679,MATCH(109,'Transfer Engine'!$C$2:$C$679,0)))</f>
        <v/>
      </c>
      <c r="H118">
        <f>IF(ISNA(MATCH(109,'Transfer Engine'!$C$2:$C$679,0)),"",INDEX('Compliance Database'!$H$2:$H$679,MATCH(109,'Transfer Engine'!$C$2:$C$679,0)))</f>
        <v/>
      </c>
      <c r="I118" s="8">
        <f>IF(ISNA(MATCH(109,'Transfer Engine'!$C$2:$C$679,0)),"",INDEX('Compliance Database'!$I$2:$I$679,MATCH(109,'Transfer Engine'!$C$2:$C$679,0)))</f>
        <v/>
      </c>
      <c r="J118" s="8">
        <f>IF(ISNA(MATCH(109,'Transfer Engine'!$C$2:$C$679,0)),"",INDEX('Compliance Database'!$J$2:$J$679,MATCH(109,'Transfer Engine'!$C$2:$C$679,0)))</f>
        <v/>
      </c>
      <c r="K118">
        <f>IF(ISNA(MATCH(109,'Transfer Engine'!$C$2:$C$679,0)),"",INDEX('Compliance Database'!$K$2:$K$679,MATCH(109,'Transfer Engine'!$C$2:$C$679,0)))</f>
        <v/>
      </c>
      <c r="L118" s="8">
        <f>IF(ISNA(MATCH(109,'Transfer Engine'!$C$2:$C$679,0)),"",INDEX('Compliance Database'!$L$2:$L$679,MATCH(109,'Transfer Engine'!$C$2:$C$679,0)))</f>
        <v/>
      </c>
      <c r="M118" s="8">
        <f>IF(ISNA(MATCH(109,'Transfer Engine'!$C$2:$C$679,0)),"",INDEX('Compliance Database'!$M$2:$M$679,MATCH(109,'Transfer Engine'!$C$2:$C$679,0)))</f>
        <v/>
      </c>
      <c r="N118" s="8">
        <f>IF(ISNA(MATCH(109,'Transfer Engine'!$C$2:$C$679,0)),"",INDEX('Compliance Database'!$N$2:$N$679,MATCH(109,'Transfer Engine'!$C$2:$C$679,0)))</f>
        <v/>
      </c>
      <c r="O118" s="8">
        <f>IF(ISNA(MATCH(109,'Transfer Engine'!$C$2:$C$679,0)),"",INDEX('Compliance Database'!$O$2:$O$679,MATCH(109,'Transfer Engine'!$C$2:$C$679,0)))</f>
        <v/>
      </c>
      <c r="P118">
        <f>IF(ISNA(MATCH(109,'Transfer Engine'!$C$2:$C$679,0)),"",HYPERLINK(INDEX('Compliance Database'!$P$2:$P$679,MATCH(109,'Transfer Engine'!$C$2:$C$679,0)),"Open PDF"))</f>
        <v/>
      </c>
    </row>
    <row r="119">
      <c r="A119">
        <f>IF(ISNA(MATCH(110,'Transfer Engine'!$C$2:$C$679,0)),"",INDEX('Compliance Database'!$A$2:$A$679,MATCH(110,'Transfer Engine'!$C$2:$C$679,0)))</f>
        <v/>
      </c>
      <c r="B119">
        <f>IF(ISNA(MATCH(110,'Transfer Engine'!$C$2:$C$679,0)),"",INDEX('Compliance Database'!$B$2:$B$679,MATCH(110,'Transfer Engine'!$C$2:$C$679,0)))</f>
        <v/>
      </c>
      <c r="C119">
        <f>IF(ISNA(MATCH(110,'Transfer Engine'!$C$2:$C$679,0)),"",INDEX('Compliance Database'!$C$2:$C$679,MATCH(110,'Transfer Engine'!$C$2:$C$679,0)))</f>
        <v/>
      </c>
      <c r="D119" s="8">
        <f>IF(ISNA(MATCH(110,'Transfer Engine'!$C$2:$C$679,0)),"",INDEX('Compliance Database'!$D$2:$D$679,MATCH(110,'Transfer Engine'!$C$2:$C$679,0)))</f>
        <v/>
      </c>
      <c r="E119">
        <f>IF(ISNA(MATCH(110,'Transfer Engine'!$C$2:$C$679,0)),"",INDEX('Compliance Database'!$E$2:$E$679,MATCH(110,'Transfer Engine'!$C$2:$C$679,0)))</f>
        <v/>
      </c>
      <c r="F119">
        <f>IF(ISNA(MATCH(110,'Transfer Engine'!$C$2:$C$679,0)),"",INDEX('Compliance Database'!$F$2:$F$679,MATCH(110,'Transfer Engine'!$C$2:$C$679,0)))</f>
        <v/>
      </c>
      <c r="G119">
        <f>IF(ISNA(MATCH(110,'Transfer Engine'!$C$2:$C$679,0)),"",INDEX('Compliance Database'!$G$2:$G$679,MATCH(110,'Transfer Engine'!$C$2:$C$679,0)))</f>
        <v/>
      </c>
      <c r="H119">
        <f>IF(ISNA(MATCH(110,'Transfer Engine'!$C$2:$C$679,0)),"",INDEX('Compliance Database'!$H$2:$H$679,MATCH(110,'Transfer Engine'!$C$2:$C$679,0)))</f>
        <v/>
      </c>
      <c r="I119" s="8">
        <f>IF(ISNA(MATCH(110,'Transfer Engine'!$C$2:$C$679,0)),"",INDEX('Compliance Database'!$I$2:$I$679,MATCH(110,'Transfer Engine'!$C$2:$C$679,0)))</f>
        <v/>
      </c>
      <c r="J119" s="8">
        <f>IF(ISNA(MATCH(110,'Transfer Engine'!$C$2:$C$679,0)),"",INDEX('Compliance Database'!$J$2:$J$679,MATCH(110,'Transfer Engine'!$C$2:$C$679,0)))</f>
        <v/>
      </c>
      <c r="K119">
        <f>IF(ISNA(MATCH(110,'Transfer Engine'!$C$2:$C$679,0)),"",INDEX('Compliance Database'!$K$2:$K$679,MATCH(110,'Transfer Engine'!$C$2:$C$679,0)))</f>
        <v/>
      </c>
      <c r="L119" s="8">
        <f>IF(ISNA(MATCH(110,'Transfer Engine'!$C$2:$C$679,0)),"",INDEX('Compliance Database'!$L$2:$L$679,MATCH(110,'Transfer Engine'!$C$2:$C$679,0)))</f>
        <v/>
      </c>
      <c r="M119" s="8">
        <f>IF(ISNA(MATCH(110,'Transfer Engine'!$C$2:$C$679,0)),"",INDEX('Compliance Database'!$M$2:$M$679,MATCH(110,'Transfer Engine'!$C$2:$C$679,0)))</f>
        <v/>
      </c>
      <c r="N119" s="8">
        <f>IF(ISNA(MATCH(110,'Transfer Engine'!$C$2:$C$679,0)),"",INDEX('Compliance Database'!$N$2:$N$679,MATCH(110,'Transfer Engine'!$C$2:$C$679,0)))</f>
        <v/>
      </c>
      <c r="O119" s="8">
        <f>IF(ISNA(MATCH(110,'Transfer Engine'!$C$2:$C$679,0)),"",INDEX('Compliance Database'!$O$2:$O$679,MATCH(110,'Transfer Engine'!$C$2:$C$679,0)))</f>
        <v/>
      </c>
      <c r="P119">
        <f>IF(ISNA(MATCH(110,'Transfer Engine'!$C$2:$C$679,0)),"",HYPERLINK(INDEX('Compliance Database'!$P$2:$P$679,MATCH(110,'Transfer Engine'!$C$2:$C$679,0)),"Open PDF"))</f>
        <v/>
      </c>
    </row>
    <row r="120">
      <c r="A120">
        <f>IF(ISNA(MATCH(111,'Transfer Engine'!$C$2:$C$679,0)),"",INDEX('Compliance Database'!$A$2:$A$679,MATCH(111,'Transfer Engine'!$C$2:$C$679,0)))</f>
        <v/>
      </c>
      <c r="B120">
        <f>IF(ISNA(MATCH(111,'Transfer Engine'!$C$2:$C$679,0)),"",INDEX('Compliance Database'!$B$2:$B$679,MATCH(111,'Transfer Engine'!$C$2:$C$679,0)))</f>
        <v/>
      </c>
      <c r="C120">
        <f>IF(ISNA(MATCH(111,'Transfer Engine'!$C$2:$C$679,0)),"",INDEX('Compliance Database'!$C$2:$C$679,MATCH(111,'Transfer Engine'!$C$2:$C$679,0)))</f>
        <v/>
      </c>
      <c r="D120" s="8">
        <f>IF(ISNA(MATCH(111,'Transfer Engine'!$C$2:$C$679,0)),"",INDEX('Compliance Database'!$D$2:$D$679,MATCH(111,'Transfer Engine'!$C$2:$C$679,0)))</f>
        <v/>
      </c>
      <c r="E120">
        <f>IF(ISNA(MATCH(111,'Transfer Engine'!$C$2:$C$679,0)),"",INDEX('Compliance Database'!$E$2:$E$679,MATCH(111,'Transfer Engine'!$C$2:$C$679,0)))</f>
        <v/>
      </c>
      <c r="F120">
        <f>IF(ISNA(MATCH(111,'Transfer Engine'!$C$2:$C$679,0)),"",INDEX('Compliance Database'!$F$2:$F$679,MATCH(111,'Transfer Engine'!$C$2:$C$679,0)))</f>
        <v/>
      </c>
      <c r="G120">
        <f>IF(ISNA(MATCH(111,'Transfer Engine'!$C$2:$C$679,0)),"",INDEX('Compliance Database'!$G$2:$G$679,MATCH(111,'Transfer Engine'!$C$2:$C$679,0)))</f>
        <v/>
      </c>
      <c r="H120">
        <f>IF(ISNA(MATCH(111,'Transfer Engine'!$C$2:$C$679,0)),"",INDEX('Compliance Database'!$H$2:$H$679,MATCH(111,'Transfer Engine'!$C$2:$C$679,0)))</f>
        <v/>
      </c>
      <c r="I120" s="8">
        <f>IF(ISNA(MATCH(111,'Transfer Engine'!$C$2:$C$679,0)),"",INDEX('Compliance Database'!$I$2:$I$679,MATCH(111,'Transfer Engine'!$C$2:$C$679,0)))</f>
        <v/>
      </c>
      <c r="J120" s="8">
        <f>IF(ISNA(MATCH(111,'Transfer Engine'!$C$2:$C$679,0)),"",INDEX('Compliance Database'!$J$2:$J$679,MATCH(111,'Transfer Engine'!$C$2:$C$679,0)))</f>
        <v/>
      </c>
      <c r="K120">
        <f>IF(ISNA(MATCH(111,'Transfer Engine'!$C$2:$C$679,0)),"",INDEX('Compliance Database'!$K$2:$K$679,MATCH(111,'Transfer Engine'!$C$2:$C$679,0)))</f>
        <v/>
      </c>
      <c r="L120" s="8">
        <f>IF(ISNA(MATCH(111,'Transfer Engine'!$C$2:$C$679,0)),"",INDEX('Compliance Database'!$L$2:$L$679,MATCH(111,'Transfer Engine'!$C$2:$C$679,0)))</f>
        <v/>
      </c>
      <c r="M120" s="8">
        <f>IF(ISNA(MATCH(111,'Transfer Engine'!$C$2:$C$679,0)),"",INDEX('Compliance Database'!$M$2:$M$679,MATCH(111,'Transfer Engine'!$C$2:$C$679,0)))</f>
        <v/>
      </c>
      <c r="N120" s="8">
        <f>IF(ISNA(MATCH(111,'Transfer Engine'!$C$2:$C$679,0)),"",INDEX('Compliance Database'!$N$2:$N$679,MATCH(111,'Transfer Engine'!$C$2:$C$679,0)))</f>
        <v/>
      </c>
      <c r="O120" s="8">
        <f>IF(ISNA(MATCH(111,'Transfer Engine'!$C$2:$C$679,0)),"",INDEX('Compliance Database'!$O$2:$O$679,MATCH(111,'Transfer Engine'!$C$2:$C$679,0)))</f>
        <v/>
      </c>
      <c r="P120">
        <f>IF(ISNA(MATCH(111,'Transfer Engine'!$C$2:$C$679,0)),"",HYPERLINK(INDEX('Compliance Database'!$P$2:$P$679,MATCH(111,'Transfer Engine'!$C$2:$C$679,0)),"Open PDF"))</f>
        <v/>
      </c>
    </row>
    <row r="121">
      <c r="A121">
        <f>IF(ISNA(MATCH(112,'Transfer Engine'!$C$2:$C$679,0)),"",INDEX('Compliance Database'!$A$2:$A$679,MATCH(112,'Transfer Engine'!$C$2:$C$679,0)))</f>
        <v/>
      </c>
      <c r="B121">
        <f>IF(ISNA(MATCH(112,'Transfer Engine'!$C$2:$C$679,0)),"",INDEX('Compliance Database'!$B$2:$B$679,MATCH(112,'Transfer Engine'!$C$2:$C$679,0)))</f>
        <v/>
      </c>
      <c r="C121">
        <f>IF(ISNA(MATCH(112,'Transfer Engine'!$C$2:$C$679,0)),"",INDEX('Compliance Database'!$C$2:$C$679,MATCH(112,'Transfer Engine'!$C$2:$C$679,0)))</f>
        <v/>
      </c>
      <c r="D121" s="8">
        <f>IF(ISNA(MATCH(112,'Transfer Engine'!$C$2:$C$679,0)),"",INDEX('Compliance Database'!$D$2:$D$679,MATCH(112,'Transfer Engine'!$C$2:$C$679,0)))</f>
        <v/>
      </c>
      <c r="E121">
        <f>IF(ISNA(MATCH(112,'Transfer Engine'!$C$2:$C$679,0)),"",INDEX('Compliance Database'!$E$2:$E$679,MATCH(112,'Transfer Engine'!$C$2:$C$679,0)))</f>
        <v/>
      </c>
      <c r="F121">
        <f>IF(ISNA(MATCH(112,'Transfer Engine'!$C$2:$C$679,0)),"",INDEX('Compliance Database'!$F$2:$F$679,MATCH(112,'Transfer Engine'!$C$2:$C$679,0)))</f>
        <v/>
      </c>
      <c r="G121">
        <f>IF(ISNA(MATCH(112,'Transfer Engine'!$C$2:$C$679,0)),"",INDEX('Compliance Database'!$G$2:$G$679,MATCH(112,'Transfer Engine'!$C$2:$C$679,0)))</f>
        <v/>
      </c>
      <c r="H121">
        <f>IF(ISNA(MATCH(112,'Transfer Engine'!$C$2:$C$679,0)),"",INDEX('Compliance Database'!$H$2:$H$679,MATCH(112,'Transfer Engine'!$C$2:$C$679,0)))</f>
        <v/>
      </c>
      <c r="I121" s="8">
        <f>IF(ISNA(MATCH(112,'Transfer Engine'!$C$2:$C$679,0)),"",INDEX('Compliance Database'!$I$2:$I$679,MATCH(112,'Transfer Engine'!$C$2:$C$679,0)))</f>
        <v/>
      </c>
      <c r="J121" s="8">
        <f>IF(ISNA(MATCH(112,'Transfer Engine'!$C$2:$C$679,0)),"",INDEX('Compliance Database'!$J$2:$J$679,MATCH(112,'Transfer Engine'!$C$2:$C$679,0)))</f>
        <v/>
      </c>
      <c r="K121">
        <f>IF(ISNA(MATCH(112,'Transfer Engine'!$C$2:$C$679,0)),"",INDEX('Compliance Database'!$K$2:$K$679,MATCH(112,'Transfer Engine'!$C$2:$C$679,0)))</f>
        <v/>
      </c>
      <c r="L121" s="8">
        <f>IF(ISNA(MATCH(112,'Transfer Engine'!$C$2:$C$679,0)),"",INDEX('Compliance Database'!$L$2:$L$679,MATCH(112,'Transfer Engine'!$C$2:$C$679,0)))</f>
        <v/>
      </c>
      <c r="M121" s="8">
        <f>IF(ISNA(MATCH(112,'Transfer Engine'!$C$2:$C$679,0)),"",INDEX('Compliance Database'!$M$2:$M$679,MATCH(112,'Transfer Engine'!$C$2:$C$679,0)))</f>
        <v/>
      </c>
      <c r="N121" s="8">
        <f>IF(ISNA(MATCH(112,'Transfer Engine'!$C$2:$C$679,0)),"",INDEX('Compliance Database'!$N$2:$N$679,MATCH(112,'Transfer Engine'!$C$2:$C$679,0)))</f>
        <v/>
      </c>
      <c r="O121" s="8">
        <f>IF(ISNA(MATCH(112,'Transfer Engine'!$C$2:$C$679,0)),"",INDEX('Compliance Database'!$O$2:$O$679,MATCH(112,'Transfer Engine'!$C$2:$C$679,0)))</f>
        <v/>
      </c>
      <c r="P121">
        <f>IF(ISNA(MATCH(112,'Transfer Engine'!$C$2:$C$679,0)),"",HYPERLINK(INDEX('Compliance Database'!$P$2:$P$679,MATCH(112,'Transfer Engine'!$C$2:$C$679,0)),"Open PDF"))</f>
        <v/>
      </c>
    </row>
    <row r="122">
      <c r="A122">
        <f>IF(ISNA(MATCH(113,'Transfer Engine'!$C$2:$C$679,0)),"",INDEX('Compliance Database'!$A$2:$A$679,MATCH(113,'Transfer Engine'!$C$2:$C$679,0)))</f>
        <v/>
      </c>
      <c r="B122">
        <f>IF(ISNA(MATCH(113,'Transfer Engine'!$C$2:$C$679,0)),"",INDEX('Compliance Database'!$B$2:$B$679,MATCH(113,'Transfer Engine'!$C$2:$C$679,0)))</f>
        <v/>
      </c>
      <c r="C122">
        <f>IF(ISNA(MATCH(113,'Transfer Engine'!$C$2:$C$679,0)),"",INDEX('Compliance Database'!$C$2:$C$679,MATCH(113,'Transfer Engine'!$C$2:$C$679,0)))</f>
        <v/>
      </c>
      <c r="D122" s="8">
        <f>IF(ISNA(MATCH(113,'Transfer Engine'!$C$2:$C$679,0)),"",INDEX('Compliance Database'!$D$2:$D$679,MATCH(113,'Transfer Engine'!$C$2:$C$679,0)))</f>
        <v/>
      </c>
      <c r="E122">
        <f>IF(ISNA(MATCH(113,'Transfer Engine'!$C$2:$C$679,0)),"",INDEX('Compliance Database'!$E$2:$E$679,MATCH(113,'Transfer Engine'!$C$2:$C$679,0)))</f>
        <v/>
      </c>
      <c r="F122">
        <f>IF(ISNA(MATCH(113,'Transfer Engine'!$C$2:$C$679,0)),"",INDEX('Compliance Database'!$F$2:$F$679,MATCH(113,'Transfer Engine'!$C$2:$C$679,0)))</f>
        <v/>
      </c>
      <c r="G122">
        <f>IF(ISNA(MATCH(113,'Transfer Engine'!$C$2:$C$679,0)),"",INDEX('Compliance Database'!$G$2:$G$679,MATCH(113,'Transfer Engine'!$C$2:$C$679,0)))</f>
        <v/>
      </c>
      <c r="H122">
        <f>IF(ISNA(MATCH(113,'Transfer Engine'!$C$2:$C$679,0)),"",INDEX('Compliance Database'!$H$2:$H$679,MATCH(113,'Transfer Engine'!$C$2:$C$679,0)))</f>
        <v/>
      </c>
      <c r="I122" s="8">
        <f>IF(ISNA(MATCH(113,'Transfer Engine'!$C$2:$C$679,0)),"",INDEX('Compliance Database'!$I$2:$I$679,MATCH(113,'Transfer Engine'!$C$2:$C$679,0)))</f>
        <v/>
      </c>
      <c r="J122" s="8">
        <f>IF(ISNA(MATCH(113,'Transfer Engine'!$C$2:$C$679,0)),"",INDEX('Compliance Database'!$J$2:$J$679,MATCH(113,'Transfer Engine'!$C$2:$C$679,0)))</f>
        <v/>
      </c>
      <c r="K122">
        <f>IF(ISNA(MATCH(113,'Transfer Engine'!$C$2:$C$679,0)),"",INDEX('Compliance Database'!$K$2:$K$679,MATCH(113,'Transfer Engine'!$C$2:$C$679,0)))</f>
        <v/>
      </c>
      <c r="L122" s="8">
        <f>IF(ISNA(MATCH(113,'Transfer Engine'!$C$2:$C$679,0)),"",INDEX('Compliance Database'!$L$2:$L$679,MATCH(113,'Transfer Engine'!$C$2:$C$679,0)))</f>
        <v/>
      </c>
      <c r="M122" s="8">
        <f>IF(ISNA(MATCH(113,'Transfer Engine'!$C$2:$C$679,0)),"",INDEX('Compliance Database'!$M$2:$M$679,MATCH(113,'Transfer Engine'!$C$2:$C$679,0)))</f>
        <v/>
      </c>
      <c r="N122" s="8">
        <f>IF(ISNA(MATCH(113,'Transfer Engine'!$C$2:$C$679,0)),"",INDEX('Compliance Database'!$N$2:$N$679,MATCH(113,'Transfer Engine'!$C$2:$C$679,0)))</f>
        <v/>
      </c>
      <c r="O122" s="8">
        <f>IF(ISNA(MATCH(113,'Transfer Engine'!$C$2:$C$679,0)),"",INDEX('Compliance Database'!$O$2:$O$679,MATCH(113,'Transfer Engine'!$C$2:$C$679,0)))</f>
        <v/>
      </c>
      <c r="P122">
        <f>IF(ISNA(MATCH(113,'Transfer Engine'!$C$2:$C$679,0)),"",HYPERLINK(INDEX('Compliance Database'!$P$2:$P$679,MATCH(113,'Transfer Engine'!$C$2:$C$679,0)),"Open PDF"))</f>
        <v/>
      </c>
    </row>
    <row r="123">
      <c r="A123">
        <f>IF(ISNA(MATCH(114,'Transfer Engine'!$C$2:$C$679,0)),"",INDEX('Compliance Database'!$A$2:$A$679,MATCH(114,'Transfer Engine'!$C$2:$C$679,0)))</f>
        <v/>
      </c>
      <c r="B123">
        <f>IF(ISNA(MATCH(114,'Transfer Engine'!$C$2:$C$679,0)),"",INDEX('Compliance Database'!$B$2:$B$679,MATCH(114,'Transfer Engine'!$C$2:$C$679,0)))</f>
        <v/>
      </c>
      <c r="C123">
        <f>IF(ISNA(MATCH(114,'Transfer Engine'!$C$2:$C$679,0)),"",INDEX('Compliance Database'!$C$2:$C$679,MATCH(114,'Transfer Engine'!$C$2:$C$679,0)))</f>
        <v/>
      </c>
      <c r="D123" s="8">
        <f>IF(ISNA(MATCH(114,'Transfer Engine'!$C$2:$C$679,0)),"",INDEX('Compliance Database'!$D$2:$D$679,MATCH(114,'Transfer Engine'!$C$2:$C$679,0)))</f>
        <v/>
      </c>
      <c r="E123">
        <f>IF(ISNA(MATCH(114,'Transfer Engine'!$C$2:$C$679,0)),"",INDEX('Compliance Database'!$E$2:$E$679,MATCH(114,'Transfer Engine'!$C$2:$C$679,0)))</f>
        <v/>
      </c>
      <c r="F123">
        <f>IF(ISNA(MATCH(114,'Transfer Engine'!$C$2:$C$679,0)),"",INDEX('Compliance Database'!$F$2:$F$679,MATCH(114,'Transfer Engine'!$C$2:$C$679,0)))</f>
        <v/>
      </c>
      <c r="G123">
        <f>IF(ISNA(MATCH(114,'Transfer Engine'!$C$2:$C$679,0)),"",INDEX('Compliance Database'!$G$2:$G$679,MATCH(114,'Transfer Engine'!$C$2:$C$679,0)))</f>
        <v/>
      </c>
      <c r="H123">
        <f>IF(ISNA(MATCH(114,'Transfer Engine'!$C$2:$C$679,0)),"",INDEX('Compliance Database'!$H$2:$H$679,MATCH(114,'Transfer Engine'!$C$2:$C$679,0)))</f>
        <v/>
      </c>
      <c r="I123" s="8">
        <f>IF(ISNA(MATCH(114,'Transfer Engine'!$C$2:$C$679,0)),"",INDEX('Compliance Database'!$I$2:$I$679,MATCH(114,'Transfer Engine'!$C$2:$C$679,0)))</f>
        <v/>
      </c>
      <c r="J123" s="8">
        <f>IF(ISNA(MATCH(114,'Transfer Engine'!$C$2:$C$679,0)),"",INDEX('Compliance Database'!$J$2:$J$679,MATCH(114,'Transfer Engine'!$C$2:$C$679,0)))</f>
        <v/>
      </c>
      <c r="K123">
        <f>IF(ISNA(MATCH(114,'Transfer Engine'!$C$2:$C$679,0)),"",INDEX('Compliance Database'!$K$2:$K$679,MATCH(114,'Transfer Engine'!$C$2:$C$679,0)))</f>
        <v/>
      </c>
      <c r="L123" s="8">
        <f>IF(ISNA(MATCH(114,'Transfer Engine'!$C$2:$C$679,0)),"",INDEX('Compliance Database'!$L$2:$L$679,MATCH(114,'Transfer Engine'!$C$2:$C$679,0)))</f>
        <v/>
      </c>
      <c r="M123" s="8">
        <f>IF(ISNA(MATCH(114,'Transfer Engine'!$C$2:$C$679,0)),"",INDEX('Compliance Database'!$M$2:$M$679,MATCH(114,'Transfer Engine'!$C$2:$C$679,0)))</f>
        <v/>
      </c>
      <c r="N123" s="8">
        <f>IF(ISNA(MATCH(114,'Transfer Engine'!$C$2:$C$679,0)),"",INDEX('Compliance Database'!$N$2:$N$679,MATCH(114,'Transfer Engine'!$C$2:$C$679,0)))</f>
        <v/>
      </c>
      <c r="O123" s="8">
        <f>IF(ISNA(MATCH(114,'Transfer Engine'!$C$2:$C$679,0)),"",INDEX('Compliance Database'!$O$2:$O$679,MATCH(114,'Transfer Engine'!$C$2:$C$679,0)))</f>
        <v/>
      </c>
      <c r="P123">
        <f>IF(ISNA(MATCH(114,'Transfer Engine'!$C$2:$C$679,0)),"",HYPERLINK(INDEX('Compliance Database'!$P$2:$P$679,MATCH(114,'Transfer Engine'!$C$2:$C$679,0)),"Open PDF"))</f>
        <v/>
      </c>
    </row>
    <row r="124">
      <c r="A124">
        <f>IF(ISNA(MATCH(115,'Transfer Engine'!$C$2:$C$679,0)),"",INDEX('Compliance Database'!$A$2:$A$679,MATCH(115,'Transfer Engine'!$C$2:$C$679,0)))</f>
        <v/>
      </c>
      <c r="B124">
        <f>IF(ISNA(MATCH(115,'Transfer Engine'!$C$2:$C$679,0)),"",INDEX('Compliance Database'!$B$2:$B$679,MATCH(115,'Transfer Engine'!$C$2:$C$679,0)))</f>
        <v/>
      </c>
      <c r="C124">
        <f>IF(ISNA(MATCH(115,'Transfer Engine'!$C$2:$C$679,0)),"",INDEX('Compliance Database'!$C$2:$C$679,MATCH(115,'Transfer Engine'!$C$2:$C$679,0)))</f>
        <v/>
      </c>
      <c r="D124" s="8">
        <f>IF(ISNA(MATCH(115,'Transfer Engine'!$C$2:$C$679,0)),"",INDEX('Compliance Database'!$D$2:$D$679,MATCH(115,'Transfer Engine'!$C$2:$C$679,0)))</f>
        <v/>
      </c>
      <c r="E124">
        <f>IF(ISNA(MATCH(115,'Transfer Engine'!$C$2:$C$679,0)),"",INDEX('Compliance Database'!$E$2:$E$679,MATCH(115,'Transfer Engine'!$C$2:$C$679,0)))</f>
        <v/>
      </c>
      <c r="F124">
        <f>IF(ISNA(MATCH(115,'Transfer Engine'!$C$2:$C$679,0)),"",INDEX('Compliance Database'!$F$2:$F$679,MATCH(115,'Transfer Engine'!$C$2:$C$679,0)))</f>
        <v/>
      </c>
      <c r="G124">
        <f>IF(ISNA(MATCH(115,'Transfer Engine'!$C$2:$C$679,0)),"",INDEX('Compliance Database'!$G$2:$G$679,MATCH(115,'Transfer Engine'!$C$2:$C$679,0)))</f>
        <v/>
      </c>
      <c r="H124">
        <f>IF(ISNA(MATCH(115,'Transfer Engine'!$C$2:$C$679,0)),"",INDEX('Compliance Database'!$H$2:$H$679,MATCH(115,'Transfer Engine'!$C$2:$C$679,0)))</f>
        <v/>
      </c>
      <c r="I124" s="8">
        <f>IF(ISNA(MATCH(115,'Transfer Engine'!$C$2:$C$679,0)),"",INDEX('Compliance Database'!$I$2:$I$679,MATCH(115,'Transfer Engine'!$C$2:$C$679,0)))</f>
        <v/>
      </c>
      <c r="J124" s="8">
        <f>IF(ISNA(MATCH(115,'Transfer Engine'!$C$2:$C$679,0)),"",INDEX('Compliance Database'!$J$2:$J$679,MATCH(115,'Transfer Engine'!$C$2:$C$679,0)))</f>
        <v/>
      </c>
      <c r="K124">
        <f>IF(ISNA(MATCH(115,'Transfer Engine'!$C$2:$C$679,0)),"",INDEX('Compliance Database'!$K$2:$K$679,MATCH(115,'Transfer Engine'!$C$2:$C$679,0)))</f>
        <v/>
      </c>
      <c r="L124" s="8">
        <f>IF(ISNA(MATCH(115,'Transfer Engine'!$C$2:$C$679,0)),"",INDEX('Compliance Database'!$L$2:$L$679,MATCH(115,'Transfer Engine'!$C$2:$C$679,0)))</f>
        <v/>
      </c>
      <c r="M124" s="8">
        <f>IF(ISNA(MATCH(115,'Transfer Engine'!$C$2:$C$679,0)),"",INDEX('Compliance Database'!$M$2:$M$679,MATCH(115,'Transfer Engine'!$C$2:$C$679,0)))</f>
        <v/>
      </c>
      <c r="N124" s="8">
        <f>IF(ISNA(MATCH(115,'Transfer Engine'!$C$2:$C$679,0)),"",INDEX('Compliance Database'!$N$2:$N$679,MATCH(115,'Transfer Engine'!$C$2:$C$679,0)))</f>
        <v/>
      </c>
      <c r="O124" s="8">
        <f>IF(ISNA(MATCH(115,'Transfer Engine'!$C$2:$C$679,0)),"",INDEX('Compliance Database'!$O$2:$O$679,MATCH(115,'Transfer Engine'!$C$2:$C$679,0)))</f>
        <v/>
      </c>
      <c r="P124">
        <f>IF(ISNA(MATCH(115,'Transfer Engine'!$C$2:$C$679,0)),"",HYPERLINK(INDEX('Compliance Database'!$P$2:$P$679,MATCH(115,'Transfer Engine'!$C$2:$C$679,0)),"Open PDF"))</f>
        <v/>
      </c>
    </row>
    <row r="125">
      <c r="A125">
        <f>IF(ISNA(MATCH(116,'Transfer Engine'!$C$2:$C$679,0)),"",INDEX('Compliance Database'!$A$2:$A$679,MATCH(116,'Transfer Engine'!$C$2:$C$679,0)))</f>
        <v/>
      </c>
      <c r="B125">
        <f>IF(ISNA(MATCH(116,'Transfer Engine'!$C$2:$C$679,0)),"",INDEX('Compliance Database'!$B$2:$B$679,MATCH(116,'Transfer Engine'!$C$2:$C$679,0)))</f>
        <v/>
      </c>
      <c r="C125">
        <f>IF(ISNA(MATCH(116,'Transfer Engine'!$C$2:$C$679,0)),"",INDEX('Compliance Database'!$C$2:$C$679,MATCH(116,'Transfer Engine'!$C$2:$C$679,0)))</f>
        <v/>
      </c>
      <c r="D125" s="8">
        <f>IF(ISNA(MATCH(116,'Transfer Engine'!$C$2:$C$679,0)),"",INDEX('Compliance Database'!$D$2:$D$679,MATCH(116,'Transfer Engine'!$C$2:$C$679,0)))</f>
        <v/>
      </c>
      <c r="E125">
        <f>IF(ISNA(MATCH(116,'Transfer Engine'!$C$2:$C$679,0)),"",INDEX('Compliance Database'!$E$2:$E$679,MATCH(116,'Transfer Engine'!$C$2:$C$679,0)))</f>
        <v/>
      </c>
      <c r="F125">
        <f>IF(ISNA(MATCH(116,'Transfer Engine'!$C$2:$C$679,0)),"",INDEX('Compliance Database'!$F$2:$F$679,MATCH(116,'Transfer Engine'!$C$2:$C$679,0)))</f>
        <v/>
      </c>
      <c r="G125">
        <f>IF(ISNA(MATCH(116,'Transfer Engine'!$C$2:$C$679,0)),"",INDEX('Compliance Database'!$G$2:$G$679,MATCH(116,'Transfer Engine'!$C$2:$C$679,0)))</f>
        <v/>
      </c>
      <c r="H125">
        <f>IF(ISNA(MATCH(116,'Transfer Engine'!$C$2:$C$679,0)),"",INDEX('Compliance Database'!$H$2:$H$679,MATCH(116,'Transfer Engine'!$C$2:$C$679,0)))</f>
        <v/>
      </c>
      <c r="I125" s="8">
        <f>IF(ISNA(MATCH(116,'Transfer Engine'!$C$2:$C$679,0)),"",INDEX('Compliance Database'!$I$2:$I$679,MATCH(116,'Transfer Engine'!$C$2:$C$679,0)))</f>
        <v/>
      </c>
      <c r="J125" s="8">
        <f>IF(ISNA(MATCH(116,'Transfer Engine'!$C$2:$C$679,0)),"",INDEX('Compliance Database'!$J$2:$J$679,MATCH(116,'Transfer Engine'!$C$2:$C$679,0)))</f>
        <v/>
      </c>
      <c r="K125">
        <f>IF(ISNA(MATCH(116,'Transfer Engine'!$C$2:$C$679,0)),"",INDEX('Compliance Database'!$K$2:$K$679,MATCH(116,'Transfer Engine'!$C$2:$C$679,0)))</f>
        <v/>
      </c>
      <c r="L125" s="8">
        <f>IF(ISNA(MATCH(116,'Transfer Engine'!$C$2:$C$679,0)),"",INDEX('Compliance Database'!$L$2:$L$679,MATCH(116,'Transfer Engine'!$C$2:$C$679,0)))</f>
        <v/>
      </c>
      <c r="M125" s="8">
        <f>IF(ISNA(MATCH(116,'Transfer Engine'!$C$2:$C$679,0)),"",INDEX('Compliance Database'!$M$2:$M$679,MATCH(116,'Transfer Engine'!$C$2:$C$679,0)))</f>
        <v/>
      </c>
      <c r="N125" s="8">
        <f>IF(ISNA(MATCH(116,'Transfer Engine'!$C$2:$C$679,0)),"",INDEX('Compliance Database'!$N$2:$N$679,MATCH(116,'Transfer Engine'!$C$2:$C$679,0)))</f>
        <v/>
      </c>
      <c r="O125" s="8">
        <f>IF(ISNA(MATCH(116,'Transfer Engine'!$C$2:$C$679,0)),"",INDEX('Compliance Database'!$O$2:$O$679,MATCH(116,'Transfer Engine'!$C$2:$C$679,0)))</f>
        <v/>
      </c>
      <c r="P125">
        <f>IF(ISNA(MATCH(116,'Transfer Engine'!$C$2:$C$679,0)),"",HYPERLINK(INDEX('Compliance Database'!$P$2:$P$679,MATCH(116,'Transfer Engine'!$C$2:$C$679,0)),"Open PDF"))</f>
        <v/>
      </c>
    </row>
    <row r="126">
      <c r="A126">
        <f>IF(ISNA(MATCH(117,'Transfer Engine'!$C$2:$C$679,0)),"",INDEX('Compliance Database'!$A$2:$A$679,MATCH(117,'Transfer Engine'!$C$2:$C$679,0)))</f>
        <v/>
      </c>
      <c r="B126">
        <f>IF(ISNA(MATCH(117,'Transfer Engine'!$C$2:$C$679,0)),"",INDEX('Compliance Database'!$B$2:$B$679,MATCH(117,'Transfer Engine'!$C$2:$C$679,0)))</f>
        <v/>
      </c>
      <c r="C126">
        <f>IF(ISNA(MATCH(117,'Transfer Engine'!$C$2:$C$679,0)),"",INDEX('Compliance Database'!$C$2:$C$679,MATCH(117,'Transfer Engine'!$C$2:$C$679,0)))</f>
        <v/>
      </c>
      <c r="D126" s="8">
        <f>IF(ISNA(MATCH(117,'Transfer Engine'!$C$2:$C$679,0)),"",INDEX('Compliance Database'!$D$2:$D$679,MATCH(117,'Transfer Engine'!$C$2:$C$679,0)))</f>
        <v/>
      </c>
      <c r="E126">
        <f>IF(ISNA(MATCH(117,'Transfer Engine'!$C$2:$C$679,0)),"",INDEX('Compliance Database'!$E$2:$E$679,MATCH(117,'Transfer Engine'!$C$2:$C$679,0)))</f>
        <v/>
      </c>
      <c r="F126">
        <f>IF(ISNA(MATCH(117,'Transfer Engine'!$C$2:$C$679,0)),"",INDEX('Compliance Database'!$F$2:$F$679,MATCH(117,'Transfer Engine'!$C$2:$C$679,0)))</f>
        <v/>
      </c>
      <c r="G126">
        <f>IF(ISNA(MATCH(117,'Transfer Engine'!$C$2:$C$679,0)),"",INDEX('Compliance Database'!$G$2:$G$679,MATCH(117,'Transfer Engine'!$C$2:$C$679,0)))</f>
        <v/>
      </c>
      <c r="H126">
        <f>IF(ISNA(MATCH(117,'Transfer Engine'!$C$2:$C$679,0)),"",INDEX('Compliance Database'!$H$2:$H$679,MATCH(117,'Transfer Engine'!$C$2:$C$679,0)))</f>
        <v/>
      </c>
      <c r="I126" s="8">
        <f>IF(ISNA(MATCH(117,'Transfer Engine'!$C$2:$C$679,0)),"",INDEX('Compliance Database'!$I$2:$I$679,MATCH(117,'Transfer Engine'!$C$2:$C$679,0)))</f>
        <v/>
      </c>
      <c r="J126" s="8">
        <f>IF(ISNA(MATCH(117,'Transfer Engine'!$C$2:$C$679,0)),"",INDEX('Compliance Database'!$J$2:$J$679,MATCH(117,'Transfer Engine'!$C$2:$C$679,0)))</f>
        <v/>
      </c>
      <c r="K126">
        <f>IF(ISNA(MATCH(117,'Transfer Engine'!$C$2:$C$679,0)),"",INDEX('Compliance Database'!$K$2:$K$679,MATCH(117,'Transfer Engine'!$C$2:$C$679,0)))</f>
        <v/>
      </c>
      <c r="L126" s="8">
        <f>IF(ISNA(MATCH(117,'Transfer Engine'!$C$2:$C$679,0)),"",INDEX('Compliance Database'!$L$2:$L$679,MATCH(117,'Transfer Engine'!$C$2:$C$679,0)))</f>
        <v/>
      </c>
      <c r="M126" s="8">
        <f>IF(ISNA(MATCH(117,'Transfer Engine'!$C$2:$C$679,0)),"",INDEX('Compliance Database'!$M$2:$M$679,MATCH(117,'Transfer Engine'!$C$2:$C$679,0)))</f>
        <v/>
      </c>
      <c r="N126" s="8">
        <f>IF(ISNA(MATCH(117,'Transfer Engine'!$C$2:$C$679,0)),"",INDEX('Compliance Database'!$N$2:$N$679,MATCH(117,'Transfer Engine'!$C$2:$C$679,0)))</f>
        <v/>
      </c>
      <c r="O126" s="8">
        <f>IF(ISNA(MATCH(117,'Transfer Engine'!$C$2:$C$679,0)),"",INDEX('Compliance Database'!$O$2:$O$679,MATCH(117,'Transfer Engine'!$C$2:$C$679,0)))</f>
        <v/>
      </c>
      <c r="P126">
        <f>IF(ISNA(MATCH(117,'Transfer Engine'!$C$2:$C$679,0)),"",HYPERLINK(INDEX('Compliance Database'!$P$2:$P$679,MATCH(117,'Transfer Engine'!$C$2:$C$679,0)),"Open PDF"))</f>
        <v/>
      </c>
    </row>
    <row r="127">
      <c r="A127">
        <f>IF(ISNA(MATCH(118,'Transfer Engine'!$C$2:$C$679,0)),"",INDEX('Compliance Database'!$A$2:$A$679,MATCH(118,'Transfer Engine'!$C$2:$C$679,0)))</f>
        <v/>
      </c>
      <c r="B127">
        <f>IF(ISNA(MATCH(118,'Transfer Engine'!$C$2:$C$679,0)),"",INDEX('Compliance Database'!$B$2:$B$679,MATCH(118,'Transfer Engine'!$C$2:$C$679,0)))</f>
        <v/>
      </c>
      <c r="C127">
        <f>IF(ISNA(MATCH(118,'Transfer Engine'!$C$2:$C$679,0)),"",INDEX('Compliance Database'!$C$2:$C$679,MATCH(118,'Transfer Engine'!$C$2:$C$679,0)))</f>
        <v/>
      </c>
      <c r="D127" s="8">
        <f>IF(ISNA(MATCH(118,'Transfer Engine'!$C$2:$C$679,0)),"",INDEX('Compliance Database'!$D$2:$D$679,MATCH(118,'Transfer Engine'!$C$2:$C$679,0)))</f>
        <v/>
      </c>
      <c r="E127">
        <f>IF(ISNA(MATCH(118,'Transfer Engine'!$C$2:$C$679,0)),"",INDEX('Compliance Database'!$E$2:$E$679,MATCH(118,'Transfer Engine'!$C$2:$C$679,0)))</f>
        <v/>
      </c>
      <c r="F127">
        <f>IF(ISNA(MATCH(118,'Transfer Engine'!$C$2:$C$679,0)),"",INDEX('Compliance Database'!$F$2:$F$679,MATCH(118,'Transfer Engine'!$C$2:$C$679,0)))</f>
        <v/>
      </c>
      <c r="G127">
        <f>IF(ISNA(MATCH(118,'Transfer Engine'!$C$2:$C$679,0)),"",INDEX('Compliance Database'!$G$2:$G$679,MATCH(118,'Transfer Engine'!$C$2:$C$679,0)))</f>
        <v/>
      </c>
      <c r="H127">
        <f>IF(ISNA(MATCH(118,'Transfer Engine'!$C$2:$C$679,0)),"",INDEX('Compliance Database'!$H$2:$H$679,MATCH(118,'Transfer Engine'!$C$2:$C$679,0)))</f>
        <v/>
      </c>
      <c r="I127" s="8">
        <f>IF(ISNA(MATCH(118,'Transfer Engine'!$C$2:$C$679,0)),"",INDEX('Compliance Database'!$I$2:$I$679,MATCH(118,'Transfer Engine'!$C$2:$C$679,0)))</f>
        <v/>
      </c>
      <c r="J127" s="8">
        <f>IF(ISNA(MATCH(118,'Transfer Engine'!$C$2:$C$679,0)),"",INDEX('Compliance Database'!$J$2:$J$679,MATCH(118,'Transfer Engine'!$C$2:$C$679,0)))</f>
        <v/>
      </c>
      <c r="K127">
        <f>IF(ISNA(MATCH(118,'Transfer Engine'!$C$2:$C$679,0)),"",INDEX('Compliance Database'!$K$2:$K$679,MATCH(118,'Transfer Engine'!$C$2:$C$679,0)))</f>
        <v/>
      </c>
      <c r="L127" s="8">
        <f>IF(ISNA(MATCH(118,'Transfer Engine'!$C$2:$C$679,0)),"",INDEX('Compliance Database'!$L$2:$L$679,MATCH(118,'Transfer Engine'!$C$2:$C$679,0)))</f>
        <v/>
      </c>
      <c r="M127" s="8">
        <f>IF(ISNA(MATCH(118,'Transfer Engine'!$C$2:$C$679,0)),"",INDEX('Compliance Database'!$M$2:$M$679,MATCH(118,'Transfer Engine'!$C$2:$C$679,0)))</f>
        <v/>
      </c>
      <c r="N127" s="8">
        <f>IF(ISNA(MATCH(118,'Transfer Engine'!$C$2:$C$679,0)),"",INDEX('Compliance Database'!$N$2:$N$679,MATCH(118,'Transfer Engine'!$C$2:$C$679,0)))</f>
        <v/>
      </c>
      <c r="O127" s="8">
        <f>IF(ISNA(MATCH(118,'Transfer Engine'!$C$2:$C$679,0)),"",INDEX('Compliance Database'!$O$2:$O$679,MATCH(118,'Transfer Engine'!$C$2:$C$679,0)))</f>
        <v/>
      </c>
      <c r="P127">
        <f>IF(ISNA(MATCH(118,'Transfer Engine'!$C$2:$C$679,0)),"",HYPERLINK(INDEX('Compliance Database'!$P$2:$P$679,MATCH(118,'Transfer Engine'!$C$2:$C$679,0)),"Open PDF"))</f>
        <v/>
      </c>
    </row>
    <row r="128">
      <c r="A128">
        <f>IF(ISNA(MATCH(119,'Transfer Engine'!$C$2:$C$679,0)),"",INDEX('Compliance Database'!$A$2:$A$679,MATCH(119,'Transfer Engine'!$C$2:$C$679,0)))</f>
        <v/>
      </c>
      <c r="B128">
        <f>IF(ISNA(MATCH(119,'Transfer Engine'!$C$2:$C$679,0)),"",INDEX('Compliance Database'!$B$2:$B$679,MATCH(119,'Transfer Engine'!$C$2:$C$679,0)))</f>
        <v/>
      </c>
      <c r="C128">
        <f>IF(ISNA(MATCH(119,'Transfer Engine'!$C$2:$C$679,0)),"",INDEX('Compliance Database'!$C$2:$C$679,MATCH(119,'Transfer Engine'!$C$2:$C$679,0)))</f>
        <v/>
      </c>
      <c r="D128" s="8">
        <f>IF(ISNA(MATCH(119,'Transfer Engine'!$C$2:$C$679,0)),"",INDEX('Compliance Database'!$D$2:$D$679,MATCH(119,'Transfer Engine'!$C$2:$C$679,0)))</f>
        <v/>
      </c>
      <c r="E128">
        <f>IF(ISNA(MATCH(119,'Transfer Engine'!$C$2:$C$679,0)),"",INDEX('Compliance Database'!$E$2:$E$679,MATCH(119,'Transfer Engine'!$C$2:$C$679,0)))</f>
        <v/>
      </c>
      <c r="F128">
        <f>IF(ISNA(MATCH(119,'Transfer Engine'!$C$2:$C$679,0)),"",INDEX('Compliance Database'!$F$2:$F$679,MATCH(119,'Transfer Engine'!$C$2:$C$679,0)))</f>
        <v/>
      </c>
      <c r="G128">
        <f>IF(ISNA(MATCH(119,'Transfer Engine'!$C$2:$C$679,0)),"",INDEX('Compliance Database'!$G$2:$G$679,MATCH(119,'Transfer Engine'!$C$2:$C$679,0)))</f>
        <v/>
      </c>
      <c r="H128">
        <f>IF(ISNA(MATCH(119,'Transfer Engine'!$C$2:$C$679,0)),"",INDEX('Compliance Database'!$H$2:$H$679,MATCH(119,'Transfer Engine'!$C$2:$C$679,0)))</f>
        <v/>
      </c>
      <c r="I128" s="8">
        <f>IF(ISNA(MATCH(119,'Transfer Engine'!$C$2:$C$679,0)),"",INDEX('Compliance Database'!$I$2:$I$679,MATCH(119,'Transfer Engine'!$C$2:$C$679,0)))</f>
        <v/>
      </c>
      <c r="J128" s="8">
        <f>IF(ISNA(MATCH(119,'Transfer Engine'!$C$2:$C$679,0)),"",INDEX('Compliance Database'!$J$2:$J$679,MATCH(119,'Transfer Engine'!$C$2:$C$679,0)))</f>
        <v/>
      </c>
      <c r="K128">
        <f>IF(ISNA(MATCH(119,'Transfer Engine'!$C$2:$C$679,0)),"",INDEX('Compliance Database'!$K$2:$K$679,MATCH(119,'Transfer Engine'!$C$2:$C$679,0)))</f>
        <v/>
      </c>
      <c r="L128" s="8">
        <f>IF(ISNA(MATCH(119,'Transfer Engine'!$C$2:$C$679,0)),"",INDEX('Compliance Database'!$L$2:$L$679,MATCH(119,'Transfer Engine'!$C$2:$C$679,0)))</f>
        <v/>
      </c>
      <c r="M128" s="8">
        <f>IF(ISNA(MATCH(119,'Transfer Engine'!$C$2:$C$679,0)),"",INDEX('Compliance Database'!$M$2:$M$679,MATCH(119,'Transfer Engine'!$C$2:$C$679,0)))</f>
        <v/>
      </c>
      <c r="N128" s="8">
        <f>IF(ISNA(MATCH(119,'Transfer Engine'!$C$2:$C$679,0)),"",INDEX('Compliance Database'!$N$2:$N$679,MATCH(119,'Transfer Engine'!$C$2:$C$679,0)))</f>
        <v/>
      </c>
      <c r="O128" s="8">
        <f>IF(ISNA(MATCH(119,'Transfer Engine'!$C$2:$C$679,0)),"",INDEX('Compliance Database'!$O$2:$O$679,MATCH(119,'Transfer Engine'!$C$2:$C$679,0)))</f>
        <v/>
      </c>
      <c r="P128">
        <f>IF(ISNA(MATCH(119,'Transfer Engine'!$C$2:$C$679,0)),"",HYPERLINK(INDEX('Compliance Database'!$P$2:$P$679,MATCH(119,'Transfer Engine'!$C$2:$C$679,0)),"Open PDF"))</f>
        <v/>
      </c>
    </row>
    <row r="129">
      <c r="A129">
        <f>IF(ISNA(MATCH(120,'Transfer Engine'!$C$2:$C$679,0)),"",INDEX('Compliance Database'!$A$2:$A$679,MATCH(120,'Transfer Engine'!$C$2:$C$679,0)))</f>
        <v/>
      </c>
      <c r="B129">
        <f>IF(ISNA(MATCH(120,'Transfer Engine'!$C$2:$C$679,0)),"",INDEX('Compliance Database'!$B$2:$B$679,MATCH(120,'Transfer Engine'!$C$2:$C$679,0)))</f>
        <v/>
      </c>
      <c r="C129">
        <f>IF(ISNA(MATCH(120,'Transfer Engine'!$C$2:$C$679,0)),"",INDEX('Compliance Database'!$C$2:$C$679,MATCH(120,'Transfer Engine'!$C$2:$C$679,0)))</f>
        <v/>
      </c>
      <c r="D129" s="8">
        <f>IF(ISNA(MATCH(120,'Transfer Engine'!$C$2:$C$679,0)),"",INDEX('Compliance Database'!$D$2:$D$679,MATCH(120,'Transfer Engine'!$C$2:$C$679,0)))</f>
        <v/>
      </c>
      <c r="E129">
        <f>IF(ISNA(MATCH(120,'Transfer Engine'!$C$2:$C$679,0)),"",INDEX('Compliance Database'!$E$2:$E$679,MATCH(120,'Transfer Engine'!$C$2:$C$679,0)))</f>
        <v/>
      </c>
      <c r="F129">
        <f>IF(ISNA(MATCH(120,'Transfer Engine'!$C$2:$C$679,0)),"",INDEX('Compliance Database'!$F$2:$F$679,MATCH(120,'Transfer Engine'!$C$2:$C$679,0)))</f>
        <v/>
      </c>
      <c r="G129">
        <f>IF(ISNA(MATCH(120,'Transfer Engine'!$C$2:$C$679,0)),"",INDEX('Compliance Database'!$G$2:$G$679,MATCH(120,'Transfer Engine'!$C$2:$C$679,0)))</f>
        <v/>
      </c>
      <c r="H129">
        <f>IF(ISNA(MATCH(120,'Transfer Engine'!$C$2:$C$679,0)),"",INDEX('Compliance Database'!$H$2:$H$679,MATCH(120,'Transfer Engine'!$C$2:$C$679,0)))</f>
        <v/>
      </c>
      <c r="I129" s="8">
        <f>IF(ISNA(MATCH(120,'Transfer Engine'!$C$2:$C$679,0)),"",INDEX('Compliance Database'!$I$2:$I$679,MATCH(120,'Transfer Engine'!$C$2:$C$679,0)))</f>
        <v/>
      </c>
      <c r="J129" s="8">
        <f>IF(ISNA(MATCH(120,'Transfer Engine'!$C$2:$C$679,0)),"",INDEX('Compliance Database'!$J$2:$J$679,MATCH(120,'Transfer Engine'!$C$2:$C$679,0)))</f>
        <v/>
      </c>
      <c r="K129">
        <f>IF(ISNA(MATCH(120,'Transfer Engine'!$C$2:$C$679,0)),"",INDEX('Compliance Database'!$K$2:$K$679,MATCH(120,'Transfer Engine'!$C$2:$C$679,0)))</f>
        <v/>
      </c>
      <c r="L129" s="8">
        <f>IF(ISNA(MATCH(120,'Transfer Engine'!$C$2:$C$679,0)),"",INDEX('Compliance Database'!$L$2:$L$679,MATCH(120,'Transfer Engine'!$C$2:$C$679,0)))</f>
        <v/>
      </c>
      <c r="M129" s="8">
        <f>IF(ISNA(MATCH(120,'Transfer Engine'!$C$2:$C$679,0)),"",INDEX('Compliance Database'!$M$2:$M$679,MATCH(120,'Transfer Engine'!$C$2:$C$679,0)))</f>
        <v/>
      </c>
      <c r="N129" s="8">
        <f>IF(ISNA(MATCH(120,'Transfer Engine'!$C$2:$C$679,0)),"",INDEX('Compliance Database'!$N$2:$N$679,MATCH(120,'Transfer Engine'!$C$2:$C$679,0)))</f>
        <v/>
      </c>
      <c r="O129" s="8">
        <f>IF(ISNA(MATCH(120,'Transfer Engine'!$C$2:$C$679,0)),"",INDEX('Compliance Database'!$O$2:$O$679,MATCH(120,'Transfer Engine'!$C$2:$C$679,0)))</f>
        <v/>
      </c>
      <c r="P129">
        <f>IF(ISNA(MATCH(120,'Transfer Engine'!$C$2:$C$679,0)),"",HYPERLINK(INDEX('Compliance Database'!$P$2:$P$679,MATCH(120,'Transfer Engine'!$C$2:$C$679,0)),"Open PDF"))</f>
        <v/>
      </c>
    </row>
    <row r="130">
      <c r="A130">
        <f>IF(ISNA(MATCH(121,'Transfer Engine'!$C$2:$C$679,0)),"",INDEX('Compliance Database'!$A$2:$A$679,MATCH(121,'Transfer Engine'!$C$2:$C$679,0)))</f>
        <v/>
      </c>
      <c r="B130">
        <f>IF(ISNA(MATCH(121,'Transfer Engine'!$C$2:$C$679,0)),"",INDEX('Compliance Database'!$B$2:$B$679,MATCH(121,'Transfer Engine'!$C$2:$C$679,0)))</f>
        <v/>
      </c>
      <c r="C130">
        <f>IF(ISNA(MATCH(121,'Transfer Engine'!$C$2:$C$679,0)),"",INDEX('Compliance Database'!$C$2:$C$679,MATCH(121,'Transfer Engine'!$C$2:$C$679,0)))</f>
        <v/>
      </c>
      <c r="D130" s="8">
        <f>IF(ISNA(MATCH(121,'Transfer Engine'!$C$2:$C$679,0)),"",INDEX('Compliance Database'!$D$2:$D$679,MATCH(121,'Transfer Engine'!$C$2:$C$679,0)))</f>
        <v/>
      </c>
      <c r="E130">
        <f>IF(ISNA(MATCH(121,'Transfer Engine'!$C$2:$C$679,0)),"",INDEX('Compliance Database'!$E$2:$E$679,MATCH(121,'Transfer Engine'!$C$2:$C$679,0)))</f>
        <v/>
      </c>
      <c r="F130">
        <f>IF(ISNA(MATCH(121,'Transfer Engine'!$C$2:$C$679,0)),"",INDEX('Compliance Database'!$F$2:$F$679,MATCH(121,'Transfer Engine'!$C$2:$C$679,0)))</f>
        <v/>
      </c>
      <c r="G130">
        <f>IF(ISNA(MATCH(121,'Transfer Engine'!$C$2:$C$679,0)),"",INDEX('Compliance Database'!$G$2:$G$679,MATCH(121,'Transfer Engine'!$C$2:$C$679,0)))</f>
        <v/>
      </c>
      <c r="H130">
        <f>IF(ISNA(MATCH(121,'Transfer Engine'!$C$2:$C$679,0)),"",INDEX('Compliance Database'!$H$2:$H$679,MATCH(121,'Transfer Engine'!$C$2:$C$679,0)))</f>
        <v/>
      </c>
      <c r="I130" s="8">
        <f>IF(ISNA(MATCH(121,'Transfer Engine'!$C$2:$C$679,0)),"",INDEX('Compliance Database'!$I$2:$I$679,MATCH(121,'Transfer Engine'!$C$2:$C$679,0)))</f>
        <v/>
      </c>
      <c r="J130" s="8">
        <f>IF(ISNA(MATCH(121,'Transfer Engine'!$C$2:$C$679,0)),"",INDEX('Compliance Database'!$J$2:$J$679,MATCH(121,'Transfer Engine'!$C$2:$C$679,0)))</f>
        <v/>
      </c>
      <c r="K130">
        <f>IF(ISNA(MATCH(121,'Transfer Engine'!$C$2:$C$679,0)),"",INDEX('Compliance Database'!$K$2:$K$679,MATCH(121,'Transfer Engine'!$C$2:$C$679,0)))</f>
        <v/>
      </c>
      <c r="L130" s="8">
        <f>IF(ISNA(MATCH(121,'Transfer Engine'!$C$2:$C$679,0)),"",INDEX('Compliance Database'!$L$2:$L$679,MATCH(121,'Transfer Engine'!$C$2:$C$679,0)))</f>
        <v/>
      </c>
      <c r="M130" s="8">
        <f>IF(ISNA(MATCH(121,'Transfer Engine'!$C$2:$C$679,0)),"",INDEX('Compliance Database'!$M$2:$M$679,MATCH(121,'Transfer Engine'!$C$2:$C$679,0)))</f>
        <v/>
      </c>
      <c r="N130" s="8">
        <f>IF(ISNA(MATCH(121,'Transfer Engine'!$C$2:$C$679,0)),"",INDEX('Compliance Database'!$N$2:$N$679,MATCH(121,'Transfer Engine'!$C$2:$C$679,0)))</f>
        <v/>
      </c>
      <c r="O130" s="8">
        <f>IF(ISNA(MATCH(121,'Transfer Engine'!$C$2:$C$679,0)),"",INDEX('Compliance Database'!$O$2:$O$679,MATCH(121,'Transfer Engine'!$C$2:$C$679,0)))</f>
        <v/>
      </c>
      <c r="P130">
        <f>IF(ISNA(MATCH(121,'Transfer Engine'!$C$2:$C$679,0)),"",HYPERLINK(INDEX('Compliance Database'!$P$2:$P$679,MATCH(121,'Transfer Engine'!$C$2:$C$679,0)),"Open PDF"))</f>
        <v/>
      </c>
    </row>
    <row r="131">
      <c r="A131">
        <f>IF(ISNA(MATCH(122,'Transfer Engine'!$C$2:$C$679,0)),"",INDEX('Compliance Database'!$A$2:$A$679,MATCH(122,'Transfer Engine'!$C$2:$C$679,0)))</f>
        <v/>
      </c>
      <c r="B131">
        <f>IF(ISNA(MATCH(122,'Transfer Engine'!$C$2:$C$679,0)),"",INDEX('Compliance Database'!$B$2:$B$679,MATCH(122,'Transfer Engine'!$C$2:$C$679,0)))</f>
        <v/>
      </c>
      <c r="C131">
        <f>IF(ISNA(MATCH(122,'Transfer Engine'!$C$2:$C$679,0)),"",INDEX('Compliance Database'!$C$2:$C$679,MATCH(122,'Transfer Engine'!$C$2:$C$679,0)))</f>
        <v/>
      </c>
      <c r="D131" s="8">
        <f>IF(ISNA(MATCH(122,'Transfer Engine'!$C$2:$C$679,0)),"",INDEX('Compliance Database'!$D$2:$D$679,MATCH(122,'Transfer Engine'!$C$2:$C$679,0)))</f>
        <v/>
      </c>
      <c r="E131">
        <f>IF(ISNA(MATCH(122,'Transfer Engine'!$C$2:$C$679,0)),"",INDEX('Compliance Database'!$E$2:$E$679,MATCH(122,'Transfer Engine'!$C$2:$C$679,0)))</f>
        <v/>
      </c>
      <c r="F131">
        <f>IF(ISNA(MATCH(122,'Transfer Engine'!$C$2:$C$679,0)),"",INDEX('Compliance Database'!$F$2:$F$679,MATCH(122,'Transfer Engine'!$C$2:$C$679,0)))</f>
        <v/>
      </c>
      <c r="G131">
        <f>IF(ISNA(MATCH(122,'Transfer Engine'!$C$2:$C$679,0)),"",INDEX('Compliance Database'!$G$2:$G$679,MATCH(122,'Transfer Engine'!$C$2:$C$679,0)))</f>
        <v/>
      </c>
      <c r="H131">
        <f>IF(ISNA(MATCH(122,'Transfer Engine'!$C$2:$C$679,0)),"",INDEX('Compliance Database'!$H$2:$H$679,MATCH(122,'Transfer Engine'!$C$2:$C$679,0)))</f>
        <v/>
      </c>
      <c r="I131" s="8">
        <f>IF(ISNA(MATCH(122,'Transfer Engine'!$C$2:$C$679,0)),"",INDEX('Compliance Database'!$I$2:$I$679,MATCH(122,'Transfer Engine'!$C$2:$C$679,0)))</f>
        <v/>
      </c>
      <c r="J131" s="8">
        <f>IF(ISNA(MATCH(122,'Transfer Engine'!$C$2:$C$679,0)),"",INDEX('Compliance Database'!$J$2:$J$679,MATCH(122,'Transfer Engine'!$C$2:$C$679,0)))</f>
        <v/>
      </c>
      <c r="K131">
        <f>IF(ISNA(MATCH(122,'Transfer Engine'!$C$2:$C$679,0)),"",INDEX('Compliance Database'!$K$2:$K$679,MATCH(122,'Transfer Engine'!$C$2:$C$679,0)))</f>
        <v/>
      </c>
      <c r="L131" s="8">
        <f>IF(ISNA(MATCH(122,'Transfer Engine'!$C$2:$C$679,0)),"",INDEX('Compliance Database'!$L$2:$L$679,MATCH(122,'Transfer Engine'!$C$2:$C$679,0)))</f>
        <v/>
      </c>
      <c r="M131" s="8">
        <f>IF(ISNA(MATCH(122,'Transfer Engine'!$C$2:$C$679,0)),"",INDEX('Compliance Database'!$M$2:$M$679,MATCH(122,'Transfer Engine'!$C$2:$C$679,0)))</f>
        <v/>
      </c>
      <c r="N131" s="8">
        <f>IF(ISNA(MATCH(122,'Transfer Engine'!$C$2:$C$679,0)),"",INDEX('Compliance Database'!$N$2:$N$679,MATCH(122,'Transfer Engine'!$C$2:$C$679,0)))</f>
        <v/>
      </c>
      <c r="O131" s="8">
        <f>IF(ISNA(MATCH(122,'Transfer Engine'!$C$2:$C$679,0)),"",INDEX('Compliance Database'!$O$2:$O$679,MATCH(122,'Transfer Engine'!$C$2:$C$679,0)))</f>
        <v/>
      </c>
      <c r="P131">
        <f>IF(ISNA(MATCH(122,'Transfer Engine'!$C$2:$C$679,0)),"",HYPERLINK(INDEX('Compliance Database'!$P$2:$P$679,MATCH(122,'Transfer Engine'!$C$2:$C$679,0)),"Open PDF"))</f>
        <v/>
      </c>
    </row>
    <row r="132">
      <c r="A132">
        <f>IF(ISNA(MATCH(123,'Transfer Engine'!$C$2:$C$679,0)),"",INDEX('Compliance Database'!$A$2:$A$679,MATCH(123,'Transfer Engine'!$C$2:$C$679,0)))</f>
        <v/>
      </c>
      <c r="B132">
        <f>IF(ISNA(MATCH(123,'Transfer Engine'!$C$2:$C$679,0)),"",INDEX('Compliance Database'!$B$2:$B$679,MATCH(123,'Transfer Engine'!$C$2:$C$679,0)))</f>
        <v/>
      </c>
      <c r="C132">
        <f>IF(ISNA(MATCH(123,'Transfer Engine'!$C$2:$C$679,0)),"",INDEX('Compliance Database'!$C$2:$C$679,MATCH(123,'Transfer Engine'!$C$2:$C$679,0)))</f>
        <v/>
      </c>
      <c r="D132" s="8">
        <f>IF(ISNA(MATCH(123,'Transfer Engine'!$C$2:$C$679,0)),"",INDEX('Compliance Database'!$D$2:$D$679,MATCH(123,'Transfer Engine'!$C$2:$C$679,0)))</f>
        <v/>
      </c>
      <c r="E132">
        <f>IF(ISNA(MATCH(123,'Transfer Engine'!$C$2:$C$679,0)),"",INDEX('Compliance Database'!$E$2:$E$679,MATCH(123,'Transfer Engine'!$C$2:$C$679,0)))</f>
        <v/>
      </c>
      <c r="F132">
        <f>IF(ISNA(MATCH(123,'Transfer Engine'!$C$2:$C$679,0)),"",INDEX('Compliance Database'!$F$2:$F$679,MATCH(123,'Transfer Engine'!$C$2:$C$679,0)))</f>
        <v/>
      </c>
      <c r="G132">
        <f>IF(ISNA(MATCH(123,'Transfer Engine'!$C$2:$C$679,0)),"",INDEX('Compliance Database'!$G$2:$G$679,MATCH(123,'Transfer Engine'!$C$2:$C$679,0)))</f>
        <v/>
      </c>
      <c r="H132">
        <f>IF(ISNA(MATCH(123,'Transfer Engine'!$C$2:$C$679,0)),"",INDEX('Compliance Database'!$H$2:$H$679,MATCH(123,'Transfer Engine'!$C$2:$C$679,0)))</f>
        <v/>
      </c>
      <c r="I132" s="8">
        <f>IF(ISNA(MATCH(123,'Transfer Engine'!$C$2:$C$679,0)),"",INDEX('Compliance Database'!$I$2:$I$679,MATCH(123,'Transfer Engine'!$C$2:$C$679,0)))</f>
        <v/>
      </c>
      <c r="J132" s="8">
        <f>IF(ISNA(MATCH(123,'Transfer Engine'!$C$2:$C$679,0)),"",INDEX('Compliance Database'!$J$2:$J$679,MATCH(123,'Transfer Engine'!$C$2:$C$679,0)))</f>
        <v/>
      </c>
      <c r="K132">
        <f>IF(ISNA(MATCH(123,'Transfer Engine'!$C$2:$C$679,0)),"",INDEX('Compliance Database'!$K$2:$K$679,MATCH(123,'Transfer Engine'!$C$2:$C$679,0)))</f>
        <v/>
      </c>
      <c r="L132" s="8">
        <f>IF(ISNA(MATCH(123,'Transfer Engine'!$C$2:$C$679,0)),"",INDEX('Compliance Database'!$L$2:$L$679,MATCH(123,'Transfer Engine'!$C$2:$C$679,0)))</f>
        <v/>
      </c>
      <c r="M132" s="8">
        <f>IF(ISNA(MATCH(123,'Transfer Engine'!$C$2:$C$679,0)),"",INDEX('Compliance Database'!$M$2:$M$679,MATCH(123,'Transfer Engine'!$C$2:$C$679,0)))</f>
        <v/>
      </c>
      <c r="N132" s="8">
        <f>IF(ISNA(MATCH(123,'Transfer Engine'!$C$2:$C$679,0)),"",INDEX('Compliance Database'!$N$2:$N$679,MATCH(123,'Transfer Engine'!$C$2:$C$679,0)))</f>
        <v/>
      </c>
      <c r="O132" s="8">
        <f>IF(ISNA(MATCH(123,'Transfer Engine'!$C$2:$C$679,0)),"",INDEX('Compliance Database'!$O$2:$O$679,MATCH(123,'Transfer Engine'!$C$2:$C$679,0)))</f>
        <v/>
      </c>
      <c r="P132">
        <f>IF(ISNA(MATCH(123,'Transfer Engine'!$C$2:$C$679,0)),"",HYPERLINK(INDEX('Compliance Database'!$P$2:$P$679,MATCH(123,'Transfer Engine'!$C$2:$C$679,0)),"Open PDF"))</f>
        <v/>
      </c>
    </row>
    <row r="133">
      <c r="A133">
        <f>IF(ISNA(MATCH(124,'Transfer Engine'!$C$2:$C$679,0)),"",INDEX('Compliance Database'!$A$2:$A$679,MATCH(124,'Transfer Engine'!$C$2:$C$679,0)))</f>
        <v/>
      </c>
      <c r="B133">
        <f>IF(ISNA(MATCH(124,'Transfer Engine'!$C$2:$C$679,0)),"",INDEX('Compliance Database'!$B$2:$B$679,MATCH(124,'Transfer Engine'!$C$2:$C$679,0)))</f>
        <v/>
      </c>
      <c r="C133">
        <f>IF(ISNA(MATCH(124,'Transfer Engine'!$C$2:$C$679,0)),"",INDEX('Compliance Database'!$C$2:$C$679,MATCH(124,'Transfer Engine'!$C$2:$C$679,0)))</f>
        <v/>
      </c>
      <c r="D133" s="8">
        <f>IF(ISNA(MATCH(124,'Transfer Engine'!$C$2:$C$679,0)),"",INDEX('Compliance Database'!$D$2:$D$679,MATCH(124,'Transfer Engine'!$C$2:$C$679,0)))</f>
        <v/>
      </c>
      <c r="E133">
        <f>IF(ISNA(MATCH(124,'Transfer Engine'!$C$2:$C$679,0)),"",INDEX('Compliance Database'!$E$2:$E$679,MATCH(124,'Transfer Engine'!$C$2:$C$679,0)))</f>
        <v/>
      </c>
      <c r="F133">
        <f>IF(ISNA(MATCH(124,'Transfer Engine'!$C$2:$C$679,0)),"",INDEX('Compliance Database'!$F$2:$F$679,MATCH(124,'Transfer Engine'!$C$2:$C$679,0)))</f>
        <v/>
      </c>
      <c r="G133">
        <f>IF(ISNA(MATCH(124,'Transfer Engine'!$C$2:$C$679,0)),"",INDEX('Compliance Database'!$G$2:$G$679,MATCH(124,'Transfer Engine'!$C$2:$C$679,0)))</f>
        <v/>
      </c>
      <c r="H133">
        <f>IF(ISNA(MATCH(124,'Transfer Engine'!$C$2:$C$679,0)),"",INDEX('Compliance Database'!$H$2:$H$679,MATCH(124,'Transfer Engine'!$C$2:$C$679,0)))</f>
        <v/>
      </c>
      <c r="I133" s="8">
        <f>IF(ISNA(MATCH(124,'Transfer Engine'!$C$2:$C$679,0)),"",INDEX('Compliance Database'!$I$2:$I$679,MATCH(124,'Transfer Engine'!$C$2:$C$679,0)))</f>
        <v/>
      </c>
      <c r="J133" s="8">
        <f>IF(ISNA(MATCH(124,'Transfer Engine'!$C$2:$C$679,0)),"",INDEX('Compliance Database'!$J$2:$J$679,MATCH(124,'Transfer Engine'!$C$2:$C$679,0)))</f>
        <v/>
      </c>
      <c r="K133">
        <f>IF(ISNA(MATCH(124,'Transfer Engine'!$C$2:$C$679,0)),"",INDEX('Compliance Database'!$K$2:$K$679,MATCH(124,'Transfer Engine'!$C$2:$C$679,0)))</f>
        <v/>
      </c>
      <c r="L133" s="8">
        <f>IF(ISNA(MATCH(124,'Transfer Engine'!$C$2:$C$679,0)),"",INDEX('Compliance Database'!$L$2:$L$679,MATCH(124,'Transfer Engine'!$C$2:$C$679,0)))</f>
        <v/>
      </c>
      <c r="M133" s="8">
        <f>IF(ISNA(MATCH(124,'Transfer Engine'!$C$2:$C$679,0)),"",INDEX('Compliance Database'!$M$2:$M$679,MATCH(124,'Transfer Engine'!$C$2:$C$679,0)))</f>
        <v/>
      </c>
      <c r="N133" s="8">
        <f>IF(ISNA(MATCH(124,'Transfer Engine'!$C$2:$C$679,0)),"",INDEX('Compliance Database'!$N$2:$N$679,MATCH(124,'Transfer Engine'!$C$2:$C$679,0)))</f>
        <v/>
      </c>
      <c r="O133" s="8">
        <f>IF(ISNA(MATCH(124,'Transfer Engine'!$C$2:$C$679,0)),"",INDEX('Compliance Database'!$O$2:$O$679,MATCH(124,'Transfer Engine'!$C$2:$C$679,0)))</f>
        <v/>
      </c>
      <c r="P133">
        <f>IF(ISNA(MATCH(124,'Transfer Engine'!$C$2:$C$679,0)),"",HYPERLINK(INDEX('Compliance Database'!$P$2:$P$679,MATCH(124,'Transfer Engine'!$C$2:$C$679,0)),"Open PDF"))</f>
        <v/>
      </c>
    </row>
    <row r="134">
      <c r="A134">
        <f>IF(ISNA(MATCH(125,'Transfer Engine'!$C$2:$C$679,0)),"",INDEX('Compliance Database'!$A$2:$A$679,MATCH(125,'Transfer Engine'!$C$2:$C$679,0)))</f>
        <v/>
      </c>
      <c r="B134">
        <f>IF(ISNA(MATCH(125,'Transfer Engine'!$C$2:$C$679,0)),"",INDEX('Compliance Database'!$B$2:$B$679,MATCH(125,'Transfer Engine'!$C$2:$C$679,0)))</f>
        <v/>
      </c>
      <c r="C134">
        <f>IF(ISNA(MATCH(125,'Transfer Engine'!$C$2:$C$679,0)),"",INDEX('Compliance Database'!$C$2:$C$679,MATCH(125,'Transfer Engine'!$C$2:$C$679,0)))</f>
        <v/>
      </c>
      <c r="D134" s="8">
        <f>IF(ISNA(MATCH(125,'Transfer Engine'!$C$2:$C$679,0)),"",INDEX('Compliance Database'!$D$2:$D$679,MATCH(125,'Transfer Engine'!$C$2:$C$679,0)))</f>
        <v/>
      </c>
      <c r="E134">
        <f>IF(ISNA(MATCH(125,'Transfer Engine'!$C$2:$C$679,0)),"",INDEX('Compliance Database'!$E$2:$E$679,MATCH(125,'Transfer Engine'!$C$2:$C$679,0)))</f>
        <v/>
      </c>
      <c r="F134">
        <f>IF(ISNA(MATCH(125,'Transfer Engine'!$C$2:$C$679,0)),"",INDEX('Compliance Database'!$F$2:$F$679,MATCH(125,'Transfer Engine'!$C$2:$C$679,0)))</f>
        <v/>
      </c>
      <c r="G134">
        <f>IF(ISNA(MATCH(125,'Transfer Engine'!$C$2:$C$679,0)),"",INDEX('Compliance Database'!$G$2:$G$679,MATCH(125,'Transfer Engine'!$C$2:$C$679,0)))</f>
        <v/>
      </c>
      <c r="H134">
        <f>IF(ISNA(MATCH(125,'Transfer Engine'!$C$2:$C$679,0)),"",INDEX('Compliance Database'!$H$2:$H$679,MATCH(125,'Transfer Engine'!$C$2:$C$679,0)))</f>
        <v/>
      </c>
      <c r="I134" s="8">
        <f>IF(ISNA(MATCH(125,'Transfer Engine'!$C$2:$C$679,0)),"",INDEX('Compliance Database'!$I$2:$I$679,MATCH(125,'Transfer Engine'!$C$2:$C$679,0)))</f>
        <v/>
      </c>
      <c r="J134" s="8">
        <f>IF(ISNA(MATCH(125,'Transfer Engine'!$C$2:$C$679,0)),"",INDEX('Compliance Database'!$J$2:$J$679,MATCH(125,'Transfer Engine'!$C$2:$C$679,0)))</f>
        <v/>
      </c>
      <c r="K134">
        <f>IF(ISNA(MATCH(125,'Transfer Engine'!$C$2:$C$679,0)),"",INDEX('Compliance Database'!$K$2:$K$679,MATCH(125,'Transfer Engine'!$C$2:$C$679,0)))</f>
        <v/>
      </c>
      <c r="L134" s="8">
        <f>IF(ISNA(MATCH(125,'Transfer Engine'!$C$2:$C$679,0)),"",INDEX('Compliance Database'!$L$2:$L$679,MATCH(125,'Transfer Engine'!$C$2:$C$679,0)))</f>
        <v/>
      </c>
      <c r="M134" s="8">
        <f>IF(ISNA(MATCH(125,'Transfer Engine'!$C$2:$C$679,0)),"",INDEX('Compliance Database'!$M$2:$M$679,MATCH(125,'Transfer Engine'!$C$2:$C$679,0)))</f>
        <v/>
      </c>
      <c r="N134" s="8">
        <f>IF(ISNA(MATCH(125,'Transfer Engine'!$C$2:$C$679,0)),"",INDEX('Compliance Database'!$N$2:$N$679,MATCH(125,'Transfer Engine'!$C$2:$C$679,0)))</f>
        <v/>
      </c>
      <c r="O134" s="8">
        <f>IF(ISNA(MATCH(125,'Transfer Engine'!$C$2:$C$679,0)),"",INDEX('Compliance Database'!$O$2:$O$679,MATCH(125,'Transfer Engine'!$C$2:$C$679,0)))</f>
        <v/>
      </c>
      <c r="P134">
        <f>IF(ISNA(MATCH(125,'Transfer Engine'!$C$2:$C$679,0)),"",HYPERLINK(INDEX('Compliance Database'!$P$2:$P$679,MATCH(125,'Transfer Engine'!$C$2:$C$679,0)),"Open PDF"))</f>
        <v/>
      </c>
    </row>
    <row r="135">
      <c r="A135">
        <f>IF(ISNA(MATCH(126,'Transfer Engine'!$C$2:$C$679,0)),"",INDEX('Compliance Database'!$A$2:$A$679,MATCH(126,'Transfer Engine'!$C$2:$C$679,0)))</f>
        <v/>
      </c>
      <c r="B135">
        <f>IF(ISNA(MATCH(126,'Transfer Engine'!$C$2:$C$679,0)),"",INDEX('Compliance Database'!$B$2:$B$679,MATCH(126,'Transfer Engine'!$C$2:$C$679,0)))</f>
        <v/>
      </c>
      <c r="C135">
        <f>IF(ISNA(MATCH(126,'Transfer Engine'!$C$2:$C$679,0)),"",INDEX('Compliance Database'!$C$2:$C$679,MATCH(126,'Transfer Engine'!$C$2:$C$679,0)))</f>
        <v/>
      </c>
      <c r="D135" s="8">
        <f>IF(ISNA(MATCH(126,'Transfer Engine'!$C$2:$C$679,0)),"",INDEX('Compliance Database'!$D$2:$D$679,MATCH(126,'Transfer Engine'!$C$2:$C$679,0)))</f>
        <v/>
      </c>
      <c r="E135">
        <f>IF(ISNA(MATCH(126,'Transfer Engine'!$C$2:$C$679,0)),"",INDEX('Compliance Database'!$E$2:$E$679,MATCH(126,'Transfer Engine'!$C$2:$C$679,0)))</f>
        <v/>
      </c>
      <c r="F135">
        <f>IF(ISNA(MATCH(126,'Transfer Engine'!$C$2:$C$679,0)),"",INDEX('Compliance Database'!$F$2:$F$679,MATCH(126,'Transfer Engine'!$C$2:$C$679,0)))</f>
        <v/>
      </c>
      <c r="G135">
        <f>IF(ISNA(MATCH(126,'Transfer Engine'!$C$2:$C$679,0)),"",INDEX('Compliance Database'!$G$2:$G$679,MATCH(126,'Transfer Engine'!$C$2:$C$679,0)))</f>
        <v/>
      </c>
      <c r="H135">
        <f>IF(ISNA(MATCH(126,'Transfer Engine'!$C$2:$C$679,0)),"",INDEX('Compliance Database'!$H$2:$H$679,MATCH(126,'Transfer Engine'!$C$2:$C$679,0)))</f>
        <v/>
      </c>
      <c r="I135" s="8">
        <f>IF(ISNA(MATCH(126,'Transfer Engine'!$C$2:$C$679,0)),"",INDEX('Compliance Database'!$I$2:$I$679,MATCH(126,'Transfer Engine'!$C$2:$C$679,0)))</f>
        <v/>
      </c>
      <c r="J135" s="8">
        <f>IF(ISNA(MATCH(126,'Transfer Engine'!$C$2:$C$679,0)),"",INDEX('Compliance Database'!$J$2:$J$679,MATCH(126,'Transfer Engine'!$C$2:$C$679,0)))</f>
        <v/>
      </c>
      <c r="K135">
        <f>IF(ISNA(MATCH(126,'Transfer Engine'!$C$2:$C$679,0)),"",INDEX('Compliance Database'!$K$2:$K$679,MATCH(126,'Transfer Engine'!$C$2:$C$679,0)))</f>
        <v/>
      </c>
      <c r="L135" s="8">
        <f>IF(ISNA(MATCH(126,'Transfer Engine'!$C$2:$C$679,0)),"",INDEX('Compliance Database'!$L$2:$L$679,MATCH(126,'Transfer Engine'!$C$2:$C$679,0)))</f>
        <v/>
      </c>
      <c r="M135" s="8">
        <f>IF(ISNA(MATCH(126,'Transfer Engine'!$C$2:$C$679,0)),"",INDEX('Compliance Database'!$M$2:$M$679,MATCH(126,'Transfer Engine'!$C$2:$C$679,0)))</f>
        <v/>
      </c>
      <c r="N135" s="8">
        <f>IF(ISNA(MATCH(126,'Transfer Engine'!$C$2:$C$679,0)),"",INDEX('Compliance Database'!$N$2:$N$679,MATCH(126,'Transfer Engine'!$C$2:$C$679,0)))</f>
        <v/>
      </c>
      <c r="O135" s="8">
        <f>IF(ISNA(MATCH(126,'Transfer Engine'!$C$2:$C$679,0)),"",INDEX('Compliance Database'!$O$2:$O$679,MATCH(126,'Transfer Engine'!$C$2:$C$679,0)))</f>
        <v/>
      </c>
      <c r="P135">
        <f>IF(ISNA(MATCH(126,'Transfer Engine'!$C$2:$C$679,0)),"",HYPERLINK(INDEX('Compliance Database'!$P$2:$P$679,MATCH(126,'Transfer Engine'!$C$2:$C$679,0)),"Open PDF"))</f>
        <v/>
      </c>
    </row>
    <row r="136">
      <c r="A136">
        <f>IF(ISNA(MATCH(127,'Transfer Engine'!$C$2:$C$679,0)),"",INDEX('Compliance Database'!$A$2:$A$679,MATCH(127,'Transfer Engine'!$C$2:$C$679,0)))</f>
        <v/>
      </c>
      <c r="B136">
        <f>IF(ISNA(MATCH(127,'Transfer Engine'!$C$2:$C$679,0)),"",INDEX('Compliance Database'!$B$2:$B$679,MATCH(127,'Transfer Engine'!$C$2:$C$679,0)))</f>
        <v/>
      </c>
      <c r="C136">
        <f>IF(ISNA(MATCH(127,'Transfer Engine'!$C$2:$C$679,0)),"",INDEX('Compliance Database'!$C$2:$C$679,MATCH(127,'Transfer Engine'!$C$2:$C$679,0)))</f>
        <v/>
      </c>
      <c r="D136" s="8">
        <f>IF(ISNA(MATCH(127,'Transfer Engine'!$C$2:$C$679,0)),"",INDEX('Compliance Database'!$D$2:$D$679,MATCH(127,'Transfer Engine'!$C$2:$C$679,0)))</f>
        <v/>
      </c>
      <c r="E136">
        <f>IF(ISNA(MATCH(127,'Transfer Engine'!$C$2:$C$679,0)),"",INDEX('Compliance Database'!$E$2:$E$679,MATCH(127,'Transfer Engine'!$C$2:$C$679,0)))</f>
        <v/>
      </c>
      <c r="F136">
        <f>IF(ISNA(MATCH(127,'Transfer Engine'!$C$2:$C$679,0)),"",INDEX('Compliance Database'!$F$2:$F$679,MATCH(127,'Transfer Engine'!$C$2:$C$679,0)))</f>
        <v/>
      </c>
      <c r="G136">
        <f>IF(ISNA(MATCH(127,'Transfer Engine'!$C$2:$C$679,0)),"",INDEX('Compliance Database'!$G$2:$G$679,MATCH(127,'Transfer Engine'!$C$2:$C$679,0)))</f>
        <v/>
      </c>
      <c r="H136">
        <f>IF(ISNA(MATCH(127,'Transfer Engine'!$C$2:$C$679,0)),"",INDEX('Compliance Database'!$H$2:$H$679,MATCH(127,'Transfer Engine'!$C$2:$C$679,0)))</f>
        <v/>
      </c>
      <c r="I136" s="8">
        <f>IF(ISNA(MATCH(127,'Transfer Engine'!$C$2:$C$679,0)),"",INDEX('Compliance Database'!$I$2:$I$679,MATCH(127,'Transfer Engine'!$C$2:$C$679,0)))</f>
        <v/>
      </c>
      <c r="J136" s="8">
        <f>IF(ISNA(MATCH(127,'Transfer Engine'!$C$2:$C$679,0)),"",INDEX('Compliance Database'!$J$2:$J$679,MATCH(127,'Transfer Engine'!$C$2:$C$679,0)))</f>
        <v/>
      </c>
      <c r="K136">
        <f>IF(ISNA(MATCH(127,'Transfer Engine'!$C$2:$C$679,0)),"",INDEX('Compliance Database'!$K$2:$K$679,MATCH(127,'Transfer Engine'!$C$2:$C$679,0)))</f>
        <v/>
      </c>
      <c r="L136" s="8">
        <f>IF(ISNA(MATCH(127,'Transfer Engine'!$C$2:$C$679,0)),"",INDEX('Compliance Database'!$L$2:$L$679,MATCH(127,'Transfer Engine'!$C$2:$C$679,0)))</f>
        <v/>
      </c>
      <c r="M136" s="8">
        <f>IF(ISNA(MATCH(127,'Transfer Engine'!$C$2:$C$679,0)),"",INDEX('Compliance Database'!$M$2:$M$679,MATCH(127,'Transfer Engine'!$C$2:$C$679,0)))</f>
        <v/>
      </c>
      <c r="N136" s="8">
        <f>IF(ISNA(MATCH(127,'Transfer Engine'!$C$2:$C$679,0)),"",INDEX('Compliance Database'!$N$2:$N$679,MATCH(127,'Transfer Engine'!$C$2:$C$679,0)))</f>
        <v/>
      </c>
      <c r="O136" s="8">
        <f>IF(ISNA(MATCH(127,'Transfer Engine'!$C$2:$C$679,0)),"",INDEX('Compliance Database'!$O$2:$O$679,MATCH(127,'Transfer Engine'!$C$2:$C$679,0)))</f>
        <v/>
      </c>
      <c r="P136">
        <f>IF(ISNA(MATCH(127,'Transfer Engine'!$C$2:$C$679,0)),"",HYPERLINK(INDEX('Compliance Database'!$P$2:$P$679,MATCH(127,'Transfer Engine'!$C$2:$C$679,0)),"Open PDF"))</f>
        <v/>
      </c>
    </row>
    <row r="137">
      <c r="A137">
        <f>IF(ISNA(MATCH(128,'Transfer Engine'!$C$2:$C$679,0)),"",INDEX('Compliance Database'!$A$2:$A$679,MATCH(128,'Transfer Engine'!$C$2:$C$679,0)))</f>
        <v/>
      </c>
      <c r="B137">
        <f>IF(ISNA(MATCH(128,'Transfer Engine'!$C$2:$C$679,0)),"",INDEX('Compliance Database'!$B$2:$B$679,MATCH(128,'Transfer Engine'!$C$2:$C$679,0)))</f>
        <v/>
      </c>
      <c r="C137">
        <f>IF(ISNA(MATCH(128,'Transfer Engine'!$C$2:$C$679,0)),"",INDEX('Compliance Database'!$C$2:$C$679,MATCH(128,'Transfer Engine'!$C$2:$C$679,0)))</f>
        <v/>
      </c>
      <c r="D137" s="8">
        <f>IF(ISNA(MATCH(128,'Transfer Engine'!$C$2:$C$679,0)),"",INDEX('Compliance Database'!$D$2:$D$679,MATCH(128,'Transfer Engine'!$C$2:$C$679,0)))</f>
        <v/>
      </c>
      <c r="E137">
        <f>IF(ISNA(MATCH(128,'Transfer Engine'!$C$2:$C$679,0)),"",INDEX('Compliance Database'!$E$2:$E$679,MATCH(128,'Transfer Engine'!$C$2:$C$679,0)))</f>
        <v/>
      </c>
      <c r="F137">
        <f>IF(ISNA(MATCH(128,'Transfer Engine'!$C$2:$C$679,0)),"",INDEX('Compliance Database'!$F$2:$F$679,MATCH(128,'Transfer Engine'!$C$2:$C$679,0)))</f>
        <v/>
      </c>
      <c r="G137">
        <f>IF(ISNA(MATCH(128,'Transfer Engine'!$C$2:$C$679,0)),"",INDEX('Compliance Database'!$G$2:$G$679,MATCH(128,'Transfer Engine'!$C$2:$C$679,0)))</f>
        <v/>
      </c>
      <c r="H137">
        <f>IF(ISNA(MATCH(128,'Transfer Engine'!$C$2:$C$679,0)),"",INDEX('Compliance Database'!$H$2:$H$679,MATCH(128,'Transfer Engine'!$C$2:$C$679,0)))</f>
        <v/>
      </c>
      <c r="I137" s="8">
        <f>IF(ISNA(MATCH(128,'Transfer Engine'!$C$2:$C$679,0)),"",INDEX('Compliance Database'!$I$2:$I$679,MATCH(128,'Transfer Engine'!$C$2:$C$679,0)))</f>
        <v/>
      </c>
      <c r="J137" s="8">
        <f>IF(ISNA(MATCH(128,'Transfer Engine'!$C$2:$C$679,0)),"",INDEX('Compliance Database'!$J$2:$J$679,MATCH(128,'Transfer Engine'!$C$2:$C$679,0)))</f>
        <v/>
      </c>
      <c r="K137">
        <f>IF(ISNA(MATCH(128,'Transfer Engine'!$C$2:$C$679,0)),"",INDEX('Compliance Database'!$K$2:$K$679,MATCH(128,'Transfer Engine'!$C$2:$C$679,0)))</f>
        <v/>
      </c>
      <c r="L137" s="8">
        <f>IF(ISNA(MATCH(128,'Transfer Engine'!$C$2:$C$679,0)),"",INDEX('Compliance Database'!$L$2:$L$679,MATCH(128,'Transfer Engine'!$C$2:$C$679,0)))</f>
        <v/>
      </c>
      <c r="M137" s="8">
        <f>IF(ISNA(MATCH(128,'Transfer Engine'!$C$2:$C$679,0)),"",INDEX('Compliance Database'!$M$2:$M$679,MATCH(128,'Transfer Engine'!$C$2:$C$679,0)))</f>
        <v/>
      </c>
      <c r="N137" s="8">
        <f>IF(ISNA(MATCH(128,'Transfer Engine'!$C$2:$C$679,0)),"",INDEX('Compliance Database'!$N$2:$N$679,MATCH(128,'Transfer Engine'!$C$2:$C$679,0)))</f>
        <v/>
      </c>
      <c r="O137" s="8">
        <f>IF(ISNA(MATCH(128,'Transfer Engine'!$C$2:$C$679,0)),"",INDEX('Compliance Database'!$O$2:$O$679,MATCH(128,'Transfer Engine'!$C$2:$C$679,0)))</f>
        <v/>
      </c>
      <c r="P137">
        <f>IF(ISNA(MATCH(128,'Transfer Engine'!$C$2:$C$679,0)),"",HYPERLINK(INDEX('Compliance Database'!$P$2:$P$679,MATCH(128,'Transfer Engine'!$C$2:$C$679,0)),"Open PDF"))</f>
        <v/>
      </c>
    </row>
    <row r="138">
      <c r="A138">
        <f>IF(ISNA(MATCH(129,'Transfer Engine'!$C$2:$C$679,0)),"",INDEX('Compliance Database'!$A$2:$A$679,MATCH(129,'Transfer Engine'!$C$2:$C$679,0)))</f>
        <v/>
      </c>
      <c r="B138">
        <f>IF(ISNA(MATCH(129,'Transfer Engine'!$C$2:$C$679,0)),"",INDEX('Compliance Database'!$B$2:$B$679,MATCH(129,'Transfer Engine'!$C$2:$C$679,0)))</f>
        <v/>
      </c>
      <c r="C138">
        <f>IF(ISNA(MATCH(129,'Transfer Engine'!$C$2:$C$679,0)),"",INDEX('Compliance Database'!$C$2:$C$679,MATCH(129,'Transfer Engine'!$C$2:$C$679,0)))</f>
        <v/>
      </c>
      <c r="D138" s="8">
        <f>IF(ISNA(MATCH(129,'Transfer Engine'!$C$2:$C$679,0)),"",INDEX('Compliance Database'!$D$2:$D$679,MATCH(129,'Transfer Engine'!$C$2:$C$679,0)))</f>
        <v/>
      </c>
      <c r="E138">
        <f>IF(ISNA(MATCH(129,'Transfer Engine'!$C$2:$C$679,0)),"",INDEX('Compliance Database'!$E$2:$E$679,MATCH(129,'Transfer Engine'!$C$2:$C$679,0)))</f>
        <v/>
      </c>
      <c r="F138">
        <f>IF(ISNA(MATCH(129,'Transfer Engine'!$C$2:$C$679,0)),"",INDEX('Compliance Database'!$F$2:$F$679,MATCH(129,'Transfer Engine'!$C$2:$C$679,0)))</f>
        <v/>
      </c>
      <c r="G138">
        <f>IF(ISNA(MATCH(129,'Transfer Engine'!$C$2:$C$679,0)),"",INDEX('Compliance Database'!$G$2:$G$679,MATCH(129,'Transfer Engine'!$C$2:$C$679,0)))</f>
        <v/>
      </c>
      <c r="H138">
        <f>IF(ISNA(MATCH(129,'Transfer Engine'!$C$2:$C$679,0)),"",INDEX('Compliance Database'!$H$2:$H$679,MATCH(129,'Transfer Engine'!$C$2:$C$679,0)))</f>
        <v/>
      </c>
      <c r="I138" s="8">
        <f>IF(ISNA(MATCH(129,'Transfer Engine'!$C$2:$C$679,0)),"",INDEX('Compliance Database'!$I$2:$I$679,MATCH(129,'Transfer Engine'!$C$2:$C$679,0)))</f>
        <v/>
      </c>
      <c r="J138" s="8">
        <f>IF(ISNA(MATCH(129,'Transfer Engine'!$C$2:$C$679,0)),"",INDEX('Compliance Database'!$J$2:$J$679,MATCH(129,'Transfer Engine'!$C$2:$C$679,0)))</f>
        <v/>
      </c>
      <c r="K138">
        <f>IF(ISNA(MATCH(129,'Transfer Engine'!$C$2:$C$679,0)),"",INDEX('Compliance Database'!$K$2:$K$679,MATCH(129,'Transfer Engine'!$C$2:$C$679,0)))</f>
        <v/>
      </c>
      <c r="L138" s="8">
        <f>IF(ISNA(MATCH(129,'Transfer Engine'!$C$2:$C$679,0)),"",INDEX('Compliance Database'!$L$2:$L$679,MATCH(129,'Transfer Engine'!$C$2:$C$679,0)))</f>
        <v/>
      </c>
      <c r="M138" s="8">
        <f>IF(ISNA(MATCH(129,'Transfer Engine'!$C$2:$C$679,0)),"",INDEX('Compliance Database'!$M$2:$M$679,MATCH(129,'Transfer Engine'!$C$2:$C$679,0)))</f>
        <v/>
      </c>
      <c r="N138" s="8">
        <f>IF(ISNA(MATCH(129,'Transfer Engine'!$C$2:$C$679,0)),"",INDEX('Compliance Database'!$N$2:$N$679,MATCH(129,'Transfer Engine'!$C$2:$C$679,0)))</f>
        <v/>
      </c>
      <c r="O138" s="8">
        <f>IF(ISNA(MATCH(129,'Transfer Engine'!$C$2:$C$679,0)),"",INDEX('Compliance Database'!$O$2:$O$679,MATCH(129,'Transfer Engine'!$C$2:$C$679,0)))</f>
        <v/>
      </c>
      <c r="P138">
        <f>IF(ISNA(MATCH(129,'Transfer Engine'!$C$2:$C$679,0)),"",HYPERLINK(INDEX('Compliance Database'!$P$2:$P$679,MATCH(129,'Transfer Engine'!$C$2:$C$679,0)),"Open PDF"))</f>
        <v/>
      </c>
    </row>
    <row r="139">
      <c r="A139">
        <f>IF(ISNA(MATCH(130,'Transfer Engine'!$C$2:$C$679,0)),"",INDEX('Compliance Database'!$A$2:$A$679,MATCH(130,'Transfer Engine'!$C$2:$C$679,0)))</f>
        <v/>
      </c>
      <c r="B139">
        <f>IF(ISNA(MATCH(130,'Transfer Engine'!$C$2:$C$679,0)),"",INDEX('Compliance Database'!$B$2:$B$679,MATCH(130,'Transfer Engine'!$C$2:$C$679,0)))</f>
        <v/>
      </c>
      <c r="C139">
        <f>IF(ISNA(MATCH(130,'Transfer Engine'!$C$2:$C$679,0)),"",INDEX('Compliance Database'!$C$2:$C$679,MATCH(130,'Transfer Engine'!$C$2:$C$679,0)))</f>
        <v/>
      </c>
      <c r="D139" s="8">
        <f>IF(ISNA(MATCH(130,'Transfer Engine'!$C$2:$C$679,0)),"",INDEX('Compliance Database'!$D$2:$D$679,MATCH(130,'Transfer Engine'!$C$2:$C$679,0)))</f>
        <v/>
      </c>
      <c r="E139">
        <f>IF(ISNA(MATCH(130,'Transfer Engine'!$C$2:$C$679,0)),"",INDEX('Compliance Database'!$E$2:$E$679,MATCH(130,'Transfer Engine'!$C$2:$C$679,0)))</f>
        <v/>
      </c>
      <c r="F139">
        <f>IF(ISNA(MATCH(130,'Transfer Engine'!$C$2:$C$679,0)),"",INDEX('Compliance Database'!$F$2:$F$679,MATCH(130,'Transfer Engine'!$C$2:$C$679,0)))</f>
        <v/>
      </c>
      <c r="G139">
        <f>IF(ISNA(MATCH(130,'Transfer Engine'!$C$2:$C$679,0)),"",INDEX('Compliance Database'!$G$2:$G$679,MATCH(130,'Transfer Engine'!$C$2:$C$679,0)))</f>
        <v/>
      </c>
      <c r="H139">
        <f>IF(ISNA(MATCH(130,'Transfer Engine'!$C$2:$C$679,0)),"",INDEX('Compliance Database'!$H$2:$H$679,MATCH(130,'Transfer Engine'!$C$2:$C$679,0)))</f>
        <v/>
      </c>
      <c r="I139" s="8">
        <f>IF(ISNA(MATCH(130,'Transfer Engine'!$C$2:$C$679,0)),"",INDEX('Compliance Database'!$I$2:$I$679,MATCH(130,'Transfer Engine'!$C$2:$C$679,0)))</f>
        <v/>
      </c>
      <c r="J139" s="8">
        <f>IF(ISNA(MATCH(130,'Transfer Engine'!$C$2:$C$679,0)),"",INDEX('Compliance Database'!$J$2:$J$679,MATCH(130,'Transfer Engine'!$C$2:$C$679,0)))</f>
        <v/>
      </c>
      <c r="K139">
        <f>IF(ISNA(MATCH(130,'Transfer Engine'!$C$2:$C$679,0)),"",INDEX('Compliance Database'!$K$2:$K$679,MATCH(130,'Transfer Engine'!$C$2:$C$679,0)))</f>
        <v/>
      </c>
      <c r="L139" s="8">
        <f>IF(ISNA(MATCH(130,'Transfer Engine'!$C$2:$C$679,0)),"",INDEX('Compliance Database'!$L$2:$L$679,MATCH(130,'Transfer Engine'!$C$2:$C$679,0)))</f>
        <v/>
      </c>
      <c r="M139" s="8">
        <f>IF(ISNA(MATCH(130,'Transfer Engine'!$C$2:$C$679,0)),"",INDEX('Compliance Database'!$M$2:$M$679,MATCH(130,'Transfer Engine'!$C$2:$C$679,0)))</f>
        <v/>
      </c>
      <c r="N139" s="8">
        <f>IF(ISNA(MATCH(130,'Transfer Engine'!$C$2:$C$679,0)),"",INDEX('Compliance Database'!$N$2:$N$679,MATCH(130,'Transfer Engine'!$C$2:$C$679,0)))</f>
        <v/>
      </c>
      <c r="O139" s="8">
        <f>IF(ISNA(MATCH(130,'Transfer Engine'!$C$2:$C$679,0)),"",INDEX('Compliance Database'!$O$2:$O$679,MATCH(130,'Transfer Engine'!$C$2:$C$679,0)))</f>
        <v/>
      </c>
      <c r="P139">
        <f>IF(ISNA(MATCH(130,'Transfer Engine'!$C$2:$C$679,0)),"",HYPERLINK(INDEX('Compliance Database'!$P$2:$P$679,MATCH(130,'Transfer Engine'!$C$2:$C$679,0)),"Open PDF"))</f>
        <v/>
      </c>
    </row>
    <row r="140">
      <c r="A140">
        <f>IF(ISNA(MATCH(131,'Transfer Engine'!$C$2:$C$679,0)),"",INDEX('Compliance Database'!$A$2:$A$679,MATCH(131,'Transfer Engine'!$C$2:$C$679,0)))</f>
        <v/>
      </c>
      <c r="B140">
        <f>IF(ISNA(MATCH(131,'Transfer Engine'!$C$2:$C$679,0)),"",INDEX('Compliance Database'!$B$2:$B$679,MATCH(131,'Transfer Engine'!$C$2:$C$679,0)))</f>
        <v/>
      </c>
      <c r="C140">
        <f>IF(ISNA(MATCH(131,'Transfer Engine'!$C$2:$C$679,0)),"",INDEX('Compliance Database'!$C$2:$C$679,MATCH(131,'Transfer Engine'!$C$2:$C$679,0)))</f>
        <v/>
      </c>
      <c r="D140" s="8">
        <f>IF(ISNA(MATCH(131,'Transfer Engine'!$C$2:$C$679,0)),"",INDEX('Compliance Database'!$D$2:$D$679,MATCH(131,'Transfer Engine'!$C$2:$C$679,0)))</f>
        <v/>
      </c>
      <c r="E140">
        <f>IF(ISNA(MATCH(131,'Transfer Engine'!$C$2:$C$679,0)),"",INDEX('Compliance Database'!$E$2:$E$679,MATCH(131,'Transfer Engine'!$C$2:$C$679,0)))</f>
        <v/>
      </c>
      <c r="F140">
        <f>IF(ISNA(MATCH(131,'Transfer Engine'!$C$2:$C$679,0)),"",INDEX('Compliance Database'!$F$2:$F$679,MATCH(131,'Transfer Engine'!$C$2:$C$679,0)))</f>
        <v/>
      </c>
      <c r="G140">
        <f>IF(ISNA(MATCH(131,'Transfer Engine'!$C$2:$C$679,0)),"",INDEX('Compliance Database'!$G$2:$G$679,MATCH(131,'Transfer Engine'!$C$2:$C$679,0)))</f>
        <v/>
      </c>
      <c r="H140">
        <f>IF(ISNA(MATCH(131,'Transfer Engine'!$C$2:$C$679,0)),"",INDEX('Compliance Database'!$H$2:$H$679,MATCH(131,'Transfer Engine'!$C$2:$C$679,0)))</f>
        <v/>
      </c>
      <c r="I140" s="8">
        <f>IF(ISNA(MATCH(131,'Transfer Engine'!$C$2:$C$679,0)),"",INDEX('Compliance Database'!$I$2:$I$679,MATCH(131,'Transfer Engine'!$C$2:$C$679,0)))</f>
        <v/>
      </c>
      <c r="J140" s="8">
        <f>IF(ISNA(MATCH(131,'Transfer Engine'!$C$2:$C$679,0)),"",INDEX('Compliance Database'!$J$2:$J$679,MATCH(131,'Transfer Engine'!$C$2:$C$679,0)))</f>
        <v/>
      </c>
      <c r="K140">
        <f>IF(ISNA(MATCH(131,'Transfer Engine'!$C$2:$C$679,0)),"",INDEX('Compliance Database'!$K$2:$K$679,MATCH(131,'Transfer Engine'!$C$2:$C$679,0)))</f>
        <v/>
      </c>
      <c r="L140" s="8">
        <f>IF(ISNA(MATCH(131,'Transfer Engine'!$C$2:$C$679,0)),"",INDEX('Compliance Database'!$L$2:$L$679,MATCH(131,'Transfer Engine'!$C$2:$C$679,0)))</f>
        <v/>
      </c>
      <c r="M140" s="8">
        <f>IF(ISNA(MATCH(131,'Transfer Engine'!$C$2:$C$679,0)),"",INDEX('Compliance Database'!$M$2:$M$679,MATCH(131,'Transfer Engine'!$C$2:$C$679,0)))</f>
        <v/>
      </c>
      <c r="N140" s="8">
        <f>IF(ISNA(MATCH(131,'Transfer Engine'!$C$2:$C$679,0)),"",INDEX('Compliance Database'!$N$2:$N$679,MATCH(131,'Transfer Engine'!$C$2:$C$679,0)))</f>
        <v/>
      </c>
      <c r="O140" s="8">
        <f>IF(ISNA(MATCH(131,'Transfer Engine'!$C$2:$C$679,0)),"",INDEX('Compliance Database'!$O$2:$O$679,MATCH(131,'Transfer Engine'!$C$2:$C$679,0)))</f>
        <v/>
      </c>
      <c r="P140">
        <f>IF(ISNA(MATCH(131,'Transfer Engine'!$C$2:$C$679,0)),"",HYPERLINK(INDEX('Compliance Database'!$P$2:$P$679,MATCH(131,'Transfer Engine'!$C$2:$C$679,0)),"Open PDF"))</f>
        <v/>
      </c>
    </row>
    <row r="141">
      <c r="A141">
        <f>IF(ISNA(MATCH(132,'Transfer Engine'!$C$2:$C$679,0)),"",INDEX('Compliance Database'!$A$2:$A$679,MATCH(132,'Transfer Engine'!$C$2:$C$679,0)))</f>
        <v/>
      </c>
      <c r="B141">
        <f>IF(ISNA(MATCH(132,'Transfer Engine'!$C$2:$C$679,0)),"",INDEX('Compliance Database'!$B$2:$B$679,MATCH(132,'Transfer Engine'!$C$2:$C$679,0)))</f>
        <v/>
      </c>
      <c r="C141">
        <f>IF(ISNA(MATCH(132,'Transfer Engine'!$C$2:$C$679,0)),"",INDEX('Compliance Database'!$C$2:$C$679,MATCH(132,'Transfer Engine'!$C$2:$C$679,0)))</f>
        <v/>
      </c>
      <c r="D141" s="8">
        <f>IF(ISNA(MATCH(132,'Transfer Engine'!$C$2:$C$679,0)),"",INDEX('Compliance Database'!$D$2:$D$679,MATCH(132,'Transfer Engine'!$C$2:$C$679,0)))</f>
        <v/>
      </c>
      <c r="E141">
        <f>IF(ISNA(MATCH(132,'Transfer Engine'!$C$2:$C$679,0)),"",INDEX('Compliance Database'!$E$2:$E$679,MATCH(132,'Transfer Engine'!$C$2:$C$679,0)))</f>
        <v/>
      </c>
      <c r="F141">
        <f>IF(ISNA(MATCH(132,'Transfer Engine'!$C$2:$C$679,0)),"",INDEX('Compliance Database'!$F$2:$F$679,MATCH(132,'Transfer Engine'!$C$2:$C$679,0)))</f>
        <v/>
      </c>
      <c r="G141">
        <f>IF(ISNA(MATCH(132,'Transfer Engine'!$C$2:$C$679,0)),"",INDEX('Compliance Database'!$G$2:$G$679,MATCH(132,'Transfer Engine'!$C$2:$C$679,0)))</f>
        <v/>
      </c>
      <c r="H141">
        <f>IF(ISNA(MATCH(132,'Transfer Engine'!$C$2:$C$679,0)),"",INDEX('Compliance Database'!$H$2:$H$679,MATCH(132,'Transfer Engine'!$C$2:$C$679,0)))</f>
        <v/>
      </c>
      <c r="I141" s="8">
        <f>IF(ISNA(MATCH(132,'Transfer Engine'!$C$2:$C$679,0)),"",INDEX('Compliance Database'!$I$2:$I$679,MATCH(132,'Transfer Engine'!$C$2:$C$679,0)))</f>
        <v/>
      </c>
      <c r="J141" s="8">
        <f>IF(ISNA(MATCH(132,'Transfer Engine'!$C$2:$C$679,0)),"",INDEX('Compliance Database'!$J$2:$J$679,MATCH(132,'Transfer Engine'!$C$2:$C$679,0)))</f>
        <v/>
      </c>
      <c r="K141">
        <f>IF(ISNA(MATCH(132,'Transfer Engine'!$C$2:$C$679,0)),"",INDEX('Compliance Database'!$K$2:$K$679,MATCH(132,'Transfer Engine'!$C$2:$C$679,0)))</f>
        <v/>
      </c>
      <c r="L141" s="8">
        <f>IF(ISNA(MATCH(132,'Transfer Engine'!$C$2:$C$679,0)),"",INDEX('Compliance Database'!$L$2:$L$679,MATCH(132,'Transfer Engine'!$C$2:$C$679,0)))</f>
        <v/>
      </c>
      <c r="M141" s="8">
        <f>IF(ISNA(MATCH(132,'Transfer Engine'!$C$2:$C$679,0)),"",INDEX('Compliance Database'!$M$2:$M$679,MATCH(132,'Transfer Engine'!$C$2:$C$679,0)))</f>
        <v/>
      </c>
      <c r="N141" s="8">
        <f>IF(ISNA(MATCH(132,'Transfer Engine'!$C$2:$C$679,0)),"",INDEX('Compliance Database'!$N$2:$N$679,MATCH(132,'Transfer Engine'!$C$2:$C$679,0)))</f>
        <v/>
      </c>
      <c r="O141" s="8">
        <f>IF(ISNA(MATCH(132,'Transfer Engine'!$C$2:$C$679,0)),"",INDEX('Compliance Database'!$O$2:$O$679,MATCH(132,'Transfer Engine'!$C$2:$C$679,0)))</f>
        <v/>
      </c>
      <c r="P141">
        <f>IF(ISNA(MATCH(132,'Transfer Engine'!$C$2:$C$679,0)),"",HYPERLINK(INDEX('Compliance Database'!$P$2:$P$679,MATCH(132,'Transfer Engine'!$C$2:$C$679,0)),"Open PDF"))</f>
        <v/>
      </c>
    </row>
    <row r="142">
      <c r="A142">
        <f>IF(ISNA(MATCH(133,'Transfer Engine'!$C$2:$C$679,0)),"",INDEX('Compliance Database'!$A$2:$A$679,MATCH(133,'Transfer Engine'!$C$2:$C$679,0)))</f>
        <v/>
      </c>
      <c r="B142">
        <f>IF(ISNA(MATCH(133,'Transfer Engine'!$C$2:$C$679,0)),"",INDEX('Compliance Database'!$B$2:$B$679,MATCH(133,'Transfer Engine'!$C$2:$C$679,0)))</f>
        <v/>
      </c>
      <c r="C142">
        <f>IF(ISNA(MATCH(133,'Transfer Engine'!$C$2:$C$679,0)),"",INDEX('Compliance Database'!$C$2:$C$679,MATCH(133,'Transfer Engine'!$C$2:$C$679,0)))</f>
        <v/>
      </c>
      <c r="D142" s="8">
        <f>IF(ISNA(MATCH(133,'Transfer Engine'!$C$2:$C$679,0)),"",INDEX('Compliance Database'!$D$2:$D$679,MATCH(133,'Transfer Engine'!$C$2:$C$679,0)))</f>
        <v/>
      </c>
      <c r="E142">
        <f>IF(ISNA(MATCH(133,'Transfer Engine'!$C$2:$C$679,0)),"",INDEX('Compliance Database'!$E$2:$E$679,MATCH(133,'Transfer Engine'!$C$2:$C$679,0)))</f>
        <v/>
      </c>
      <c r="F142">
        <f>IF(ISNA(MATCH(133,'Transfer Engine'!$C$2:$C$679,0)),"",INDEX('Compliance Database'!$F$2:$F$679,MATCH(133,'Transfer Engine'!$C$2:$C$679,0)))</f>
        <v/>
      </c>
      <c r="G142">
        <f>IF(ISNA(MATCH(133,'Transfer Engine'!$C$2:$C$679,0)),"",INDEX('Compliance Database'!$G$2:$G$679,MATCH(133,'Transfer Engine'!$C$2:$C$679,0)))</f>
        <v/>
      </c>
      <c r="H142">
        <f>IF(ISNA(MATCH(133,'Transfer Engine'!$C$2:$C$679,0)),"",INDEX('Compliance Database'!$H$2:$H$679,MATCH(133,'Transfer Engine'!$C$2:$C$679,0)))</f>
        <v/>
      </c>
      <c r="I142" s="8">
        <f>IF(ISNA(MATCH(133,'Transfer Engine'!$C$2:$C$679,0)),"",INDEX('Compliance Database'!$I$2:$I$679,MATCH(133,'Transfer Engine'!$C$2:$C$679,0)))</f>
        <v/>
      </c>
      <c r="J142" s="8">
        <f>IF(ISNA(MATCH(133,'Transfer Engine'!$C$2:$C$679,0)),"",INDEX('Compliance Database'!$J$2:$J$679,MATCH(133,'Transfer Engine'!$C$2:$C$679,0)))</f>
        <v/>
      </c>
      <c r="K142">
        <f>IF(ISNA(MATCH(133,'Transfer Engine'!$C$2:$C$679,0)),"",INDEX('Compliance Database'!$K$2:$K$679,MATCH(133,'Transfer Engine'!$C$2:$C$679,0)))</f>
        <v/>
      </c>
      <c r="L142" s="8">
        <f>IF(ISNA(MATCH(133,'Transfer Engine'!$C$2:$C$679,0)),"",INDEX('Compliance Database'!$L$2:$L$679,MATCH(133,'Transfer Engine'!$C$2:$C$679,0)))</f>
        <v/>
      </c>
      <c r="M142" s="8">
        <f>IF(ISNA(MATCH(133,'Transfer Engine'!$C$2:$C$679,0)),"",INDEX('Compliance Database'!$M$2:$M$679,MATCH(133,'Transfer Engine'!$C$2:$C$679,0)))</f>
        <v/>
      </c>
      <c r="N142" s="8">
        <f>IF(ISNA(MATCH(133,'Transfer Engine'!$C$2:$C$679,0)),"",INDEX('Compliance Database'!$N$2:$N$679,MATCH(133,'Transfer Engine'!$C$2:$C$679,0)))</f>
        <v/>
      </c>
      <c r="O142" s="8">
        <f>IF(ISNA(MATCH(133,'Transfer Engine'!$C$2:$C$679,0)),"",INDEX('Compliance Database'!$O$2:$O$679,MATCH(133,'Transfer Engine'!$C$2:$C$679,0)))</f>
        <v/>
      </c>
      <c r="P142">
        <f>IF(ISNA(MATCH(133,'Transfer Engine'!$C$2:$C$679,0)),"",HYPERLINK(INDEX('Compliance Database'!$P$2:$P$679,MATCH(133,'Transfer Engine'!$C$2:$C$679,0)),"Open PDF"))</f>
        <v/>
      </c>
    </row>
    <row r="143">
      <c r="A143">
        <f>IF(ISNA(MATCH(134,'Transfer Engine'!$C$2:$C$679,0)),"",INDEX('Compliance Database'!$A$2:$A$679,MATCH(134,'Transfer Engine'!$C$2:$C$679,0)))</f>
        <v/>
      </c>
      <c r="B143">
        <f>IF(ISNA(MATCH(134,'Transfer Engine'!$C$2:$C$679,0)),"",INDEX('Compliance Database'!$B$2:$B$679,MATCH(134,'Transfer Engine'!$C$2:$C$679,0)))</f>
        <v/>
      </c>
      <c r="C143">
        <f>IF(ISNA(MATCH(134,'Transfer Engine'!$C$2:$C$679,0)),"",INDEX('Compliance Database'!$C$2:$C$679,MATCH(134,'Transfer Engine'!$C$2:$C$679,0)))</f>
        <v/>
      </c>
      <c r="D143" s="8">
        <f>IF(ISNA(MATCH(134,'Transfer Engine'!$C$2:$C$679,0)),"",INDEX('Compliance Database'!$D$2:$D$679,MATCH(134,'Transfer Engine'!$C$2:$C$679,0)))</f>
        <v/>
      </c>
      <c r="E143">
        <f>IF(ISNA(MATCH(134,'Transfer Engine'!$C$2:$C$679,0)),"",INDEX('Compliance Database'!$E$2:$E$679,MATCH(134,'Transfer Engine'!$C$2:$C$679,0)))</f>
        <v/>
      </c>
      <c r="F143">
        <f>IF(ISNA(MATCH(134,'Transfer Engine'!$C$2:$C$679,0)),"",INDEX('Compliance Database'!$F$2:$F$679,MATCH(134,'Transfer Engine'!$C$2:$C$679,0)))</f>
        <v/>
      </c>
      <c r="G143">
        <f>IF(ISNA(MATCH(134,'Transfer Engine'!$C$2:$C$679,0)),"",INDEX('Compliance Database'!$G$2:$G$679,MATCH(134,'Transfer Engine'!$C$2:$C$679,0)))</f>
        <v/>
      </c>
      <c r="H143">
        <f>IF(ISNA(MATCH(134,'Transfer Engine'!$C$2:$C$679,0)),"",INDEX('Compliance Database'!$H$2:$H$679,MATCH(134,'Transfer Engine'!$C$2:$C$679,0)))</f>
        <v/>
      </c>
      <c r="I143" s="8">
        <f>IF(ISNA(MATCH(134,'Transfer Engine'!$C$2:$C$679,0)),"",INDEX('Compliance Database'!$I$2:$I$679,MATCH(134,'Transfer Engine'!$C$2:$C$679,0)))</f>
        <v/>
      </c>
      <c r="J143" s="8">
        <f>IF(ISNA(MATCH(134,'Transfer Engine'!$C$2:$C$679,0)),"",INDEX('Compliance Database'!$J$2:$J$679,MATCH(134,'Transfer Engine'!$C$2:$C$679,0)))</f>
        <v/>
      </c>
      <c r="K143">
        <f>IF(ISNA(MATCH(134,'Transfer Engine'!$C$2:$C$679,0)),"",INDEX('Compliance Database'!$K$2:$K$679,MATCH(134,'Transfer Engine'!$C$2:$C$679,0)))</f>
        <v/>
      </c>
      <c r="L143" s="8">
        <f>IF(ISNA(MATCH(134,'Transfer Engine'!$C$2:$C$679,0)),"",INDEX('Compliance Database'!$L$2:$L$679,MATCH(134,'Transfer Engine'!$C$2:$C$679,0)))</f>
        <v/>
      </c>
      <c r="M143" s="8">
        <f>IF(ISNA(MATCH(134,'Transfer Engine'!$C$2:$C$679,0)),"",INDEX('Compliance Database'!$M$2:$M$679,MATCH(134,'Transfer Engine'!$C$2:$C$679,0)))</f>
        <v/>
      </c>
      <c r="N143" s="8">
        <f>IF(ISNA(MATCH(134,'Transfer Engine'!$C$2:$C$679,0)),"",INDEX('Compliance Database'!$N$2:$N$679,MATCH(134,'Transfer Engine'!$C$2:$C$679,0)))</f>
        <v/>
      </c>
      <c r="O143" s="8">
        <f>IF(ISNA(MATCH(134,'Transfer Engine'!$C$2:$C$679,0)),"",INDEX('Compliance Database'!$O$2:$O$679,MATCH(134,'Transfer Engine'!$C$2:$C$679,0)))</f>
        <v/>
      </c>
      <c r="P143">
        <f>IF(ISNA(MATCH(134,'Transfer Engine'!$C$2:$C$679,0)),"",HYPERLINK(INDEX('Compliance Database'!$P$2:$P$679,MATCH(134,'Transfer Engine'!$C$2:$C$679,0)),"Open PDF"))</f>
        <v/>
      </c>
    </row>
    <row r="144">
      <c r="A144">
        <f>IF(ISNA(MATCH(135,'Transfer Engine'!$C$2:$C$679,0)),"",INDEX('Compliance Database'!$A$2:$A$679,MATCH(135,'Transfer Engine'!$C$2:$C$679,0)))</f>
        <v/>
      </c>
      <c r="B144">
        <f>IF(ISNA(MATCH(135,'Transfer Engine'!$C$2:$C$679,0)),"",INDEX('Compliance Database'!$B$2:$B$679,MATCH(135,'Transfer Engine'!$C$2:$C$679,0)))</f>
        <v/>
      </c>
      <c r="C144">
        <f>IF(ISNA(MATCH(135,'Transfer Engine'!$C$2:$C$679,0)),"",INDEX('Compliance Database'!$C$2:$C$679,MATCH(135,'Transfer Engine'!$C$2:$C$679,0)))</f>
        <v/>
      </c>
      <c r="D144" s="8">
        <f>IF(ISNA(MATCH(135,'Transfer Engine'!$C$2:$C$679,0)),"",INDEX('Compliance Database'!$D$2:$D$679,MATCH(135,'Transfer Engine'!$C$2:$C$679,0)))</f>
        <v/>
      </c>
      <c r="E144">
        <f>IF(ISNA(MATCH(135,'Transfer Engine'!$C$2:$C$679,0)),"",INDEX('Compliance Database'!$E$2:$E$679,MATCH(135,'Transfer Engine'!$C$2:$C$679,0)))</f>
        <v/>
      </c>
      <c r="F144">
        <f>IF(ISNA(MATCH(135,'Transfer Engine'!$C$2:$C$679,0)),"",INDEX('Compliance Database'!$F$2:$F$679,MATCH(135,'Transfer Engine'!$C$2:$C$679,0)))</f>
        <v/>
      </c>
      <c r="G144">
        <f>IF(ISNA(MATCH(135,'Transfer Engine'!$C$2:$C$679,0)),"",INDEX('Compliance Database'!$G$2:$G$679,MATCH(135,'Transfer Engine'!$C$2:$C$679,0)))</f>
        <v/>
      </c>
      <c r="H144">
        <f>IF(ISNA(MATCH(135,'Transfer Engine'!$C$2:$C$679,0)),"",INDEX('Compliance Database'!$H$2:$H$679,MATCH(135,'Transfer Engine'!$C$2:$C$679,0)))</f>
        <v/>
      </c>
      <c r="I144" s="8">
        <f>IF(ISNA(MATCH(135,'Transfer Engine'!$C$2:$C$679,0)),"",INDEX('Compliance Database'!$I$2:$I$679,MATCH(135,'Transfer Engine'!$C$2:$C$679,0)))</f>
        <v/>
      </c>
      <c r="J144" s="8">
        <f>IF(ISNA(MATCH(135,'Transfer Engine'!$C$2:$C$679,0)),"",INDEX('Compliance Database'!$J$2:$J$679,MATCH(135,'Transfer Engine'!$C$2:$C$679,0)))</f>
        <v/>
      </c>
      <c r="K144">
        <f>IF(ISNA(MATCH(135,'Transfer Engine'!$C$2:$C$679,0)),"",INDEX('Compliance Database'!$K$2:$K$679,MATCH(135,'Transfer Engine'!$C$2:$C$679,0)))</f>
        <v/>
      </c>
      <c r="L144" s="8">
        <f>IF(ISNA(MATCH(135,'Transfer Engine'!$C$2:$C$679,0)),"",INDEX('Compliance Database'!$L$2:$L$679,MATCH(135,'Transfer Engine'!$C$2:$C$679,0)))</f>
        <v/>
      </c>
      <c r="M144" s="8">
        <f>IF(ISNA(MATCH(135,'Transfer Engine'!$C$2:$C$679,0)),"",INDEX('Compliance Database'!$M$2:$M$679,MATCH(135,'Transfer Engine'!$C$2:$C$679,0)))</f>
        <v/>
      </c>
      <c r="N144" s="8">
        <f>IF(ISNA(MATCH(135,'Transfer Engine'!$C$2:$C$679,0)),"",INDEX('Compliance Database'!$N$2:$N$679,MATCH(135,'Transfer Engine'!$C$2:$C$679,0)))</f>
        <v/>
      </c>
      <c r="O144" s="8">
        <f>IF(ISNA(MATCH(135,'Transfer Engine'!$C$2:$C$679,0)),"",INDEX('Compliance Database'!$O$2:$O$679,MATCH(135,'Transfer Engine'!$C$2:$C$679,0)))</f>
        <v/>
      </c>
      <c r="P144">
        <f>IF(ISNA(MATCH(135,'Transfer Engine'!$C$2:$C$679,0)),"",HYPERLINK(INDEX('Compliance Database'!$P$2:$P$679,MATCH(135,'Transfer Engine'!$C$2:$C$679,0)),"Open PDF"))</f>
        <v/>
      </c>
    </row>
    <row r="145">
      <c r="A145">
        <f>IF(ISNA(MATCH(136,'Transfer Engine'!$C$2:$C$679,0)),"",INDEX('Compliance Database'!$A$2:$A$679,MATCH(136,'Transfer Engine'!$C$2:$C$679,0)))</f>
        <v/>
      </c>
      <c r="B145">
        <f>IF(ISNA(MATCH(136,'Transfer Engine'!$C$2:$C$679,0)),"",INDEX('Compliance Database'!$B$2:$B$679,MATCH(136,'Transfer Engine'!$C$2:$C$679,0)))</f>
        <v/>
      </c>
      <c r="C145">
        <f>IF(ISNA(MATCH(136,'Transfer Engine'!$C$2:$C$679,0)),"",INDEX('Compliance Database'!$C$2:$C$679,MATCH(136,'Transfer Engine'!$C$2:$C$679,0)))</f>
        <v/>
      </c>
      <c r="D145" s="8">
        <f>IF(ISNA(MATCH(136,'Transfer Engine'!$C$2:$C$679,0)),"",INDEX('Compliance Database'!$D$2:$D$679,MATCH(136,'Transfer Engine'!$C$2:$C$679,0)))</f>
        <v/>
      </c>
      <c r="E145">
        <f>IF(ISNA(MATCH(136,'Transfer Engine'!$C$2:$C$679,0)),"",INDEX('Compliance Database'!$E$2:$E$679,MATCH(136,'Transfer Engine'!$C$2:$C$679,0)))</f>
        <v/>
      </c>
      <c r="F145">
        <f>IF(ISNA(MATCH(136,'Transfer Engine'!$C$2:$C$679,0)),"",INDEX('Compliance Database'!$F$2:$F$679,MATCH(136,'Transfer Engine'!$C$2:$C$679,0)))</f>
        <v/>
      </c>
      <c r="G145">
        <f>IF(ISNA(MATCH(136,'Transfer Engine'!$C$2:$C$679,0)),"",INDEX('Compliance Database'!$G$2:$G$679,MATCH(136,'Transfer Engine'!$C$2:$C$679,0)))</f>
        <v/>
      </c>
      <c r="H145">
        <f>IF(ISNA(MATCH(136,'Transfer Engine'!$C$2:$C$679,0)),"",INDEX('Compliance Database'!$H$2:$H$679,MATCH(136,'Transfer Engine'!$C$2:$C$679,0)))</f>
        <v/>
      </c>
      <c r="I145" s="8">
        <f>IF(ISNA(MATCH(136,'Transfer Engine'!$C$2:$C$679,0)),"",INDEX('Compliance Database'!$I$2:$I$679,MATCH(136,'Transfer Engine'!$C$2:$C$679,0)))</f>
        <v/>
      </c>
      <c r="J145" s="8">
        <f>IF(ISNA(MATCH(136,'Transfer Engine'!$C$2:$C$679,0)),"",INDEX('Compliance Database'!$J$2:$J$679,MATCH(136,'Transfer Engine'!$C$2:$C$679,0)))</f>
        <v/>
      </c>
      <c r="K145">
        <f>IF(ISNA(MATCH(136,'Transfer Engine'!$C$2:$C$679,0)),"",INDEX('Compliance Database'!$K$2:$K$679,MATCH(136,'Transfer Engine'!$C$2:$C$679,0)))</f>
        <v/>
      </c>
      <c r="L145" s="8">
        <f>IF(ISNA(MATCH(136,'Transfer Engine'!$C$2:$C$679,0)),"",INDEX('Compliance Database'!$L$2:$L$679,MATCH(136,'Transfer Engine'!$C$2:$C$679,0)))</f>
        <v/>
      </c>
      <c r="M145" s="8">
        <f>IF(ISNA(MATCH(136,'Transfer Engine'!$C$2:$C$679,0)),"",INDEX('Compliance Database'!$M$2:$M$679,MATCH(136,'Transfer Engine'!$C$2:$C$679,0)))</f>
        <v/>
      </c>
      <c r="N145" s="8">
        <f>IF(ISNA(MATCH(136,'Transfer Engine'!$C$2:$C$679,0)),"",INDEX('Compliance Database'!$N$2:$N$679,MATCH(136,'Transfer Engine'!$C$2:$C$679,0)))</f>
        <v/>
      </c>
      <c r="O145" s="8">
        <f>IF(ISNA(MATCH(136,'Transfer Engine'!$C$2:$C$679,0)),"",INDEX('Compliance Database'!$O$2:$O$679,MATCH(136,'Transfer Engine'!$C$2:$C$679,0)))</f>
        <v/>
      </c>
      <c r="P145">
        <f>IF(ISNA(MATCH(136,'Transfer Engine'!$C$2:$C$679,0)),"",HYPERLINK(INDEX('Compliance Database'!$P$2:$P$679,MATCH(136,'Transfer Engine'!$C$2:$C$679,0)),"Open PDF"))</f>
        <v/>
      </c>
    </row>
    <row r="146">
      <c r="A146">
        <f>IF(ISNA(MATCH(137,'Transfer Engine'!$C$2:$C$679,0)),"",INDEX('Compliance Database'!$A$2:$A$679,MATCH(137,'Transfer Engine'!$C$2:$C$679,0)))</f>
        <v/>
      </c>
      <c r="B146">
        <f>IF(ISNA(MATCH(137,'Transfer Engine'!$C$2:$C$679,0)),"",INDEX('Compliance Database'!$B$2:$B$679,MATCH(137,'Transfer Engine'!$C$2:$C$679,0)))</f>
        <v/>
      </c>
      <c r="C146">
        <f>IF(ISNA(MATCH(137,'Transfer Engine'!$C$2:$C$679,0)),"",INDEX('Compliance Database'!$C$2:$C$679,MATCH(137,'Transfer Engine'!$C$2:$C$679,0)))</f>
        <v/>
      </c>
      <c r="D146" s="8">
        <f>IF(ISNA(MATCH(137,'Transfer Engine'!$C$2:$C$679,0)),"",INDEX('Compliance Database'!$D$2:$D$679,MATCH(137,'Transfer Engine'!$C$2:$C$679,0)))</f>
        <v/>
      </c>
      <c r="E146">
        <f>IF(ISNA(MATCH(137,'Transfer Engine'!$C$2:$C$679,0)),"",INDEX('Compliance Database'!$E$2:$E$679,MATCH(137,'Transfer Engine'!$C$2:$C$679,0)))</f>
        <v/>
      </c>
      <c r="F146">
        <f>IF(ISNA(MATCH(137,'Transfer Engine'!$C$2:$C$679,0)),"",INDEX('Compliance Database'!$F$2:$F$679,MATCH(137,'Transfer Engine'!$C$2:$C$679,0)))</f>
        <v/>
      </c>
      <c r="G146">
        <f>IF(ISNA(MATCH(137,'Transfer Engine'!$C$2:$C$679,0)),"",INDEX('Compliance Database'!$G$2:$G$679,MATCH(137,'Transfer Engine'!$C$2:$C$679,0)))</f>
        <v/>
      </c>
      <c r="H146">
        <f>IF(ISNA(MATCH(137,'Transfer Engine'!$C$2:$C$679,0)),"",INDEX('Compliance Database'!$H$2:$H$679,MATCH(137,'Transfer Engine'!$C$2:$C$679,0)))</f>
        <v/>
      </c>
      <c r="I146" s="8">
        <f>IF(ISNA(MATCH(137,'Transfer Engine'!$C$2:$C$679,0)),"",INDEX('Compliance Database'!$I$2:$I$679,MATCH(137,'Transfer Engine'!$C$2:$C$679,0)))</f>
        <v/>
      </c>
      <c r="J146" s="8">
        <f>IF(ISNA(MATCH(137,'Transfer Engine'!$C$2:$C$679,0)),"",INDEX('Compliance Database'!$J$2:$J$679,MATCH(137,'Transfer Engine'!$C$2:$C$679,0)))</f>
        <v/>
      </c>
      <c r="K146">
        <f>IF(ISNA(MATCH(137,'Transfer Engine'!$C$2:$C$679,0)),"",INDEX('Compliance Database'!$K$2:$K$679,MATCH(137,'Transfer Engine'!$C$2:$C$679,0)))</f>
        <v/>
      </c>
      <c r="L146" s="8">
        <f>IF(ISNA(MATCH(137,'Transfer Engine'!$C$2:$C$679,0)),"",INDEX('Compliance Database'!$L$2:$L$679,MATCH(137,'Transfer Engine'!$C$2:$C$679,0)))</f>
        <v/>
      </c>
      <c r="M146" s="8">
        <f>IF(ISNA(MATCH(137,'Transfer Engine'!$C$2:$C$679,0)),"",INDEX('Compliance Database'!$M$2:$M$679,MATCH(137,'Transfer Engine'!$C$2:$C$679,0)))</f>
        <v/>
      </c>
      <c r="N146" s="8">
        <f>IF(ISNA(MATCH(137,'Transfer Engine'!$C$2:$C$679,0)),"",INDEX('Compliance Database'!$N$2:$N$679,MATCH(137,'Transfer Engine'!$C$2:$C$679,0)))</f>
        <v/>
      </c>
      <c r="O146" s="8">
        <f>IF(ISNA(MATCH(137,'Transfer Engine'!$C$2:$C$679,0)),"",INDEX('Compliance Database'!$O$2:$O$679,MATCH(137,'Transfer Engine'!$C$2:$C$679,0)))</f>
        <v/>
      </c>
      <c r="P146">
        <f>IF(ISNA(MATCH(137,'Transfer Engine'!$C$2:$C$679,0)),"",HYPERLINK(INDEX('Compliance Database'!$P$2:$P$679,MATCH(137,'Transfer Engine'!$C$2:$C$679,0)),"Open PDF"))</f>
        <v/>
      </c>
    </row>
    <row r="147">
      <c r="A147">
        <f>IF(ISNA(MATCH(138,'Transfer Engine'!$C$2:$C$679,0)),"",INDEX('Compliance Database'!$A$2:$A$679,MATCH(138,'Transfer Engine'!$C$2:$C$679,0)))</f>
        <v/>
      </c>
      <c r="B147">
        <f>IF(ISNA(MATCH(138,'Transfer Engine'!$C$2:$C$679,0)),"",INDEX('Compliance Database'!$B$2:$B$679,MATCH(138,'Transfer Engine'!$C$2:$C$679,0)))</f>
        <v/>
      </c>
      <c r="C147">
        <f>IF(ISNA(MATCH(138,'Transfer Engine'!$C$2:$C$679,0)),"",INDEX('Compliance Database'!$C$2:$C$679,MATCH(138,'Transfer Engine'!$C$2:$C$679,0)))</f>
        <v/>
      </c>
      <c r="D147" s="8">
        <f>IF(ISNA(MATCH(138,'Transfer Engine'!$C$2:$C$679,0)),"",INDEX('Compliance Database'!$D$2:$D$679,MATCH(138,'Transfer Engine'!$C$2:$C$679,0)))</f>
        <v/>
      </c>
      <c r="E147">
        <f>IF(ISNA(MATCH(138,'Transfer Engine'!$C$2:$C$679,0)),"",INDEX('Compliance Database'!$E$2:$E$679,MATCH(138,'Transfer Engine'!$C$2:$C$679,0)))</f>
        <v/>
      </c>
      <c r="F147">
        <f>IF(ISNA(MATCH(138,'Transfer Engine'!$C$2:$C$679,0)),"",INDEX('Compliance Database'!$F$2:$F$679,MATCH(138,'Transfer Engine'!$C$2:$C$679,0)))</f>
        <v/>
      </c>
      <c r="G147">
        <f>IF(ISNA(MATCH(138,'Transfer Engine'!$C$2:$C$679,0)),"",INDEX('Compliance Database'!$G$2:$G$679,MATCH(138,'Transfer Engine'!$C$2:$C$679,0)))</f>
        <v/>
      </c>
      <c r="H147">
        <f>IF(ISNA(MATCH(138,'Transfer Engine'!$C$2:$C$679,0)),"",INDEX('Compliance Database'!$H$2:$H$679,MATCH(138,'Transfer Engine'!$C$2:$C$679,0)))</f>
        <v/>
      </c>
      <c r="I147" s="8">
        <f>IF(ISNA(MATCH(138,'Transfer Engine'!$C$2:$C$679,0)),"",INDEX('Compliance Database'!$I$2:$I$679,MATCH(138,'Transfer Engine'!$C$2:$C$679,0)))</f>
        <v/>
      </c>
      <c r="J147" s="8">
        <f>IF(ISNA(MATCH(138,'Transfer Engine'!$C$2:$C$679,0)),"",INDEX('Compliance Database'!$J$2:$J$679,MATCH(138,'Transfer Engine'!$C$2:$C$679,0)))</f>
        <v/>
      </c>
      <c r="K147">
        <f>IF(ISNA(MATCH(138,'Transfer Engine'!$C$2:$C$679,0)),"",INDEX('Compliance Database'!$K$2:$K$679,MATCH(138,'Transfer Engine'!$C$2:$C$679,0)))</f>
        <v/>
      </c>
      <c r="L147" s="8">
        <f>IF(ISNA(MATCH(138,'Transfer Engine'!$C$2:$C$679,0)),"",INDEX('Compliance Database'!$L$2:$L$679,MATCH(138,'Transfer Engine'!$C$2:$C$679,0)))</f>
        <v/>
      </c>
      <c r="M147" s="8">
        <f>IF(ISNA(MATCH(138,'Transfer Engine'!$C$2:$C$679,0)),"",INDEX('Compliance Database'!$M$2:$M$679,MATCH(138,'Transfer Engine'!$C$2:$C$679,0)))</f>
        <v/>
      </c>
      <c r="N147" s="8">
        <f>IF(ISNA(MATCH(138,'Transfer Engine'!$C$2:$C$679,0)),"",INDEX('Compliance Database'!$N$2:$N$679,MATCH(138,'Transfer Engine'!$C$2:$C$679,0)))</f>
        <v/>
      </c>
      <c r="O147" s="8">
        <f>IF(ISNA(MATCH(138,'Transfer Engine'!$C$2:$C$679,0)),"",INDEX('Compliance Database'!$O$2:$O$679,MATCH(138,'Transfer Engine'!$C$2:$C$679,0)))</f>
        <v/>
      </c>
      <c r="P147">
        <f>IF(ISNA(MATCH(138,'Transfer Engine'!$C$2:$C$679,0)),"",HYPERLINK(INDEX('Compliance Database'!$P$2:$P$679,MATCH(138,'Transfer Engine'!$C$2:$C$679,0)),"Open PDF"))</f>
        <v/>
      </c>
    </row>
    <row r="148">
      <c r="A148">
        <f>IF(ISNA(MATCH(139,'Transfer Engine'!$C$2:$C$679,0)),"",INDEX('Compliance Database'!$A$2:$A$679,MATCH(139,'Transfer Engine'!$C$2:$C$679,0)))</f>
        <v/>
      </c>
      <c r="B148">
        <f>IF(ISNA(MATCH(139,'Transfer Engine'!$C$2:$C$679,0)),"",INDEX('Compliance Database'!$B$2:$B$679,MATCH(139,'Transfer Engine'!$C$2:$C$679,0)))</f>
        <v/>
      </c>
      <c r="C148">
        <f>IF(ISNA(MATCH(139,'Transfer Engine'!$C$2:$C$679,0)),"",INDEX('Compliance Database'!$C$2:$C$679,MATCH(139,'Transfer Engine'!$C$2:$C$679,0)))</f>
        <v/>
      </c>
      <c r="D148" s="8">
        <f>IF(ISNA(MATCH(139,'Transfer Engine'!$C$2:$C$679,0)),"",INDEX('Compliance Database'!$D$2:$D$679,MATCH(139,'Transfer Engine'!$C$2:$C$679,0)))</f>
        <v/>
      </c>
      <c r="E148">
        <f>IF(ISNA(MATCH(139,'Transfer Engine'!$C$2:$C$679,0)),"",INDEX('Compliance Database'!$E$2:$E$679,MATCH(139,'Transfer Engine'!$C$2:$C$679,0)))</f>
        <v/>
      </c>
      <c r="F148">
        <f>IF(ISNA(MATCH(139,'Transfer Engine'!$C$2:$C$679,0)),"",INDEX('Compliance Database'!$F$2:$F$679,MATCH(139,'Transfer Engine'!$C$2:$C$679,0)))</f>
        <v/>
      </c>
      <c r="G148">
        <f>IF(ISNA(MATCH(139,'Transfer Engine'!$C$2:$C$679,0)),"",INDEX('Compliance Database'!$G$2:$G$679,MATCH(139,'Transfer Engine'!$C$2:$C$679,0)))</f>
        <v/>
      </c>
      <c r="H148">
        <f>IF(ISNA(MATCH(139,'Transfer Engine'!$C$2:$C$679,0)),"",INDEX('Compliance Database'!$H$2:$H$679,MATCH(139,'Transfer Engine'!$C$2:$C$679,0)))</f>
        <v/>
      </c>
      <c r="I148" s="8">
        <f>IF(ISNA(MATCH(139,'Transfer Engine'!$C$2:$C$679,0)),"",INDEX('Compliance Database'!$I$2:$I$679,MATCH(139,'Transfer Engine'!$C$2:$C$679,0)))</f>
        <v/>
      </c>
      <c r="J148" s="8">
        <f>IF(ISNA(MATCH(139,'Transfer Engine'!$C$2:$C$679,0)),"",INDEX('Compliance Database'!$J$2:$J$679,MATCH(139,'Transfer Engine'!$C$2:$C$679,0)))</f>
        <v/>
      </c>
      <c r="K148">
        <f>IF(ISNA(MATCH(139,'Transfer Engine'!$C$2:$C$679,0)),"",INDEX('Compliance Database'!$K$2:$K$679,MATCH(139,'Transfer Engine'!$C$2:$C$679,0)))</f>
        <v/>
      </c>
      <c r="L148" s="8">
        <f>IF(ISNA(MATCH(139,'Transfer Engine'!$C$2:$C$679,0)),"",INDEX('Compliance Database'!$L$2:$L$679,MATCH(139,'Transfer Engine'!$C$2:$C$679,0)))</f>
        <v/>
      </c>
      <c r="M148" s="8">
        <f>IF(ISNA(MATCH(139,'Transfer Engine'!$C$2:$C$679,0)),"",INDEX('Compliance Database'!$M$2:$M$679,MATCH(139,'Transfer Engine'!$C$2:$C$679,0)))</f>
        <v/>
      </c>
      <c r="N148" s="8">
        <f>IF(ISNA(MATCH(139,'Transfer Engine'!$C$2:$C$679,0)),"",INDEX('Compliance Database'!$N$2:$N$679,MATCH(139,'Transfer Engine'!$C$2:$C$679,0)))</f>
        <v/>
      </c>
      <c r="O148" s="8">
        <f>IF(ISNA(MATCH(139,'Transfer Engine'!$C$2:$C$679,0)),"",INDEX('Compliance Database'!$O$2:$O$679,MATCH(139,'Transfer Engine'!$C$2:$C$679,0)))</f>
        <v/>
      </c>
      <c r="P148">
        <f>IF(ISNA(MATCH(139,'Transfer Engine'!$C$2:$C$679,0)),"",HYPERLINK(INDEX('Compliance Database'!$P$2:$P$679,MATCH(139,'Transfer Engine'!$C$2:$C$679,0)),"Open PDF"))</f>
        <v/>
      </c>
    </row>
    <row r="149">
      <c r="A149">
        <f>IF(ISNA(MATCH(140,'Transfer Engine'!$C$2:$C$679,0)),"",INDEX('Compliance Database'!$A$2:$A$679,MATCH(140,'Transfer Engine'!$C$2:$C$679,0)))</f>
        <v/>
      </c>
      <c r="B149">
        <f>IF(ISNA(MATCH(140,'Transfer Engine'!$C$2:$C$679,0)),"",INDEX('Compliance Database'!$B$2:$B$679,MATCH(140,'Transfer Engine'!$C$2:$C$679,0)))</f>
        <v/>
      </c>
      <c r="C149">
        <f>IF(ISNA(MATCH(140,'Transfer Engine'!$C$2:$C$679,0)),"",INDEX('Compliance Database'!$C$2:$C$679,MATCH(140,'Transfer Engine'!$C$2:$C$679,0)))</f>
        <v/>
      </c>
      <c r="D149" s="8">
        <f>IF(ISNA(MATCH(140,'Transfer Engine'!$C$2:$C$679,0)),"",INDEX('Compliance Database'!$D$2:$D$679,MATCH(140,'Transfer Engine'!$C$2:$C$679,0)))</f>
        <v/>
      </c>
      <c r="E149">
        <f>IF(ISNA(MATCH(140,'Transfer Engine'!$C$2:$C$679,0)),"",INDEX('Compliance Database'!$E$2:$E$679,MATCH(140,'Transfer Engine'!$C$2:$C$679,0)))</f>
        <v/>
      </c>
      <c r="F149">
        <f>IF(ISNA(MATCH(140,'Transfer Engine'!$C$2:$C$679,0)),"",INDEX('Compliance Database'!$F$2:$F$679,MATCH(140,'Transfer Engine'!$C$2:$C$679,0)))</f>
        <v/>
      </c>
      <c r="G149">
        <f>IF(ISNA(MATCH(140,'Transfer Engine'!$C$2:$C$679,0)),"",INDEX('Compliance Database'!$G$2:$G$679,MATCH(140,'Transfer Engine'!$C$2:$C$679,0)))</f>
        <v/>
      </c>
      <c r="H149">
        <f>IF(ISNA(MATCH(140,'Transfer Engine'!$C$2:$C$679,0)),"",INDEX('Compliance Database'!$H$2:$H$679,MATCH(140,'Transfer Engine'!$C$2:$C$679,0)))</f>
        <v/>
      </c>
      <c r="I149" s="8">
        <f>IF(ISNA(MATCH(140,'Transfer Engine'!$C$2:$C$679,0)),"",INDEX('Compliance Database'!$I$2:$I$679,MATCH(140,'Transfer Engine'!$C$2:$C$679,0)))</f>
        <v/>
      </c>
      <c r="J149" s="8">
        <f>IF(ISNA(MATCH(140,'Transfer Engine'!$C$2:$C$679,0)),"",INDEX('Compliance Database'!$J$2:$J$679,MATCH(140,'Transfer Engine'!$C$2:$C$679,0)))</f>
        <v/>
      </c>
      <c r="K149">
        <f>IF(ISNA(MATCH(140,'Transfer Engine'!$C$2:$C$679,0)),"",INDEX('Compliance Database'!$K$2:$K$679,MATCH(140,'Transfer Engine'!$C$2:$C$679,0)))</f>
        <v/>
      </c>
      <c r="L149" s="8">
        <f>IF(ISNA(MATCH(140,'Transfer Engine'!$C$2:$C$679,0)),"",INDEX('Compliance Database'!$L$2:$L$679,MATCH(140,'Transfer Engine'!$C$2:$C$679,0)))</f>
        <v/>
      </c>
      <c r="M149" s="8">
        <f>IF(ISNA(MATCH(140,'Transfer Engine'!$C$2:$C$679,0)),"",INDEX('Compliance Database'!$M$2:$M$679,MATCH(140,'Transfer Engine'!$C$2:$C$679,0)))</f>
        <v/>
      </c>
      <c r="N149" s="8">
        <f>IF(ISNA(MATCH(140,'Transfer Engine'!$C$2:$C$679,0)),"",INDEX('Compliance Database'!$N$2:$N$679,MATCH(140,'Transfer Engine'!$C$2:$C$679,0)))</f>
        <v/>
      </c>
      <c r="O149" s="8">
        <f>IF(ISNA(MATCH(140,'Transfer Engine'!$C$2:$C$679,0)),"",INDEX('Compliance Database'!$O$2:$O$679,MATCH(140,'Transfer Engine'!$C$2:$C$679,0)))</f>
        <v/>
      </c>
      <c r="P149">
        <f>IF(ISNA(MATCH(140,'Transfer Engine'!$C$2:$C$679,0)),"",HYPERLINK(INDEX('Compliance Database'!$P$2:$P$679,MATCH(140,'Transfer Engine'!$C$2:$C$679,0)),"Open PDF"))</f>
        <v/>
      </c>
    </row>
    <row r="150">
      <c r="A150">
        <f>IF(ISNA(MATCH(141,'Transfer Engine'!$C$2:$C$679,0)),"",INDEX('Compliance Database'!$A$2:$A$679,MATCH(141,'Transfer Engine'!$C$2:$C$679,0)))</f>
        <v/>
      </c>
      <c r="B150">
        <f>IF(ISNA(MATCH(141,'Transfer Engine'!$C$2:$C$679,0)),"",INDEX('Compliance Database'!$B$2:$B$679,MATCH(141,'Transfer Engine'!$C$2:$C$679,0)))</f>
        <v/>
      </c>
      <c r="C150">
        <f>IF(ISNA(MATCH(141,'Transfer Engine'!$C$2:$C$679,0)),"",INDEX('Compliance Database'!$C$2:$C$679,MATCH(141,'Transfer Engine'!$C$2:$C$679,0)))</f>
        <v/>
      </c>
      <c r="D150" s="8">
        <f>IF(ISNA(MATCH(141,'Transfer Engine'!$C$2:$C$679,0)),"",INDEX('Compliance Database'!$D$2:$D$679,MATCH(141,'Transfer Engine'!$C$2:$C$679,0)))</f>
        <v/>
      </c>
      <c r="E150">
        <f>IF(ISNA(MATCH(141,'Transfer Engine'!$C$2:$C$679,0)),"",INDEX('Compliance Database'!$E$2:$E$679,MATCH(141,'Transfer Engine'!$C$2:$C$679,0)))</f>
        <v/>
      </c>
      <c r="F150">
        <f>IF(ISNA(MATCH(141,'Transfer Engine'!$C$2:$C$679,0)),"",INDEX('Compliance Database'!$F$2:$F$679,MATCH(141,'Transfer Engine'!$C$2:$C$679,0)))</f>
        <v/>
      </c>
      <c r="G150">
        <f>IF(ISNA(MATCH(141,'Transfer Engine'!$C$2:$C$679,0)),"",INDEX('Compliance Database'!$G$2:$G$679,MATCH(141,'Transfer Engine'!$C$2:$C$679,0)))</f>
        <v/>
      </c>
      <c r="H150">
        <f>IF(ISNA(MATCH(141,'Transfer Engine'!$C$2:$C$679,0)),"",INDEX('Compliance Database'!$H$2:$H$679,MATCH(141,'Transfer Engine'!$C$2:$C$679,0)))</f>
        <v/>
      </c>
      <c r="I150" s="8">
        <f>IF(ISNA(MATCH(141,'Transfer Engine'!$C$2:$C$679,0)),"",INDEX('Compliance Database'!$I$2:$I$679,MATCH(141,'Transfer Engine'!$C$2:$C$679,0)))</f>
        <v/>
      </c>
      <c r="J150" s="8">
        <f>IF(ISNA(MATCH(141,'Transfer Engine'!$C$2:$C$679,0)),"",INDEX('Compliance Database'!$J$2:$J$679,MATCH(141,'Transfer Engine'!$C$2:$C$679,0)))</f>
        <v/>
      </c>
      <c r="K150">
        <f>IF(ISNA(MATCH(141,'Transfer Engine'!$C$2:$C$679,0)),"",INDEX('Compliance Database'!$K$2:$K$679,MATCH(141,'Transfer Engine'!$C$2:$C$679,0)))</f>
        <v/>
      </c>
      <c r="L150" s="8">
        <f>IF(ISNA(MATCH(141,'Transfer Engine'!$C$2:$C$679,0)),"",INDEX('Compliance Database'!$L$2:$L$679,MATCH(141,'Transfer Engine'!$C$2:$C$679,0)))</f>
        <v/>
      </c>
      <c r="M150" s="8">
        <f>IF(ISNA(MATCH(141,'Transfer Engine'!$C$2:$C$679,0)),"",INDEX('Compliance Database'!$M$2:$M$679,MATCH(141,'Transfer Engine'!$C$2:$C$679,0)))</f>
        <v/>
      </c>
      <c r="N150" s="8">
        <f>IF(ISNA(MATCH(141,'Transfer Engine'!$C$2:$C$679,0)),"",INDEX('Compliance Database'!$N$2:$N$679,MATCH(141,'Transfer Engine'!$C$2:$C$679,0)))</f>
        <v/>
      </c>
      <c r="O150" s="8">
        <f>IF(ISNA(MATCH(141,'Transfer Engine'!$C$2:$C$679,0)),"",INDEX('Compliance Database'!$O$2:$O$679,MATCH(141,'Transfer Engine'!$C$2:$C$679,0)))</f>
        <v/>
      </c>
      <c r="P150">
        <f>IF(ISNA(MATCH(141,'Transfer Engine'!$C$2:$C$679,0)),"",HYPERLINK(INDEX('Compliance Database'!$P$2:$P$679,MATCH(141,'Transfer Engine'!$C$2:$C$679,0)),"Open PDF"))</f>
        <v/>
      </c>
    </row>
    <row r="151">
      <c r="A151">
        <f>IF(ISNA(MATCH(142,'Transfer Engine'!$C$2:$C$679,0)),"",INDEX('Compliance Database'!$A$2:$A$679,MATCH(142,'Transfer Engine'!$C$2:$C$679,0)))</f>
        <v/>
      </c>
      <c r="B151">
        <f>IF(ISNA(MATCH(142,'Transfer Engine'!$C$2:$C$679,0)),"",INDEX('Compliance Database'!$B$2:$B$679,MATCH(142,'Transfer Engine'!$C$2:$C$679,0)))</f>
        <v/>
      </c>
      <c r="C151">
        <f>IF(ISNA(MATCH(142,'Transfer Engine'!$C$2:$C$679,0)),"",INDEX('Compliance Database'!$C$2:$C$679,MATCH(142,'Transfer Engine'!$C$2:$C$679,0)))</f>
        <v/>
      </c>
      <c r="D151" s="8">
        <f>IF(ISNA(MATCH(142,'Transfer Engine'!$C$2:$C$679,0)),"",INDEX('Compliance Database'!$D$2:$D$679,MATCH(142,'Transfer Engine'!$C$2:$C$679,0)))</f>
        <v/>
      </c>
      <c r="E151">
        <f>IF(ISNA(MATCH(142,'Transfer Engine'!$C$2:$C$679,0)),"",INDEX('Compliance Database'!$E$2:$E$679,MATCH(142,'Transfer Engine'!$C$2:$C$679,0)))</f>
        <v/>
      </c>
      <c r="F151">
        <f>IF(ISNA(MATCH(142,'Transfer Engine'!$C$2:$C$679,0)),"",INDEX('Compliance Database'!$F$2:$F$679,MATCH(142,'Transfer Engine'!$C$2:$C$679,0)))</f>
        <v/>
      </c>
      <c r="G151">
        <f>IF(ISNA(MATCH(142,'Transfer Engine'!$C$2:$C$679,0)),"",INDEX('Compliance Database'!$G$2:$G$679,MATCH(142,'Transfer Engine'!$C$2:$C$679,0)))</f>
        <v/>
      </c>
      <c r="H151">
        <f>IF(ISNA(MATCH(142,'Transfer Engine'!$C$2:$C$679,0)),"",INDEX('Compliance Database'!$H$2:$H$679,MATCH(142,'Transfer Engine'!$C$2:$C$679,0)))</f>
        <v/>
      </c>
      <c r="I151" s="8">
        <f>IF(ISNA(MATCH(142,'Transfer Engine'!$C$2:$C$679,0)),"",INDEX('Compliance Database'!$I$2:$I$679,MATCH(142,'Transfer Engine'!$C$2:$C$679,0)))</f>
        <v/>
      </c>
      <c r="J151" s="8">
        <f>IF(ISNA(MATCH(142,'Transfer Engine'!$C$2:$C$679,0)),"",INDEX('Compliance Database'!$J$2:$J$679,MATCH(142,'Transfer Engine'!$C$2:$C$679,0)))</f>
        <v/>
      </c>
      <c r="K151">
        <f>IF(ISNA(MATCH(142,'Transfer Engine'!$C$2:$C$679,0)),"",INDEX('Compliance Database'!$K$2:$K$679,MATCH(142,'Transfer Engine'!$C$2:$C$679,0)))</f>
        <v/>
      </c>
      <c r="L151" s="8">
        <f>IF(ISNA(MATCH(142,'Transfer Engine'!$C$2:$C$679,0)),"",INDEX('Compliance Database'!$L$2:$L$679,MATCH(142,'Transfer Engine'!$C$2:$C$679,0)))</f>
        <v/>
      </c>
      <c r="M151" s="8">
        <f>IF(ISNA(MATCH(142,'Transfer Engine'!$C$2:$C$679,0)),"",INDEX('Compliance Database'!$M$2:$M$679,MATCH(142,'Transfer Engine'!$C$2:$C$679,0)))</f>
        <v/>
      </c>
      <c r="N151" s="8">
        <f>IF(ISNA(MATCH(142,'Transfer Engine'!$C$2:$C$679,0)),"",INDEX('Compliance Database'!$N$2:$N$679,MATCH(142,'Transfer Engine'!$C$2:$C$679,0)))</f>
        <v/>
      </c>
      <c r="O151" s="8">
        <f>IF(ISNA(MATCH(142,'Transfer Engine'!$C$2:$C$679,0)),"",INDEX('Compliance Database'!$O$2:$O$679,MATCH(142,'Transfer Engine'!$C$2:$C$679,0)))</f>
        <v/>
      </c>
      <c r="P151">
        <f>IF(ISNA(MATCH(142,'Transfer Engine'!$C$2:$C$679,0)),"",HYPERLINK(INDEX('Compliance Database'!$P$2:$P$679,MATCH(142,'Transfer Engine'!$C$2:$C$679,0)),"Open PDF"))</f>
        <v/>
      </c>
    </row>
    <row r="152">
      <c r="A152">
        <f>IF(ISNA(MATCH(143,'Transfer Engine'!$C$2:$C$679,0)),"",INDEX('Compliance Database'!$A$2:$A$679,MATCH(143,'Transfer Engine'!$C$2:$C$679,0)))</f>
        <v/>
      </c>
      <c r="B152">
        <f>IF(ISNA(MATCH(143,'Transfer Engine'!$C$2:$C$679,0)),"",INDEX('Compliance Database'!$B$2:$B$679,MATCH(143,'Transfer Engine'!$C$2:$C$679,0)))</f>
        <v/>
      </c>
      <c r="C152">
        <f>IF(ISNA(MATCH(143,'Transfer Engine'!$C$2:$C$679,0)),"",INDEX('Compliance Database'!$C$2:$C$679,MATCH(143,'Transfer Engine'!$C$2:$C$679,0)))</f>
        <v/>
      </c>
      <c r="D152" s="8">
        <f>IF(ISNA(MATCH(143,'Transfer Engine'!$C$2:$C$679,0)),"",INDEX('Compliance Database'!$D$2:$D$679,MATCH(143,'Transfer Engine'!$C$2:$C$679,0)))</f>
        <v/>
      </c>
      <c r="E152">
        <f>IF(ISNA(MATCH(143,'Transfer Engine'!$C$2:$C$679,0)),"",INDEX('Compliance Database'!$E$2:$E$679,MATCH(143,'Transfer Engine'!$C$2:$C$679,0)))</f>
        <v/>
      </c>
      <c r="F152">
        <f>IF(ISNA(MATCH(143,'Transfer Engine'!$C$2:$C$679,0)),"",INDEX('Compliance Database'!$F$2:$F$679,MATCH(143,'Transfer Engine'!$C$2:$C$679,0)))</f>
        <v/>
      </c>
      <c r="G152">
        <f>IF(ISNA(MATCH(143,'Transfer Engine'!$C$2:$C$679,0)),"",INDEX('Compliance Database'!$G$2:$G$679,MATCH(143,'Transfer Engine'!$C$2:$C$679,0)))</f>
        <v/>
      </c>
      <c r="H152">
        <f>IF(ISNA(MATCH(143,'Transfer Engine'!$C$2:$C$679,0)),"",INDEX('Compliance Database'!$H$2:$H$679,MATCH(143,'Transfer Engine'!$C$2:$C$679,0)))</f>
        <v/>
      </c>
      <c r="I152" s="8">
        <f>IF(ISNA(MATCH(143,'Transfer Engine'!$C$2:$C$679,0)),"",INDEX('Compliance Database'!$I$2:$I$679,MATCH(143,'Transfer Engine'!$C$2:$C$679,0)))</f>
        <v/>
      </c>
      <c r="J152" s="8">
        <f>IF(ISNA(MATCH(143,'Transfer Engine'!$C$2:$C$679,0)),"",INDEX('Compliance Database'!$J$2:$J$679,MATCH(143,'Transfer Engine'!$C$2:$C$679,0)))</f>
        <v/>
      </c>
      <c r="K152">
        <f>IF(ISNA(MATCH(143,'Transfer Engine'!$C$2:$C$679,0)),"",INDEX('Compliance Database'!$K$2:$K$679,MATCH(143,'Transfer Engine'!$C$2:$C$679,0)))</f>
        <v/>
      </c>
      <c r="L152" s="8">
        <f>IF(ISNA(MATCH(143,'Transfer Engine'!$C$2:$C$679,0)),"",INDEX('Compliance Database'!$L$2:$L$679,MATCH(143,'Transfer Engine'!$C$2:$C$679,0)))</f>
        <v/>
      </c>
      <c r="M152" s="8">
        <f>IF(ISNA(MATCH(143,'Transfer Engine'!$C$2:$C$679,0)),"",INDEX('Compliance Database'!$M$2:$M$679,MATCH(143,'Transfer Engine'!$C$2:$C$679,0)))</f>
        <v/>
      </c>
      <c r="N152" s="8">
        <f>IF(ISNA(MATCH(143,'Transfer Engine'!$C$2:$C$679,0)),"",INDEX('Compliance Database'!$N$2:$N$679,MATCH(143,'Transfer Engine'!$C$2:$C$679,0)))</f>
        <v/>
      </c>
      <c r="O152" s="8">
        <f>IF(ISNA(MATCH(143,'Transfer Engine'!$C$2:$C$679,0)),"",INDEX('Compliance Database'!$O$2:$O$679,MATCH(143,'Transfer Engine'!$C$2:$C$679,0)))</f>
        <v/>
      </c>
      <c r="P152">
        <f>IF(ISNA(MATCH(143,'Transfer Engine'!$C$2:$C$679,0)),"",HYPERLINK(INDEX('Compliance Database'!$P$2:$P$679,MATCH(143,'Transfer Engine'!$C$2:$C$679,0)),"Open PDF"))</f>
        <v/>
      </c>
    </row>
    <row r="153">
      <c r="A153">
        <f>IF(ISNA(MATCH(144,'Transfer Engine'!$C$2:$C$679,0)),"",INDEX('Compliance Database'!$A$2:$A$679,MATCH(144,'Transfer Engine'!$C$2:$C$679,0)))</f>
        <v/>
      </c>
      <c r="B153">
        <f>IF(ISNA(MATCH(144,'Transfer Engine'!$C$2:$C$679,0)),"",INDEX('Compliance Database'!$B$2:$B$679,MATCH(144,'Transfer Engine'!$C$2:$C$679,0)))</f>
        <v/>
      </c>
      <c r="C153">
        <f>IF(ISNA(MATCH(144,'Transfer Engine'!$C$2:$C$679,0)),"",INDEX('Compliance Database'!$C$2:$C$679,MATCH(144,'Transfer Engine'!$C$2:$C$679,0)))</f>
        <v/>
      </c>
      <c r="D153" s="8">
        <f>IF(ISNA(MATCH(144,'Transfer Engine'!$C$2:$C$679,0)),"",INDEX('Compliance Database'!$D$2:$D$679,MATCH(144,'Transfer Engine'!$C$2:$C$679,0)))</f>
        <v/>
      </c>
      <c r="E153">
        <f>IF(ISNA(MATCH(144,'Transfer Engine'!$C$2:$C$679,0)),"",INDEX('Compliance Database'!$E$2:$E$679,MATCH(144,'Transfer Engine'!$C$2:$C$679,0)))</f>
        <v/>
      </c>
      <c r="F153">
        <f>IF(ISNA(MATCH(144,'Transfer Engine'!$C$2:$C$679,0)),"",INDEX('Compliance Database'!$F$2:$F$679,MATCH(144,'Transfer Engine'!$C$2:$C$679,0)))</f>
        <v/>
      </c>
      <c r="G153">
        <f>IF(ISNA(MATCH(144,'Transfer Engine'!$C$2:$C$679,0)),"",INDEX('Compliance Database'!$G$2:$G$679,MATCH(144,'Transfer Engine'!$C$2:$C$679,0)))</f>
        <v/>
      </c>
      <c r="H153">
        <f>IF(ISNA(MATCH(144,'Transfer Engine'!$C$2:$C$679,0)),"",INDEX('Compliance Database'!$H$2:$H$679,MATCH(144,'Transfer Engine'!$C$2:$C$679,0)))</f>
        <v/>
      </c>
      <c r="I153" s="8">
        <f>IF(ISNA(MATCH(144,'Transfer Engine'!$C$2:$C$679,0)),"",INDEX('Compliance Database'!$I$2:$I$679,MATCH(144,'Transfer Engine'!$C$2:$C$679,0)))</f>
        <v/>
      </c>
      <c r="J153" s="8">
        <f>IF(ISNA(MATCH(144,'Transfer Engine'!$C$2:$C$679,0)),"",INDEX('Compliance Database'!$J$2:$J$679,MATCH(144,'Transfer Engine'!$C$2:$C$679,0)))</f>
        <v/>
      </c>
      <c r="K153">
        <f>IF(ISNA(MATCH(144,'Transfer Engine'!$C$2:$C$679,0)),"",INDEX('Compliance Database'!$K$2:$K$679,MATCH(144,'Transfer Engine'!$C$2:$C$679,0)))</f>
        <v/>
      </c>
      <c r="L153" s="8">
        <f>IF(ISNA(MATCH(144,'Transfer Engine'!$C$2:$C$679,0)),"",INDEX('Compliance Database'!$L$2:$L$679,MATCH(144,'Transfer Engine'!$C$2:$C$679,0)))</f>
        <v/>
      </c>
      <c r="M153" s="8">
        <f>IF(ISNA(MATCH(144,'Transfer Engine'!$C$2:$C$679,0)),"",INDEX('Compliance Database'!$M$2:$M$679,MATCH(144,'Transfer Engine'!$C$2:$C$679,0)))</f>
        <v/>
      </c>
      <c r="N153" s="8">
        <f>IF(ISNA(MATCH(144,'Transfer Engine'!$C$2:$C$679,0)),"",INDEX('Compliance Database'!$N$2:$N$679,MATCH(144,'Transfer Engine'!$C$2:$C$679,0)))</f>
        <v/>
      </c>
      <c r="O153" s="8">
        <f>IF(ISNA(MATCH(144,'Transfer Engine'!$C$2:$C$679,0)),"",INDEX('Compliance Database'!$O$2:$O$679,MATCH(144,'Transfer Engine'!$C$2:$C$679,0)))</f>
        <v/>
      </c>
      <c r="P153">
        <f>IF(ISNA(MATCH(144,'Transfer Engine'!$C$2:$C$679,0)),"",HYPERLINK(INDEX('Compliance Database'!$P$2:$P$679,MATCH(144,'Transfer Engine'!$C$2:$C$679,0)),"Open PDF"))</f>
        <v/>
      </c>
    </row>
    <row r="154">
      <c r="A154">
        <f>IF(ISNA(MATCH(145,'Transfer Engine'!$C$2:$C$679,0)),"",INDEX('Compliance Database'!$A$2:$A$679,MATCH(145,'Transfer Engine'!$C$2:$C$679,0)))</f>
        <v/>
      </c>
      <c r="B154">
        <f>IF(ISNA(MATCH(145,'Transfer Engine'!$C$2:$C$679,0)),"",INDEX('Compliance Database'!$B$2:$B$679,MATCH(145,'Transfer Engine'!$C$2:$C$679,0)))</f>
        <v/>
      </c>
      <c r="C154">
        <f>IF(ISNA(MATCH(145,'Transfer Engine'!$C$2:$C$679,0)),"",INDEX('Compliance Database'!$C$2:$C$679,MATCH(145,'Transfer Engine'!$C$2:$C$679,0)))</f>
        <v/>
      </c>
      <c r="D154" s="8">
        <f>IF(ISNA(MATCH(145,'Transfer Engine'!$C$2:$C$679,0)),"",INDEX('Compliance Database'!$D$2:$D$679,MATCH(145,'Transfer Engine'!$C$2:$C$679,0)))</f>
        <v/>
      </c>
      <c r="E154">
        <f>IF(ISNA(MATCH(145,'Transfer Engine'!$C$2:$C$679,0)),"",INDEX('Compliance Database'!$E$2:$E$679,MATCH(145,'Transfer Engine'!$C$2:$C$679,0)))</f>
        <v/>
      </c>
      <c r="F154">
        <f>IF(ISNA(MATCH(145,'Transfer Engine'!$C$2:$C$679,0)),"",INDEX('Compliance Database'!$F$2:$F$679,MATCH(145,'Transfer Engine'!$C$2:$C$679,0)))</f>
        <v/>
      </c>
      <c r="G154">
        <f>IF(ISNA(MATCH(145,'Transfer Engine'!$C$2:$C$679,0)),"",INDEX('Compliance Database'!$G$2:$G$679,MATCH(145,'Transfer Engine'!$C$2:$C$679,0)))</f>
        <v/>
      </c>
      <c r="H154">
        <f>IF(ISNA(MATCH(145,'Transfer Engine'!$C$2:$C$679,0)),"",INDEX('Compliance Database'!$H$2:$H$679,MATCH(145,'Transfer Engine'!$C$2:$C$679,0)))</f>
        <v/>
      </c>
      <c r="I154" s="8">
        <f>IF(ISNA(MATCH(145,'Transfer Engine'!$C$2:$C$679,0)),"",INDEX('Compliance Database'!$I$2:$I$679,MATCH(145,'Transfer Engine'!$C$2:$C$679,0)))</f>
        <v/>
      </c>
      <c r="J154" s="8">
        <f>IF(ISNA(MATCH(145,'Transfer Engine'!$C$2:$C$679,0)),"",INDEX('Compliance Database'!$J$2:$J$679,MATCH(145,'Transfer Engine'!$C$2:$C$679,0)))</f>
        <v/>
      </c>
      <c r="K154">
        <f>IF(ISNA(MATCH(145,'Transfer Engine'!$C$2:$C$679,0)),"",INDEX('Compliance Database'!$K$2:$K$679,MATCH(145,'Transfer Engine'!$C$2:$C$679,0)))</f>
        <v/>
      </c>
      <c r="L154" s="8">
        <f>IF(ISNA(MATCH(145,'Transfer Engine'!$C$2:$C$679,0)),"",INDEX('Compliance Database'!$L$2:$L$679,MATCH(145,'Transfer Engine'!$C$2:$C$679,0)))</f>
        <v/>
      </c>
      <c r="M154" s="8">
        <f>IF(ISNA(MATCH(145,'Transfer Engine'!$C$2:$C$679,0)),"",INDEX('Compliance Database'!$M$2:$M$679,MATCH(145,'Transfer Engine'!$C$2:$C$679,0)))</f>
        <v/>
      </c>
      <c r="N154" s="8">
        <f>IF(ISNA(MATCH(145,'Transfer Engine'!$C$2:$C$679,0)),"",INDEX('Compliance Database'!$N$2:$N$679,MATCH(145,'Transfer Engine'!$C$2:$C$679,0)))</f>
        <v/>
      </c>
      <c r="O154" s="8">
        <f>IF(ISNA(MATCH(145,'Transfer Engine'!$C$2:$C$679,0)),"",INDEX('Compliance Database'!$O$2:$O$679,MATCH(145,'Transfer Engine'!$C$2:$C$679,0)))</f>
        <v/>
      </c>
      <c r="P154">
        <f>IF(ISNA(MATCH(145,'Transfer Engine'!$C$2:$C$679,0)),"",HYPERLINK(INDEX('Compliance Database'!$P$2:$P$679,MATCH(145,'Transfer Engine'!$C$2:$C$679,0)),"Open PDF"))</f>
        <v/>
      </c>
    </row>
    <row r="155">
      <c r="A155">
        <f>IF(ISNA(MATCH(146,'Transfer Engine'!$C$2:$C$679,0)),"",INDEX('Compliance Database'!$A$2:$A$679,MATCH(146,'Transfer Engine'!$C$2:$C$679,0)))</f>
        <v/>
      </c>
      <c r="B155">
        <f>IF(ISNA(MATCH(146,'Transfer Engine'!$C$2:$C$679,0)),"",INDEX('Compliance Database'!$B$2:$B$679,MATCH(146,'Transfer Engine'!$C$2:$C$679,0)))</f>
        <v/>
      </c>
      <c r="C155">
        <f>IF(ISNA(MATCH(146,'Transfer Engine'!$C$2:$C$679,0)),"",INDEX('Compliance Database'!$C$2:$C$679,MATCH(146,'Transfer Engine'!$C$2:$C$679,0)))</f>
        <v/>
      </c>
      <c r="D155" s="8">
        <f>IF(ISNA(MATCH(146,'Transfer Engine'!$C$2:$C$679,0)),"",INDEX('Compliance Database'!$D$2:$D$679,MATCH(146,'Transfer Engine'!$C$2:$C$679,0)))</f>
        <v/>
      </c>
      <c r="E155">
        <f>IF(ISNA(MATCH(146,'Transfer Engine'!$C$2:$C$679,0)),"",INDEX('Compliance Database'!$E$2:$E$679,MATCH(146,'Transfer Engine'!$C$2:$C$679,0)))</f>
        <v/>
      </c>
      <c r="F155">
        <f>IF(ISNA(MATCH(146,'Transfer Engine'!$C$2:$C$679,0)),"",INDEX('Compliance Database'!$F$2:$F$679,MATCH(146,'Transfer Engine'!$C$2:$C$679,0)))</f>
        <v/>
      </c>
      <c r="G155">
        <f>IF(ISNA(MATCH(146,'Transfer Engine'!$C$2:$C$679,0)),"",INDEX('Compliance Database'!$G$2:$G$679,MATCH(146,'Transfer Engine'!$C$2:$C$679,0)))</f>
        <v/>
      </c>
      <c r="H155">
        <f>IF(ISNA(MATCH(146,'Transfer Engine'!$C$2:$C$679,0)),"",INDEX('Compliance Database'!$H$2:$H$679,MATCH(146,'Transfer Engine'!$C$2:$C$679,0)))</f>
        <v/>
      </c>
      <c r="I155" s="8">
        <f>IF(ISNA(MATCH(146,'Transfer Engine'!$C$2:$C$679,0)),"",INDEX('Compliance Database'!$I$2:$I$679,MATCH(146,'Transfer Engine'!$C$2:$C$679,0)))</f>
        <v/>
      </c>
      <c r="J155" s="8">
        <f>IF(ISNA(MATCH(146,'Transfer Engine'!$C$2:$C$679,0)),"",INDEX('Compliance Database'!$J$2:$J$679,MATCH(146,'Transfer Engine'!$C$2:$C$679,0)))</f>
        <v/>
      </c>
      <c r="K155">
        <f>IF(ISNA(MATCH(146,'Transfer Engine'!$C$2:$C$679,0)),"",INDEX('Compliance Database'!$K$2:$K$679,MATCH(146,'Transfer Engine'!$C$2:$C$679,0)))</f>
        <v/>
      </c>
      <c r="L155" s="8">
        <f>IF(ISNA(MATCH(146,'Transfer Engine'!$C$2:$C$679,0)),"",INDEX('Compliance Database'!$L$2:$L$679,MATCH(146,'Transfer Engine'!$C$2:$C$679,0)))</f>
        <v/>
      </c>
      <c r="M155" s="8">
        <f>IF(ISNA(MATCH(146,'Transfer Engine'!$C$2:$C$679,0)),"",INDEX('Compliance Database'!$M$2:$M$679,MATCH(146,'Transfer Engine'!$C$2:$C$679,0)))</f>
        <v/>
      </c>
      <c r="N155" s="8">
        <f>IF(ISNA(MATCH(146,'Transfer Engine'!$C$2:$C$679,0)),"",INDEX('Compliance Database'!$N$2:$N$679,MATCH(146,'Transfer Engine'!$C$2:$C$679,0)))</f>
        <v/>
      </c>
      <c r="O155" s="8">
        <f>IF(ISNA(MATCH(146,'Transfer Engine'!$C$2:$C$679,0)),"",INDEX('Compliance Database'!$O$2:$O$679,MATCH(146,'Transfer Engine'!$C$2:$C$679,0)))</f>
        <v/>
      </c>
      <c r="P155">
        <f>IF(ISNA(MATCH(146,'Transfer Engine'!$C$2:$C$679,0)),"",HYPERLINK(INDEX('Compliance Database'!$P$2:$P$679,MATCH(146,'Transfer Engine'!$C$2:$C$679,0)),"Open PDF"))</f>
        <v/>
      </c>
    </row>
    <row r="156">
      <c r="A156">
        <f>IF(ISNA(MATCH(147,'Transfer Engine'!$C$2:$C$679,0)),"",INDEX('Compliance Database'!$A$2:$A$679,MATCH(147,'Transfer Engine'!$C$2:$C$679,0)))</f>
        <v/>
      </c>
      <c r="B156">
        <f>IF(ISNA(MATCH(147,'Transfer Engine'!$C$2:$C$679,0)),"",INDEX('Compliance Database'!$B$2:$B$679,MATCH(147,'Transfer Engine'!$C$2:$C$679,0)))</f>
        <v/>
      </c>
      <c r="C156">
        <f>IF(ISNA(MATCH(147,'Transfer Engine'!$C$2:$C$679,0)),"",INDEX('Compliance Database'!$C$2:$C$679,MATCH(147,'Transfer Engine'!$C$2:$C$679,0)))</f>
        <v/>
      </c>
      <c r="D156" s="8">
        <f>IF(ISNA(MATCH(147,'Transfer Engine'!$C$2:$C$679,0)),"",INDEX('Compliance Database'!$D$2:$D$679,MATCH(147,'Transfer Engine'!$C$2:$C$679,0)))</f>
        <v/>
      </c>
      <c r="E156">
        <f>IF(ISNA(MATCH(147,'Transfer Engine'!$C$2:$C$679,0)),"",INDEX('Compliance Database'!$E$2:$E$679,MATCH(147,'Transfer Engine'!$C$2:$C$679,0)))</f>
        <v/>
      </c>
      <c r="F156">
        <f>IF(ISNA(MATCH(147,'Transfer Engine'!$C$2:$C$679,0)),"",INDEX('Compliance Database'!$F$2:$F$679,MATCH(147,'Transfer Engine'!$C$2:$C$679,0)))</f>
        <v/>
      </c>
      <c r="G156">
        <f>IF(ISNA(MATCH(147,'Transfer Engine'!$C$2:$C$679,0)),"",INDEX('Compliance Database'!$G$2:$G$679,MATCH(147,'Transfer Engine'!$C$2:$C$679,0)))</f>
        <v/>
      </c>
      <c r="H156">
        <f>IF(ISNA(MATCH(147,'Transfer Engine'!$C$2:$C$679,0)),"",INDEX('Compliance Database'!$H$2:$H$679,MATCH(147,'Transfer Engine'!$C$2:$C$679,0)))</f>
        <v/>
      </c>
      <c r="I156" s="8">
        <f>IF(ISNA(MATCH(147,'Transfer Engine'!$C$2:$C$679,0)),"",INDEX('Compliance Database'!$I$2:$I$679,MATCH(147,'Transfer Engine'!$C$2:$C$679,0)))</f>
        <v/>
      </c>
      <c r="J156" s="8">
        <f>IF(ISNA(MATCH(147,'Transfer Engine'!$C$2:$C$679,0)),"",INDEX('Compliance Database'!$J$2:$J$679,MATCH(147,'Transfer Engine'!$C$2:$C$679,0)))</f>
        <v/>
      </c>
      <c r="K156">
        <f>IF(ISNA(MATCH(147,'Transfer Engine'!$C$2:$C$679,0)),"",INDEX('Compliance Database'!$K$2:$K$679,MATCH(147,'Transfer Engine'!$C$2:$C$679,0)))</f>
        <v/>
      </c>
      <c r="L156" s="8">
        <f>IF(ISNA(MATCH(147,'Transfer Engine'!$C$2:$C$679,0)),"",INDEX('Compliance Database'!$L$2:$L$679,MATCH(147,'Transfer Engine'!$C$2:$C$679,0)))</f>
        <v/>
      </c>
      <c r="M156" s="8">
        <f>IF(ISNA(MATCH(147,'Transfer Engine'!$C$2:$C$679,0)),"",INDEX('Compliance Database'!$M$2:$M$679,MATCH(147,'Transfer Engine'!$C$2:$C$679,0)))</f>
        <v/>
      </c>
      <c r="N156" s="8">
        <f>IF(ISNA(MATCH(147,'Transfer Engine'!$C$2:$C$679,0)),"",INDEX('Compliance Database'!$N$2:$N$679,MATCH(147,'Transfer Engine'!$C$2:$C$679,0)))</f>
        <v/>
      </c>
      <c r="O156" s="8">
        <f>IF(ISNA(MATCH(147,'Transfer Engine'!$C$2:$C$679,0)),"",INDEX('Compliance Database'!$O$2:$O$679,MATCH(147,'Transfer Engine'!$C$2:$C$679,0)))</f>
        <v/>
      </c>
      <c r="P156">
        <f>IF(ISNA(MATCH(147,'Transfer Engine'!$C$2:$C$679,0)),"",HYPERLINK(INDEX('Compliance Database'!$P$2:$P$679,MATCH(147,'Transfer Engine'!$C$2:$C$679,0)),"Open PDF"))</f>
        <v/>
      </c>
    </row>
    <row r="157">
      <c r="A157">
        <f>IF(ISNA(MATCH(148,'Transfer Engine'!$C$2:$C$679,0)),"",INDEX('Compliance Database'!$A$2:$A$679,MATCH(148,'Transfer Engine'!$C$2:$C$679,0)))</f>
        <v/>
      </c>
      <c r="B157">
        <f>IF(ISNA(MATCH(148,'Transfer Engine'!$C$2:$C$679,0)),"",INDEX('Compliance Database'!$B$2:$B$679,MATCH(148,'Transfer Engine'!$C$2:$C$679,0)))</f>
        <v/>
      </c>
      <c r="C157">
        <f>IF(ISNA(MATCH(148,'Transfer Engine'!$C$2:$C$679,0)),"",INDEX('Compliance Database'!$C$2:$C$679,MATCH(148,'Transfer Engine'!$C$2:$C$679,0)))</f>
        <v/>
      </c>
      <c r="D157" s="8">
        <f>IF(ISNA(MATCH(148,'Transfer Engine'!$C$2:$C$679,0)),"",INDEX('Compliance Database'!$D$2:$D$679,MATCH(148,'Transfer Engine'!$C$2:$C$679,0)))</f>
        <v/>
      </c>
      <c r="E157">
        <f>IF(ISNA(MATCH(148,'Transfer Engine'!$C$2:$C$679,0)),"",INDEX('Compliance Database'!$E$2:$E$679,MATCH(148,'Transfer Engine'!$C$2:$C$679,0)))</f>
        <v/>
      </c>
      <c r="F157">
        <f>IF(ISNA(MATCH(148,'Transfer Engine'!$C$2:$C$679,0)),"",INDEX('Compliance Database'!$F$2:$F$679,MATCH(148,'Transfer Engine'!$C$2:$C$679,0)))</f>
        <v/>
      </c>
      <c r="G157">
        <f>IF(ISNA(MATCH(148,'Transfer Engine'!$C$2:$C$679,0)),"",INDEX('Compliance Database'!$G$2:$G$679,MATCH(148,'Transfer Engine'!$C$2:$C$679,0)))</f>
        <v/>
      </c>
      <c r="H157">
        <f>IF(ISNA(MATCH(148,'Transfer Engine'!$C$2:$C$679,0)),"",INDEX('Compliance Database'!$H$2:$H$679,MATCH(148,'Transfer Engine'!$C$2:$C$679,0)))</f>
        <v/>
      </c>
      <c r="I157" s="8">
        <f>IF(ISNA(MATCH(148,'Transfer Engine'!$C$2:$C$679,0)),"",INDEX('Compliance Database'!$I$2:$I$679,MATCH(148,'Transfer Engine'!$C$2:$C$679,0)))</f>
        <v/>
      </c>
      <c r="J157" s="8">
        <f>IF(ISNA(MATCH(148,'Transfer Engine'!$C$2:$C$679,0)),"",INDEX('Compliance Database'!$J$2:$J$679,MATCH(148,'Transfer Engine'!$C$2:$C$679,0)))</f>
        <v/>
      </c>
      <c r="K157">
        <f>IF(ISNA(MATCH(148,'Transfer Engine'!$C$2:$C$679,0)),"",INDEX('Compliance Database'!$K$2:$K$679,MATCH(148,'Transfer Engine'!$C$2:$C$679,0)))</f>
        <v/>
      </c>
      <c r="L157" s="8">
        <f>IF(ISNA(MATCH(148,'Transfer Engine'!$C$2:$C$679,0)),"",INDEX('Compliance Database'!$L$2:$L$679,MATCH(148,'Transfer Engine'!$C$2:$C$679,0)))</f>
        <v/>
      </c>
      <c r="M157" s="8">
        <f>IF(ISNA(MATCH(148,'Transfer Engine'!$C$2:$C$679,0)),"",INDEX('Compliance Database'!$M$2:$M$679,MATCH(148,'Transfer Engine'!$C$2:$C$679,0)))</f>
        <v/>
      </c>
      <c r="N157" s="8">
        <f>IF(ISNA(MATCH(148,'Transfer Engine'!$C$2:$C$679,0)),"",INDEX('Compliance Database'!$N$2:$N$679,MATCH(148,'Transfer Engine'!$C$2:$C$679,0)))</f>
        <v/>
      </c>
      <c r="O157" s="8">
        <f>IF(ISNA(MATCH(148,'Transfer Engine'!$C$2:$C$679,0)),"",INDEX('Compliance Database'!$O$2:$O$679,MATCH(148,'Transfer Engine'!$C$2:$C$679,0)))</f>
        <v/>
      </c>
      <c r="P157">
        <f>IF(ISNA(MATCH(148,'Transfer Engine'!$C$2:$C$679,0)),"",HYPERLINK(INDEX('Compliance Database'!$P$2:$P$679,MATCH(148,'Transfer Engine'!$C$2:$C$679,0)),"Open PDF"))</f>
        <v/>
      </c>
    </row>
    <row r="158">
      <c r="A158">
        <f>IF(ISNA(MATCH(149,'Transfer Engine'!$C$2:$C$679,0)),"",INDEX('Compliance Database'!$A$2:$A$679,MATCH(149,'Transfer Engine'!$C$2:$C$679,0)))</f>
        <v/>
      </c>
      <c r="B158">
        <f>IF(ISNA(MATCH(149,'Transfer Engine'!$C$2:$C$679,0)),"",INDEX('Compliance Database'!$B$2:$B$679,MATCH(149,'Transfer Engine'!$C$2:$C$679,0)))</f>
        <v/>
      </c>
      <c r="C158">
        <f>IF(ISNA(MATCH(149,'Transfer Engine'!$C$2:$C$679,0)),"",INDEX('Compliance Database'!$C$2:$C$679,MATCH(149,'Transfer Engine'!$C$2:$C$679,0)))</f>
        <v/>
      </c>
      <c r="D158" s="8">
        <f>IF(ISNA(MATCH(149,'Transfer Engine'!$C$2:$C$679,0)),"",INDEX('Compliance Database'!$D$2:$D$679,MATCH(149,'Transfer Engine'!$C$2:$C$679,0)))</f>
        <v/>
      </c>
      <c r="E158">
        <f>IF(ISNA(MATCH(149,'Transfer Engine'!$C$2:$C$679,0)),"",INDEX('Compliance Database'!$E$2:$E$679,MATCH(149,'Transfer Engine'!$C$2:$C$679,0)))</f>
        <v/>
      </c>
      <c r="F158">
        <f>IF(ISNA(MATCH(149,'Transfer Engine'!$C$2:$C$679,0)),"",INDEX('Compliance Database'!$F$2:$F$679,MATCH(149,'Transfer Engine'!$C$2:$C$679,0)))</f>
        <v/>
      </c>
      <c r="G158">
        <f>IF(ISNA(MATCH(149,'Transfer Engine'!$C$2:$C$679,0)),"",INDEX('Compliance Database'!$G$2:$G$679,MATCH(149,'Transfer Engine'!$C$2:$C$679,0)))</f>
        <v/>
      </c>
      <c r="H158">
        <f>IF(ISNA(MATCH(149,'Transfer Engine'!$C$2:$C$679,0)),"",INDEX('Compliance Database'!$H$2:$H$679,MATCH(149,'Transfer Engine'!$C$2:$C$679,0)))</f>
        <v/>
      </c>
      <c r="I158" s="8">
        <f>IF(ISNA(MATCH(149,'Transfer Engine'!$C$2:$C$679,0)),"",INDEX('Compliance Database'!$I$2:$I$679,MATCH(149,'Transfer Engine'!$C$2:$C$679,0)))</f>
        <v/>
      </c>
      <c r="J158" s="8">
        <f>IF(ISNA(MATCH(149,'Transfer Engine'!$C$2:$C$679,0)),"",INDEX('Compliance Database'!$J$2:$J$679,MATCH(149,'Transfer Engine'!$C$2:$C$679,0)))</f>
        <v/>
      </c>
      <c r="K158">
        <f>IF(ISNA(MATCH(149,'Transfer Engine'!$C$2:$C$679,0)),"",INDEX('Compliance Database'!$K$2:$K$679,MATCH(149,'Transfer Engine'!$C$2:$C$679,0)))</f>
        <v/>
      </c>
      <c r="L158" s="8">
        <f>IF(ISNA(MATCH(149,'Transfer Engine'!$C$2:$C$679,0)),"",INDEX('Compliance Database'!$L$2:$L$679,MATCH(149,'Transfer Engine'!$C$2:$C$679,0)))</f>
        <v/>
      </c>
      <c r="M158" s="8">
        <f>IF(ISNA(MATCH(149,'Transfer Engine'!$C$2:$C$679,0)),"",INDEX('Compliance Database'!$M$2:$M$679,MATCH(149,'Transfer Engine'!$C$2:$C$679,0)))</f>
        <v/>
      </c>
      <c r="N158" s="8">
        <f>IF(ISNA(MATCH(149,'Transfer Engine'!$C$2:$C$679,0)),"",INDEX('Compliance Database'!$N$2:$N$679,MATCH(149,'Transfer Engine'!$C$2:$C$679,0)))</f>
        <v/>
      </c>
      <c r="O158" s="8">
        <f>IF(ISNA(MATCH(149,'Transfer Engine'!$C$2:$C$679,0)),"",INDEX('Compliance Database'!$O$2:$O$679,MATCH(149,'Transfer Engine'!$C$2:$C$679,0)))</f>
        <v/>
      </c>
      <c r="P158">
        <f>IF(ISNA(MATCH(149,'Transfer Engine'!$C$2:$C$679,0)),"",HYPERLINK(INDEX('Compliance Database'!$P$2:$P$679,MATCH(149,'Transfer Engine'!$C$2:$C$679,0)),"Open PDF"))</f>
        <v/>
      </c>
    </row>
    <row r="159">
      <c r="A159">
        <f>IF(ISNA(MATCH(150,'Transfer Engine'!$C$2:$C$679,0)),"",INDEX('Compliance Database'!$A$2:$A$679,MATCH(150,'Transfer Engine'!$C$2:$C$679,0)))</f>
        <v/>
      </c>
      <c r="B159">
        <f>IF(ISNA(MATCH(150,'Transfer Engine'!$C$2:$C$679,0)),"",INDEX('Compliance Database'!$B$2:$B$679,MATCH(150,'Transfer Engine'!$C$2:$C$679,0)))</f>
        <v/>
      </c>
      <c r="C159">
        <f>IF(ISNA(MATCH(150,'Transfer Engine'!$C$2:$C$679,0)),"",INDEX('Compliance Database'!$C$2:$C$679,MATCH(150,'Transfer Engine'!$C$2:$C$679,0)))</f>
        <v/>
      </c>
      <c r="D159" s="8">
        <f>IF(ISNA(MATCH(150,'Transfer Engine'!$C$2:$C$679,0)),"",INDEX('Compliance Database'!$D$2:$D$679,MATCH(150,'Transfer Engine'!$C$2:$C$679,0)))</f>
        <v/>
      </c>
      <c r="E159">
        <f>IF(ISNA(MATCH(150,'Transfer Engine'!$C$2:$C$679,0)),"",INDEX('Compliance Database'!$E$2:$E$679,MATCH(150,'Transfer Engine'!$C$2:$C$679,0)))</f>
        <v/>
      </c>
      <c r="F159">
        <f>IF(ISNA(MATCH(150,'Transfer Engine'!$C$2:$C$679,0)),"",INDEX('Compliance Database'!$F$2:$F$679,MATCH(150,'Transfer Engine'!$C$2:$C$679,0)))</f>
        <v/>
      </c>
      <c r="G159">
        <f>IF(ISNA(MATCH(150,'Transfer Engine'!$C$2:$C$679,0)),"",INDEX('Compliance Database'!$G$2:$G$679,MATCH(150,'Transfer Engine'!$C$2:$C$679,0)))</f>
        <v/>
      </c>
      <c r="H159">
        <f>IF(ISNA(MATCH(150,'Transfer Engine'!$C$2:$C$679,0)),"",INDEX('Compliance Database'!$H$2:$H$679,MATCH(150,'Transfer Engine'!$C$2:$C$679,0)))</f>
        <v/>
      </c>
      <c r="I159" s="8">
        <f>IF(ISNA(MATCH(150,'Transfer Engine'!$C$2:$C$679,0)),"",INDEX('Compliance Database'!$I$2:$I$679,MATCH(150,'Transfer Engine'!$C$2:$C$679,0)))</f>
        <v/>
      </c>
      <c r="J159" s="8">
        <f>IF(ISNA(MATCH(150,'Transfer Engine'!$C$2:$C$679,0)),"",INDEX('Compliance Database'!$J$2:$J$679,MATCH(150,'Transfer Engine'!$C$2:$C$679,0)))</f>
        <v/>
      </c>
      <c r="K159">
        <f>IF(ISNA(MATCH(150,'Transfer Engine'!$C$2:$C$679,0)),"",INDEX('Compliance Database'!$K$2:$K$679,MATCH(150,'Transfer Engine'!$C$2:$C$679,0)))</f>
        <v/>
      </c>
      <c r="L159" s="8">
        <f>IF(ISNA(MATCH(150,'Transfer Engine'!$C$2:$C$679,0)),"",INDEX('Compliance Database'!$L$2:$L$679,MATCH(150,'Transfer Engine'!$C$2:$C$679,0)))</f>
        <v/>
      </c>
      <c r="M159" s="8">
        <f>IF(ISNA(MATCH(150,'Transfer Engine'!$C$2:$C$679,0)),"",INDEX('Compliance Database'!$M$2:$M$679,MATCH(150,'Transfer Engine'!$C$2:$C$679,0)))</f>
        <v/>
      </c>
      <c r="N159" s="8">
        <f>IF(ISNA(MATCH(150,'Transfer Engine'!$C$2:$C$679,0)),"",INDEX('Compliance Database'!$N$2:$N$679,MATCH(150,'Transfer Engine'!$C$2:$C$679,0)))</f>
        <v/>
      </c>
      <c r="O159" s="8">
        <f>IF(ISNA(MATCH(150,'Transfer Engine'!$C$2:$C$679,0)),"",INDEX('Compliance Database'!$O$2:$O$679,MATCH(150,'Transfer Engine'!$C$2:$C$679,0)))</f>
        <v/>
      </c>
      <c r="P159">
        <f>IF(ISNA(MATCH(150,'Transfer Engine'!$C$2:$C$679,0)),"",HYPERLINK(INDEX('Compliance Database'!$P$2:$P$679,MATCH(150,'Transfer Engine'!$C$2:$C$679,0)),"Open PDF"))</f>
        <v/>
      </c>
    </row>
    <row r="160">
      <c r="A160">
        <f>IF(ISNA(MATCH(151,'Transfer Engine'!$C$2:$C$679,0)),"",INDEX('Compliance Database'!$A$2:$A$679,MATCH(151,'Transfer Engine'!$C$2:$C$679,0)))</f>
        <v/>
      </c>
      <c r="B160">
        <f>IF(ISNA(MATCH(151,'Transfer Engine'!$C$2:$C$679,0)),"",INDEX('Compliance Database'!$B$2:$B$679,MATCH(151,'Transfer Engine'!$C$2:$C$679,0)))</f>
        <v/>
      </c>
      <c r="C160">
        <f>IF(ISNA(MATCH(151,'Transfer Engine'!$C$2:$C$679,0)),"",INDEX('Compliance Database'!$C$2:$C$679,MATCH(151,'Transfer Engine'!$C$2:$C$679,0)))</f>
        <v/>
      </c>
      <c r="D160" s="8">
        <f>IF(ISNA(MATCH(151,'Transfer Engine'!$C$2:$C$679,0)),"",INDEX('Compliance Database'!$D$2:$D$679,MATCH(151,'Transfer Engine'!$C$2:$C$679,0)))</f>
        <v/>
      </c>
      <c r="E160">
        <f>IF(ISNA(MATCH(151,'Transfer Engine'!$C$2:$C$679,0)),"",INDEX('Compliance Database'!$E$2:$E$679,MATCH(151,'Transfer Engine'!$C$2:$C$679,0)))</f>
        <v/>
      </c>
      <c r="F160">
        <f>IF(ISNA(MATCH(151,'Transfer Engine'!$C$2:$C$679,0)),"",INDEX('Compliance Database'!$F$2:$F$679,MATCH(151,'Transfer Engine'!$C$2:$C$679,0)))</f>
        <v/>
      </c>
      <c r="G160">
        <f>IF(ISNA(MATCH(151,'Transfer Engine'!$C$2:$C$679,0)),"",INDEX('Compliance Database'!$G$2:$G$679,MATCH(151,'Transfer Engine'!$C$2:$C$679,0)))</f>
        <v/>
      </c>
      <c r="H160">
        <f>IF(ISNA(MATCH(151,'Transfer Engine'!$C$2:$C$679,0)),"",INDEX('Compliance Database'!$H$2:$H$679,MATCH(151,'Transfer Engine'!$C$2:$C$679,0)))</f>
        <v/>
      </c>
      <c r="I160" s="8">
        <f>IF(ISNA(MATCH(151,'Transfer Engine'!$C$2:$C$679,0)),"",INDEX('Compliance Database'!$I$2:$I$679,MATCH(151,'Transfer Engine'!$C$2:$C$679,0)))</f>
        <v/>
      </c>
      <c r="J160" s="8">
        <f>IF(ISNA(MATCH(151,'Transfer Engine'!$C$2:$C$679,0)),"",INDEX('Compliance Database'!$J$2:$J$679,MATCH(151,'Transfer Engine'!$C$2:$C$679,0)))</f>
        <v/>
      </c>
      <c r="K160">
        <f>IF(ISNA(MATCH(151,'Transfer Engine'!$C$2:$C$679,0)),"",INDEX('Compliance Database'!$K$2:$K$679,MATCH(151,'Transfer Engine'!$C$2:$C$679,0)))</f>
        <v/>
      </c>
      <c r="L160" s="8">
        <f>IF(ISNA(MATCH(151,'Transfer Engine'!$C$2:$C$679,0)),"",INDEX('Compliance Database'!$L$2:$L$679,MATCH(151,'Transfer Engine'!$C$2:$C$679,0)))</f>
        <v/>
      </c>
      <c r="M160" s="8">
        <f>IF(ISNA(MATCH(151,'Transfer Engine'!$C$2:$C$679,0)),"",INDEX('Compliance Database'!$M$2:$M$679,MATCH(151,'Transfer Engine'!$C$2:$C$679,0)))</f>
        <v/>
      </c>
      <c r="N160" s="8">
        <f>IF(ISNA(MATCH(151,'Transfer Engine'!$C$2:$C$679,0)),"",INDEX('Compliance Database'!$N$2:$N$679,MATCH(151,'Transfer Engine'!$C$2:$C$679,0)))</f>
        <v/>
      </c>
      <c r="O160" s="8">
        <f>IF(ISNA(MATCH(151,'Transfer Engine'!$C$2:$C$679,0)),"",INDEX('Compliance Database'!$O$2:$O$679,MATCH(151,'Transfer Engine'!$C$2:$C$679,0)))</f>
        <v/>
      </c>
      <c r="P160">
        <f>IF(ISNA(MATCH(151,'Transfer Engine'!$C$2:$C$679,0)),"",HYPERLINK(INDEX('Compliance Database'!$P$2:$P$679,MATCH(151,'Transfer Engine'!$C$2:$C$679,0)),"Open PDF"))</f>
        <v/>
      </c>
    </row>
    <row r="161">
      <c r="A161">
        <f>IF(ISNA(MATCH(152,'Transfer Engine'!$C$2:$C$679,0)),"",INDEX('Compliance Database'!$A$2:$A$679,MATCH(152,'Transfer Engine'!$C$2:$C$679,0)))</f>
        <v/>
      </c>
      <c r="B161">
        <f>IF(ISNA(MATCH(152,'Transfer Engine'!$C$2:$C$679,0)),"",INDEX('Compliance Database'!$B$2:$B$679,MATCH(152,'Transfer Engine'!$C$2:$C$679,0)))</f>
        <v/>
      </c>
      <c r="C161">
        <f>IF(ISNA(MATCH(152,'Transfer Engine'!$C$2:$C$679,0)),"",INDEX('Compliance Database'!$C$2:$C$679,MATCH(152,'Transfer Engine'!$C$2:$C$679,0)))</f>
        <v/>
      </c>
      <c r="D161" s="8">
        <f>IF(ISNA(MATCH(152,'Transfer Engine'!$C$2:$C$679,0)),"",INDEX('Compliance Database'!$D$2:$D$679,MATCH(152,'Transfer Engine'!$C$2:$C$679,0)))</f>
        <v/>
      </c>
      <c r="E161">
        <f>IF(ISNA(MATCH(152,'Transfer Engine'!$C$2:$C$679,0)),"",INDEX('Compliance Database'!$E$2:$E$679,MATCH(152,'Transfer Engine'!$C$2:$C$679,0)))</f>
        <v/>
      </c>
      <c r="F161">
        <f>IF(ISNA(MATCH(152,'Transfer Engine'!$C$2:$C$679,0)),"",INDEX('Compliance Database'!$F$2:$F$679,MATCH(152,'Transfer Engine'!$C$2:$C$679,0)))</f>
        <v/>
      </c>
      <c r="G161">
        <f>IF(ISNA(MATCH(152,'Transfer Engine'!$C$2:$C$679,0)),"",INDEX('Compliance Database'!$G$2:$G$679,MATCH(152,'Transfer Engine'!$C$2:$C$679,0)))</f>
        <v/>
      </c>
      <c r="H161">
        <f>IF(ISNA(MATCH(152,'Transfer Engine'!$C$2:$C$679,0)),"",INDEX('Compliance Database'!$H$2:$H$679,MATCH(152,'Transfer Engine'!$C$2:$C$679,0)))</f>
        <v/>
      </c>
      <c r="I161" s="8">
        <f>IF(ISNA(MATCH(152,'Transfer Engine'!$C$2:$C$679,0)),"",INDEX('Compliance Database'!$I$2:$I$679,MATCH(152,'Transfer Engine'!$C$2:$C$679,0)))</f>
        <v/>
      </c>
      <c r="J161" s="8">
        <f>IF(ISNA(MATCH(152,'Transfer Engine'!$C$2:$C$679,0)),"",INDEX('Compliance Database'!$J$2:$J$679,MATCH(152,'Transfer Engine'!$C$2:$C$679,0)))</f>
        <v/>
      </c>
      <c r="K161">
        <f>IF(ISNA(MATCH(152,'Transfer Engine'!$C$2:$C$679,0)),"",INDEX('Compliance Database'!$K$2:$K$679,MATCH(152,'Transfer Engine'!$C$2:$C$679,0)))</f>
        <v/>
      </c>
      <c r="L161" s="8">
        <f>IF(ISNA(MATCH(152,'Transfer Engine'!$C$2:$C$679,0)),"",INDEX('Compliance Database'!$L$2:$L$679,MATCH(152,'Transfer Engine'!$C$2:$C$679,0)))</f>
        <v/>
      </c>
      <c r="M161" s="8">
        <f>IF(ISNA(MATCH(152,'Transfer Engine'!$C$2:$C$679,0)),"",INDEX('Compliance Database'!$M$2:$M$679,MATCH(152,'Transfer Engine'!$C$2:$C$679,0)))</f>
        <v/>
      </c>
      <c r="N161" s="8">
        <f>IF(ISNA(MATCH(152,'Transfer Engine'!$C$2:$C$679,0)),"",INDEX('Compliance Database'!$N$2:$N$679,MATCH(152,'Transfer Engine'!$C$2:$C$679,0)))</f>
        <v/>
      </c>
      <c r="O161" s="8">
        <f>IF(ISNA(MATCH(152,'Transfer Engine'!$C$2:$C$679,0)),"",INDEX('Compliance Database'!$O$2:$O$679,MATCH(152,'Transfer Engine'!$C$2:$C$679,0)))</f>
        <v/>
      </c>
      <c r="P161">
        <f>IF(ISNA(MATCH(152,'Transfer Engine'!$C$2:$C$679,0)),"",HYPERLINK(INDEX('Compliance Database'!$P$2:$P$679,MATCH(152,'Transfer Engine'!$C$2:$C$679,0)),"Open PDF"))</f>
        <v/>
      </c>
    </row>
    <row r="162">
      <c r="A162">
        <f>IF(ISNA(MATCH(153,'Transfer Engine'!$C$2:$C$679,0)),"",INDEX('Compliance Database'!$A$2:$A$679,MATCH(153,'Transfer Engine'!$C$2:$C$679,0)))</f>
        <v/>
      </c>
      <c r="B162">
        <f>IF(ISNA(MATCH(153,'Transfer Engine'!$C$2:$C$679,0)),"",INDEX('Compliance Database'!$B$2:$B$679,MATCH(153,'Transfer Engine'!$C$2:$C$679,0)))</f>
        <v/>
      </c>
      <c r="C162">
        <f>IF(ISNA(MATCH(153,'Transfer Engine'!$C$2:$C$679,0)),"",INDEX('Compliance Database'!$C$2:$C$679,MATCH(153,'Transfer Engine'!$C$2:$C$679,0)))</f>
        <v/>
      </c>
      <c r="D162" s="8">
        <f>IF(ISNA(MATCH(153,'Transfer Engine'!$C$2:$C$679,0)),"",INDEX('Compliance Database'!$D$2:$D$679,MATCH(153,'Transfer Engine'!$C$2:$C$679,0)))</f>
        <v/>
      </c>
      <c r="E162">
        <f>IF(ISNA(MATCH(153,'Transfer Engine'!$C$2:$C$679,0)),"",INDEX('Compliance Database'!$E$2:$E$679,MATCH(153,'Transfer Engine'!$C$2:$C$679,0)))</f>
        <v/>
      </c>
      <c r="F162">
        <f>IF(ISNA(MATCH(153,'Transfer Engine'!$C$2:$C$679,0)),"",INDEX('Compliance Database'!$F$2:$F$679,MATCH(153,'Transfer Engine'!$C$2:$C$679,0)))</f>
        <v/>
      </c>
      <c r="G162">
        <f>IF(ISNA(MATCH(153,'Transfer Engine'!$C$2:$C$679,0)),"",INDEX('Compliance Database'!$G$2:$G$679,MATCH(153,'Transfer Engine'!$C$2:$C$679,0)))</f>
        <v/>
      </c>
      <c r="H162">
        <f>IF(ISNA(MATCH(153,'Transfer Engine'!$C$2:$C$679,0)),"",INDEX('Compliance Database'!$H$2:$H$679,MATCH(153,'Transfer Engine'!$C$2:$C$679,0)))</f>
        <v/>
      </c>
      <c r="I162" s="8">
        <f>IF(ISNA(MATCH(153,'Transfer Engine'!$C$2:$C$679,0)),"",INDEX('Compliance Database'!$I$2:$I$679,MATCH(153,'Transfer Engine'!$C$2:$C$679,0)))</f>
        <v/>
      </c>
      <c r="J162" s="8">
        <f>IF(ISNA(MATCH(153,'Transfer Engine'!$C$2:$C$679,0)),"",INDEX('Compliance Database'!$J$2:$J$679,MATCH(153,'Transfer Engine'!$C$2:$C$679,0)))</f>
        <v/>
      </c>
      <c r="K162">
        <f>IF(ISNA(MATCH(153,'Transfer Engine'!$C$2:$C$679,0)),"",INDEX('Compliance Database'!$K$2:$K$679,MATCH(153,'Transfer Engine'!$C$2:$C$679,0)))</f>
        <v/>
      </c>
      <c r="L162" s="8">
        <f>IF(ISNA(MATCH(153,'Transfer Engine'!$C$2:$C$679,0)),"",INDEX('Compliance Database'!$L$2:$L$679,MATCH(153,'Transfer Engine'!$C$2:$C$679,0)))</f>
        <v/>
      </c>
      <c r="M162" s="8">
        <f>IF(ISNA(MATCH(153,'Transfer Engine'!$C$2:$C$679,0)),"",INDEX('Compliance Database'!$M$2:$M$679,MATCH(153,'Transfer Engine'!$C$2:$C$679,0)))</f>
        <v/>
      </c>
      <c r="N162" s="8">
        <f>IF(ISNA(MATCH(153,'Transfer Engine'!$C$2:$C$679,0)),"",INDEX('Compliance Database'!$N$2:$N$679,MATCH(153,'Transfer Engine'!$C$2:$C$679,0)))</f>
        <v/>
      </c>
      <c r="O162" s="8">
        <f>IF(ISNA(MATCH(153,'Transfer Engine'!$C$2:$C$679,0)),"",INDEX('Compliance Database'!$O$2:$O$679,MATCH(153,'Transfer Engine'!$C$2:$C$679,0)))</f>
        <v/>
      </c>
      <c r="P162">
        <f>IF(ISNA(MATCH(153,'Transfer Engine'!$C$2:$C$679,0)),"",HYPERLINK(INDEX('Compliance Database'!$P$2:$P$679,MATCH(153,'Transfer Engine'!$C$2:$C$679,0)),"Open PDF"))</f>
        <v/>
      </c>
    </row>
    <row r="163">
      <c r="A163">
        <f>IF(ISNA(MATCH(154,'Transfer Engine'!$C$2:$C$679,0)),"",INDEX('Compliance Database'!$A$2:$A$679,MATCH(154,'Transfer Engine'!$C$2:$C$679,0)))</f>
        <v/>
      </c>
      <c r="B163">
        <f>IF(ISNA(MATCH(154,'Transfer Engine'!$C$2:$C$679,0)),"",INDEX('Compliance Database'!$B$2:$B$679,MATCH(154,'Transfer Engine'!$C$2:$C$679,0)))</f>
        <v/>
      </c>
      <c r="C163">
        <f>IF(ISNA(MATCH(154,'Transfer Engine'!$C$2:$C$679,0)),"",INDEX('Compliance Database'!$C$2:$C$679,MATCH(154,'Transfer Engine'!$C$2:$C$679,0)))</f>
        <v/>
      </c>
      <c r="D163" s="8">
        <f>IF(ISNA(MATCH(154,'Transfer Engine'!$C$2:$C$679,0)),"",INDEX('Compliance Database'!$D$2:$D$679,MATCH(154,'Transfer Engine'!$C$2:$C$679,0)))</f>
        <v/>
      </c>
      <c r="E163">
        <f>IF(ISNA(MATCH(154,'Transfer Engine'!$C$2:$C$679,0)),"",INDEX('Compliance Database'!$E$2:$E$679,MATCH(154,'Transfer Engine'!$C$2:$C$679,0)))</f>
        <v/>
      </c>
      <c r="F163">
        <f>IF(ISNA(MATCH(154,'Transfer Engine'!$C$2:$C$679,0)),"",INDEX('Compliance Database'!$F$2:$F$679,MATCH(154,'Transfer Engine'!$C$2:$C$679,0)))</f>
        <v/>
      </c>
      <c r="G163">
        <f>IF(ISNA(MATCH(154,'Transfer Engine'!$C$2:$C$679,0)),"",INDEX('Compliance Database'!$G$2:$G$679,MATCH(154,'Transfer Engine'!$C$2:$C$679,0)))</f>
        <v/>
      </c>
      <c r="H163">
        <f>IF(ISNA(MATCH(154,'Transfer Engine'!$C$2:$C$679,0)),"",INDEX('Compliance Database'!$H$2:$H$679,MATCH(154,'Transfer Engine'!$C$2:$C$679,0)))</f>
        <v/>
      </c>
      <c r="I163" s="8">
        <f>IF(ISNA(MATCH(154,'Transfer Engine'!$C$2:$C$679,0)),"",INDEX('Compliance Database'!$I$2:$I$679,MATCH(154,'Transfer Engine'!$C$2:$C$679,0)))</f>
        <v/>
      </c>
      <c r="J163" s="8">
        <f>IF(ISNA(MATCH(154,'Transfer Engine'!$C$2:$C$679,0)),"",INDEX('Compliance Database'!$J$2:$J$679,MATCH(154,'Transfer Engine'!$C$2:$C$679,0)))</f>
        <v/>
      </c>
      <c r="K163">
        <f>IF(ISNA(MATCH(154,'Transfer Engine'!$C$2:$C$679,0)),"",INDEX('Compliance Database'!$K$2:$K$679,MATCH(154,'Transfer Engine'!$C$2:$C$679,0)))</f>
        <v/>
      </c>
      <c r="L163" s="8">
        <f>IF(ISNA(MATCH(154,'Transfer Engine'!$C$2:$C$679,0)),"",INDEX('Compliance Database'!$L$2:$L$679,MATCH(154,'Transfer Engine'!$C$2:$C$679,0)))</f>
        <v/>
      </c>
      <c r="M163" s="8">
        <f>IF(ISNA(MATCH(154,'Transfer Engine'!$C$2:$C$679,0)),"",INDEX('Compliance Database'!$M$2:$M$679,MATCH(154,'Transfer Engine'!$C$2:$C$679,0)))</f>
        <v/>
      </c>
      <c r="N163" s="8">
        <f>IF(ISNA(MATCH(154,'Transfer Engine'!$C$2:$C$679,0)),"",INDEX('Compliance Database'!$N$2:$N$679,MATCH(154,'Transfer Engine'!$C$2:$C$679,0)))</f>
        <v/>
      </c>
      <c r="O163" s="8">
        <f>IF(ISNA(MATCH(154,'Transfer Engine'!$C$2:$C$679,0)),"",INDEX('Compliance Database'!$O$2:$O$679,MATCH(154,'Transfer Engine'!$C$2:$C$679,0)))</f>
        <v/>
      </c>
      <c r="P163">
        <f>IF(ISNA(MATCH(154,'Transfer Engine'!$C$2:$C$679,0)),"",HYPERLINK(INDEX('Compliance Database'!$P$2:$P$679,MATCH(154,'Transfer Engine'!$C$2:$C$679,0)),"Open PDF"))</f>
        <v/>
      </c>
    </row>
    <row r="164">
      <c r="A164">
        <f>IF(ISNA(MATCH(155,'Transfer Engine'!$C$2:$C$679,0)),"",INDEX('Compliance Database'!$A$2:$A$679,MATCH(155,'Transfer Engine'!$C$2:$C$679,0)))</f>
        <v/>
      </c>
      <c r="B164">
        <f>IF(ISNA(MATCH(155,'Transfer Engine'!$C$2:$C$679,0)),"",INDEX('Compliance Database'!$B$2:$B$679,MATCH(155,'Transfer Engine'!$C$2:$C$679,0)))</f>
        <v/>
      </c>
      <c r="C164">
        <f>IF(ISNA(MATCH(155,'Transfer Engine'!$C$2:$C$679,0)),"",INDEX('Compliance Database'!$C$2:$C$679,MATCH(155,'Transfer Engine'!$C$2:$C$679,0)))</f>
        <v/>
      </c>
      <c r="D164" s="8">
        <f>IF(ISNA(MATCH(155,'Transfer Engine'!$C$2:$C$679,0)),"",INDEX('Compliance Database'!$D$2:$D$679,MATCH(155,'Transfer Engine'!$C$2:$C$679,0)))</f>
        <v/>
      </c>
      <c r="E164">
        <f>IF(ISNA(MATCH(155,'Transfer Engine'!$C$2:$C$679,0)),"",INDEX('Compliance Database'!$E$2:$E$679,MATCH(155,'Transfer Engine'!$C$2:$C$679,0)))</f>
        <v/>
      </c>
      <c r="F164">
        <f>IF(ISNA(MATCH(155,'Transfer Engine'!$C$2:$C$679,0)),"",INDEX('Compliance Database'!$F$2:$F$679,MATCH(155,'Transfer Engine'!$C$2:$C$679,0)))</f>
        <v/>
      </c>
      <c r="G164">
        <f>IF(ISNA(MATCH(155,'Transfer Engine'!$C$2:$C$679,0)),"",INDEX('Compliance Database'!$G$2:$G$679,MATCH(155,'Transfer Engine'!$C$2:$C$679,0)))</f>
        <v/>
      </c>
      <c r="H164">
        <f>IF(ISNA(MATCH(155,'Transfer Engine'!$C$2:$C$679,0)),"",INDEX('Compliance Database'!$H$2:$H$679,MATCH(155,'Transfer Engine'!$C$2:$C$679,0)))</f>
        <v/>
      </c>
      <c r="I164" s="8">
        <f>IF(ISNA(MATCH(155,'Transfer Engine'!$C$2:$C$679,0)),"",INDEX('Compliance Database'!$I$2:$I$679,MATCH(155,'Transfer Engine'!$C$2:$C$679,0)))</f>
        <v/>
      </c>
      <c r="J164" s="8">
        <f>IF(ISNA(MATCH(155,'Transfer Engine'!$C$2:$C$679,0)),"",INDEX('Compliance Database'!$J$2:$J$679,MATCH(155,'Transfer Engine'!$C$2:$C$679,0)))</f>
        <v/>
      </c>
      <c r="K164">
        <f>IF(ISNA(MATCH(155,'Transfer Engine'!$C$2:$C$679,0)),"",INDEX('Compliance Database'!$K$2:$K$679,MATCH(155,'Transfer Engine'!$C$2:$C$679,0)))</f>
        <v/>
      </c>
      <c r="L164" s="8">
        <f>IF(ISNA(MATCH(155,'Transfer Engine'!$C$2:$C$679,0)),"",INDEX('Compliance Database'!$L$2:$L$679,MATCH(155,'Transfer Engine'!$C$2:$C$679,0)))</f>
        <v/>
      </c>
      <c r="M164" s="8">
        <f>IF(ISNA(MATCH(155,'Transfer Engine'!$C$2:$C$679,0)),"",INDEX('Compliance Database'!$M$2:$M$679,MATCH(155,'Transfer Engine'!$C$2:$C$679,0)))</f>
        <v/>
      </c>
      <c r="N164" s="8">
        <f>IF(ISNA(MATCH(155,'Transfer Engine'!$C$2:$C$679,0)),"",INDEX('Compliance Database'!$N$2:$N$679,MATCH(155,'Transfer Engine'!$C$2:$C$679,0)))</f>
        <v/>
      </c>
      <c r="O164" s="8">
        <f>IF(ISNA(MATCH(155,'Transfer Engine'!$C$2:$C$679,0)),"",INDEX('Compliance Database'!$O$2:$O$679,MATCH(155,'Transfer Engine'!$C$2:$C$679,0)))</f>
        <v/>
      </c>
      <c r="P164">
        <f>IF(ISNA(MATCH(155,'Transfer Engine'!$C$2:$C$679,0)),"",HYPERLINK(INDEX('Compliance Database'!$P$2:$P$679,MATCH(155,'Transfer Engine'!$C$2:$C$679,0)),"Open PDF"))</f>
        <v/>
      </c>
    </row>
    <row r="165">
      <c r="A165">
        <f>IF(ISNA(MATCH(156,'Transfer Engine'!$C$2:$C$679,0)),"",INDEX('Compliance Database'!$A$2:$A$679,MATCH(156,'Transfer Engine'!$C$2:$C$679,0)))</f>
        <v/>
      </c>
      <c r="B165">
        <f>IF(ISNA(MATCH(156,'Transfer Engine'!$C$2:$C$679,0)),"",INDEX('Compliance Database'!$B$2:$B$679,MATCH(156,'Transfer Engine'!$C$2:$C$679,0)))</f>
        <v/>
      </c>
      <c r="C165">
        <f>IF(ISNA(MATCH(156,'Transfer Engine'!$C$2:$C$679,0)),"",INDEX('Compliance Database'!$C$2:$C$679,MATCH(156,'Transfer Engine'!$C$2:$C$679,0)))</f>
        <v/>
      </c>
      <c r="D165" s="8">
        <f>IF(ISNA(MATCH(156,'Transfer Engine'!$C$2:$C$679,0)),"",INDEX('Compliance Database'!$D$2:$D$679,MATCH(156,'Transfer Engine'!$C$2:$C$679,0)))</f>
        <v/>
      </c>
      <c r="E165">
        <f>IF(ISNA(MATCH(156,'Transfer Engine'!$C$2:$C$679,0)),"",INDEX('Compliance Database'!$E$2:$E$679,MATCH(156,'Transfer Engine'!$C$2:$C$679,0)))</f>
        <v/>
      </c>
      <c r="F165">
        <f>IF(ISNA(MATCH(156,'Transfer Engine'!$C$2:$C$679,0)),"",INDEX('Compliance Database'!$F$2:$F$679,MATCH(156,'Transfer Engine'!$C$2:$C$679,0)))</f>
        <v/>
      </c>
      <c r="G165">
        <f>IF(ISNA(MATCH(156,'Transfer Engine'!$C$2:$C$679,0)),"",INDEX('Compliance Database'!$G$2:$G$679,MATCH(156,'Transfer Engine'!$C$2:$C$679,0)))</f>
        <v/>
      </c>
      <c r="H165">
        <f>IF(ISNA(MATCH(156,'Transfer Engine'!$C$2:$C$679,0)),"",INDEX('Compliance Database'!$H$2:$H$679,MATCH(156,'Transfer Engine'!$C$2:$C$679,0)))</f>
        <v/>
      </c>
      <c r="I165" s="8">
        <f>IF(ISNA(MATCH(156,'Transfer Engine'!$C$2:$C$679,0)),"",INDEX('Compliance Database'!$I$2:$I$679,MATCH(156,'Transfer Engine'!$C$2:$C$679,0)))</f>
        <v/>
      </c>
      <c r="J165" s="8">
        <f>IF(ISNA(MATCH(156,'Transfer Engine'!$C$2:$C$679,0)),"",INDEX('Compliance Database'!$J$2:$J$679,MATCH(156,'Transfer Engine'!$C$2:$C$679,0)))</f>
        <v/>
      </c>
      <c r="K165">
        <f>IF(ISNA(MATCH(156,'Transfer Engine'!$C$2:$C$679,0)),"",INDEX('Compliance Database'!$K$2:$K$679,MATCH(156,'Transfer Engine'!$C$2:$C$679,0)))</f>
        <v/>
      </c>
      <c r="L165" s="8">
        <f>IF(ISNA(MATCH(156,'Transfer Engine'!$C$2:$C$679,0)),"",INDEX('Compliance Database'!$L$2:$L$679,MATCH(156,'Transfer Engine'!$C$2:$C$679,0)))</f>
        <v/>
      </c>
      <c r="M165" s="8">
        <f>IF(ISNA(MATCH(156,'Transfer Engine'!$C$2:$C$679,0)),"",INDEX('Compliance Database'!$M$2:$M$679,MATCH(156,'Transfer Engine'!$C$2:$C$679,0)))</f>
        <v/>
      </c>
      <c r="N165" s="8">
        <f>IF(ISNA(MATCH(156,'Transfer Engine'!$C$2:$C$679,0)),"",INDEX('Compliance Database'!$N$2:$N$679,MATCH(156,'Transfer Engine'!$C$2:$C$679,0)))</f>
        <v/>
      </c>
      <c r="O165" s="8">
        <f>IF(ISNA(MATCH(156,'Transfer Engine'!$C$2:$C$679,0)),"",INDEX('Compliance Database'!$O$2:$O$679,MATCH(156,'Transfer Engine'!$C$2:$C$679,0)))</f>
        <v/>
      </c>
      <c r="P165">
        <f>IF(ISNA(MATCH(156,'Transfer Engine'!$C$2:$C$679,0)),"",HYPERLINK(INDEX('Compliance Database'!$P$2:$P$679,MATCH(156,'Transfer Engine'!$C$2:$C$679,0)),"Open PDF"))</f>
        <v/>
      </c>
    </row>
    <row r="166">
      <c r="A166">
        <f>IF(ISNA(MATCH(157,'Transfer Engine'!$C$2:$C$679,0)),"",INDEX('Compliance Database'!$A$2:$A$679,MATCH(157,'Transfer Engine'!$C$2:$C$679,0)))</f>
        <v/>
      </c>
      <c r="B166">
        <f>IF(ISNA(MATCH(157,'Transfer Engine'!$C$2:$C$679,0)),"",INDEX('Compliance Database'!$B$2:$B$679,MATCH(157,'Transfer Engine'!$C$2:$C$679,0)))</f>
        <v/>
      </c>
      <c r="C166">
        <f>IF(ISNA(MATCH(157,'Transfer Engine'!$C$2:$C$679,0)),"",INDEX('Compliance Database'!$C$2:$C$679,MATCH(157,'Transfer Engine'!$C$2:$C$679,0)))</f>
        <v/>
      </c>
      <c r="D166" s="8">
        <f>IF(ISNA(MATCH(157,'Transfer Engine'!$C$2:$C$679,0)),"",INDEX('Compliance Database'!$D$2:$D$679,MATCH(157,'Transfer Engine'!$C$2:$C$679,0)))</f>
        <v/>
      </c>
      <c r="E166">
        <f>IF(ISNA(MATCH(157,'Transfer Engine'!$C$2:$C$679,0)),"",INDEX('Compliance Database'!$E$2:$E$679,MATCH(157,'Transfer Engine'!$C$2:$C$679,0)))</f>
        <v/>
      </c>
      <c r="F166">
        <f>IF(ISNA(MATCH(157,'Transfer Engine'!$C$2:$C$679,0)),"",INDEX('Compliance Database'!$F$2:$F$679,MATCH(157,'Transfer Engine'!$C$2:$C$679,0)))</f>
        <v/>
      </c>
      <c r="G166">
        <f>IF(ISNA(MATCH(157,'Transfer Engine'!$C$2:$C$679,0)),"",INDEX('Compliance Database'!$G$2:$G$679,MATCH(157,'Transfer Engine'!$C$2:$C$679,0)))</f>
        <v/>
      </c>
      <c r="H166">
        <f>IF(ISNA(MATCH(157,'Transfer Engine'!$C$2:$C$679,0)),"",INDEX('Compliance Database'!$H$2:$H$679,MATCH(157,'Transfer Engine'!$C$2:$C$679,0)))</f>
        <v/>
      </c>
      <c r="I166" s="8">
        <f>IF(ISNA(MATCH(157,'Transfer Engine'!$C$2:$C$679,0)),"",INDEX('Compliance Database'!$I$2:$I$679,MATCH(157,'Transfer Engine'!$C$2:$C$679,0)))</f>
        <v/>
      </c>
      <c r="J166" s="8">
        <f>IF(ISNA(MATCH(157,'Transfer Engine'!$C$2:$C$679,0)),"",INDEX('Compliance Database'!$J$2:$J$679,MATCH(157,'Transfer Engine'!$C$2:$C$679,0)))</f>
        <v/>
      </c>
      <c r="K166">
        <f>IF(ISNA(MATCH(157,'Transfer Engine'!$C$2:$C$679,0)),"",INDEX('Compliance Database'!$K$2:$K$679,MATCH(157,'Transfer Engine'!$C$2:$C$679,0)))</f>
        <v/>
      </c>
      <c r="L166" s="8">
        <f>IF(ISNA(MATCH(157,'Transfer Engine'!$C$2:$C$679,0)),"",INDEX('Compliance Database'!$L$2:$L$679,MATCH(157,'Transfer Engine'!$C$2:$C$679,0)))</f>
        <v/>
      </c>
      <c r="M166" s="8">
        <f>IF(ISNA(MATCH(157,'Transfer Engine'!$C$2:$C$679,0)),"",INDEX('Compliance Database'!$M$2:$M$679,MATCH(157,'Transfer Engine'!$C$2:$C$679,0)))</f>
        <v/>
      </c>
      <c r="N166" s="8">
        <f>IF(ISNA(MATCH(157,'Transfer Engine'!$C$2:$C$679,0)),"",INDEX('Compliance Database'!$N$2:$N$679,MATCH(157,'Transfer Engine'!$C$2:$C$679,0)))</f>
        <v/>
      </c>
      <c r="O166" s="8">
        <f>IF(ISNA(MATCH(157,'Transfer Engine'!$C$2:$C$679,0)),"",INDEX('Compliance Database'!$O$2:$O$679,MATCH(157,'Transfer Engine'!$C$2:$C$679,0)))</f>
        <v/>
      </c>
      <c r="P166">
        <f>IF(ISNA(MATCH(157,'Transfer Engine'!$C$2:$C$679,0)),"",HYPERLINK(INDEX('Compliance Database'!$P$2:$P$679,MATCH(157,'Transfer Engine'!$C$2:$C$679,0)),"Open PDF"))</f>
        <v/>
      </c>
    </row>
    <row r="167">
      <c r="A167">
        <f>IF(ISNA(MATCH(158,'Transfer Engine'!$C$2:$C$679,0)),"",INDEX('Compliance Database'!$A$2:$A$679,MATCH(158,'Transfer Engine'!$C$2:$C$679,0)))</f>
        <v/>
      </c>
      <c r="B167">
        <f>IF(ISNA(MATCH(158,'Transfer Engine'!$C$2:$C$679,0)),"",INDEX('Compliance Database'!$B$2:$B$679,MATCH(158,'Transfer Engine'!$C$2:$C$679,0)))</f>
        <v/>
      </c>
      <c r="C167">
        <f>IF(ISNA(MATCH(158,'Transfer Engine'!$C$2:$C$679,0)),"",INDEX('Compliance Database'!$C$2:$C$679,MATCH(158,'Transfer Engine'!$C$2:$C$679,0)))</f>
        <v/>
      </c>
      <c r="D167" s="8">
        <f>IF(ISNA(MATCH(158,'Transfer Engine'!$C$2:$C$679,0)),"",INDEX('Compliance Database'!$D$2:$D$679,MATCH(158,'Transfer Engine'!$C$2:$C$679,0)))</f>
        <v/>
      </c>
      <c r="E167">
        <f>IF(ISNA(MATCH(158,'Transfer Engine'!$C$2:$C$679,0)),"",INDEX('Compliance Database'!$E$2:$E$679,MATCH(158,'Transfer Engine'!$C$2:$C$679,0)))</f>
        <v/>
      </c>
      <c r="F167">
        <f>IF(ISNA(MATCH(158,'Transfer Engine'!$C$2:$C$679,0)),"",INDEX('Compliance Database'!$F$2:$F$679,MATCH(158,'Transfer Engine'!$C$2:$C$679,0)))</f>
        <v/>
      </c>
      <c r="G167">
        <f>IF(ISNA(MATCH(158,'Transfer Engine'!$C$2:$C$679,0)),"",INDEX('Compliance Database'!$G$2:$G$679,MATCH(158,'Transfer Engine'!$C$2:$C$679,0)))</f>
        <v/>
      </c>
      <c r="H167">
        <f>IF(ISNA(MATCH(158,'Transfer Engine'!$C$2:$C$679,0)),"",INDEX('Compliance Database'!$H$2:$H$679,MATCH(158,'Transfer Engine'!$C$2:$C$679,0)))</f>
        <v/>
      </c>
      <c r="I167" s="8">
        <f>IF(ISNA(MATCH(158,'Transfer Engine'!$C$2:$C$679,0)),"",INDEX('Compliance Database'!$I$2:$I$679,MATCH(158,'Transfer Engine'!$C$2:$C$679,0)))</f>
        <v/>
      </c>
      <c r="J167" s="8">
        <f>IF(ISNA(MATCH(158,'Transfer Engine'!$C$2:$C$679,0)),"",INDEX('Compliance Database'!$J$2:$J$679,MATCH(158,'Transfer Engine'!$C$2:$C$679,0)))</f>
        <v/>
      </c>
      <c r="K167">
        <f>IF(ISNA(MATCH(158,'Transfer Engine'!$C$2:$C$679,0)),"",INDEX('Compliance Database'!$K$2:$K$679,MATCH(158,'Transfer Engine'!$C$2:$C$679,0)))</f>
        <v/>
      </c>
      <c r="L167" s="8">
        <f>IF(ISNA(MATCH(158,'Transfer Engine'!$C$2:$C$679,0)),"",INDEX('Compliance Database'!$L$2:$L$679,MATCH(158,'Transfer Engine'!$C$2:$C$679,0)))</f>
        <v/>
      </c>
      <c r="M167" s="8">
        <f>IF(ISNA(MATCH(158,'Transfer Engine'!$C$2:$C$679,0)),"",INDEX('Compliance Database'!$M$2:$M$679,MATCH(158,'Transfer Engine'!$C$2:$C$679,0)))</f>
        <v/>
      </c>
      <c r="N167" s="8">
        <f>IF(ISNA(MATCH(158,'Transfer Engine'!$C$2:$C$679,0)),"",INDEX('Compliance Database'!$N$2:$N$679,MATCH(158,'Transfer Engine'!$C$2:$C$679,0)))</f>
        <v/>
      </c>
      <c r="O167" s="8">
        <f>IF(ISNA(MATCH(158,'Transfer Engine'!$C$2:$C$679,0)),"",INDEX('Compliance Database'!$O$2:$O$679,MATCH(158,'Transfer Engine'!$C$2:$C$679,0)))</f>
        <v/>
      </c>
      <c r="P167">
        <f>IF(ISNA(MATCH(158,'Transfer Engine'!$C$2:$C$679,0)),"",HYPERLINK(INDEX('Compliance Database'!$P$2:$P$679,MATCH(158,'Transfer Engine'!$C$2:$C$679,0)),"Open PDF"))</f>
        <v/>
      </c>
    </row>
    <row r="168">
      <c r="A168">
        <f>IF(ISNA(MATCH(159,'Transfer Engine'!$C$2:$C$679,0)),"",INDEX('Compliance Database'!$A$2:$A$679,MATCH(159,'Transfer Engine'!$C$2:$C$679,0)))</f>
        <v/>
      </c>
      <c r="B168">
        <f>IF(ISNA(MATCH(159,'Transfer Engine'!$C$2:$C$679,0)),"",INDEX('Compliance Database'!$B$2:$B$679,MATCH(159,'Transfer Engine'!$C$2:$C$679,0)))</f>
        <v/>
      </c>
      <c r="C168">
        <f>IF(ISNA(MATCH(159,'Transfer Engine'!$C$2:$C$679,0)),"",INDEX('Compliance Database'!$C$2:$C$679,MATCH(159,'Transfer Engine'!$C$2:$C$679,0)))</f>
        <v/>
      </c>
      <c r="D168" s="8">
        <f>IF(ISNA(MATCH(159,'Transfer Engine'!$C$2:$C$679,0)),"",INDEX('Compliance Database'!$D$2:$D$679,MATCH(159,'Transfer Engine'!$C$2:$C$679,0)))</f>
        <v/>
      </c>
      <c r="E168">
        <f>IF(ISNA(MATCH(159,'Transfer Engine'!$C$2:$C$679,0)),"",INDEX('Compliance Database'!$E$2:$E$679,MATCH(159,'Transfer Engine'!$C$2:$C$679,0)))</f>
        <v/>
      </c>
      <c r="F168">
        <f>IF(ISNA(MATCH(159,'Transfer Engine'!$C$2:$C$679,0)),"",INDEX('Compliance Database'!$F$2:$F$679,MATCH(159,'Transfer Engine'!$C$2:$C$679,0)))</f>
        <v/>
      </c>
      <c r="G168">
        <f>IF(ISNA(MATCH(159,'Transfer Engine'!$C$2:$C$679,0)),"",INDEX('Compliance Database'!$G$2:$G$679,MATCH(159,'Transfer Engine'!$C$2:$C$679,0)))</f>
        <v/>
      </c>
      <c r="H168">
        <f>IF(ISNA(MATCH(159,'Transfer Engine'!$C$2:$C$679,0)),"",INDEX('Compliance Database'!$H$2:$H$679,MATCH(159,'Transfer Engine'!$C$2:$C$679,0)))</f>
        <v/>
      </c>
      <c r="I168" s="8">
        <f>IF(ISNA(MATCH(159,'Transfer Engine'!$C$2:$C$679,0)),"",INDEX('Compliance Database'!$I$2:$I$679,MATCH(159,'Transfer Engine'!$C$2:$C$679,0)))</f>
        <v/>
      </c>
      <c r="J168" s="8">
        <f>IF(ISNA(MATCH(159,'Transfer Engine'!$C$2:$C$679,0)),"",INDEX('Compliance Database'!$J$2:$J$679,MATCH(159,'Transfer Engine'!$C$2:$C$679,0)))</f>
        <v/>
      </c>
      <c r="K168">
        <f>IF(ISNA(MATCH(159,'Transfer Engine'!$C$2:$C$679,0)),"",INDEX('Compliance Database'!$K$2:$K$679,MATCH(159,'Transfer Engine'!$C$2:$C$679,0)))</f>
        <v/>
      </c>
      <c r="L168" s="8">
        <f>IF(ISNA(MATCH(159,'Transfer Engine'!$C$2:$C$679,0)),"",INDEX('Compliance Database'!$L$2:$L$679,MATCH(159,'Transfer Engine'!$C$2:$C$679,0)))</f>
        <v/>
      </c>
      <c r="M168" s="8">
        <f>IF(ISNA(MATCH(159,'Transfer Engine'!$C$2:$C$679,0)),"",INDEX('Compliance Database'!$M$2:$M$679,MATCH(159,'Transfer Engine'!$C$2:$C$679,0)))</f>
        <v/>
      </c>
      <c r="N168" s="8">
        <f>IF(ISNA(MATCH(159,'Transfer Engine'!$C$2:$C$679,0)),"",INDEX('Compliance Database'!$N$2:$N$679,MATCH(159,'Transfer Engine'!$C$2:$C$679,0)))</f>
        <v/>
      </c>
      <c r="O168" s="8">
        <f>IF(ISNA(MATCH(159,'Transfer Engine'!$C$2:$C$679,0)),"",INDEX('Compliance Database'!$O$2:$O$679,MATCH(159,'Transfer Engine'!$C$2:$C$679,0)))</f>
        <v/>
      </c>
      <c r="P168">
        <f>IF(ISNA(MATCH(159,'Transfer Engine'!$C$2:$C$679,0)),"",HYPERLINK(INDEX('Compliance Database'!$P$2:$P$679,MATCH(159,'Transfer Engine'!$C$2:$C$679,0)),"Open PDF"))</f>
        <v/>
      </c>
    </row>
    <row r="169">
      <c r="A169">
        <f>IF(ISNA(MATCH(160,'Transfer Engine'!$C$2:$C$679,0)),"",INDEX('Compliance Database'!$A$2:$A$679,MATCH(160,'Transfer Engine'!$C$2:$C$679,0)))</f>
        <v/>
      </c>
      <c r="B169">
        <f>IF(ISNA(MATCH(160,'Transfer Engine'!$C$2:$C$679,0)),"",INDEX('Compliance Database'!$B$2:$B$679,MATCH(160,'Transfer Engine'!$C$2:$C$679,0)))</f>
        <v/>
      </c>
      <c r="C169">
        <f>IF(ISNA(MATCH(160,'Transfer Engine'!$C$2:$C$679,0)),"",INDEX('Compliance Database'!$C$2:$C$679,MATCH(160,'Transfer Engine'!$C$2:$C$679,0)))</f>
        <v/>
      </c>
      <c r="D169" s="8">
        <f>IF(ISNA(MATCH(160,'Transfer Engine'!$C$2:$C$679,0)),"",INDEX('Compliance Database'!$D$2:$D$679,MATCH(160,'Transfer Engine'!$C$2:$C$679,0)))</f>
        <v/>
      </c>
      <c r="E169">
        <f>IF(ISNA(MATCH(160,'Transfer Engine'!$C$2:$C$679,0)),"",INDEX('Compliance Database'!$E$2:$E$679,MATCH(160,'Transfer Engine'!$C$2:$C$679,0)))</f>
        <v/>
      </c>
      <c r="F169">
        <f>IF(ISNA(MATCH(160,'Transfer Engine'!$C$2:$C$679,0)),"",INDEX('Compliance Database'!$F$2:$F$679,MATCH(160,'Transfer Engine'!$C$2:$C$679,0)))</f>
        <v/>
      </c>
      <c r="G169">
        <f>IF(ISNA(MATCH(160,'Transfer Engine'!$C$2:$C$679,0)),"",INDEX('Compliance Database'!$G$2:$G$679,MATCH(160,'Transfer Engine'!$C$2:$C$679,0)))</f>
        <v/>
      </c>
      <c r="H169">
        <f>IF(ISNA(MATCH(160,'Transfer Engine'!$C$2:$C$679,0)),"",INDEX('Compliance Database'!$H$2:$H$679,MATCH(160,'Transfer Engine'!$C$2:$C$679,0)))</f>
        <v/>
      </c>
      <c r="I169" s="8">
        <f>IF(ISNA(MATCH(160,'Transfer Engine'!$C$2:$C$679,0)),"",INDEX('Compliance Database'!$I$2:$I$679,MATCH(160,'Transfer Engine'!$C$2:$C$679,0)))</f>
        <v/>
      </c>
      <c r="J169" s="8">
        <f>IF(ISNA(MATCH(160,'Transfer Engine'!$C$2:$C$679,0)),"",INDEX('Compliance Database'!$J$2:$J$679,MATCH(160,'Transfer Engine'!$C$2:$C$679,0)))</f>
        <v/>
      </c>
      <c r="K169">
        <f>IF(ISNA(MATCH(160,'Transfer Engine'!$C$2:$C$679,0)),"",INDEX('Compliance Database'!$K$2:$K$679,MATCH(160,'Transfer Engine'!$C$2:$C$679,0)))</f>
        <v/>
      </c>
      <c r="L169" s="8">
        <f>IF(ISNA(MATCH(160,'Transfer Engine'!$C$2:$C$679,0)),"",INDEX('Compliance Database'!$L$2:$L$679,MATCH(160,'Transfer Engine'!$C$2:$C$679,0)))</f>
        <v/>
      </c>
      <c r="M169" s="8">
        <f>IF(ISNA(MATCH(160,'Transfer Engine'!$C$2:$C$679,0)),"",INDEX('Compliance Database'!$M$2:$M$679,MATCH(160,'Transfer Engine'!$C$2:$C$679,0)))</f>
        <v/>
      </c>
      <c r="N169" s="8">
        <f>IF(ISNA(MATCH(160,'Transfer Engine'!$C$2:$C$679,0)),"",INDEX('Compliance Database'!$N$2:$N$679,MATCH(160,'Transfer Engine'!$C$2:$C$679,0)))</f>
        <v/>
      </c>
      <c r="O169" s="8">
        <f>IF(ISNA(MATCH(160,'Transfer Engine'!$C$2:$C$679,0)),"",INDEX('Compliance Database'!$O$2:$O$679,MATCH(160,'Transfer Engine'!$C$2:$C$679,0)))</f>
        <v/>
      </c>
      <c r="P169">
        <f>IF(ISNA(MATCH(160,'Transfer Engine'!$C$2:$C$679,0)),"",HYPERLINK(INDEX('Compliance Database'!$P$2:$P$679,MATCH(160,'Transfer Engine'!$C$2:$C$679,0)),"Open PDF"))</f>
        <v/>
      </c>
    </row>
    <row r="170">
      <c r="A170">
        <f>IF(ISNA(MATCH(161,'Transfer Engine'!$C$2:$C$679,0)),"",INDEX('Compliance Database'!$A$2:$A$679,MATCH(161,'Transfer Engine'!$C$2:$C$679,0)))</f>
        <v/>
      </c>
      <c r="B170">
        <f>IF(ISNA(MATCH(161,'Transfer Engine'!$C$2:$C$679,0)),"",INDEX('Compliance Database'!$B$2:$B$679,MATCH(161,'Transfer Engine'!$C$2:$C$679,0)))</f>
        <v/>
      </c>
      <c r="C170">
        <f>IF(ISNA(MATCH(161,'Transfer Engine'!$C$2:$C$679,0)),"",INDEX('Compliance Database'!$C$2:$C$679,MATCH(161,'Transfer Engine'!$C$2:$C$679,0)))</f>
        <v/>
      </c>
      <c r="D170" s="8">
        <f>IF(ISNA(MATCH(161,'Transfer Engine'!$C$2:$C$679,0)),"",INDEX('Compliance Database'!$D$2:$D$679,MATCH(161,'Transfer Engine'!$C$2:$C$679,0)))</f>
        <v/>
      </c>
      <c r="E170">
        <f>IF(ISNA(MATCH(161,'Transfer Engine'!$C$2:$C$679,0)),"",INDEX('Compliance Database'!$E$2:$E$679,MATCH(161,'Transfer Engine'!$C$2:$C$679,0)))</f>
        <v/>
      </c>
      <c r="F170">
        <f>IF(ISNA(MATCH(161,'Transfer Engine'!$C$2:$C$679,0)),"",INDEX('Compliance Database'!$F$2:$F$679,MATCH(161,'Transfer Engine'!$C$2:$C$679,0)))</f>
        <v/>
      </c>
      <c r="G170">
        <f>IF(ISNA(MATCH(161,'Transfer Engine'!$C$2:$C$679,0)),"",INDEX('Compliance Database'!$G$2:$G$679,MATCH(161,'Transfer Engine'!$C$2:$C$679,0)))</f>
        <v/>
      </c>
      <c r="H170">
        <f>IF(ISNA(MATCH(161,'Transfer Engine'!$C$2:$C$679,0)),"",INDEX('Compliance Database'!$H$2:$H$679,MATCH(161,'Transfer Engine'!$C$2:$C$679,0)))</f>
        <v/>
      </c>
      <c r="I170" s="8">
        <f>IF(ISNA(MATCH(161,'Transfer Engine'!$C$2:$C$679,0)),"",INDEX('Compliance Database'!$I$2:$I$679,MATCH(161,'Transfer Engine'!$C$2:$C$679,0)))</f>
        <v/>
      </c>
      <c r="J170" s="8">
        <f>IF(ISNA(MATCH(161,'Transfer Engine'!$C$2:$C$679,0)),"",INDEX('Compliance Database'!$J$2:$J$679,MATCH(161,'Transfer Engine'!$C$2:$C$679,0)))</f>
        <v/>
      </c>
      <c r="K170">
        <f>IF(ISNA(MATCH(161,'Transfer Engine'!$C$2:$C$679,0)),"",INDEX('Compliance Database'!$K$2:$K$679,MATCH(161,'Transfer Engine'!$C$2:$C$679,0)))</f>
        <v/>
      </c>
      <c r="L170" s="8">
        <f>IF(ISNA(MATCH(161,'Transfer Engine'!$C$2:$C$679,0)),"",INDEX('Compliance Database'!$L$2:$L$679,MATCH(161,'Transfer Engine'!$C$2:$C$679,0)))</f>
        <v/>
      </c>
      <c r="M170" s="8">
        <f>IF(ISNA(MATCH(161,'Transfer Engine'!$C$2:$C$679,0)),"",INDEX('Compliance Database'!$M$2:$M$679,MATCH(161,'Transfer Engine'!$C$2:$C$679,0)))</f>
        <v/>
      </c>
      <c r="N170" s="8">
        <f>IF(ISNA(MATCH(161,'Transfer Engine'!$C$2:$C$679,0)),"",INDEX('Compliance Database'!$N$2:$N$679,MATCH(161,'Transfer Engine'!$C$2:$C$679,0)))</f>
        <v/>
      </c>
      <c r="O170" s="8">
        <f>IF(ISNA(MATCH(161,'Transfer Engine'!$C$2:$C$679,0)),"",INDEX('Compliance Database'!$O$2:$O$679,MATCH(161,'Transfer Engine'!$C$2:$C$679,0)))</f>
        <v/>
      </c>
      <c r="P170">
        <f>IF(ISNA(MATCH(161,'Transfer Engine'!$C$2:$C$679,0)),"",HYPERLINK(INDEX('Compliance Database'!$P$2:$P$679,MATCH(161,'Transfer Engine'!$C$2:$C$679,0)),"Open PDF"))</f>
        <v/>
      </c>
    </row>
    <row r="171">
      <c r="A171">
        <f>IF(ISNA(MATCH(162,'Transfer Engine'!$C$2:$C$679,0)),"",INDEX('Compliance Database'!$A$2:$A$679,MATCH(162,'Transfer Engine'!$C$2:$C$679,0)))</f>
        <v/>
      </c>
      <c r="B171">
        <f>IF(ISNA(MATCH(162,'Transfer Engine'!$C$2:$C$679,0)),"",INDEX('Compliance Database'!$B$2:$B$679,MATCH(162,'Transfer Engine'!$C$2:$C$679,0)))</f>
        <v/>
      </c>
      <c r="C171">
        <f>IF(ISNA(MATCH(162,'Transfer Engine'!$C$2:$C$679,0)),"",INDEX('Compliance Database'!$C$2:$C$679,MATCH(162,'Transfer Engine'!$C$2:$C$679,0)))</f>
        <v/>
      </c>
      <c r="D171" s="8">
        <f>IF(ISNA(MATCH(162,'Transfer Engine'!$C$2:$C$679,0)),"",INDEX('Compliance Database'!$D$2:$D$679,MATCH(162,'Transfer Engine'!$C$2:$C$679,0)))</f>
        <v/>
      </c>
      <c r="E171">
        <f>IF(ISNA(MATCH(162,'Transfer Engine'!$C$2:$C$679,0)),"",INDEX('Compliance Database'!$E$2:$E$679,MATCH(162,'Transfer Engine'!$C$2:$C$679,0)))</f>
        <v/>
      </c>
      <c r="F171">
        <f>IF(ISNA(MATCH(162,'Transfer Engine'!$C$2:$C$679,0)),"",INDEX('Compliance Database'!$F$2:$F$679,MATCH(162,'Transfer Engine'!$C$2:$C$679,0)))</f>
        <v/>
      </c>
      <c r="G171">
        <f>IF(ISNA(MATCH(162,'Transfer Engine'!$C$2:$C$679,0)),"",INDEX('Compliance Database'!$G$2:$G$679,MATCH(162,'Transfer Engine'!$C$2:$C$679,0)))</f>
        <v/>
      </c>
      <c r="H171">
        <f>IF(ISNA(MATCH(162,'Transfer Engine'!$C$2:$C$679,0)),"",INDEX('Compliance Database'!$H$2:$H$679,MATCH(162,'Transfer Engine'!$C$2:$C$679,0)))</f>
        <v/>
      </c>
      <c r="I171" s="8">
        <f>IF(ISNA(MATCH(162,'Transfer Engine'!$C$2:$C$679,0)),"",INDEX('Compliance Database'!$I$2:$I$679,MATCH(162,'Transfer Engine'!$C$2:$C$679,0)))</f>
        <v/>
      </c>
      <c r="J171" s="8">
        <f>IF(ISNA(MATCH(162,'Transfer Engine'!$C$2:$C$679,0)),"",INDEX('Compliance Database'!$J$2:$J$679,MATCH(162,'Transfer Engine'!$C$2:$C$679,0)))</f>
        <v/>
      </c>
      <c r="K171">
        <f>IF(ISNA(MATCH(162,'Transfer Engine'!$C$2:$C$679,0)),"",INDEX('Compliance Database'!$K$2:$K$679,MATCH(162,'Transfer Engine'!$C$2:$C$679,0)))</f>
        <v/>
      </c>
      <c r="L171" s="8">
        <f>IF(ISNA(MATCH(162,'Transfer Engine'!$C$2:$C$679,0)),"",INDEX('Compliance Database'!$L$2:$L$679,MATCH(162,'Transfer Engine'!$C$2:$C$679,0)))</f>
        <v/>
      </c>
      <c r="M171" s="8">
        <f>IF(ISNA(MATCH(162,'Transfer Engine'!$C$2:$C$679,0)),"",INDEX('Compliance Database'!$M$2:$M$679,MATCH(162,'Transfer Engine'!$C$2:$C$679,0)))</f>
        <v/>
      </c>
      <c r="N171" s="8">
        <f>IF(ISNA(MATCH(162,'Transfer Engine'!$C$2:$C$679,0)),"",INDEX('Compliance Database'!$N$2:$N$679,MATCH(162,'Transfer Engine'!$C$2:$C$679,0)))</f>
        <v/>
      </c>
      <c r="O171" s="8">
        <f>IF(ISNA(MATCH(162,'Transfer Engine'!$C$2:$C$679,0)),"",INDEX('Compliance Database'!$O$2:$O$679,MATCH(162,'Transfer Engine'!$C$2:$C$679,0)))</f>
        <v/>
      </c>
      <c r="P171">
        <f>IF(ISNA(MATCH(162,'Transfer Engine'!$C$2:$C$679,0)),"",HYPERLINK(INDEX('Compliance Database'!$P$2:$P$679,MATCH(162,'Transfer Engine'!$C$2:$C$679,0)),"Open PDF"))</f>
        <v/>
      </c>
    </row>
    <row r="172">
      <c r="A172">
        <f>IF(ISNA(MATCH(163,'Transfer Engine'!$C$2:$C$679,0)),"",INDEX('Compliance Database'!$A$2:$A$679,MATCH(163,'Transfer Engine'!$C$2:$C$679,0)))</f>
        <v/>
      </c>
      <c r="B172">
        <f>IF(ISNA(MATCH(163,'Transfer Engine'!$C$2:$C$679,0)),"",INDEX('Compliance Database'!$B$2:$B$679,MATCH(163,'Transfer Engine'!$C$2:$C$679,0)))</f>
        <v/>
      </c>
      <c r="C172">
        <f>IF(ISNA(MATCH(163,'Transfer Engine'!$C$2:$C$679,0)),"",INDEX('Compliance Database'!$C$2:$C$679,MATCH(163,'Transfer Engine'!$C$2:$C$679,0)))</f>
        <v/>
      </c>
      <c r="D172" s="8">
        <f>IF(ISNA(MATCH(163,'Transfer Engine'!$C$2:$C$679,0)),"",INDEX('Compliance Database'!$D$2:$D$679,MATCH(163,'Transfer Engine'!$C$2:$C$679,0)))</f>
        <v/>
      </c>
      <c r="E172">
        <f>IF(ISNA(MATCH(163,'Transfer Engine'!$C$2:$C$679,0)),"",INDEX('Compliance Database'!$E$2:$E$679,MATCH(163,'Transfer Engine'!$C$2:$C$679,0)))</f>
        <v/>
      </c>
      <c r="F172">
        <f>IF(ISNA(MATCH(163,'Transfer Engine'!$C$2:$C$679,0)),"",INDEX('Compliance Database'!$F$2:$F$679,MATCH(163,'Transfer Engine'!$C$2:$C$679,0)))</f>
        <v/>
      </c>
      <c r="G172">
        <f>IF(ISNA(MATCH(163,'Transfer Engine'!$C$2:$C$679,0)),"",INDEX('Compliance Database'!$G$2:$G$679,MATCH(163,'Transfer Engine'!$C$2:$C$679,0)))</f>
        <v/>
      </c>
      <c r="H172">
        <f>IF(ISNA(MATCH(163,'Transfer Engine'!$C$2:$C$679,0)),"",INDEX('Compliance Database'!$H$2:$H$679,MATCH(163,'Transfer Engine'!$C$2:$C$679,0)))</f>
        <v/>
      </c>
      <c r="I172" s="8">
        <f>IF(ISNA(MATCH(163,'Transfer Engine'!$C$2:$C$679,0)),"",INDEX('Compliance Database'!$I$2:$I$679,MATCH(163,'Transfer Engine'!$C$2:$C$679,0)))</f>
        <v/>
      </c>
      <c r="J172" s="8">
        <f>IF(ISNA(MATCH(163,'Transfer Engine'!$C$2:$C$679,0)),"",INDEX('Compliance Database'!$J$2:$J$679,MATCH(163,'Transfer Engine'!$C$2:$C$679,0)))</f>
        <v/>
      </c>
      <c r="K172">
        <f>IF(ISNA(MATCH(163,'Transfer Engine'!$C$2:$C$679,0)),"",INDEX('Compliance Database'!$K$2:$K$679,MATCH(163,'Transfer Engine'!$C$2:$C$679,0)))</f>
        <v/>
      </c>
      <c r="L172" s="8">
        <f>IF(ISNA(MATCH(163,'Transfer Engine'!$C$2:$C$679,0)),"",INDEX('Compliance Database'!$L$2:$L$679,MATCH(163,'Transfer Engine'!$C$2:$C$679,0)))</f>
        <v/>
      </c>
      <c r="M172" s="8">
        <f>IF(ISNA(MATCH(163,'Transfer Engine'!$C$2:$C$679,0)),"",INDEX('Compliance Database'!$M$2:$M$679,MATCH(163,'Transfer Engine'!$C$2:$C$679,0)))</f>
        <v/>
      </c>
      <c r="N172" s="8">
        <f>IF(ISNA(MATCH(163,'Transfer Engine'!$C$2:$C$679,0)),"",INDEX('Compliance Database'!$N$2:$N$679,MATCH(163,'Transfer Engine'!$C$2:$C$679,0)))</f>
        <v/>
      </c>
      <c r="O172" s="8">
        <f>IF(ISNA(MATCH(163,'Transfer Engine'!$C$2:$C$679,0)),"",INDEX('Compliance Database'!$O$2:$O$679,MATCH(163,'Transfer Engine'!$C$2:$C$679,0)))</f>
        <v/>
      </c>
      <c r="P172">
        <f>IF(ISNA(MATCH(163,'Transfer Engine'!$C$2:$C$679,0)),"",HYPERLINK(INDEX('Compliance Database'!$P$2:$P$679,MATCH(163,'Transfer Engine'!$C$2:$C$679,0)),"Open PDF"))</f>
        <v/>
      </c>
    </row>
    <row r="173">
      <c r="A173">
        <f>IF(ISNA(MATCH(164,'Transfer Engine'!$C$2:$C$679,0)),"",INDEX('Compliance Database'!$A$2:$A$679,MATCH(164,'Transfer Engine'!$C$2:$C$679,0)))</f>
        <v/>
      </c>
      <c r="B173">
        <f>IF(ISNA(MATCH(164,'Transfer Engine'!$C$2:$C$679,0)),"",INDEX('Compliance Database'!$B$2:$B$679,MATCH(164,'Transfer Engine'!$C$2:$C$679,0)))</f>
        <v/>
      </c>
      <c r="C173">
        <f>IF(ISNA(MATCH(164,'Transfer Engine'!$C$2:$C$679,0)),"",INDEX('Compliance Database'!$C$2:$C$679,MATCH(164,'Transfer Engine'!$C$2:$C$679,0)))</f>
        <v/>
      </c>
      <c r="D173" s="8">
        <f>IF(ISNA(MATCH(164,'Transfer Engine'!$C$2:$C$679,0)),"",INDEX('Compliance Database'!$D$2:$D$679,MATCH(164,'Transfer Engine'!$C$2:$C$679,0)))</f>
        <v/>
      </c>
      <c r="E173">
        <f>IF(ISNA(MATCH(164,'Transfer Engine'!$C$2:$C$679,0)),"",INDEX('Compliance Database'!$E$2:$E$679,MATCH(164,'Transfer Engine'!$C$2:$C$679,0)))</f>
        <v/>
      </c>
      <c r="F173">
        <f>IF(ISNA(MATCH(164,'Transfer Engine'!$C$2:$C$679,0)),"",INDEX('Compliance Database'!$F$2:$F$679,MATCH(164,'Transfer Engine'!$C$2:$C$679,0)))</f>
        <v/>
      </c>
      <c r="G173">
        <f>IF(ISNA(MATCH(164,'Transfer Engine'!$C$2:$C$679,0)),"",INDEX('Compliance Database'!$G$2:$G$679,MATCH(164,'Transfer Engine'!$C$2:$C$679,0)))</f>
        <v/>
      </c>
      <c r="H173">
        <f>IF(ISNA(MATCH(164,'Transfer Engine'!$C$2:$C$679,0)),"",INDEX('Compliance Database'!$H$2:$H$679,MATCH(164,'Transfer Engine'!$C$2:$C$679,0)))</f>
        <v/>
      </c>
      <c r="I173" s="8">
        <f>IF(ISNA(MATCH(164,'Transfer Engine'!$C$2:$C$679,0)),"",INDEX('Compliance Database'!$I$2:$I$679,MATCH(164,'Transfer Engine'!$C$2:$C$679,0)))</f>
        <v/>
      </c>
      <c r="J173" s="8">
        <f>IF(ISNA(MATCH(164,'Transfer Engine'!$C$2:$C$679,0)),"",INDEX('Compliance Database'!$J$2:$J$679,MATCH(164,'Transfer Engine'!$C$2:$C$679,0)))</f>
        <v/>
      </c>
      <c r="K173">
        <f>IF(ISNA(MATCH(164,'Transfer Engine'!$C$2:$C$679,0)),"",INDEX('Compliance Database'!$K$2:$K$679,MATCH(164,'Transfer Engine'!$C$2:$C$679,0)))</f>
        <v/>
      </c>
      <c r="L173" s="8">
        <f>IF(ISNA(MATCH(164,'Transfer Engine'!$C$2:$C$679,0)),"",INDEX('Compliance Database'!$L$2:$L$679,MATCH(164,'Transfer Engine'!$C$2:$C$679,0)))</f>
        <v/>
      </c>
      <c r="M173" s="8">
        <f>IF(ISNA(MATCH(164,'Transfer Engine'!$C$2:$C$679,0)),"",INDEX('Compliance Database'!$M$2:$M$679,MATCH(164,'Transfer Engine'!$C$2:$C$679,0)))</f>
        <v/>
      </c>
      <c r="N173" s="8">
        <f>IF(ISNA(MATCH(164,'Transfer Engine'!$C$2:$C$679,0)),"",INDEX('Compliance Database'!$N$2:$N$679,MATCH(164,'Transfer Engine'!$C$2:$C$679,0)))</f>
        <v/>
      </c>
      <c r="O173" s="8">
        <f>IF(ISNA(MATCH(164,'Transfer Engine'!$C$2:$C$679,0)),"",INDEX('Compliance Database'!$O$2:$O$679,MATCH(164,'Transfer Engine'!$C$2:$C$679,0)))</f>
        <v/>
      </c>
      <c r="P173">
        <f>IF(ISNA(MATCH(164,'Transfer Engine'!$C$2:$C$679,0)),"",HYPERLINK(INDEX('Compliance Database'!$P$2:$P$679,MATCH(164,'Transfer Engine'!$C$2:$C$679,0)),"Open PDF"))</f>
        <v/>
      </c>
    </row>
    <row r="174">
      <c r="A174">
        <f>IF(ISNA(MATCH(165,'Transfer Engine'!$C$2:$C$679,0)),"",INDEX('Compliance Database'!$A$2:$A$679,MATCH(165,'Transfer Engine'!$C$2:$C$679,0)))</f>
        <v/>
      </c>
      <c r="B174">
        <f>IF(ISNA(MATCH(165,'Transfer Engine'!$C$2:$C$679,0)),"",INDEX('Compliance Database'!$B$2:$B$679,MATCH(165,'Transfer Engine'!$C$2:$C$679,0)))</f>
        <v/>
      </c>
      <c r="C174">
        <f>IF(ISNA(MATCH(165,'Transfer Engine'!$C$2:$C$679,0)),"",INDEX('Compliance Database'!$C$2:$C$679,MATCH(165,'Transfer Engine'!$C$2:$C$679,0)))</f>
        <v/>
      </c>
      <c r="D174" s="8">
        <f>IF(ISNA(MATCH(165,'Transfer Engine'!$C$2:$C$679,0)),"",INDEX('Compliance Database'!$D$2:$D$679,MATCH(165,'Transfer Engine'!$C$2:$C$679,0)))</f>
        <v/>
      </c>
      <c r="E174">
        <f>IF(ISNA(MATCH(165,'Transfer Engine'!$C$2:$C$679,0)),"",INDEX('Compliance Database'!$E$2:$E$679,MATCH(165,'Transfer Engine'!$C$2:$C$679,0)))</f>
        <v/>
      </c>
      <c r="F174">
        <f>IF(ISNA(MATCH(165,'Transfer Engine'!$C$2:$C$679,0)),"",INDEX('Compliance Database'!$F$2:$F$679,MATCH(165,'Transfer Engine'!$C$2:$C$679,0)))</f>
        <v/>
      </c>
      <c r="G174">
        <f>IF(ISNA(MATCH(165,'Transfer Engine'!$C$2:$C$679,0)),"",INDEX('Compliance Database'!$G$2:$G$679,MATCH(165,'Transfer Engine'!$C$2:$C$679,0)))</f>
        <v/>
      </c>
      <c r="H174">
        <f>IF(ISNA(MATCH(165,'Transfer Engine'!$C$2:$C$679,0)),"",INDEX('Compliance Database'!$H$2:$H$679,MATCH(165,'Transfer Engine'!$C$2:$C$679,0)))</f>
        <v/>
      </c>
      <c r="I174" s="8">
        <f>IF(ISNA(MATCH(165,'Transfer Engine'!$C$2:$C$679,0)),"",INDEX('Compliance Database'!$I$2:$I$679,MATCH(165,'Transfer Engine'!$C$2:$C$679,0)))</f>
        <v/>
      </c>
      <c r="J174" s="8">
        <f>IF(ISNA(MATCH(165,'Transfer Engine'!$C$2:$C$679,0)),"",INDEX('Compliance Database'!$J$2:$J$679,MATCH(165,'Transfer Engine'!$C$2:$C$679,0)))</f>
        <v/>
      </c>
      <c r="K174">
        <f>IF(ISNA(MATCH(165,'Transfer Engine'!$C$2:$C$679,0)),"",INDEX('Compliance Database'!$K$2:$K$679,MATCH(165,'Transfer Engine'!$C$2:$C$679,0)))</f>
        <v/>
      </c>
      <c r="L174" s="8">
        <f>IF(ISNA(MATCH(165,'Transfer Engine'!$C$2:$C$679,0)),"",INDEX('Compliance Database'!$L$2:$L$679,MATCH(165,'Transfer Engine'!$C$2:$C$679,0)))</f>
        <v/>
      </c>
      <c r="M174" s="8">
        <f>IF(ISNA(MATCH(165,'Transfer Engine'!$C$2:$C$679,0)),"",INDEX('Compliance Database'!$M$2:$M$679,MATCH(165,'Transfer Engine'!$C$2:$C$679,0)))</f>
        <v/>
      </c>
      <c r="N174" s="8">
        <f>IF(ISNA(MATCH(165,'Transfer Engine'!$C$2:$C$679,0)),"",INDEX('Compliance Database'!$N$2:$N$679,MATCH(165,'Transfer Engine'!$C$2:$C$679,0)))</f>
        <v/>
      </c>
      <c r="O174" s="8">
        <f>IF(ISNA(MATCH(165,'Transfer Engine'!$C$2:$C$679,0)),"",INDEX('Compliance Database'!$O$2:$O$679,MATCH(165,'Transfer Engine'!$C$2:$C$679,0)))</f>
        <v/>
      </c>
      <c r="P174">
        <f>IF(ISNA(MATCH(165,'Transfer Engine'!$C$2:$C$679,0)),"",HYPERLINK(INDEX('Compliance Database'!$P$2:$P$679,MATCH(165,'Transfer Engine'!$C$2:$C$679,0)),"Open PDF"))</f>
        <v/>
      </c>
    </row>
    <row r="175">
      <c r="A175">
        <f>IF(ISNA(MATCH(166,'Transfer Engine'!$C$2:$C$679,0)),"",INDEX('Compliance Database'!$A$2:$A$679,MATCH(166,'Transfer Engine'!$C$2:$C$679,0)))</f>
        <v/>
      </c>
      <c r="B175">
        <f>IF(ISNA(MATCH(166,'Transfer Engine'!$C$2:$C$679,0)),"",INDEX('Compliance Database'!$B$2:$B$679,MATCH(166,'Transfer Engine'!$C$2:$C$679,0)))</f>
        <v/>
      </c>
      <c r="C175">
        <f>IF(ISNA(MATCH(166,'Transfer Engine'!$C$2:$C$679,0)),"",INDEX('Compliance Database'!$C$2:$C$679,MATCH(166,'Transfer Engine'!$C$2:$C$679,0)))</f>
        <v/>
      </c>
      <c r="D175" s="8">
        <f>IF(ISNA(MATCH(166,'Transfer Engine'!$C$2:$C$679,0)),"",INDEX('Compliance Database'!$D$2:$D$679,MATCH(166,'Transfer Engine'!$C$2:$C$679,0)))</f>
        <v/>
      </c>
      <c r="E175">
        <f>IF(ISNA(MATCH(166,'Transfer Engine'!$C$2:$C$679,0)),"",INDEX('Compliance Database'!$E$2:$E$679,MATCH(166,'Transfer Engine'!$C$2:$C$679,0)))</f>
        <v/>
      </c>
      <c r="F175">
        <f>IF(ISNA(MATCH(166,'Transfer Engine'!$C$2:$C$679,0)),"",INDEX('Compliance Database'!$F$2:$F$679,MATCH(166,'Transfer Engine'!$C$2:$C$679,0)))</f>
        <v/>
      </c>
      <c r="G175">
        <f>IF(ISNA(MATCH(166,'Transfer Engine'!$C$2:$C$679,0)),"",INDEX('Compliance Database'!$G$2:$G$679,MATCH(166,'Transfer Engine'!$C$2:$C$679,0)))</f>
        <v/>
      </c>
      <c r="H175">
        <f>IF(ISNA(MATCH(166,'Transfer Engine'!$C$2:$C$679,0)),"",INDEX('Compliance Database'!$H$2:$H$679,MATCH(166,'Transfer Engine'!$C$2:$C$679,0)))</f>
        <v/>
      </c>
      <c r="I175" s="8">
        <f>IF(ISNA(MATCH(166,'Transfer Engine'!$C$2:$C$679,0)),"",INDEX('Compliance Database'!$I$2:$I$679,MATCH(166,'Transfer Engine'!$C$2:$C$679,0)))</f>
        <v/>
      </c>
      <c r="J175" s="8">
        <f>IF(ISNA(MATCH(166,'Transfer Engine'!$C$2:$C$679,0)),"",INDEX('Compliance Database'!$J$2:$J$679,MATCH(166,'Transfer Engine'!$C$2:$C$679,0)))</f>
        <v/>
      </c>
      <c r="K175">
        <f>IF(ISNA(MATCH(166,'Transfer Engine'!$C$2:$C$679,0)),"",INDEX('Compliance Database'!$K$2:$K$679,MATCH(166,'Transfer Engine'!$C$2:$C$679,0)))</f>
        <v/>
      </c>
      <c r="L175" s="8">
        <f>IF(ISNA(MATCH(166,'Transfer Engine'!$C$2:$C$679,0)),"",INDEX('Compliance Database'!$L$2:$L$679,MATCH(166,'Transfer Engine'!$C$2:$C$679,0)))</f>
        <v/>
      </c>
      <c r="M175" s="8">
        <f>IF(ISNA(MATCH(166,'Transfer Engine'!$C$2:$C$679,0)),"",INDEX('Compliance Database'!$M$2:$M$679,MATCH(166,'Transfer Engine'!$C$2:$C$679,0)))</f>
        <v/>
      </c>
      <c r="N175" s="8">
        <f>IF(ISNA(MATCH(166,'Transfer Engine'!$C$2:$C$679,0)),"",INDEX('Compliance Database'!$N$2:$N$679,MATCH(166,'Transfer Engine'!$C$2:$C$679,0)))</f>
        <v/>
      </c>
      <c r="O175" s="8">
        <f>IF(ISNA(MATCH(166,'Transfer Engine'!$C$2:$C$679,0)),"",INDEX('Compliance Database'!$O$2:$O$679,MATCH(166,'Transfer Engine'!$C$2:$C$679,0)))</f>
        <v/>
      </c>
      <c r="P175">
        <f>IF(ISNA(MATCH(166,'Transfer Engine'!$C$2:$C$679,0)),"",HYPERLINK(INDEX('Compliance Database'!$P$2:$P$679,MATCH(166,'Transfer Engine'!$C$2:$C$679,0)),"Open PDF"))</f>
        <v/>
      </c>
    </row>
    <row r="176">
      <c r="A176">
        <f>IF(ISNA(MATCH(167,'Transfer Engine'!$C$2:$C$679,0)),"",INDEX('Compliance Database'!$A$2:$A$679,MATCH(167,'Transfer Engine'!$C$2:$C$679,0)))</f>
        <v/>
      </c>
      <c r="B176">
        <f>IF(ISNA(MATCH(167,'Transfer Engine'!$C$2:$C$679,0)),"",INDEX('Compliance Database'!$B$2:$B$679,MATCH(167,'Transfer Engine'!$C$2:$C$679,0)))</f>
        <v/>
      </c>
      <c r="C176">
        <f>IF(ISNA(MATCH(167,'Transfer Engine'!$C$2:$C$679,0)),"",INDEX('Compliance Database'!$C$2:$C$679,MATCH(167,'Transfer Engine'!$C$2:$C$679,0)))</f>
        <v/>
      </c>
      <c r="D176" s="8">
        <f>IF(ISNA(MATCH(167,'Transfer Engine'!$C$2:$C$679,0)),"",INDEX('Compliance Database'!$D$2:$D$679,MATCH(167,'Transfer Engine'!$C$2:$C$679,0)))</f>
        <v/>
      </c>
      <c r="E176">
        <f>IF(ISNA(MATCH(167,'Transfer Engine'!$C$2:$C$679,0)),"",INDEX('Compliance Database'!$E$2:$E$679,MATCH(167,'Transfer Engine'!$C$2:$C$679,0)))</f>
        <v/>
      </c>
      <c r="F176">
        <f>IF(ISNA(MATCH(167,'Transfer Engine'!$C$2:$C$679,0)),"",INDEX('Compliance Database'!$F$2:$F$679,MATCH(167,'Transfer Engine'!$C$2:$C$679,0)))</f>
        <v/>
      </c>
      <c r="G176">
        <f>IF(ISNA(MATCH(167,'Transfer Engine'!$C$2:$C$679,0)),"",INDEX('Compliance Database'!$G$2:$G$679,MATCH(167,'Transfer Engine'!$C$2:$C$679,0)))</f>
        <v/>
      </c>
      <c r="H176">
        <f>IF(ISNA(MATCH(167,'Transfer Engine'!$C$2:$C$679,0)),"",INDEX('Compliance Database'!$H$2:$H$679,MATCH(167,'Transfer Engine'!$C$2:$C$679,0)))</f>
        <v/>
      </c>
      <c r="I176" s="8">
        <f>IF(ISNA(MATCH(167,'Transfer Engine'!$C$2:$C$679,0)),"",INDEX('Compliance Database'!$I$2:$I$679,MATCH(167,'Transfer Engine'!$C$2:$C$679,0)))</f>
        <v/>
      </c>
      <c r="J176" s="8">
        <f>IF(ISNA(MATCH(167,'Transfer Engine'!$C$2:$C$679,0)),"",INDEX('Compliance Database'!$J$2:$J$679,MATCH(167,'Transfer Engine'!$C$2:$C$679,0)))</f>
        <v/>
      </c>
      <c r="K176">
        <f>IF(ISNA(MATCH(167,'Transfer Engine'!$C$2:$C$679,0)),"",INDEX('Compliance Database'!$K$2:$K$679,MATCH(167,'Transfer Engine'!$C$2:$C$679,0)))</f>
        <v/>
      </c>
      <c r="L176" s="8">
        <f>IF(ISNA(MATCH(167,'Transfer Engine'!$C$2:$C$679,0)),"",INDEX('Compliance Database'!$L$2:$L$679,MATCH(167,'Transfer Engine'!$C$2:$C$679,0)))</f>
        <v/>
      </c>
      <c r="M176" s="8">
        <f>IF(ISNA(MATCH(167,'Transfer Engine'!$C$2:$C$679,0)),"",INDEX('Compliance Database'!$M$2:$M$679,MATCH(167,'Transfer Engine'!$C$2:$C$679,0)))</f>
        <v/>
      </c>
      <c r="N176" s="8">
        <f>IF(ISNA(MATCH(167,'Transfer Engine'!$C$2:$C$679,0)),"",INDEX('Compliance Database'!$N$2:$N$679,MATCH(167,'Transfer Engine'!$C$2:$C$679,0)))</f>
        <v/>
      </c>
      <c r="O176" s="8">
        <f>IF(ISNA(MATCH(167,'Transfer Engine'!$C$2:$C$679,0)),"",INDEX('Compliance Database'!$O$2:$O$679,MATCH(167,'Transfer Engine'!$C$2:$C$679,0)))</f>
        <v/>
      </c>
      <c r="P176">
        <f>IF(ISNA(MATCH(167,'Transfer Engine'!$C$2:$C$679,0)),"",HYPERLINK(INDEX('Compliance Database'!$P$2:$P$679,MATCH(167,'Transfer Engine'!$C$2:$C$679,0)),"Open PDF"))</f>
        <v/>
      </c>
    </row>
    <row r="177">
      <c r="A177">
        <f>IF(ISNA(MATCH(168,'Transfer Engine'!$C$2:$C$679,0)),"",INDEX('Compliance Database'!$A$2:$A$679,MATCH(168,'Transfer Engine'!$C$2:$C$679,0)))</f>
        <v/>
      </c>
      <c r="B177">
        <f>IF(ISNA(MATCH(168,'Transfer Engine'!$C$2:$C$679,0)),"",INDEX('Compliance Database'!$B$2:$B$679,MATCH(168,'Transfer Engine'!$C$2:$C$679,0)))</f>
        <v/>
      </c>
      <c r="C177">
        <f>IF(ISNA(MATCH(168,'Transfer Engine'!$C$2:$C$679,0)),"",INDEX('Compliance Database'!$C$2:$C$679,MATCH(168,'Transfer Engine'!$C$2:$C$679,0)))</f>
        <v/>
      </c>
      <c r="D177" s="8">
        <f>IF(ISNA(MATCH(168,'Transfer Engine'!$C$2:$C$679,0)),"",INDEX('Compliance Database'!$D$2:$D$679,MATCH(168,'Transfer Engine'!$C$2:$C$679,0)))</f>
        <v/>
      </c>
      <c r="E177">
        <f>IF(ISNA(MATCH(168,'Transfer Engine'!$C$2:$C$679,0)),"",INDEX('Compliance Database'!$E$2:$E$679,MATCH(168,'Transfer Engine'!$C$2:$C$679,0)))</f>
        <v/>
      </c>
      <c r="F177">
        <f>IF(ISNA(MATCH(168,'Transfer Engine'!$C$2:$C$679,0)),"",INDEX('Compliance Database'!$F$2:$F$679,MATCH(168,'Transfer Engine'!$C$2:$C$679,0)))</f>
        <v/>
      </c>
      <c r="G177">
        <f>IF(ISNA(MATCH(168,'Transfer Engine'!$C$2:$C$679,0)),"",INDEX('Compliance Database'!$G$2:$G$679,MATCH(168,'Transfer Engine'!$C$2:$C$679,0)))</f>
        <v/>
      </c>
      <c r="H177">
        <f>IF(ISNA(MATCH(168,'Transfer Engine'!$C$2:$C$679,0)),"",INDEX('Compliance Database'!$H$2:$H$679,MATCH(168,'Transfer Engine'!$C$2:$C$679,0)))</f>
        <v/>
      </c>
      <c r="I177" s="8">
        <f>IF(ISNA(MATCH(168,'Transfer Engine'!$C$2:$C$679,0)),"",INDEX('Compliance Database'!$I$2:$I$679,MATCH(168,'Transfer Engine'!$C$2:$C$679,0)))</f>
        <v/>
      </c>
      <c r="J177" s="8">
        <f>IF(ISNA(MATCH(168,'Transfer Engine'!$C$2:$C$679,0)),"",INDEX('Compliance Database'!$J$2:$J$679,MATCH(168,'Transfer Engine'!$C$2:$C$679,0)))</f>
        <v/>
      </c>
      <c r="K177">
        <f>IF(ISNA(MATCH(168,'Transfer Engine'!$C$2:$C$679,0)),"",INDEX('Compliance Database'!$K$2:$K$679,MATCH(168,'Transfer Engine'!$C$2:$C$679,0)))</f>
        <v/>
      </c>
      <c r="L177" s="8">
        <f>IF(ISNA(MATCH(168,'Transfer Engine'!$C$2:$C$679,0)),"",INDEX('Compliance Database'!$L$2:$L$679,MATCH(168,'Transfer Engine'!$C$2:$C$679,0)))</f>
        <v/>
      </c>
      <c r="M177" s="8">
        <f>IF(ISNA(MATCH(168,'Transfer Engine'!$C$2:$C$679,0)),"",INDEX('Compliance Database'!$M$2:$M$679,MATCH(168,'Transfer Engine'!$C$2:$C$679,0)))</f>
        <v/>
      </c>
      <c r="N177" s="8">
        <f>IF(ISNA(MATCH(168,'Transfer Engine'!$C$2:$C$679,0)),"",INDEX('Compliance Database'!$N$2:$N$679,MATCH(168,'Transfer Engine'!$C$2:$C$679,0)))</f>
        <v/>
      </c>
      <c r="O177" s="8">
        <f>IF(ISNA(MATCH(168,'Transfer Engine'!$C$2:$C$679,0)),"",INDEX('Compliance Database'!$O$2:$O$679,MATCH(168,'Transfer Engine'!$C$2:$C$679,0)))</f>
        <v/>
      </c>
      <c r="P177">
        <f>IF(ISNA(MATCH(168,'Transfer Engine'!$C$2:$C$679,0)),"",HYPERLINK(INDEX('Compliance Database'!$P$2:$P$679,MATCH(168,'Transfer Engine'!$C$2:$C$679,0)),"Open PDF"))</f>
        <v/>
      </c>
    </row>
    <row r="178">
      <c r="A178">
        <f>IF(ISNA(MATCH(169,'Transfer Engine'!$C$2:$C$679,0)),"",INDEX('Compliance Database'!$A$2:$A$679,MATCH(169,'Transfer Engine'!$C$2:$C$679,0)))</f>
        <v/>
      </c>
      <c r="B178">
        <f>IF(ISNA(MATCH(169,'Transfer Engine'!$C$2:$C$679,0)),"",INDEX('Compliance Database'!$B$2:$B$679,MATCH(169,'Transfer Engine'!$C$2:$C$679,0)))</f>
        <v/>
      </c>
      <c r="C178">
        <f>IF(ISNA(MATCH(169,'Transfer Engine'!$C$2:$C$679,0)),"",INDEX('Compliance Database'!$C$2:$C$679,MATCH(169,'Transfer Engine'!$C$2:$C$679,0)))</f>
        <v/>
      </c>
      <c r="D178" s="8">
        <f>IF(ISNA(MATCH(169,'Transfer Engine'!$C$2:$C$679,0)),"",INDEX('Compliance Database'!$D$2:$D$679,MATCH(169,'Transfer Engine'!$C$2:$C$679,0)))</f>
        <v/>
      </c>
      <c r="E178">
        <f>IF(ISNA(MATCH(169,'Transfer Engine'!$C$2:$C$679,0)),"",INDEX('Compliance Database'!$E$2:$E$679,MATCH(169,'Transfer Engine'!$C$2:$C$679,0)))</f>
        <v/>
      </c>
      <c r="F178">
        <f>IF(ISNA(MATCH(169,'Transfer Engine'!$C$2:$C$679,0)),"",INDEX('Compliance Database'!$F$2:$F$679,MATCH(169,'Transfer Engine'!$C$2:$C$679,0)))</f>
        <v/>
      </c>
      <c r="G178">
        <f>IF(ISNA(MATCH(169,'Transfer Engine'!$C$2:$C$679,0)),"",INDEX('Compliance Database'!$G$2:$G$679,MATCH(169,'Transfer Engine'!$C$2:$C$679,0)))</f>
        <v/>
      </c>
      <c r="H178">
        <f>IF(ISNA(MATCH(169,'Transfer Engine'!$C$2:$C$679,0)),"",INDEX('Compliance Database'!$H$2:$H$679,MATCH(169,'Transfer Engine'!$C$2:$C$679,0)))</f>
        <v/>
      </c>
      <c r="I178" s="8">
        <f>IF(ISNA(MATCH(169,'Transfer Engine'!$C$2:$C$679,0)),"",INDEX('Compliance Database'!$I$2:$I$679,MATCH(169,'Transfer Engine'!$C$2:$C$679,0)))</f>
        <v/>
      </c>
      <c r="J178" s="8">
        <f>IF(ISNA(MATCH(169,'Transfer Engine'!$C$2:$C$679,0)),"",INDEX('Compliance Database'!$J$2:$J$679,MATCH(169,'Transfer Engine'!$C$2:$C$679,0)))</f>
        <v/>
      </c>
      <c r="K178">
        <f>IF(ISNA(MATCH(169,'Transfer Engine'!$C$2:$C$679,0)),"",INDEX('Compliance Database'!$K$2:$K$679,MATCH(169,'Transfer Engine'!$C$2:$C$679,0)))</f>
        <v/>
      </c>
      <c r="L178" s="8">
        <f>IF(ISNA(MATCH(169,'Transfer Engine'!$C$2:$C$679,0)),"",INDEX('Compliance Database'!$L$2:$L$679,MATCH(169,'Transfer Engine'!$C$2:$C$679,0)))</f>
        <v/>
      </c>
      <c r="M178" s="8">
        <f>IF(ISNA(MATCH(169,'Transfer Engine'!$C$2:$C$679,0)),"",INDEX('Compliance Database'!$M$2:$M$679,MATCH(169,'Transfer Engine'!$C$2:$C$679,0)))</f>
        <v/>
      </c>
      <c r="N178" s="8">
        <f>IF(ISNA(MATCH(169,'Transfer Engine'!$C$2:$C$679,0)),"",INDEX('Compliance Database'!$N$2:$N$679,MATCH(169,'Transfer Engine'!$C$2:$C$679,0)))</f>
        <v/>
      </c>
      <c r="O178" s="8">
        <f>IF(ISNA(MATCH(169,'Transfer Engine'!$C$2:$C$679,0)),"",INDEX('Compliance Database'!$O$2:$O$679,MATCH(169,'Transfer Engine'!$C$2:$C$679,0)))</f>
        <v/>
      </c>
      <c r="P178">
        <f>IF(ISNA(MATCH(169,'Transfer Engine'!$C$2:$C$679,0)),"",HYPERLINK(INDEX('Compliance Database'!$P$2:$P$679,MATCH(169,'Transfer Engine'!$C$2:$C$679,0)),"Open PDF"))</f>
        <v/>
      </c>
    </row>
    <row r="179">
      <c r="A179">
        <f>IF(ISNA(MATCH(170,'Transfer Engine'!$C$2:$C$679,0)),"",INDEX('Compliance Database'!$A$2:$A$679,MATCH(170,'Transfer Engine'!$C$2:$C$679,0)))</f>
        <v/>
      </c>
      <c r="B179">
        <f>IF(ISNA(MATCH(170,'Transfer Engine'!$C$2:$C$679,0)),"",INDEX('Compliance Database'!$B$2:$B$679,MATCH(170,'Transfer Engine'!$C$2:$C$679,0)))</f>
        <v/>
      </c>
      <c r="C179">
        <f>IF(ISNA(MATCH(170,'Transfer Engine'!$C$2:$C$679,0)),"",INDEX('Compliance Database'!$C$2:$C$679,MATCH(170,'Transfer Engine'!$C$2:$C$679,0)))</f>
        <v/>
      </c>
      <c r="D179" s="8">
        <f>IF(ISNA(MATCH(170,'Transfer Engine'!$C$2:$C$679,0)),"",INDEX('Compliance Database'!$D$2:$D$679,MATCH(170,'Transfer Engine'!$C$2:$C$679,0)))</f>
        <v/>
      </c>
      <c r="E179">
        <f>IF(ISNA(MATCH(170,'Transfer Engine'!$C$2:$C$679,0)),"",INDEX('Compliance Database'!$E$2:$E$679,MATCH(170,'Transfer Engine'!$C$2:$C$679,0)))</f>
        <v/>
      </c>
      <c r="F179">
        <f>IF(ISNA(MATCH(170,'Transfer Engine'!$C$2:$C$679,0)),"",INDEX('Compliance Database'!$F$2:$F$679,MATCH(170,'Transfer Engine'!$C$2:$C$679,0)))</f>
        <v/>
      </c>
      <c r="G179">
        <f>IF(ISNA(MATCH(170,'Transfer Engine'!$C$2:$C$679,0)),"",INDEX('Compliance Database'!$G$2:$G$679,MATCH(170,'Transfer Engine'!$C$2:$C$679,0)))</f>
        <v/>
      </c>
      <c r="H179">
        <f>IF(ISNA(MATCH(170,'Transfer Engine'!$C$2:$C$679,0)),"",INDEX('Compliance Database'!$H$2:$H$679,MATCH(170,'Transfer Engine'!$C$2:$C$679,0)))</f>
        <v/>
      </c>
      <c r="I179" s="8">
        <f>IF(ISNA(MATCH(170,'Transfer Engine'!$C$2:$C$679,0)),"",INDEX('Compliance Database'!$I$2:$I$679,MATCH(170,'Transfer Engine'!$C$2:$C$679,0)))</f>
        <v/>
      </c>
      <c r="J179" s="8">
        <f>IF(ISNA(MATCH(170,'Transfer Engine'!$C$2:$C$679,0)),"",INDEX('Compliance Database'!$J$2:$J$679,MATCH(170,'Transfer Engine'!$C$2:$C$679,0)))</f>
        <v/>
      </c>
      <c r="K179">
        <f>IF(ISNA(MATCH(170,'Transfer Engine'!$C$2:$C$679,0)),"",INDEX('Compliance Database'!$K$2:$K$679,MATCH(170,'Transfer Engine'!$C$2:$C$679,0)))</f>
        <v/>
      </c>
      <c r="L179" s="8">
        <f>IF(ISNA(MATCH(170,'Transfer Engine'!$C$2:$C$679,0)),"",INDEX('Compliance Database'!$L$2:$L$679,MATCH(170,'Transfer Engine'!$C$2:$C$679,0)))</f>
        <v/>
      </c>
      <c r="M179" s="8">
        <f>IF(ISNA(MATCH(170,'Transfer Engine'!$C$2:$C$679,0)),"",INDEX('Compliance Database'!$M$2:$M$679,MATCH(170,'Transfer Engine'!$C$2:$C$679,0)))</f>
        <v/>
      </c>
      <c r="N179" s="8">
        <f>IF(ISNA(MATCH(170,'Transfer Engine'!$C$2:$C$679,0)),"",INDEX('Compliance Database'!$N$2:$N$679,MATCH(170,'Transfer Engine'!$C$2:$C$679,0)))</f>
        <v/>
      </c>
      <c r="O179" s="8">
        <f>IF(ISNA(MATCH(170,'Transfer Engine'!$C$2:$C$679,0)),"",INDEX('Compliance Database'!$O$2:$O$679,MATCH(170,'Transfer Engine'!$C$2:$C$679,0)))</f>
        <v/>
      </c>
      <c r="P179">
        <f>IF(ISNA(MATCH(170,'Transfer Engine'!$C$2:$C$679,0)),"",HYPERLINK(INDEX('Compliance Database'!$P$2:$P$679,MATCH(170,'Transfer Engine'!$C$2:$C$679,0)),"Open PDF"))</f>
        <v/>
      </c>
    </row>
    <row r="180">
      <c r="A180">
        <f>IF(ISNA(MATCH(171,'Transfer Engine'!$C$2:$C$679,0)),"",INDEX('Compliance Database'!$A$2:$A$679,MATCH(171,'Transfer Engine'!$C$2:$C$679,0)))</f>
        <v/>
      </c>
      <c r="B180">
        <f>IF(ISNA(MATCH(171,'Transfer Engine'!$C$2:$C$679,0)),"",INDEX('Compliance Database'!$B$2:$B$679,MATCH(171,'Transfer Engine'!$C$2:$C$679,0)))</f>
        <v/>
      </c>
      <c r="C180">
        <f>IF(ISNA(MATCH(171,'Transfer Engine'!$C$2:$C$679,0)),"",INDEX('Compliance Database'!$C$2:$C$679,MATCH(171,'Transfer Engine'!$C$2:$C$679,0)))</f>
        <v/>
      </c>
      <c r="D180" s="8">
        <f>IF(ISNA(MATCH(171,'Transfer Engine'!$C$2:$C$679,0)),"",INDEX('Compliance Database'!$D$2:$D$679,MATCH(171,'Transfer Engine'!$C$2:$C$679,0)))</f>
        <v/>
      </c>
      <c r="E180">
        <f>IF(ISNA(MATCH(171,'Transfer Engine'!$C$2:$C$679,0)),"",INDEX('Compliance Database'!$E$2:$E$679,MATCH(171,'Transfer Engine'!$C$2:$C$679,0)))</f>
        <v/>
      </c>
      <c r="F180">
        <f>IF(ISNA(MATCH(171,'Transfer Engine'!$C$2:$C$679,0)),"",INDEX('Compliance Database'!$F$2:$F$679,MATCH(171,'Transfer Engine'!$C$2:$C$679,0)))</f>
        <v/>
      </c>
      <c r="G180">
        <f>IF(ISNA(MATCH(171,'Transfer Engine'!$C$2:$C$679,0)),"",INDEX('Compliance Database'!$G$2:$G$679,MATCH(171,'Transfer Engine'!$C$2:$C$679,0)))</f>
        <v/>
      </c>
      <c r="H180">
        <f>IF(ISNA(MATCH(171,'Transfer Engine'!$C$2:$C$679,0)),"",INDEX('Compliance Database'!$H$2:$H$679,MATCH(171,'Transfer Engine'!$C$2:$C$679,0)))</f>
        <v/>
      </c>
      <c r="I180" s="8">
        <f>IF(ISNA(MATCH(171,'Transfer Engine'!$C$2:$C$679,0)),"",INDEX('Compliance Database'!$I$2:$I$679,MATCH(171,'Transfer Engine'!$C$2:$C$679,0)))</f>
        <v/>
      </c>
      <c r="J180" s="8">
        <f>IF(ISNA(MATCH(171,'Transfer Engine'!$C$2:$C$679,0)),"",INDEX('Compliance Database'!$J$2:$J$679,MATCH(171,'Transfer Engine'!$C$2:$C$679,0)))</f>
        <v/>
      </c>
      <c r="K180">
        <f>IF(ISNA(MATCH(171,'Transfer Engine'!$C$2:$C$679,0)),"",INDEX('Compliance Database'!$K$2:$K$679,MATCH(171,'Transfer Engine'!$C$2:$C$679,0)))</f>
        <v/>
      </c>
      <c r="L180" s="8">
        <f>IF(ISNA(MATCH(171,'Transfer Engine'!$C$2:$C$679,0)),"",INDEX('Compliance Database'!$L$2:$L$679,MATCH(171,'Transfer Engine'!$C$2:$C$679,0)))</f>
        <v/>
      </c>
      <c r="M180" s="8">
        <f>IF(ISNA(MATCH(171,'Transfer Engine'!$C$2:$C$679,0)),"",INDEX('Compliance Database'!$M$2:$M$679,MATCH(171,'Transfer Engine'!$C$2:$C$679,0)))</f>
        <v/>
      </c>
      <c r="N180" s="8">
        <f>IF(ISNA(MATCH(171,'Transfer Engine'!$C$2:$C$679,0)),"",INDEX('Compliance Database'!$N$2:$N$679,MATCH(171,'Transfer Engine'!$C$2:$C$679,0)))</f>
        <v/>
      </c>
      <c r="O180" s="8">
        <f>IF(ISNA(MATCH(171,'Transfer Engine'!$C$2:$C$679,0)),"",INDEX('Compliance Database'!$O$2:$O$679,MATCH(171,'Transfer Engine'!$C$2:$C$679,0)))</f>
        <v/>
      </c>
      <c r="P180">
        <f>IF(ISNA(MATCH(171,'Transfer Engine'!$C$2:$C$679,0)),"",HYPERLINK(INDEX('Compliance Database'!$P$2:$P$679,MATCH(171,'Transfer Engine'!$C$2:$C$679,0)),"Open PDF"))</f>
        <v/>
      </c>
    </row>
    <row r="181">
      <c r="A181">
        <f>IF(ISNA(MATCH(172,'Transfer Engine'!$C$2:$C$679,0)),"",INDEX('Compliance Database'!$A$2:$A$679,MATCH(172,'Transfer Engine'!$C$2:$C$679,0)))</f>
        <v/>
      </c>
      <c r="B181">
        <f>IF(ISNA(MATCH(172,'Transfer Engine'!$C$2:$C$679,0)),"",INDEX('Compliance Database'!$B$2:$B$679,MATCH(172,'Transfer Engine'!$C$2:$C$679,0)))</f>
        <v/>
      </c>
      <c r="C181">
        <f>IF(ISNA(MATCH(172,'Transfer Engine'!$C$2:$C$679,0)),"",INDEX('Compliance Database'!$C$2:$C$679,MATCH(172,'Transfer Engine'!$C$2:$C$679,0)))</f>
        <v/>
      </c>
      <c r="D181" s="8">
        <f>IF(ISNA(MATCH(172,'Transfer Engine'!$C$2:$C$679,0)),"",INDEX('Compliance Database'!$D$2:$D$679,MATCH(172,'Transfer Engine'!$C$2:$C$679,0)))</f>
        <v/>
      </c>
      <c r="E181">
        <f>IF(ISNA(MATCH(172,'Transfer Engine'!$C$2:$C$679,0)),"",INDEX('Compliance Database'!$E$2:$E$679,MATCH(172,'Transfer Engine'!$C$2:$C$679,0)))</f>
        <v/>
      </c>
      <c r="F181">
        <f>IF(ISNA(MATCH(172,'Transfer Engine'!$C$2:$C$679,0)),"",INDEX('Compliance Database'!$F$2:$F$679,MATCH(172,'Transfer Engine'!$C$2:$C$679,0)))</f>
        <v/>
      </c>
      <c r="G181">
        <f>IF(ISNA(MATCH(172,'Transfer Engine'!$C$2:$C$679,0)),"",INDEX('Compliance Database'!$G$2:$G$679,MATCH(172,'Transfer Engine'!$C$2:$C$679,0)))</f>
        <v/>
      </c>
      <c r="H181">
        <f>IF(ISNA(MATCH(172,'Transfer Engine'!$C$2:$C$679,0)),"",INDEX('Compliance Database'!$H$2:$H$679,MATCH(172,'Transfer Engine'!$C$2:$C$679,0)))</f>
        <v/>
      </c>
      <c r="I181" s="8">
        <f>IF(ISNA(MATCH(172,'Transfer Engine'!$C$2:$C$679,0)),"",INDEX('Compliance Database'!$I$2:$I$679,MATCH(172,'Transfer Engine'!$C$2:$C$679,0)))</f>
        <v/>
      </c>
      <c r="J181" s="8">
        <f>IF(ISNA(MATCH(172,'Transfer Engine'!$C$2:$C$679,0)),"",INDEX('Compliance Database'!$J$2:$J$679,MATCH(172,'Transfer Engine'!$C$2:$C$679,0)))</f>
        <v/>
      </c>
      <c r="K181">
        <f>IF(ISNA(MATCH(172,'Transfer Engine'!$C$2:$C$679,0)),"",INDEX('Compliance Database'!$K$2:$K$679,MATCH(172,'Transfer Engine'!$C$2:$C$679,0)))</f>
        <v/>
      </c>
      <c r="L181" s="8">
        <f>IF(ISNA(MATCH(172,'Transfer Engine'!$C$2:$C$679,0)),"",INDEX('Compliance Database'!$L$2:$L$679,MATCH(172,'Transfer Engine'!$C$2:$C$679,0)))</f>
        <v/>
      </c>
      <c r="M181" s="8">
        <f>IF(ISNA(MATCH(172,'Transfer Engine'!$C$2:$C$679,0)),"",INDEX('Compliance Database'!$M$2:$M$679,MATCH(172,'Transfer Engine'!$C$2:$C$679,0)))</f>
        <v/>
      </c>
      <c r="N181" s="8">
        <f>IF(ISNA(MATCH(172,'Transfer Engine'!$C$2:$C$679,0)),"",INDEX('Compliance Database'!$N$2:$N$679,MATCH(172,'Transfer Engine'!$C$2:$C$679,0)))</f>
        <v/>
      </c>
      <c r="O181" s="8">
        <f>IF(ISNA(MATCH(172,'Transfer Engine'!$C$2:$C$679,0)),"",INDEX('Compliance Database'!$O$2:$O$679,MATCH(172,'Transfer Engine'!$C$2:$C$679,0)))</f>
        <v/>
      </c>
      <c r="P181">
        <f>IF(ISNA(MATCH(172,'Transfer Engine'!$C$2:$C$679,0)),"",HYPERLINK(INDEX('Compliance Database'!$P$2:$P$679,MATCH(172,'Transfer Engine'!$C$2:$C$679,0)),"Open PDF"))</f>
        <v/>
      </c>
    </row>
    <row r="182">
      <c r="A182">
        <f>IF(ISNA(MATCH(173,'Transfer Engine'!$C$2:$C$679,0)),"",INDEX('Compliance Database'!$A$2:$A$679,MATCH(173,'Transfer Engine'!$C$2:$C$679,0)))</f>
        <v/>
      </c>
      <c r="B182">
        <f>IF(ISNA(MATCH(173,'Transfer Engine'!$C$2:$C$679,0)),"",INDEX('Compliance Database'!$B$2:$B$679,MATCH(173,'Transfer Engine'!$C$2:$C$679,0)))</f>
        <v/>
      </c>
      <c r="C182">
        <f>IF(ISNA(MATCH(173,'Transfer Engine'!$C$2:$C$679,0)),"",INDEX('Compliance Database'!$C$2:$C$679,MATCH(173,'Transfer Engine'!$C$2:$C$679,0)))</f>
        <v/>
      </c>
      <c r="D182" s="8">
        <f>IF(ISNA(MATCH(173,'Transfer Engine'!$C$2:$C$679,0)),"",INDEX('Compliance Database'!$D$2:$D$679,MATCH(173,'Transfer Engine'!$C$2:$C$679,0)))</f>
        <v/>
      </c>
      <c r="E182">
        <f>IF(ISNA(MATCH(173,'Transfer Engine'!$C$2:$C$679,0)),"",INDEX('Compliance Database'!$E$2:$E$679,MATCH(173,'Transfer Engine'!$C$2:$C$679,0)))</f>
        <v/>
      </c>
      <c r="F182">
        <f>IF(ISNA(MATCH(173,'Transfer Engine'!$C$2:$C$679,0)),"",INDEX('Compliance Database'!$F$2:$F$679,MATCH(173,'Transfer Engine'!$C$2:$C$679,0)))</f>
        <v/>
      </c>
      <c r="G182">
        <f>IF(ISNA(MATCH(173,'Transfer Engine'!$C$2:$C$679,0)),"",INDEX('Compliance Database'!$G$2:$G$679,MATCH(173,'Transfer Engine'!$C$2:$C$679,0)))</f>
        <v/>
      </c>
      <c r="H182">
        <f>IF(ISNA(MATCH(173,'Transfer Engine'!$C$2:$C$679,0)),"",INDEX('Compliance Database'!$H$2:$H$679,MATCH(173,'Transfer Engine'!$C$2:$C$679,0)))</f>
        <v/>
      </c>
      <c r="I182" s="8">
        <f>IF(ISNA(MATCH(173,'Transfer Engine'!$C$2:$C$679,0)),"",INDEX('Compliance Database'!$I$2:$I$679,MATCH(173,'Transfer Engine'!$C$2:$C$679,0)))</f>
        <v/>
      </c>
      <c r="J182" s="8">
        <f>IF(ISNA(MATCH(173,'Transfer Engine'!$C$2:$C$679,0)),"",INDEX('Compliance Database'!$J$2:$J$679,MATCH(173,'Transfer Engine'!$C$2:$C$679,0)))</f>
        <v/>
      </c>
      <c r="K182">
        <f>IF(ISNA(MATCH(173,'Transfer Engine'!$C$2:$C$679,0)),"",INDEX('Compliance Database'!$K$2:$K$679,MATCH(173,'Transfer Engine'!$C$2:$C$679,0)))</f>
        <v/>
      </c>
      <c r="L182" s="8">
        <f>IF(ISNA(MATCH(173,'Transfer Engine'!$C$2:$C$679,0)),"",INDEX('Compliance Database'!$L$2:$L$679,MATCH(173,'Transfer Engine'!$C$2:$C$679,0)))</f>
        <v/>
      </c>
      <c r="M182" s="8">
        <f>IF(ISNA(MATCH(173,'Transfer Engine'!$C$2:$C$679,0)),"",INDEX('Compliance Database'!$M$2:$M$679,MATCH(173,'Transfer Engine'!$C$2:$C$679,0)))</f>
        <v/>
      </c>
      <c r="N182" s="8">
        <f>IF(ISNA(MATCH(173,'Transfer Engine'!$C$2:$C$679,0)),"",INDEX('Compliance Database'!$N$2:$N$679,MATCH(173,'Transfer Engine'!$C$2:$C$679,0)))</f>
        <v/>
      </c>
      <c r="O182" s="8">
        <f>IF(ISNA(MATCH(173,'Transfer Engine'!$C$2:$C$679,0)),"",INDEX('Compliance Database'!$O$2:$O$679,MATCH(173,'Transfer Engine'!$C$2:$C$679,0)))</f>
        <v/>
      </c>
      <c r="P182">
        <f>IF(ISNA(MATCH(173,'Transfer Engine'!$C$2:$C$679,0)),"",HYPERLINK(INDEX('Compliance Database'!$P$2:$P$679,MATCH(173,'Transfer Engine'!$C$2:$C$679,0)),"Open PDF"))</f>
        <v/>
      </c>
    </row>
    <row r="183">
      <c r="A183">
        <f>IF(ISNA(MATCH(174,'Transfer Engine'!$C$2:$C$679,0)),"",INDEX('Compliance Database'!$A$2:$A$679,MATCH(174,'Transfer Engine'!$C$2:$C$679,0)))</f>
        <v/>
      </c>
      <c r="B183">
        <f>IF(ISNA(MATCH(174,'Transfer Engine'!$C$2:$C$679,0)),"",INDEX('Compliance Database'!$B$2:$B$679,MATCH(174,'Transfer Engine'!$C$2:$C$679,0)))</f>
        <v/>
      </c>
      <c r="C183">
        <f>IF(ISNA(MATCH(174,'Transfer Engine'!$C$2:$C$679,0)),"",INDEX('Compliance Database'!$C$2:$C$679,MATCH(174,'Transfer Engine'!$C$2:$C$679,0)))</f>
        <v/>
      </c>
      <c r="D183" s="8">
        <f>IF(ISNA(MATCH(174,'Transfer Engine'!$C$2:$C$679,0)),"",INDEX('Compliance Database'!$D$2:$D$679,MATCH(174,'Transfer Engine'!$C$2:$C$679,0)))</f>
        <v/>
      </c>
      <c r="E183">
        <f>IF(ISNA(MATCH(174,'Transfer Engine'!$C$2:$C$679,0)),"",INDEX('Compliance Database'!$E$2:$E$679,MATCH(174,'Transfer Engine'!$C$2:$C$679,0)))</f>
        <v/>
      </c>
      <c r="F183">
        <f>IF(ISNA(MATCH(174,'Transfer Engine'!$C$2:$C$679,0)),"",INDEX('Compliance Database'!$F$2:$F$679,MATCH(174,'Transfer Engine'!$C$2:$C$679,0)))</f>
        <v/>
      </c>
      <c r="G183">
        <f>IF(ISNA(MATCH(174,'Transfer Engine'!$C$2:$C$679,0)),"",INDEX('Compliance Database'!$G$2:$G$679,MATCH(174,'Transfer Engine'!$C$2:$C$679,0)))</f>
        <v/>
      </c>
      <c r="H183">
        <f>IF(ISNA(MATCH(174,'Transfer Engine'!$C$2:$C$679,0)),"",INDEX('Compliance Database'!$H$2:$H$679,MATCH(174,'Transfer Engine'!$C$2:$C$679,0)))</f>
        <v/>
      </c>
      <c r="I183" s="8">
        <f>IF(ISNA(MATCH(174,'Transfer Engine'!$C$2:$C$679,0)),"",INDEX('Compliance Database'!$I$2:$I$679,MATCH(174,'Transfer Engine'!$C$2:$C$679,0)))</f>
        <v/>
      </c>
      <c r="J183" s="8">
        <f>IF(ISNA(MATCH(174,'Transfer Engine'!$C$2:$C$679,0)),"",INDEX('Compliance Database'!$J$2:$J$679,MATCH(174,'Transfer Engine'!$C$2:$C$679,0)))</f>
        <v/>
      </c>
      <c r="K183">
        <f>IF(ISNA(MATCH(174,'Transfer Engine'!$C$2:$C$679,0)),"",INDEX('Compliance Database'!$K$2:$K$679,MATCH(174,'Transfer Engine'!$C$2:$C$679,0)))</f>
        <v/>
      </c>
      <c r="L183" s="8">
        <f>IF(ISNA(MATCH(174,'Transfer Engine'!$C$2:$C$679,0)),"",INDEX('Compliance Database'!$L$2:$L$679,MATCH(174,'Transfer Engine'!$C$2:$C$679,0)))</f>
        <v/>
      </c>
      <c r="M183" s="8">
        <f>IF(ISNA(MATCH(174,'Transfer Engine'!$C$2:$C$679,0)),"",INDEX('Compliance Database'!$M$2:$M$679,MATCH(174,'Transfer Engine'!$C$2:$C$679,0)))</f>
        <v/>
      </c>
      <c r="N183" s="8">
        <f>IF(ISNA(MATCH(174,'Transfer Engine'!$C$2:$C$679,0)),"",INDEX('Compliance Database'!$N$2:$N$679,MATCH(174,'Transfer Engine'!$C$2:$C$679,0)))</f>
        <v/>
      </c>
      <c r="O183" s="8">
        <f>IF(ISNA(MATCH(174,'Transfer Engine'!$C$2:$C$679,0)),"",INDEX('Compliance Database'!$O$2:$O$679,MATCH(174,'Transfer Engine'!$C$2:$C$679,0)))</f>
        <v/>
      </c>
      <c r="P183">
        <f>IF(ISNA(MATCH(174,'Transfer Engine'!$C$2:$C$679,0)),"",HYPERLINK(INDEX('Compliance Database'!$P$2:$P$679,MATCH(174,'Transfer Engine'!$C$2:$C$679,0)),"Open PDF"))</f>
        <v/>
      </c>
    </row>
    <row r="184">
      <c r="A184">
        <f>IF(ISNA(MATCH(175,'Transfer Engine'!$C$2:$C$679,0)),"",INDEX('Compliance Database'!$A$2:$A$679,MATCH(175,'Transfer Engine'!$C$2:$C$679,0)))</f>
        <v/>
      </c>
      <c r="B184">
        <f>IF(ISNA(MATCH(175,'Transfer Engine'!$C$2:$C$679,0)),"",INDEX('Compliance Database'!$B$2:$B$679,MATCH(175,'Transfer Engine'!$C$2:$C$679,0)))</f>
        <v/>
      </c>
      <c r="C184">
        <f>IF(ISNA(MATCH(175,'Transfer Engine'!$C$2:$C$679,0)),"",INDEX('Compliance Database'!$C$2:$C$679,MATCH(175,'Transfer Engine'!$C$2:$C$679,0)))</f>
        <v/>
      </c>
      <c r="D184" s="8">
        <f>IF(ISNA(MATCH(175,'Transfer Engine'!$C$2:$C$679,0)),"",INDEX('Compliance Database'!$D$2:$D$679,MATCH(175,'Transfer Engine'!$C$2:$C$679,0)))</f>
        <v/>
      </c>
      <c r="E184">
        <f>IF(ISNA(MATCH(175,'Transfer Engine'!$C$2:$C$679,0)),"",INDEX('Compliance Database'!$E$2:$E$679,MATCH(175,'Transfer Engine'!$C$2:$C$679,0)))</f>
        <v/>
      </c>
      <c r="F184">
        <f>IF(ISNA(MATCH(175,'Transfer Engine'!$C$2:$C$679,0)),"",INDEX('Compliance Database'!$F$2:$F$679,MATCH(175,'Transfer Engine'!$C$2:$C$679,0)))</f>
        <v/>
      </c>
      <c r="G184">
        <f>IF(ISNA(MATCH(175,'Transfer Engine'!$C$2:$C$679,0)),"",INDEX('Compliance Database'!$G$2:$G$679,MATCH(175,'Transfer Engine'!$C$2:$C$679,0)))</f>
        <v/>
      </c>
      <c r="H184">
        <f>IF(ISNA(MATCH(175,'Transfer Engine'!$C$2:$C$679,0)),"",INDEX('Compliance Database'!$H$2:$H$679,MATCH(175,'Transfer Engine'!$C$2:$C$679,0)))</f>
        <v/>
      </c>
      <c r="I184" s="8">
        <f>IF(ISNA(MATCH(175,'Transfer Engine'!$C$2:$C$679,0)),"",INDEX('Compliance Database'!$I$2:$I$679,MATCH(175,'Transfer Engine'!$C$2:$C$679,0)))</f>
        <v/>
      </c>
      <c r="J184" s="8">
        <f>IF(ISNA(MATCH(175,'Transfer Engine'!$C$2:$C$679,0)),"",INDEX('Compliance Database'!$J$2:$J$679,MATCH(175,'Transfer Engine'!$C$2:$C$679,0)))</f>
        <v/>
      </c>
      <c r="K184">
        <f>IF(ISNA(MATCH(175,'Transfer Engine'!$C$2:$C$679,0)),"",INDEX('Compliance Database'!$K$2:$K$679,MATCH(175,'Transfer Engine'!$C$2:$C$679,0)))</f>
        <v/>
      </c>
      <c r="L184" s="8">
        <f>IF(ISNA(MATCH(175,'Transfer Engine'!$C$2:$C$679,0)),"",INDEX('Compliance Database'!$L$2:$L$679,MATCH(175,'Transfer Engine'!$C$2:$C$679,0)))</f>
        <v/>
      </c>
      <c r="M184" s="8">
        <f>IF(ISNA(MATCH(175,'Transfer Engine'!$C$2:$C$679,0)),"",INDEX('Compliance Database'!$M$2:$M$679,MATCH(175,'Transfer Engine'!$C$2:$C$679,0)))</f>
        <v/>
      </c>
      <c r="N184" s="8">
        <f>IF(ISNA(MATCH(175,'Transfer Engine'!$C$2:$C$679,0)),"",INDEX('Compliance Database'!$N$2:$N$679,MATCH(175,'Transfer Engine'!$C$2:$C$679,0)))</f>
        <v/>
      </c>
      <c r="O184" s="8">
        <f>IF(ISNA(MATCH(175,'Transfer Engine'!$C$2:$C$679,0)),"",INDEX('Compliance Database'!$O$2:$O$679,MATCH(175,'Transfer Engine'!$C$2:$C$679,0)))</f>
        <v/>
      </c>
      <c r="P184">
        <f>IF(ISNA(MATCH(175,'Transfer Engine'!$C$2:$C$679,0)),"",HYPERLINK(INDEX('Compliance Database'!$P$2:$P$679,MATCH(175,'Transfer Engine'!$C$2:$C$679,0)),"Open PDF"))</f>
        <v/>
      </c>
    </row>
    <row r="185">
      <c r="A185">
        <f>IF(ISNA(MATCH(176,'Transfer Engine'!$C$2:$C$679,0)),"",INDEX('Compliance Database'!$A$2:$A$679,MATCH(176,'Transfer Engine'!$C$2:$C$679,0)))</f>
        <v/>
      </c>
      <c r="B185">
        <f>IF(ISNA(MATCH(176,'Transfer Engine'!$C$2:$C$679,0)),"",INDEX('Compliance Database'!$B$2:$B$679,MATCH(176,'Transfer Engine'!$C$2:$C$679,0)))</f>
        <v/>
      </c>
      <c r="C185">
        <f>IF(ISNA(MATCH(176,'Transfer Engine'!$C$2:$C$679,0)),"",INDEX('Compliance Database'!$C$2:$C$679,MATCH(176,'Transfer Engine'!$C$2:$C$679,0)))</f>
        <v/>
      </c>
      <c r="D185" s="8">
        <f>IF(ISNA(MATCH(176,'Transfer Engine'!$C$2:$C$679,0)),"",INDEX('Compliance Database'!$D$2:$D$679,MATCH(176,'Transfer Engine'!$C$2:$C$679,0)))</f>
        <v/>
      </c>
      <c r="E185">
        <f>IF(ISNA(MATCH(176,'Transfer Engine'!$C$2:$C$679,0)),"",INDEX('Compliance Database'!$E$2:$E$679,MATCH(176,'Transfer Engine'!$C$2:$C$679,0)))</f>
        <v/>
      </c>
      <c r="F185">
        <f>IF(ISNA(MATCH(176,'Transfer Engine'!$C$2:$C$679,0)),"",INDEX('Compliance Database'!$F$2:$F$679,MATCH(176,'Transfer Engine'!$C$2:$C$679,0)))</f>
        <v/>
      </c>
      <c r="G185">
        <f>IF(ISNA(MATCH(176,'Transfer Engine'!$C$2:$C$679,0)),"",INDEX('Compliance Database'!$G$2:$G$679,MATCH(176,'Transfer Engine'!$C$2:$C$679,0)))</f>
        <v/>
      </c>
      <c r="H185">
        <f>IF(ISNA(MATCH(176,'Transfer Engine'!$C$2:$C$679,0)),"",INDEX('Compliance Database'!$H$2:$H$679,MATCH(176,'Transfer Engine'!$C$2:$C$679,0)))</f>
        <v/>
      </c>
      <c r="I185" s="8">
        <f>IF(ISNA(MATCH(176,'Transfer Engine'!$C$2:$C$679,0)),"",INDEX('Compliance Database'!$I$2:$I$679,MATCH(176,'Transfer Engine'!$C$2:$C$679,0)))</f>
        <v/>
      </c>
      <c r="J185" s="8">
        <f>IF(ISNA(MATCH(176,'Transfer Engine'!$C$2:$C$679,0)),"",INDEX('Compliance Database'!$J$2:$J$679,MATCH(176,'Transfer Engine'!$C$2:$C$679,0)))</f>
        <v/>
      </c>
      <c r="K185">
        <f>IF(ISNA(MATCH(176,'Transfer Engine'!$C$2:$C$679,0)),"",INDEX('Compliance Database'!$K$2:$K$679,MATCH(176,'Transfer Engine'!$C$2:$C$679,0)))</f>
        <v/>
      </c>
      <c r="L185" s="8">
        <f>IF(ISNA(MATCH(176,'Transfer Engine'!$C$2:$C$679,0)),"",INDEX('Compliance Database'!$L$2:$L$679,MATCH(176,'Transfer Engine'!$C$2:$C$679,0)))</f>
        <v/>
      </c>
      <c r="M185" s="8">
        <f>IF(ISNA(MATCH(176,'Transfer Engine'!$C$2:$C$679,0)),"",INDEX('Compliance Database'!$M$2:$M$679,MATCH(176,'Transfer Engine'!$C$2:$C$679,0)))</f>
        <v/>
      </c>
      <c r="N185" s="8">
        <f>IF(ISNA(MATCH(176,'Transfer Engine'!$C$2:$C$679,0)),"",INDEX('Compliance Database'!$N$2:$N$679,MATCH(176,'Transfer Engine'!$C$2:$C$679,0)))</f>
        <v/>
      </c>
      <c r="O185" s="8">
        <f>IF(ISNA(MATCH(176,'Transfer Engine'!$C$2:$C$679,0)),"",INDEX('Compliance Database'!$O$2:$O$679,MATCH(176,'Transfer Engine'!$C$2:$C$679,0)))</f>
        <v/>
      </c>
      <c r="P185">
        <f>IF(ISNA(MATCH(176,'Transfer Engine'!$C$2:$C$679,0)),"",HYPERLINK(INDEX('Compliance Database'!$P$2:$P$679,MATCH(176,'Transfer Engine'!$C$2:$C$679,0)),"Open PDF"))</f>
        <v/>
      </c>
    </row>
    <row r="186">
      <c r="A186">
        <f>IF(ISNA(MATCH(177,'Transfer Engine'!$C$2:$C$679,0)),"",INDEX('Compliance Database'!$A$2:$A$679,MATCH(177,'Transfer Engine'!$C$2:$C$679,0)))</f>
        <v/>
      </c>
      <c r="B186">
        <f>IF(ISNA(MATCH(177,'Transfer Engine'!$C$2:$C$679,0)),"",INDEX('Compliance Database'!$B$2:$B$679,MATCH(177,'Transfer Engine'!$C$2:$C$679,0)))</f>
        <v/>
      </c>
      <c r="C186">
        <f>IF(ISNA(MATCH(177,'Transfer Engine'!$C$2:$C$679,0)),"",INDEX('Compliance Database'!$C$2:$C$679,MATCH(177,'Transfer Engine'!$C$2:$C$679,0)))</f>
        <v/>
      </c>
      <c r="D186" s="8">
        <f>IF(ISNA(MATCH(177,'Transfer Engine'!$C$2:$C$679,0)),"",INDEX('Compliance Database'!$D$2:$D$679,MATCH(177,'Transfer Engine'!$C$2:$C$679,0)))</f>
        <v/>
      </c>
      <c r="E186">
        <f>IF(ISNA(MATCH(177,'Transfer Engine'!$C$2:$C$679,0)),"",INDEX('Compliance Database'!$E$2:$E$679,MATCH(177,'Transfer Engine'!$C$2:$C$679,0)))</f>
        <v/>
      </c>
      <c r="F186">
        <f>IF(ISNA(MATCH(177,'Transfer Engine'!$C$2:$C$679,0)),"",INDEX('Compliance Database'!$F$2:$F$679,MATCH(177,'Transfer Engine'!$C$2:$C$679,0)))</f>
        <v/>
      </c>
      <c r="G186">
        <f>IF(ISNA(MATCH(177,'Transfer Engine'!$C$2:$C$679,0)),"",INDEX('Compliance Database'!$G$2:$G$679,MATCH(177,'Transfer Engine'!$C$2:$C$679,0)))</f>
        <v/>
      </c>
      <c r="H186">
        <f>IF(ISNA(MATCH(177,'Transfer Engine'!$C$2:$C$679,0)),"",INDEX('Compliance Database'!$H$2:$H$679,MATCH(177,'Transfer Engine'!$C$2:$C$679,0)))</f>
        <v/>
      </c>
      <c r="I186" s="8">
        <f>IF(ISNA(MATCH(177,'Transfer Engine'!$C$2:$C$679,0)),"",INDEX('Compliance Database'!$I$2:$I$679,MATCH(177,'Transfer Engine'!$C$2:$C$679,0)))</f>
        <v/>
      </c>
      <c r="J186" s="8">
        <f>IF(ISNA(MATCH(177,'Transfer Engine'!$C$2:$C$679,0)),"",INDEX('Compliance Database'!$J$2:$J$679,MATCH(177,'Transfer Engine'!$C$2:$C$679,0)))</f>
        <v/>
      </c>
      <c r="K186">
        <f>IF(ISNA(MATCH(177,'Transfer Engine'!$C$2:$C$679,0)),"",INDEX('Compliance Database'!$K$2:$K$679,MATCH(177,'Transfer Engine'!$C$2:$C$679,0)))</f>
        <v/>
      </c>
      <c r="L186" s="8">
        <f>IF(ISNA(MATCH(177,'Transfer Engine'!$C$2:$C$679,0)),"",INDEX('Compliance Database'!$L$2:$L$679,MATCH(177,'Transfer Engine'!$C$2:$C$679,0)))</f>
        <v/>
      </c>
      <c r="M186" s="8">
        <f>IF(ISNA(MATCH(177,'Transfer Engine'!$C$2:$C$679,0)),"",INDEX('Compliance Database'!$M$2:$M$679,MATCH(177,'Transfer Engine'!$C$2:$C$679,0)))</f>
        <v/>
      </c>
      <c r="N186" s="8">
        <f>IF(ISNA(MATCH(177,'Transfer Engine'!$C$2:$C$679,0)),"",INDEX('Compliance Database'!$N$2:$N$679,MATCH(177,'Transfer Engine'!$C$2:$C$679,0)))</f>
        <v/>
      </c>
      <c r="O186" s="8">
        <f>IF(ISNA(MATCH(177,'Transfer Engine'!$C$2:$C$679,0)),"",INDEX('Compliance Database'!$O$2:$O$679,MATCH(177,'Transfer Engine'!$C$2:$C$679,0)))</f>
        <v/>
      </c>
      <c r="P186">
        <f>IF(ISNA(MATCH(177,'Transfer Engine'!$C$2:$C$679,0)),"",HYPERLINK(INDEX('Compliance Database'!$P$2:$P$679,MATCH(177,'Transfer Engine'!$C$2:$C$679,0)),"Open PDF"))</f>
        <v/>
      </c>
    </row>
    <row r="187">
      <c r="A187">
        <f>IF(ISNA(MATCH(178,'Transfer Engine'!$C$2:$C$679,0)),"",INDEX('Compliance Database'!$A$2:$A$679,MATCH(178,'Transfer Engine'!$C$2:$C$679,0)))</f>
        <v/>
      </c>
      <c r="B187">
        <f>IF(ISNA(MATCH(178,'Transfer Engine'!$C$2:$C$679,0)),"",INDEX('Compliance Database'!$B$2:$B$679,MATCH(178,'Transfer Engine'!$C$2:$C$679,0)))</f>
        <v/>
      </c>
      <c r="C187">
        <f>IF(ISNA(MATCH(178,'Transfer Engine'!$C$2:$C$679,0)),"",INDEX('Compliance Database'!$C$2:$C$679,MATCH(178,'Transfer Engine'!$C$2:$C$679,0)))</f>
        <v/>
      </c>
      <c r="D187" s="8">
        <f>IF(ISNA(MATCH(178,'Transfer Engine'!$C$2:$C$679,0)),"",INDEX('Compliance Database'!$D$2:$D$679,MATCH(178,'Transfer Engine'!$C$2:$C$679,0)))</f>
        <v/>
      </c>
      <c r="E187">
        <f>IF(ISNA(MATCH(178,'Transfer Engine'!$C$2:$C$679,0)),"",INDEX('Compliance Database'!$E$2:$E$679,MATCH(178,'Transfer Engine'!$C$2:$C$679,0)))</f>
        <v/>
      </c>
      <c r="F187">
        <f>IF(ISNA(MATCH(178,'Transfer Engine'!$C$2:$C$679,0)),"",INDEX('Compliance Database'!$F$2:$F$679,MATCH(178,'Transfer Engine'!$C$2:$C$679,0)))</f>
        <v/>
      </c>
      <c r="G187">
        <f>IF(ISNA(MATCH(178,'Transfer Engine'!$C$2:$C$679,0)),"",INDEX('Compliance Database'!$G$2:$G$679,MATCH(178,'Transfer Engine'!$C$2:$C$679,0)))</f>
        <v/>
      </c>
      <c r="H187">
        <f>IF(ISNA(MATCH(178,'Transfer Engine'!$C$2:$C$679,0)),"",INDEX('Compliance Database'!$H$2:$H$679,MATCH(178,'Transfer Engine'!$C$2:$C$679,0)))</f>
        <v/>
      </c>
      <c r="I187" s="8">
        <f>IF(ISNA(MATCH(178,'Transfer Engine'!$C$2:$C$679,0)),"",INDEX('Compliance Database'!$I$2:$I$679,MATCH(178,'Transfer Engine'!$C$2:$C$679,0)))</f>
        <v/>
      </c>
      <c r="J187" s="8">
        <f>IF(ISNA(MATCH(178,'Transfer Engine'!$C$2:$C$679,0)),"",INDEX('Compliance Database'!$J$2:$J$679,MATCH(178,'Transfer Engine'!$C$2:$C$679,0)))</f>
        <v/>
      </c>
      <c r="K187">
        <f>IF(ISNA(MATCH(178,'Transfer Engine'!$C$2:$C$679,0)),"",INDEX('Compliance Database'!$K$2:$K$679,MATCH(178,'Transfer Engine'!$C$2:$C$679,0)))</f>
        <v/>
      </c>
      <c r="L187" s="8">
        <f>IF(ISNA(MATCH(178,'Transfer Engine'!$C$2:$C$679,0)),"",INDEX('Compliance Database'!$L$2:$L$679,MATCH(178,'Transfer Engine'!$C$2:$C$679,0)))</f>
        <v/>
      </c>
      <c r="M187" s="8">
        <f>IF(ISNA(MATCH(178,'Transfer Engine'!$C$2:$C$679,0)),"",INDEX('Compliance Database'!$M$2:$M$679,MATCH(178,'Transfer Engine'!$C$2:$C$679,0)))</f>
        <v/>
      </c>
      <c r="N187" s="8">
        <f>IF(ISNA(MATCH(178,'Transfer Engine'!$C$2:$C$679,0)),"",INDEX('Compliance Database'!$N$2:$N$679,MATCH(178,'Transfer Engine'!$C$2:$C$679,0)))</f>
        <v/>
      </c>
      <c r="O187" s="8">
        <f>IF(ISNA(MATCH(178,'Transfer Engine'!$C$2:$C$679,0)),"",INDEX('Compliance Database'!$O$2:$O$679,MATCH(178,'Transfer Engine'!$C$2:$C$679,0)))</f>
        <v/>
      </c>
      <c r="P187">
        <f>IF(ISNA(MATCH(178,'Transfer Engine'!$C$2:$C$679,0)),"",HYPERLINK(INDEX('Compliance Database'!$P$2:$P$679,MATCH(178,'Transfer Engine'!$C$2:$C$679,0)),"Open PDF"))</f>
        <v/>
      </c>
    </row>
    <row r="188">
      <c r="A188">
        <f>IF(ISNA(MATCH(179,'Transfer Engine'!$C$2:$C$679,0)),"",INDEX('Compliance Database'!$A$2:$A$679,MATCH(179,'Transfer Engine'!$C$2:$C$679,0)))</f>
        <v/>
      </c>
      <c r="B188">
        <f>IF(ISNA(MATCH(179,'Transfer Engine'!$C$2:$C$679,0)),"",INDEX('Compliance Database'!$B$2:$B$679,MATCH(179,'Transfer Engine'!$C$2:$C$679,0)))</f>
        <v/>
      </c>
      <c r="C188">
        <f>IF(ISNA(MATCH(179,'Transfer Engine'!$C$2:$C$679,0)),"",INDEX('Compliance Database'!$C$2:$C$679,MATCH(179,'Transfer Engine'!$C$2:$C$679,0)))</f>
        <v/>
      </c>
      <c r="D188" s="8">
        <f>IF(ISNA(MATCH(179,'Transfer Engine'!$C$2:$C$679,0)),"",INDEX('Compliance Database'!$D$2:$D$679,MATCH(179,'Transfer Engine'!$C$2:$C$679,0)))</f>
        <v/>
      </c>
      <c r="E188">
        <f>IF(ISNA(MATCH(179,'Transfer Engine'!$C$2:$C$679,0)),"",INDEX('Compliance Database'!$E$2:$E$679,MATCH(179,'Transfer Engine'!$C$2:$C$679,0)))</f>
        <v/>
      </c>
      <c r="F188">
        <f>IF(ISNA(MATCH(179,'Transfer Engine'!$C$2:$C$679,0)),"",INDEX('Compliance Database'!$F$2:$F$679,MATCH(179,'Transfer Engine'!$C$2:$C$679,0)))</f>
        <v/>
      </c>
      <c r="G188">
        <f>IF(ISNA(MATCH(179,'Transfer Engine'!$C$2:$C$679,0)),"",INDEX('Compliance Database'!$G$2:$G$679,MATCH(179,'Transfer Engine'!$C$2:$C$679,0)))</f>
        <v/>
      </c>
      <c r="H188">
        <f>IF(ISNA(MATCH(179,'Transfer Engine'!$C$2:$C$679,0)),"",INDEX('Compliance Database'!$H$2:$H$679,MATCH(179,'Transfer Engine'!$C$2:$C$679,0)))</f>
        <v/>
      </c>
      <c r="I188" s="8">
        <f>IF(ISNA(MATCH(179,'Transfer Engine'!$C$2:$C$679,0)),"",INDEX('Compliance Database'!$I$2:$I$679,MATCH(179,'Transfer Engine'!$C$2:$C$679,0)))</f>
        <v/>
      </c>
      <c r="J188" s="8">
        <f>IF(ISNA(MATCH(179,'Transfer Engine'!$C$2:$C$679,0)),"",INDEX('Compliance Database'!$J$2:$J$679,MATCH(179,'Transfer Engine'!$C$2:$C$679,0)))</f>
        <v/>
      </c>
      <c r="K188">
        <f>IF(ISNA(MATCH(179,'Transfer Engine'!$C$2:$C$679,0)),"",INDEX('Compliance Database'!$K$2:$K$679,MATCH(179,'Transfer Engine'!$C$2:$C$679,0)))</f>
        <v/>
      </c>
      <c r="L188" s="8">
        <f>IF(ISNA(MATCH(179,'Transfer Engine'!$C$2:$C$679,0)),"",INDEX('Compliance Database'!$L$2:$L$679,MATCH(179,'Transfer Engine'!$C$2:$C$679,0)))</f>
        <v/>
      </c>
      <c r="M188" s="8">
        <f>IF(ISNA(MATCH(179,'Transfer Engine'!$C$2:$C$679,0)),"",INDEX('Compliance Database'!$M$2:$M$679,MATCH(179,'Transfer Engine'!$C$2:$C$679,0)))</f>
        <v/>
      </c>
      <c r="N188" s="8">
        <f>IF(ISNA(MATCH(179,'Transfer Engine'!$C$2:$C$679,0)),"",INDEX('Compliance Database'!$N$2:$N$679,MATCH(179,'Transfer Engine'!$C$2:$C$679,0)))</f>
        <v/>
      </c>
      <c r="O188" s="8">
        <f>IF(ISNA(MATCH(179,'Transfer Engine'!$C$2:$C$679,0)),"",INDEX('Compliance Database'!$O$2:$O$679,MATCH(179,'Transfer Engine'!$C$2:$C$679,0)))</f>
        <v/>
      </c>
      <c r="P188">
        <f>IF(ISNA(MATCH(179,'Transfer Engine'!$C$2:$C$679,0)),"",HYPERLINK(INDEX('Compliance Database'!$P$2:$P$679,MATCH(179,'Transfer Engine'!$C$2:$C$679,0)),"Open PDF"))</f>
        <v/>
      </c>
    </row>
    <row r="189">
      <c r="A189">
        <f>IF(ISNA(MATCH(180,'Transfer Engine'!$C$2:$C$679,0)),"",INDEX('Compliance Database'!$A$2:$A$679,MATCH(180,'Transfer Engine'!$C$2:$C$679,0)))</f>
        <v/>
      </c>
      <c r="B189">
        <f>IF(ISNA(MATCH(180,'Transfer Engine'!$C$2:$C$679,0)),"",INDEX('Compliance Database'!$B$2:$B$679,MATCH(180,'Transfer Engine'!$C$2:$C$679,0)))</f>
        <v/>
      </c>
      <c r="C189">
        <f>IF(ISNA(MATCH(180,'Transfer Engine'!$C$2:$C$679,0)),"",INDEX('Compliance Database'!$C$2:$C$679,MATCH(180,'Transfer Engine'!$C$2:$C$679,0)))</f>
        <v/>
      </c>
      <c r="D189" s="8">
        <f>IF(ISNA(MATCH(180,'Transfer Engine'!$C$2:$C$679,0)),"",INDEX('Compliance Database'!$D$2:$D$679,MATCH(180,'Transfer Engine'!$C$2:$C$679,0)))</f>
        <v/>
      </c>
      <c r="E189">
        <f>IF(ISNA(MATCH(180,'Transfer Engine'!$C$2:$C$679,0)),"",INDEX('Compliance Database'!$E$2:$E$679,MATCH(180,'Transfer Engine'!$C$2:$C$679,0)))</f>
        <v/>
      </c>
      <c r="F189">
        <f>IF(ISNA(MATCH(180,'Transfer Engine'!$C$2:$C$679,0)),"",INDEX('Compliance Database'!$F$2:$F$679,MATCH(180,'Transfer Engine'!$C$2:$C$679,0)))</f>
        <v/>
      </c>
      <c r="G189">
        <f>IF(ISNA(MATCH(180,'Transfer Engine'!$C$2:$C$679,0)),"",INDEX('Compliance Database'!$G$2:$G$679,MATCH(180,'Transfer Engine'!$C$2:$C$679,0)))</f>
        <v/>
      </c>
      <c r="H189">
        <f>IF(ISNA(MATCH(180,'Transfer Engine'!$C$2:$C$679,0)),"",INDEX('Compliance Database'!$H$2:$H$679,MATCH(180,'Transfer Engine'!$C$2:$C$679,0)))</f>
        <v/>
      </c>
      <c r="I189" s="8">
        <f>IF(ISNA(MATCH(180,'Transfer Engine'!$C$2:$C$679,0)),"",INDEX('Compliance Database'!$I$2:$I$679,MATCH(180,'Transfer Engine'!$C$2:$C$679,0)))</f>
        <v/>
      </c>
      <c r="J189" s="8">
        <f>IF(ISNA(MATCH(180,'Transfer Engine'!$C$2:$C$679,0)),"",INDEX('Compliance Database'!$J$2:$J$679,MATCH(180,'Transfer Engine'!$C$2:$C$679,0)))</f>
        <v/>
      </c>
      <c r="K189">
        <f>IF(ISNA(MATCH(180,'Transfer Engine'!$C$2:$C$679,0)),"",INDEX('Compliance Database'!$K$2:$K$679,MATCH(180,'Transfer Engine'!$C$2:$C$679,0)))</f>
        <v/>
      </c>
      <c r="L189" s="8">
        <f>IF(ISNA(MATCH(180,'Transfer Engine'!$C$2:$C$679,0)),"",INDEX('Compliance Database'!$L$2:$L$679,MATCH(180,'Transfer Engine'!$C$2:$C$679,0)))</f>
        <v/>
      </c>
      <c r="M189" s="8">
        <f>IF(ISNA(MATCH(180,'Transfer Engine'!$C$2:$C$679,0)),"",INDEX('Compliance Database'!$M$2:$M$679,MATCH(180,'Transfer Engine'!$C$2:$C$679,0)))</f>
        <v/>
      </c>
      <c r="N189" s="8">
        <f>IF(ISNA(MATCH(180,'Transfer Engine'!$C$2:$C$679,0)),"",INDEX('Compliance Database'!$N$2:$N$679,MATCH(180,'Transfer Engine'!$C$2:$C$679,0)))</f>
        <v/>
      </c>
      <c r="O189" s="8">
        <f>IF(ISNA(MATCH(180,'Transfer Engine'!$C$2:$C$679,0)),"",INDEX('Compliance Database'!$O$2:$O$679,MATCH(180,'Transfer Engine'!$C$2:$C$679,0)))</f>
        <v/>
      </c>
      <c r="P189">
        <f>IF(ISNA(MATCH(180,'Transfer Engine'!$C$2:$C$679,0)),"",HYPERLINK(INDEX('Compliance Database'!$P$2:$P$679,MATCH(180,'Transfer Engine'!$C$2:$C$679,0)),"Open PDF"))</f>
        <v/>
      </c>
    </row>
    <row r="190">
      <c r="A190">
        <f>IF(ISNA(MATCH(181,'Transfer Engine'!$C$2:$C$679,0)),"",INDEX('Compliance Database'!$A$2:$A$679,MATCH(181,'Transfer Engine'!$C$2:$C$679,0)))</f>
        <v/>
      </c>
      <c r="B190">
        <f>IF(ISNA(MATCH(181,'Transfer Engine'!$C$2:$C$679,0)),"",INDEX('Compliance Database'!$B$2:$B$679,MATCH(181,'Transfer Engine'!$C$2:$C$679,0)))</f>
        <v/>
      </c>
      <c r="C190">
        <f>IF(ISNA(MATCH(181,'Transfer Engine'!$C$2:$C$679,0)),"",INDEX('Compliance Database'!$C$2:$C$679,MATCH(181,'Transfer Engine'!$C$2:$C$679,0)))</f>
        <v/>
      </c>
      <c r="D190" s="8">
        <f>IF(ISNA(MATCH(181,'Transfer Engine'!$C$2:$C$679,0)),"",INDEX('Compliance Database'!$D$2:$D$679,MATCH(181,'Transfer Engine'!$C$2:$C$679,0)))</f>
        <v/>
      </c>
      <c r="E190">
        <f>IF(ISNA(MATCH(181,'Transfer Engine'!$C$2:$C$679,0)),"",INDEX('Compliance Database'!$E$2:$E$679,MATCH(181,'Transfer Engine'!$C$2:$C$679,0)))</f>
        <v/>
      </c>
      <c r="F190">
        <f>IF(ISNA(MATCH(181,'Transfer Engine'!$C$2:$C$679,0)),"",INDEX('Compliance Database'!$F$2:$F$679,MATCH(181,'Transfer Engine'!$C$2:$C$679,0)))</f>
        <v/>
      </c>
      <c r="G190">
        <f>IF(ISNA(MATCH(181,'Transfer Engine'!$C$2:$C$679,0)),"",INDEX('Compliance Database'!$G$2:$G$679,MATCH(181,'Transfer Engine'!$C$2:$C$679,0)))</f>
        <v/>
      </c>
      <c r="H190">
        <f>IF(ISNA(MATCH(181,'Transfer Engine'!$C$2:$C$679,0)),"",INDEX('Compliance Database'!$H$2:$H$679,MATCH(181,'Transfer Engine'!$C$2:$C$679,0)))</f>
        <v/>
      </c>
      <c r="I190" s="8">
        <f>IF(ISNA(MATCH(181,'Transfer Engine'!$C$2:$C$679,0)),"",INDEX('Compliance Database'!$I$2:$I$679,MATCH(181,'Transfer Engine'!$C$2:$C$679,0)))</f>
        <v/>
      </c>
      <c r="J190" s="8">
        <f>IF(ISNA(MATCH(181,'Transfer Engine'!$C$2:$C$679,0)),"",INDEX('Compliance Database'!$J$2:$J$679,MATCH(181,'Transfer Engine'!$C$2:$C$679,0)))</f>
        <v/>
      </c>
      <c r="K190">
        <f>IF(ISNA(MATCH(181,'Transfer Engine'!$C$2:$C$679,0)),"",INDEX('Compliance Database'!$K$2:$K$679,MATCH(181,'Transfer Engine'!$C$2:$C$679,0)))</f>
        <v/>
      </c>
      <c r="L190" s="8">
        <f>IF(ISNA(MATCH(181,'Transfer Engine'!$C$2:$C$679,0)),"",INDEX('Compliance Database'!$L$2:$L$679,MATCH(181,'Transfer Engine'!$C$2:$C$679,0)))</f>
        <v/>
      </c>
      <c r="M190" s="8">
        <f>IF(ISNA(MATCH(181,'Transfer Engine'!$C$2:$C$679,0)),"",INDEX('Compliance Database'!$M$2:$M$679,MATCH(181,'Transfer Engine'!$C$2:$C$679,0)))</f>
        <v/>
      </c>
      <c r="N190" s="8">
        <f>IF(ISNA(MATCH(181,'Transfer Engine'!$C$2:$C$679,0)),"",INDEX('Compliance Database'!$N$2:$N$679,MATCH(181,'Transfer Engine'!$C$2:$C$679,0)))</f>
        <v/>
      </c>
      <c r="O190" s="8">
        <f>IF(ISNA(MATCH(181,'Transfer Engine'!$C$2:$C$679,0)),"",INDEX('Compliance Database'!$O$2:$O$679,MATCH(181,'Transfer Engine'!$C$2:$C$679,0)))</f>
        <v/>
      </c>
      <c r="P190">
        <f>IF(ISNA(MATCH(181,'Transfer Engine'!$C$2:$C$679,0)),"",HYPERLINK(INDEX('Compliance Database'!$P$2:$P$679,MATCH(181,'Transfer Engine'!$C$2:$C$679,0)),"Open PDF"))</f>
        <v/>
      </c>
    </row>
    <row r="191">
      <c r="A191">
        <f>IF(ISNA(MATCH(182,'Transfer Engine'!$C$2:$C$679,0)),"",INDEX('Compliance Database'!$A$2:$A$679,MATCH(182,'Transfer Engine'!$C$2:$C$679,0)))</f>
        <v/>
      </c>
      <c r="B191">
        <f>IF(ISNA(MATCH(182,'Transfer Engine'!$C$2:$C$679,0)),"",INDEX('Compliance Database'!$B$2:$B$679,MATCH(182,'Transfer Engine'!$C$2:$C$679,0)))</f>
        <v/>
      </c>
      <c r="C191">
        <f>IF(ISNA(MATCH(182,'Transfer Engine'!$C$2:$C$679,0)),"",INDEX('Compliance Database'!$C$2:$C$679,MATCH(182,'Transfer Engine'!$C$2:$C$679,0)))</f>
        <v/>
      </c>
      <c r="D191" s="8">
        <f>IF(ISNA(MATCH(182,'Transfer Engine'!$C$2:$C$679,0)),"",INDEX('Compliance Database'!$D$2:$D$679,MATCH(182,'Transfer Engine'!$C$2:$C$679,0)))</f>
        <v/>
      </c>
      <c r="E191">
        <f>IF(ISNA(MATCH(182,'Transfer Engine'!$C$2:$C$679,0)),"",INDEX('Compliance Database'!$E$2:$E$679,MATCH(182,'Transfer Engine'!$C$2:$C$679,0)))</f>
        <v/>
      </c>
      <c r="F191">
        <f>IF(ISNA(MATCH(182,'Transfer Engine'!$C$2:$C$679,0)),"",INDEX('Compliance Database'!$F$2:$F$679,MATCH(182,'Transfer Engine'!$C$2:$C$679,0)))</f>
        <v/>
      </c>
      <c r="G191">
        <f>IF(ISNA(MATCH(182,'Transfer Engine'!$C$2:$C$679,0)),"",INDEX('Compliance Database'!$G$2:$G$679,MATCH(182,'Transfer Engine'!$C$2:$C$679,0)))</f>
        <v/>
      </c>
      <c r="H191">
        <f>IF(ISNA(MATCH(182,'Transfer Engine'!$C$2:$C$679,0)),"",INDEX('Compliance Database'!$H$2:$H$679,MATCH(182,'Transfer Engine'!$C$2:$C$679,0)))</f>
        <v/>
      </c>
      <c r="I191" s="8">
        <f>IF(ISNA(MATCH(182,'Transfer Engine'!$C$2:$C$679,0)),"",INDEX('Compliance Database'!$I$2:$I$679,MATCH(182,'Transfer Engine'!$C$2:$C$679,0)))</f>
        <v/>
      </c>
      <c r="J191" s="8">
        <f>IF(ISNA(MATCH(182,'Transfer Engine'!$C$2:$C$679,0)),"",INDEX('Compliance Database'!$J$2:$J$679,MATCH(182,'Transfer Engine'!$C$2:$C$679,0)))</f>
        <v/>
      </c>
      <c r="K191">
        <f>IF(ISNA(MATCH(182,'Transfer Engine'!$C$2:$C$679,0)),"",INDEX('Compliance Database'!$K$2:$K$679,MATCH(182,'Transfer Engine'!$C$2:$C$679,0)))</f>
        <v/>
      </c>
      <c r="L191" s="8">
        <f>IF(ISNA(MATCH(182,'Transfer Engine'!$C$2:$C$679,0)),"",INDEX('Compliance Database'!$L$2:$L$679,MATCH(182,'Transfer Engine'!$C$2:$C$679,0)))</f>
        <v/>
      </c>
      <c r="M191" s="8">
        <f>IF(ISNA(MATCH(182,'Transfer Engine'!$C$2:$C$679,0)),"",INDEX('Compliance Database'!$M$2:$M$679,MATCH(182,'Transfer Engine'!$C$2:$C$679,0)))</f>
        <v/>
      </c>
      <c r="N191" s="8">
        <f>IF(ISNA(MATCH(182,'Transfer Engine'!$C$2:$C$679,0)),"",INDEX('Compliance Database'!$N$2:$N$679,MATCH(182,'Transfer Engine'!$C$2:$C$679,0)))</f>
        <v/>
      </c>
      <c r="O191" s="8">
        <f>IF(ISNA(MATCH(182,'Transfer Engine'!$C$2:$C$679,0)),"",INDEX('Compliance Database'!$O$2:$O$679,MATCH(182,'Transfer Engine'!$C$2:$C$679,0)))</f>
        <v/>
      </c>
      <c r="P191">
        <f>IF(ISNA(MATCH(182,'Transfer Engine'!$C$2:$C$679,0)),"",HYPERLINK(INDEX('Compliance Database'!$P$2:$P$679,MATCH(182,'Transfer Engine'!$C$2:$C$679,0)),"Open PDF"))</f>
        <v/>
      </c>
    </row>
    <row r="192">
      <c r="A192">
        <f>IF(ISNA(MATCH(183,'Transfer Engine'!$C$2:$C$679,0)),"",INDEX('Compliance Database'!$A$2:$A$679,MATCH(183,'Transfer Engine'!$C$2:$C$679,0)))</f>
        <v/>
      </c>
      <c r="B192">
        <f>IF(ISNA(MATCH(183,'Transfer Engine'!$C$2:$C$679,0)),"",INDEX('Compliance Database'!$B$2:$B$679,MATCH(183,'Transfer Engine'!$C$2:$C$679,0)))</f>
        <v/>
      </c>
      <c r="C192">
        <f>IF(ISNA(MATCH(183,'Transfer Engine'!$C$2:$C$679,0)),"",INDEX('Compliance Database'!$C$2:$C$679,MATCH(183,'Transfer Engine'!$C$2:$C$679,0)))</f>
        <v/>
      </c>
      <c r="D192" s="8">
        <f>IF(ISNA(MATCH(183,'Transfer Engine'!$C$2:$C$679,0)),"",INDEX('Compliance Database'!$D$2:$D$679,MATCH(183,'Transfer Engine'!$C$2:$C$679,0)))</f>
        <v/>
      </c>
      <c r="E192">
        <f>IF(ISNA(MATCH(183,'Transfer Engine'!$C$2:$C$679,0)),"",INDEX('Compliance Database'!$E$2:$E$679,MATCH(183,'Transfer Engine'!$C$2:$C$679,0)))</f>
        <v/>
      </c>
      <c r="F192">
        <f>IF(ISNA(MATCH(183,'Transfer Engine'!$C$2:$C$679,0)),"",INDEX('Compliance Database'!$F$2:$F$679,MATCH(183,'Transfer Engine'!$C$2:$C$679,0)))</f>
        <v/>
      </c>
      <c r="G192">
        <f>IF(ISNA(MATCH(183,'Transfer Engine'!$C$2:$C$679,0)),"",INDEX('Compliance Database'!$G$2:$G$679,MATCH(183,'Transfer Engine'!$C$2:$C$679,0)))</f>
        <v/>
      </c>
      <c r="H192">
        <f>IF(ISNA(MATCH(183,'Transfer Engine'!$C$2:$C$679,0)),"",INDEX('Compliance Database'!$H$2:$H$679,MATCH(183,'Transfer Engine'!$C$2:$C$679,0)))</f>
        <v/>
      </c>
      <c r="I192" s="8">
        <f>IF(ISNA(MATCH(183,'Transfer Engine'!$C$2:$C$679,0)),"",INDEX('Compliance Database'!$I$2:$I$679,MATCH(183,'Transfer Engine'!$C$2:$C$679,0)))</f>
        <v/>
      </c>
      <c r="J192" s="8">
        <f>IF(ISNA(MATCH(183,'Transfer Engine'!$C$2:$C$679,0)),"",INDEX('Compliance Database'!$J$2:$J$679,MATCH(183,'Transfer Engine'!$C$2:$C$679,0)))</f>
        <v/>
      </c>
      <c r="K192">
        <f>IF(ISNA(MATCH(183,'Transfer Engine'!$C$2:$C$679,0)),"",INDEX('Compliance Database'!$K$2:$K$679,MATCH(183,'Transfer Engine'!$C$2:$C$679,0)))</f>
        <v/>
      </c>
      <c r="L192" s="8">
        <f>IF(ISNA(MATCH(183,'Transfer Engine'!$C$2:$C$679,0)),"",INDEX('Compliance Database'!$L$2:$L$679,MATCH(183,'Transfer Engine'!$C$2:$C$679,0)))</f>
        <v/>
      </c>
      <c r="M192" s="8">
        <f>IF(ISNA(MATCH(183,'Transfer Engine'!$C$2:$C$679,0)),"",INDEX('Compliance Database'!$M$2:$M$679,MATCH(183,'Transfer Engine'!$C$2:$C$679,0)))</f>
        <v/>
      </c>
      <c r="N192" s="8">
        <f>IF(ISNA(MATCH(183,'Transfer Engine'!$C$2:$C$679,0)),"",INDEX('Compliance Database'!$N$2:$N$679,MATCH(183,'Transfer Engine'!$C$2:$C$679,0)))</f>
        <v/>
      </c>
      <c r="O192" s="8">
        <f>IF(ISNA(MATCH(183,'Transfer Engine'!$C$2:$C$679,0)),"",INDEX('Compliance Database'!$O$2:$O$679,MATCH(183,'Transfer Engine'!$C$2:$C$679,0)))</f>
        <v/>
      </c>
      <c r="P192">
        <f>IF(ISNA(MATCH(183,'Transfer Engine'!$C$2:$C$679,0)),"",HYPERLINK(INDEX('Compliance Database'!$P$2:$P$679,MATCH(183,'Transfer Engine'!$C$2:$C$679,0)),"Open PDF"))</f>
        <v/>
      </c>
    </row>
    <row r="193">
      <c r="A193">
        <f>IF(ISNA(MATCH(184,'Transfer Engine'!$C$2:$C$679,0)),"",INDEX('Compliance Database'!$A$2:$A$679,MATCH(184,'Transfer Engine'!$C$2:$C$679,0)))</f>
        <v/>
      </c>
      <c r="B193">
        <f>IF(ISNA(MATCH(184,'Transfer Engine'!$C$2:$C$679,0)),"",INDEX('Compliance Database'!$B$2:$B$679,MATCH(184,'Transfer Engine'!$C$2:$C$679,0)))</f>
        <v/>
      </c>
      <c r="C193">
        <f>IF(ISNA(MATCH(184,'Transfer Engine'!$C$2:$C$679,0)),"",INDEX('Compliance Database'!$C$2:$C$679,MATCH(184,'Transfer Engine'!$C$2:$C$679,0)))</f>
        <v/>
      </c>
      <c r="D193" s="8">
        <f>IF(ISNA(MATCH(184,'Transfer Engine'!$C$2:$C$679,0)),"",INDEX('Compliance Database'!$D$2:$D$679,MATCH(184,'Transfer Engine'!$C$2:$C$679,0)))</f>
        <v/>
      </c>
      <c r="E193">
        <f>IF(ISNA(MATCH(184,'Transfer Engine'!$C$2:$C$679,0)),"",INDEX('Compliance Database'!$E$2:$E$679,MATCH(184,'Transfer Engine'!$C$2:$C$679,0)))</f>
        <v/>
      </c>
      <c r="F193">
        <f>IF(ISNA(MATCH(184,'Transfer Engine'!$C$2:$C$679,0)),"",INDEX('Compliance Database'!$F$2:$F$679,MATCH(184,'Transfer Engine'!$C$2:$C$679,0)))</f>
        <v/>
      </c>
      <c r="G193">
        <f>IF(ISNA(MATCH(184,'Transfer Engine'!$C$2:$C$679,0)),"",INDEX('Compliance Database'!$G$2:$G$679,MATCH(184,'Transfer Engine'!$C$2:$C$679,0)))</f>
        <v/>
      </c>
      <c r="H193">
        <f>IF(ISNA(MATCH(184,'Transfer Engine'!$C$2:$C$679,0)),"",INDEX('Compliance Database'!$H$2:$H$679,MATCH(184,'Transfer Engine'!$C$2:$C$679,0)))</f>
        <v/>
      </c>
      <c r="I193" s="8">
        <f>IF(ISNA(MATCH(184,'Transfer Engine'!$C$2:$C$679,0)),"",INDEX('Compliance Database'!$I$2:$I$679,MATCH(184,'Transfer Engine'!$C$2:$C$679,0)))</f>
        <v/>
      </c>
      <c r="J193" s="8">
        <f>IF(ISNA(MATCH(184,'Transfer Engine'!$C$2:$C$679,0)),"",INDEX('Compliance Database'!$J$2:$J$679,MATCH(184,'Transfer Engine'!$C$2:$C$679,0)))</f>
        <v/>
      </c>
      <c r="K193">
        <f>IF(ISNA(MATCH(184,'Transfer Engine'!$C$2:$C$679,0)),"",INDEX('Compliance Database'!$K$2:$K$679,MATCH(184,'Transfer Engine'!$C$2:$C$679,0)))</f>
        <v/>
      </c>
      <c r="L193" s="8">
        <f>IF(ISNA(MATCH(184,'Transfer Engine'!$C$2:$C$679,0)),"",INDEX('Compliance Database'!$L$2:$L$679,MATCH(184,'Transfer Engine'!$C$2:$C$679,0)))</f>
        <v/>
      </c>
      <c r="M193" s="8">
        <f>IF(ISNA(MATCH(184,'Transfer Engine'!$C$2:$C$679,0)),"",INDEX('Compliance Database'!$M$2:$M$679,MATCH(184,'Transfer Engine'!$C$2:$C$679,0)))</f>
        <v/>
      </c>
      <c r="N193" s="8">
        <f>IF(ISNA(MATCH(184,'Transfer Engine'!$C$2:$C$679,0)),"",INDEX('Compliance Database'!$N$2:$N$679,MATCH(184,'Transfer Engine'!$C$2:$C$679,0)))</f>
        <v/>
      </c>
      <c r="O193" s="8">
        <f>IF(ISNA(MATCH(184,'Transfer Engine'!$C$2:$C$679,0)),"",INDEX('Compliance Database'!$O$2:$O$679,MATCH(184,'Transfer Engine'!$C$2:$C$679,0)))</f>
        <v/>
      </c>
      <c r="P193">
        <f>IF(ISNA(MATCH(184,'Transfer Engine'!$C$2:$C$679,0)),"",HYPERLINK(INDEX('Compliance Database'!$P$2:$P$679,MATCH(184,'Transfer Engine'!$C$2:$C$679,0)),"Open PDF"))</f>
        <v/>
      </c>
    </row>
    <row r="194">
      <c r="A194">
        <f>IF(ISNA(MATCH(185,'Transfer Engine'!$C$2:$C$679,0)),"",INDEX('Compliance Database'!$A$2:$A$679,MATCH(185,'Transfer Engine'!$C$2:$C$679,0)))</f>
        <v/>
      </c>
      <c r="B194">
        <f>IF(ISNA(MATCH(185,'Transfer Engine'!$C$2:$C$679,0)),"",INDEX('Compliance Database'!$B$2:$B$679,MATCH(185,'Transfer Engine'!$C$2:$C$679,0)))</f>
        <v/>
      </c>
      <c r="C194">
        <f>IF(ISNA(MATCH(185,'Transfer Engine'!$C$2:$C$679,0)),"",INDEX('Compliance Database'!$C$2:$C$679,MATCH(185,'Transfer Engine'!$C$2:$C$679,0)))</f>
        <v/>
      </c>
      <c r="D194" s="8">
        <f>IF(ISNA(MATCH(185,'Transfer Engine'!$C$2:$C$679,0)),"",INDEX('Compliance Database'!$D$2:$D$679,MATCH(185,'Transfer Engine'!$C$2:$C$679,0)))</f>
        <v/>
      </c>
      <c r="E194">
        <f>IF(ISNA(MATCH(185,'Transfer Engine'!$C$2:$C$679,0)),"",INDEX('Compliance Database'!$E$2:$E$679,MATCH(185,'Transfer Engine'!$C$2:$C$679,0)))</f>
        <v/>
      </c>
      <c r="F194">
        <f>IF(ISNA(MATCH(185,'Transfer Engine'!$C$2:$C$679,0)),"",INDEX('Compliance Database'!$F$2:$F$679,MATCH(185,'Transfer Engine'!$C$2:$C$679,0)))</f>
        <v/>
      </c>
      <c r="G194">
        <f>IF(ISNA(MATCH(185,'Transfer Engine'!$C$2:$C$679,0)),"",INDEX('Compliance Database'!$G$2:$G$679,MATCH(185,'Transfer Engine'!$C$2:$C$679,0)))</f>
        <v/>
      </c>
      <c r="H194">
        <f>IF(ISNA(MATCH(185,'Transfer Engine'!$C$2:$C$679,0)),"",INDEX('Compliance Database'!$H$2:$H$679,MATCH(185,'Transfer Engine'!$C$2:$C$679,0)))</f>
        <v/>
      </c>
      <c r="I194" s="8">
        <f>IF(ISNA(MATCH(185,'Transfer Engine'!$C$2:$C$679,0)),"",INDEX('Compliance Database'!$I$2:$I$679,MATCH(185,'Transfer Engine'!$C$2:$C$679,0)))</f>
        <v/>
      </c>
      <c r="J194" s="8">
        <f>IF(ISNA(MATCH(185,'Transfer Engine'!$C$2:$C$679,0)),"",INDEX('Compliance Database'!$J$2:$J$679,MATCH(185,'Transfer Engine'!$C$2:$C$679,0)))</f>
        <v/>
      </c>
      <c r="K194">
        <f>IF(ISNA(MATCH(185,'Transfer Engine'!$C$2:$C$679,0)),"",INDEX('Compliance Database'!$K$2:$K$679,MATCH(185,'Transfer Engine'!$C$2:$C$679,0)))</f>
        <v/>
      </c>
      <c r="L194" s="8">
        <f>IF(ISNA(MATCH(185,'Transfer Engine'!$C$2:$C$679,0)),"",INDEX('Compliance Database'!$L$2:$L$679,MATCH(185,'Transfer Engine'!$C$2:$C$679,0)))</f>
        <v/>
      </c>
      <c r="M194" s="8">
        <f>IF(ISNA(MATCH(185,'Transfer Engine'!$C$2:$C$679,0)),"",INDEX('Compliance Database'!$M$2:$M$679,MATCH(185,'Transfer Engine'!$C$2:$C$679,0)))</f>
        <v/>
      </c>
      <c r="N194" s="8">
        <f>IF(ISNA(MATCH(185,'Transfer Engine'!$C$2:$C$679,0)),"",INDEX('Compliance Database'!$N$2:$N$679,MATCH(185,'Transfer Engine'!$C$2:$C$679,0)))</f>
        <v/>
      </c>
      <c r="O194" s="8">
        <f>IF(ISNA(MATCH(185,'Transfer Engine'!$C$2:$C$679,0)),"",INDEX('Compliance Database'!$O$2:$O$679,MATCH(185,'Transfer Engine'!$C$2:$C$679,0)))</f>
        <v/>
      </c>
      <c r="P194">
        <f>IF(ISNA(MATCH(185,'Transfer Engine'!$C$2:$C$679,0)),"",HYPERLINK(INDEX('Compliance Database'!$P$2:$P$679,MATCH(185,'Transfer Engine'!$C$2:$C$679,0)),"Open PDF"))</f>
        <v/>
      </c>
    </row>
    <row r="195">
      <c r="A195">
        <f>IF(ISNA(MATCH(186,'Transfer Engine'!$C$2:$C$679,0)),"",INDEX('Compliance Database'!$A$2:$A$679,MATCH(186,'Transfer Engine'!$C$2:$C$679,0)))</f>
        <v/>
      </c>
      <c r="B195">
        <f>IF(ISNA(MATCH(186,'Transfer Engine'!$C$2:$C$679,0)),"",INDEX('Compliance Database'!$B$2:$B$679,MATCH(186,'Transfer Engine'!$C$2:$C$679,0)))</f>
        <v/>
      </c>
      <c r="C195">
        <f>IF(ISNA(MATCH(186,'Transfer Engine'!$C$2:$C$679,0)),"",INDEX('Compliance Database'!$C$2:$C$679,MATCH(186,'Transfer Engine'!$C$2:$C$679,0)))</f>
        <v/>
      </c>
      <c r="D195" s="8">
        <f>IF(ISNA(MATCH(186,'Transfer Engine'!$C$2:$C$679,0)),"",INDEX('Compliance Database'!$D$2:$D$679,MATCH(186,'Transfer Engine'!$C$2:$C$679,0)))</f>
        <v/>
      </c>
      <c r="E195">
        <f>IF(ISNA(MATCH(186,'Transfer Engine'!$C$2:$C$679,0)),"",INDEX('Compliance Database'!$E$2:$E$679,MATCH(186,'Transfer Engine'!$C$2:$C$679,0)))</f>
        <v/>
      </c>
      <c r="F195">
        <f>IF(ISNA(MATCH(186,'Transfer Engine'!$C$2:$C$679,0)),"",INDEX('Compliance Database'!$F$2:$F$679,MATCH(186,'Transfer Engine'!$C$2:$C$679,0)))</f>
        <v/>
      </c>
      <c r="G195">
        <f>IF(ISNA(MATCH(186,'Transfer Engine'!$C$2:$C$679,0)),"",INDEX('Compliance Database'!$G$2:$G$679,MATCH(186,'Transfer Engine'!$C$2:$C$679,0)))</f>
        <v/>
      </c>
      <c r="H195">
        <f>IF(ISNA(MATCH(186,'Transfer Engine'!$C$2:$C$679,0)),"",INDEX('Compliance Database'!$H$2:$H$679,MATCH(186,'Transfer Engine'!$C$2:$C$679,0)))</f>
        <v/>
      </c>
      <c r="I195" s="8">
        <f>IF(ISNA(MATCH(186,'Transfer Engine'!$C$2:$C$679,0)),"",INDEX('Compliance Database'!$I$2:$I$679,MATCH(186,'Transfer Engine'!$C$2:$C$679,0)))</f>
        <v/>
      </c>
      <c r="J195" s="8">
        <f>IF(ISNA(MATCH(186,'Transfer Engine'!$C$2:$C$679,0)),"",INDEX('Compliance Database'!$J$2:$J$679,MATCH(186,'Transfer Engine'!$C$2:$C$679,0)))</f>
        <v/>
      </c>
      <c r="K195">
        <f>IF(ISNA(MATCH(186,'Transfer Engine'!$C$2:$C$679,0)),"",INDEX('Compliance Database'!$K$2:$K$679,MATCH(186,'Transfer Engine'!$C$2:$C$679,0)))</f>
        <v/>
      </c>
      <c r="L195" s="8">
        <f>IF(ISNA(MATCH(186,'Transfer Engine'!$C$2:$C$679,0)),"",INDEX('Compliance Database'!$L$2:$L$679,MATCH(186,'Transfer Engine'!$C$2:$C$679,0)))</f>
        <v/>
      </c>
      <c r="M195" s="8">
        <f>IF(ISNA(MATCH(186,'Transfer Engine'!$C$2:$C$679,0)),"",INDEX('Compliance Database'!$M$2:$M$679,MATCH(186,'Transfer Engine'!$C$2:$C$679,0)))</f>
        <v/>
      </c>
      <c r="N195" s="8">
        <f>IF(ISNA(MATCH(186,'Transfer Engine'!$C$2:$C$679,0)),"",INDEX('Compliance Database'!$N$2:$N$679,MATCH(186,'Transfer Engine'!$C$2:$C$679,0)))</f>
        <v/>
      </c>
      <c r="O195" s="8">
        <f>IF(ISNA(MATCH(186,'Transfer Engine'!$C$2:$C$679,0)),"",INDEX('Compliance Database'!$O$2:$O$679,MATCH(186,'Transfer Engine'!$C$2:$C$679,0)))</f>
        <v/>
      </c>
      <c r="P195">
        <f>IF(ISNA(MATCH(186,'Transfer Engine'!$C$2:$C$679,0)),"",HYPERLINK(INDEX('Compliance Database'!$P$2:$P$679,MATCH(186,'Transfer Engine'!$C$2:$C$679,0)),"Open PDF"))</f>
        <v/>
      </c>
    </row>
    <row r="196">
      <c r="A196">
        <f>IF(ISNA(MATCH(187,'Transfer Engine'!$C$2:$C$679,0)),"",INDEX('Compliance Database'!$A$2:$A$679,MATCH(187,'Transfer Engine'!$C$2:$C$679,0)))</f>
        <v/>
      </c>
      <c r="B196">
        <f>IF(ISNA(MATCH(187,'Transfer Engine'!$C$2:$C$679,0)),"",INDEX('Compliance Database'!$B$2:$B$679,MATCH(187,'Transfer Engine'!$C$2:$C$679,0)))</f>
        <v/>
      </c>
      <c r="C196">
        <f>IF(ISNA(MATCH(187,'Transfer Engine'!$C$2:$C$679,0)),"",INDEX('Compliance Database'!$C$2:$C$679,MATCH(187,'Transfer Engine'!$C$2:$C$679,0)))</f>
        <v/>
      </c>
      <c r="D196" s="8">
        <f>IF(ISNA(MATCH(187,'Transfer Engine'!$C$2:$C$679,0)),"",INDEX('Compliance Database'!$D$2:$D$679,MATCH(187,'Transfer Engine'!$C$2:$C$679,0)))</f>
        <v/>
      </c>
      <c r="E196">
        <f>IF(ISNA(MATCH(187,'Transfer Engine'!$C$2:$C$679,0)),"",INDEX('Compliance Database'!$E$2:$E$679,MATCH(187,'Transfer Engine'!$C$2:$C$679,0)))</f>
        <v/>
      </c>
      <c r="F196">
        <f>IF(ISNA(MATCH(187,'Transfer Engine'!$C$2:$C$679,0)),"",INDEX('Compliance Database'!$F$2:$F$679,MATCH(187,'Transfer Engine'!$C$2:$C$679,0)))</f>
        <v/>
      </c>
      <c r="G196">
        <f>IF(ISNA(MATCH(187,'Transfer Engine'!$C$2:$C$679,0)),"",INDEX('Compliance Database'!$G$2:$G$679,MATCH(187,'Transfer Engine'!$C$2:$C$679,0)))</f>
        <v/>
      </c>
      <c r="H196">
        <f>IF(ISNA(MATCH(187,'Transfer Engine'!$C$2:$C$679,0)),"",INDEX('Compliance Database'!$H$2:$H$679,MATCH(187,'Transfer Engine'!$C$2:$C$679,0)))</f>
        <v/>
      </c>
      <c r="I196" s="8">
        <f>IF(ISNA(MATCH(187,'Transfer Engine'!$C$2:$C$679,0)),"",INDEX('Compliance Database'!$I$2:$I$679,MATCH(187,'Transfer Engine'!$C$2:$C$679,0)))</f>
        <v/>
      </c>
      <c r="J196" s="8">
        <f>IF(ISNA(MATCH(187,'Transfer Engine'!$C$2:$C$679,0)),"",INDEX('Compliance Database'!$J$2:$J$679,MATCH(187,'Transfer Engine'!$C$2:$C$679,0)))</f>
        <v/>
      </c>
      <c r="K196">
        <f>IF(ISNA(MATCH(187,'Transfer Engine'!$C$2:$C$679,0)),"",INDEX('Compliance Database'!$K$2:$K$679,MATCH(187,'Transfer Engine'!$C$2:$C$679,0)))</f>
        <v/>
      </c>
      <c r="L196" s="8">
        <f>IF(ISNA(MATCH(187,'Transfer Engine'!$C$2:$C$679,0)),"",INDEX('Compliance Database'!$L$2:$L$679,MATCH(187,'Transfer Engine'!$C$2:$C$679,0)))</f>
        <v/>
      </c>
      <c r="M196" s="8">
        <f>IF(ISNA(MATCH(187,'Transfer Engine'!$C$2:$C$679,0)),"",INDEX('Compliance Database'!$M$2:$M$679,MATCH(187,'Transfer Engine'!$C$2:$C$679,0)))</f>
        <v/>
      </c>
      <c r="N196" s="8">
        <f>IF(ISNA(MATCH(187,'Transfer Engine'!$C$2:$C$679,0)),"",INDEX('Compliance Database'!$N$2:$N$679,MATCH(187,'Transfer Engine'!$C$2:$C$679,0)))</f>
        <v/>
      </c>
      <c r="O196" s="8">
        <f>IF(ISNA(MATCH(187,'Transfer Engine'!$C$2:$C$679,0)),"",INDEX('Compliance Database'!$O$2:$O$679,MATCH(187,'Transfer Engine'!$C$2:$C$679,0)))</f>
        <v/>
      </c>
      <c r="P196">
        <f>IF(ISNA(MATCH(187,'Transfer Engine'!$C$2:$C$679,0)),"",HYPERLINK(INDEX('Compliance Database'!$P$2:$P$679,MATCH(187,'Transfer Engine'!$C$2:$C$679,0)),"Open PDF"))</f>
        <v/>
      </c>
    </row>
    <row r="197">
      <c r="A197">
        <f>IF(ISNA(MATCH(188,'Transfer Engine'!$C$2:$C$679,0)),"",INDEX('Compliance Database'!$A$2:$A$679,MATCH(188,'Transfer Engine'!$C$2:$C$679,0)))</f>
        <v/>
      </c>
      <c r="B197">
        <f>IF(ISNA(MATCH(188,'Transfer Engine'!$C$2:$C$679,0)),"",INDEX('Compliance Database'!$B$2:$B$679,MATCH(188,'Transfer Engine'!$C$2:$C$679,0)))</f>
        <v/>
      </c>
      <c r="C197">
        <f>IF(ISNA(MATCH(188,'Transfer Engine'!$C$2:$C$679,0)),"",INDEX('Compliance Database'!$C$2:$C$679,MATCH(188,'Transfer Engine'!$C$2:$C$679,0)))</f>
        <v/>
      </c>
      <c r="D197" s="8">
        <f>IF(ISNA(MATCH(188,'Transfer Engine'!$C$2:$C$679,0)),"",INDEX('Compliance Database'!$D$2:$D$679,MATCH(188,'Transfer Engine'!$C$2:$C$679,0)))</f>
        <v/>
      </c>
      <c r="E197">
        <f>IF(ISNA(MATCH(188,'Transfer Engine'!$C$2:$C$679,0)),"",INDEX('Compliance Database'!$E$2:$E$679,MATCH(188,'Transfer Engine'!$C$2:$C$679,0)))</f>
        <v/>
      </c>
      <c r="F197">
        <f>IF(ISNA(MATCH(188,'Transfer Engine'!$C$2:$C$679,0)),"",INDEX('Compliance Database'!$F$2:$F$679,MATCH(188,'Transfer Engine'!$C$2:$C$679,0)))</f>
        <v/>
      </c>
      <c r="G197">
        <f>IF(ISNA(MATCH(188,'Transfer Engine'!$C$2:$C$679,0)),"",INDEX('Compliance Database'!$G$2:$G$679,MATCH(188,'Transfer Engine'!$C$2:$C$679,0)))</f>
        <v/>
      </c>
      <c r="H197">
        <f>IF(ISNA(MATCH(188,'Transfer Engine'!$C$2:$C$679,0)),"",INDEX('Compliance Database'!$H$2:$H$679,MATCH(188,'Transfer Engine'!$C$2:$C$679,0)))</f>
        <v/>
      </c>
      <c r="I197" s="8">
        <f>IF(ISNA(MATCH(188,'Transfer Engine'!$C$2:$C$679,0)),"",INDEX('Compliance Database'!$I$2:$I$679,MATCH(188,'Transfer Engine'!$C$2:$C$679,0)))</f>
        <v/>
      </c>
      <c r="J197" s="8">
        <f>IF(ISNA(MATCH(188,'Transfer Engine'!$C$2:$C$679,0)),"",INDEX('Compliance Database'!$J$2:$J$679,MATCH(188,'Transfer Engine'!$C$2:$C$679,0)))</f>
        <v/>
      </c>
      <c r="K197">
        <f>IF(ISNA(MATCH(188,'Transfer Engine'!$C$2:$C$679,0)),"",INDEX('Compliance Database'!$K$2:$K$679,MATCH(188,'Transfer Engine'!$C$2:$C$679,0)))</f>
        <v/>
      </c>
      <c r="L197" s="8">
        <f>IF(ISNA(MATCH(188,'Transfer Engine'!$C$2:$C$679,0)),"",INDEX('Compliance Database'!$L$2:$L$679,MATCH(188,'Transfer Engine'!$C$2:$C$679,0)))</f>
        <v/>
      </c>
      <c r="M197" s="8">
        <f>IF(ISNA(MATCH(188,'Transfer Engine'!$C$2:$C$679,0)),"",INDEX('Compliance Database'!$M$2:$M$679,MATCH(188,'Transfer Engine'!$C$2:$C$679,0)))</f>
        <v/>
      </c>
      <c r="N197" s="8">
        <f>IF(ISNA(MATCH(188,'Transfer Engine'!$C$2:$C$679,0)),"",INDEX('Compliance Database'!$N$2:$N$679,MATCH(188,'Transfer Engine'!$C$2:$C$679,0)))</f>
        <v/>
      </c>
      <c r="O197" s="8">
        <f>IF(ISNA(MATCH(188,'Transfer Engine'!$C$2:$C$679,0)),"",INDEX('Compliance Database'!$O$2:$O$679,MATCH(188,'Transfer Engine'!$C$2:$C$679,0)))</f>
        <v/>
      </c>
      <c r="P197">
        <f>IF(ISNA(MATCH(188,'Transfer Engine'!$C$2:$C$679,0)),"",HYPERLINK(INDEX('Compliance Database'!$P$2:$P$679,MATCH(188,'Transfer Engine'!$C$2:$C$679,0)),"Open PDF"))</f>
        <v/>
      </c>
    </row>
    <row r="198">
      <c r="A198">
        <f>IF(ISNA(MATCH(189,'Transfer Engine'!$C$2:$C$679,0)),"",INDEX('Compliance Database'!$A$2:$A$679,MATCH(189,'Transfer Engine'!$C$2:$C$679,0)))</f>
        <v/>
      </c>
      <c r="B198">
        <f>IF(ISNA(MATCH(189,'Transfer Engine'!$C$2:$C$679,0)),"",INDEX('Compliance Database'!$B$2:$B$679,MATCH(189,'Transfer Engine'!$C$2:$C$679,0)))</f>
        <v/>
      </c>
      <c r="C198">
        <f>IF(ISNA(MATCH(189,'Transfer Engine'!$C$2:$C$679,0)),"",INDEX('Compliance Database'!$C$2:$C$679,MATCH(189,'Transfer Engine'!$C$2:$C$679,0)))</f>
        <v/>
      </c>
      <c r="D198" s="8">
        <f>IF(ISNA(MATCH(189,'Transfer Engine'!$C$2:$C$679,0)),"",INDEX('Compliance Database'!$D$2:$D$679,MATCH(189,'Transfer Engine'!$C$2:$C$679,0)))</f>
        <v/>
      </c>
      <c r="E198">
        <f>IF(ISNA(MATCH(189,'Transfer Engine'!$C$2:$C$679,0)),"",INDEX('Compliance Database'!$E$2:$E$679,MATCH(189,'Transfer Engine'!$C$2:$C$679,0)))</f>
        <v/>
      </c>
      <c r="F198">
        <f>IF(ISNA(MATCH(189,'Transfer Engine'!$C$2:$C$679,0)),"",INDEX('Compliance Database'!$F$2:$F$679,MATCH(189,'Transfer Engine'!$C$2:$C$679,0)))</f>
        <v/>
      </c>
      <c r="G198">
        <f>IF(ISNA(MATCH(189,'Transfer Engine'!$C$2:$C$679,0)),"",INDEX('Compliance Database'!$G$2:$G$679,MATCH(189,'Transfer Engine'!$C$2:$C$679,0)))</f>
        <v/>
      </c>
      <c r="H198">
        <f>IF(ISNA(MATCH(189,'Transfer Engine'!$C$2:$C$679,0)),"",INDEX('Compliance Database'!$H$2:$H$679,MATCH(189,'Transfer Engine'!$C$2:$C$679,0)))</f>
        <v/>
      </c>
      <c r="I198" s="8">
        <f>IF(ISNA(MATCH(189,'Transfer Engine'!$C$2:$C$679,0)),"",INDEX('Compliance Database'!$I$2:$I$679,MATCH(189,'Transfer Engine'!$C$2:$C$679,0)))</f>
        <v/>
      </c>
      <c r="J198" s="8">
        <f>IF(ISNA(MATCH(189,'Transfer Engine'!$C$2:$C$679,0)),"",INDEX('Compliance Database'!$J$2:$J$679,MATCH(189,'Transfer Engine'!$C$2:$C$679,0)))</f>
        <v/>
      </c>
      <c r="K198">
        <f>IF(ISNA(MATCH(189,'Transfer Engine'!$C$2:$C$679,0)),"",INDEX('Compliance Database'!$K$2:$K$679,MATCH(189,'Transfer Engine'!$C$2:$C$679,0)))</f>
        <v/>
      </c>
      <c r="L198" s="8">
        <f>IF(ISNA(MATCH(189,'Transfer Engine'!$C$2:$C$679,0)),"",INDEX('Compliance Database'!$L$2:$L$679,MATCH(189,'Transfer Engine'!$C$2:$C$679,0)))</f>
        <v/>
      </c>
      <c r="M198" s="8">
        <f>IF(ISNA(MATCH(189,'Transfer Engine'!$C$2:$C$679,0)),"",INDEX('Compliance Database'!$M$2:$M$679,MATCH(189,'Transfer Engine'!$C$2:$C$679,0)))</f>
        <v/>
      </c>
      <c r="N198" s="8">
        <f>IF(ISNA(MATCH(189,'Transfer Engine'!$C$2:$C$679,0)),"",INDEX('Compliance Database'!$N$2:$N$679,MATCH(189,'Transfer Engine'!$C$2:$C$679,0)))</f>
        <v/>
      </c>
      <c r="O198" s="8">
        <f>IF(ISNA(MATCH(189,'Transfer Engine'!$C$2:$C$679,0)),"",INDEX('Compliance Database'!$O$2:$O$679,MATCH(189,'Transfer Engine'!$C$2:$C$679,0)))</f>
        <v/>
      </c>
      <c r="P198">
        <f>IF(ISNA(MATCH(189,'Transfer Engine'!$C$2:$C$679,0)),"",HYPERLINK(INDEX('Compliance Database'!$P$2:$P$679,MATCH(189,'Transfer Engine'!$C$2:$C$679,0)),"Open PDF"))</f>
        <v/>
      </c>
    </row>
    <row r="199">
      <c r="A199">
        <f>IF(ISNA(MATCH(190,'Transfer Engine'!$C$2:$C$679,0)),"",INDEX('Compliance Database'!$A$2:$A$679,MATCH(190,'Transfer Engine'!$C$2:$C$679,0)))</f>
        <v/>
      </c>
      <c r="B199">
        <f>IF(ISNA(MATCH(190,'Transfer Engine'!$C$2:$C$679,0)),"",INDEX('Compliance Database'!$B$2:$B$679,MATCH(190,'Transfer Engine'!$C$2:$C$679,0)))</f>
        <v/>
      </c>
      <c r="C199">
        <f>IF(ISNA(MATCH(190,'Transfer Engine'!$C$2:$C$679,0)),"",INDEX('Compliance Database'!$C$2:$C$679,MATCH(190,'Transfer Engine'!$C$2:$C$679,0)))</f>
        <v/>
      </c>
      <c r="D199" s="8">
        <f>IF(ISNA(MATCH(190,'Transfer Engine'!$C$2:$C$679,0)),"",INDEX('Compliance Database'!$D$2:$D$679,MATCH(190,'Transfer Engine'!$C$2:$C$679,0)))</f>
        <v/>
      </c>
      <c r="E199">
        <f>IF(ISNA(MATCH(190,'Transfer Engine'!$C$2:$C$679,0)),"",INDEX('Compliance Database'!$E$2:$E$679,MATCH(190,'Transfer Engine'!$C$2:$C$679,0)))</f>
        <v/>
      </c>
      <c r="F199">
        <f>IF(ISNA(MATCH(190,'Transfer Engine'!$C$2:$C$679,0)),"",INDEX('Compliance Database'!$F$2:$F$679,MATCH(190,'Transfer Engine'!$C$2:$C$679,0)))</f>
        <v/>
      </c>
      <c r="G199">
        <f>IF(ISNA(MATCH(190,'Transfer Engine'!$C$2:$C$679,0)),"",INDEX('Compliance Database'!$G$2:$G$679,MATCH(190,'Transfer Engine'!$C$2:$C$679,0)))</f>
        <v/>
      </c>
      <c r="H199">
        <f>IF(ISNA(MATCH(190,'Transfer Engine'!$C$2:$C$679,0)),"",INDEX('Compliance Database'!$H$2:$H$679,MATCH(190,'Transfer Engine'!$C$2:$C$679,0)))</f>
        <v/>
      </c>
      <c r="I199" s="8">
        <f>IF(ISNA(MATCH(190,'Transfer Engine'!$C$2:$C$679,0)),"",INDEX('Compliance Database'!$I$2:$I$679,MATCH(190,'Transfer Engine'!$C$2:$C$679,0)))</f>
        <v/>
      </c>
      <c r="J199" s="8">
        <f>IF(ISNA(MATCH(190,'Transfer Engine'!$C$2:$C$679,0)),"",INDEX('Compliance Database'!$J$2:$J$679,MATCH(190,'Transfer Engine'!$C$2:$C$679,0)))</f>
        <v/>
      </c>
      <c r="K199">
        <f>IF(ISNA(MATCH(190,'Transfer Engine'!$C$2:$C$679,0)),"",INDEX('Compliance Database'!$K$2:$K$679,MATCH(190,'Transfer Engine'!$C$2:$C$679,0)))</f>
        <v/>
      </c>
      <c r="L199" s="8">
        <f>IF(ISNA(MATCH(190,'Transfer Engine'!$C$2:$C$679,0)),"",INDEX('Compliance Database'!$L$2:$L$679,MATCH(190,'Transfer Engine'!$C$2:$C$679,0)))</f>
        <v/>
      </c>
      <c r="M199" s="8">
        <f>IF(ISNA(MATCH(190,'Transfer Engine'!$C$2:$C$679,0)),"",INDEX('Compliance Database'!$M$2:$M$679,MATCH(190,'Transfer Engine'!$C$2:$C$679,0)))</f>
        <v/>
      </c>
      <c r="N199" s="8">
        <f>IF(ISNA(MATCH(190,'Transfer Engine'!$C$2:$C$679,0)),"",INDEX('Compliance Database'!$N$2:$N$679,MATCH(190,'Transfer Engine'!$C$2:$C$679,0)))</f>
        <v/>
      </c>
      <c r="O199" s="8">
        <f>IF(ISNA(MATCH(190,'Transfer Engine'!$C$2:$C$679,0)),"",INDEX('Compliance Database'!$O$2:$O$679,MATCH(190,'Transfer Engine'!$C$2:$C$679,0)))</f>
        <v/>
      </c>
      <c r="P199">
        <f>IF(ISNA(MATCH(190,'Transfer Engine'!$C$2:$C$679,0)),"",HYPERLINK(INDEX('Compliance Database'!$P$2:$P$679,MATCH(190,'Transfer Engine'!$C$2:$C$679,0)),"Open PDF"))</f>
        <v/>
      </c>
    </row>
    <row r="200">
      <c r="A200">
        <f>IF(ISNA(MATCH(191,'Transfer Engine'!$C$2:$C$679,0)),"",INDEX('Compliance Database'!$A$2:$A$679,MATCH(191,'Transfer Engine'!$C$2:$C$679,0)))</f>
        <v/>
      </c>
      <c r="B200">
        <f>IF(ISNA(MATCH(191,'Transfer Engine'!$C$2:$C$679,0)),"",INDEX('Compliance Database'!$B$2:$B$679,MATCH(191,'Transfer Engine'!$C$2:$C$679,0)))</f>
        <v/>
      </c>
      <c r="C200">
        <f>IF(ISNA(MATCH(191,'Transfer Engine'!$C$2:$C$679,0)),"",INDEX('Compliance Database'!$C$2:$C$679,MATCH(191,'Transfer Engine'!$C$2:$C$679,0)))</f>
        <v/>
      </c>
      <c r="D200" s="8">
        <f>IF(ISNA(MATCH(191,'Transfer Engine'!$C$2:$C$679,0)),"",INDEX('Compliance Database'!$D$2:$D$679,MATCH(191,'Transfer Engine'!$C$2:$C$679,0)))</f>
        <v/>
      </c>
      <c r="E200">
        <f>IF(ISNA(MATCH(191,'Transfer Engine'!$C$2:$C$679,0)),"",INDEX('Compliance Database'!$E$2:$E$679,MATCH(191,'Transfer Engine'!$C$2:$C$679,0)))</f>
        <v/>
      </c>
      <c r="F200">
        <f>IF(ISNA(MATCH(191,'Transfer Engine'!$C$2:$C$679,0)),"",INDEX('Compliance Database'!$F$2:$F$679,MATCH(191,'Transfer Engine'!$C$2:$C$679,0)))</f>
        <v/>
      </c>
      <c r="G200">
        <f>IF(ISNA(MATCH(191,'Transfer Engine'!$C$2:$C$679,0)),"",INDEX('Compliance Database'!$G$2:$G$679,MATCH(191,'Transfer Engine'!$C$2:$C$679,0)))</f>
        <v/>
      </c>
      <c r="H200">
        <f>IF(ISNA(MATCH(191,'Transfer Engine'!$C$2:$C$679,0)),"",INDEX('Compliance Database'!$H$2:$H$679,MATCH(191,'Transfer Engine'!$C$2:$C$679,0)))</f>
        <v/>
      </c>
      <c r="I200" s="8">
        <f>IF(ISNA(MATCH(191,'Transfer Engine'!$C$2:$C$679,0)),"",INDEX('Compliance Database'!$I$2:$I$679,MATCH(191,'Transfer Engine'!$C$2:$C$679,0)))</f>
        <v/>
      </c>
      <c r="J200" s="8">
        <f>IF(ISNA(MATCH(191,'Transfer Engine'!$C$2:$C$679,0)),"",INDEX('Compliance Database'!$J$2:$J$679,MATCH(191,'Transfer Engine'!$C$2:$C$679,0)))</f>
        <v/>
      </c>
      <c r="K200">
        <f>IF(ISNA(MATCH(191,'Transfer Engine'!$C$2:$C$679,0)),"",INDEX('Compliance Database'!$K$2:$K$679,MATCH(191,'Transfer Engine'!$C$2:$C$679,0)))</f>
        <v/>
      </c>
      <c r="L200" s="8">
        <f>IF(ISNA(MATCH(191,'Transfer Engine'!$C$2:$C$679,0)),"",INDEX('Compliance Database'!$L$2:$L$679,MATCH(191,'Transfer Engine'!$C$2:$C$679,0)))</f>
        <v/>
      </c>
      <c r="M200" s="8">
        <f>IF(ISNA(MATCH(191,'Transfer Engine'!$C$2:$C$679,0)),"",INDEX('Compliance Database'!$M$2:$M$679,MATCH(191,'Transfer Engine'!$C$2:$C$679,0)))</f>
        <v/>
      </c>
      <c r="N200" s="8">
        <f>IF(ISNA(MATCH(191,'Transfer Engine'!$C$2:$C$679,0)),"",INDEX('Compliance Database'!$N$2:$N$679,MATCH(191,'Transfer Engine'!$C$2:$C$679,0)))</f>
        <v/>
      </c>
      <c r="O200" s="8">
        <f>IF(ISNA(MATCH(191,'Transfer Engine'!$C$2:$C$679,0)),"",INDEX('Compliance Database'!$O$2:$O$679,MATCH(191,'Transfer Engine'!$C$2:$C$679,0)))</f>
        <v/>
      </c>
      <c r="P200">
        <f>IF(ISNA(MATCH(191,'Transfer Engine'!$C$2:$C$679,0)),"",HYPERLINK(INDEX('Compliance Database'!$P$2:$P$679,MATCH(191,'Transfer Engine'!$C$2:$C$679,0)),"Open PDF"))</f>
        <v/>
      </c>
    </row>
    <row r="201">
      <c r="A201">
        <f>IF(ISNA(MATCH(192,'Transfer Engine'!$C$2:$C$679,0)),"",INDEX('Compliance Database'!$A$2:$A$679,MATCH(192,'Transfer Engine'!$C$2:$C$679,0)))</f>
        <v/>
      </c>
      <c r="B201">
        <f>IF(ISNA(MATCH(192,'Transfer Engine'!$C$2:$C$679,0)),"",INDEX('Compliance Database'!$B$2:$B$679,MATCH(192,'Transfer Engine'!$C$2:$C$679,0)))</f>
        <v/>
      </c>
      <c r="C201">
        <f>IF(ISNA(MATCH(192,'Transfer Engine'!$C$2:$C$679,0)),"",INDEX('Compliance Database'!$C$2:$C$679,MATCH(192,'Transfer Engine'!$C$2:$C$679,0)))</f>
        <v/>
      </c>
      <c r="D201" s="8">
        <f>IF(ISNA(MATCH(192,'Transfer Engine'!$C$2:$C$679,0)),"",INDEX('Compliance Database'!$D$2:$D$679,MATCH(192,'Transfer Engine'!$C$2:$C$679,0)))</f>
        <v/>
      </c>
      <c r="E201">
        <f>IF(ISNA(MATCH(192,'Transfer Engine'!$C$2:$C$679,0)),"",INDEX('Compliance Database'!$E$2:$E$679,MATCH(192,'Transfer Engine'!$C$2:$C$679,0)))</f>
        <v/>
      </c>
      <c r="F201">
        <f>IF(ISNA(MATCH(192,'Transfer Engine'!$C$2:$C$679,0)),"",INDEX('Compliance Database'!$F$2:$F$679,MATCH(192,'Transfer Engine'!$C$2:$C$679,0)))</f>
        <v/>
      </c>
      <c r="G201">
        <f>IF(ISNA(MATCH(192,'Transfer Engine'!$C$2:$C$679,0)),"",INDEX('Compliance Database'!$G$2:$G$679,MATCH(192,'Transfer Engine'!$C$2:$C$679,0)))</f>
        <v/>
      </c>
      <c r="H201">
        <f>IF(ISNA(MATCH(192,'Transfer Engine'!$C$2:$C$679,0)),"",INDEX('Compliance Database'!$H$2:$H$679,MATCH(192,'Transfer Engine'!$C$2:$C$679,0)))</f>
        <v/>
      </c>
      <c r="I201" s="8">
        <f>IF(ISNA(MATCH(192,'Transfer Engine'!$C$2:$C$679,0)),"",INDEX('Compliance Database'!$I$2:$I$679,MATCH(192,'Transfer Engine'!$C$2:$C$679,0)))</f>
        <v/>
      </c>
      <c r="J201" s="8">
        <f>IF(ISNA(MATCH(192,'Transfer Engine'!$C$2:$C$679,0)),"",INDEX('Compliance Database'!$J$2:$J$679,MATCH(192,'Transfer Engine'!$C$2:$C$679,0)))</f>
        <v/>
      </c>
      <c r="K201">
        <f>IF(ISNA(MATCH(192,'Transfer Engine'!$C$2:$C$679,0)),"",INDEX('Compliance Database'!$K$2:$K$679,MATCH(192,'Transfer Engine'!$C$2:$C$679,0)))</f>
        <v/>
      </c>
      <c r="L201" s="8">
        <f>IF(ISNA(MATCH(192,'Transfer Engine'!$C$2:$C$679,0)),"",INDEX('Compliance Database'!$L$2:$L$679,MATCH(192,'Transfer Engine'!$C$2:$C$679,0)))</f>
        <v/>
      </c>
      <c r="M201" s="8">
        <f>IF(ISNA(MATCH(192,'Transfer Engine'!$C$2:$C$679,0)),"",INDEX('Compliance Database'!$M$2:$M$679,MATCH(192,'Transfer Engine'!$C$2:$C$679,0)))</f>
        <v/>
      </c>
      <c r="N201" s="8">
        <f>IF(ISNA(MATCH(192,'Transfer Engine'!$C$2:$C$679,0)),"",INDEX('Compliance Database'!$N$2:$N$679,MATCH(192,'Transfer Engine'!$C$2:$C$679,0)))</f>
        <v/>
      </c>
      <c r="O201" s="8">
        <f>IF(ISNA(MATCH(192,'Transfer Engine'!$C$2:$C$679,0)),"",INDEX('Compliance Database'!$O$2:$O$679,MATCH(192,'Transfer Engine'!$C$2:$C$679,0)))</f>
        <v/>
      </c>
      <c r="P201">
        <f>IF(ISNA(MATCH(192,'Transfer Engine'!$C$2:$C$679,0)),"",HYPERLINK(INDEX('Compliance Database'!$P$2:$P$679,MATCH(192,'Transfer Engine'!$C$2:$C$679,0)),"Open PDF"))</f>
        <v/>
      </c>
    </row>
    <row r="202">
      <c r="A202">
        <f>IF(ISNA(MATCH(193,'Transfer Engine'!$C$2:$C$679,0)),"",INDEX('Compliance Database'!$A$2:$A$679,MATCH(193,'Transfer Engine'!$C$2:$C$679,0)))</f>
        <v/>
      </c>
      <c r="B202">
        <f>IF(ISNA(MATCH(193,'Transfer Engine'!$C$2:$C$679,0)),"",INDEX('Compliance Database'!$B$2:$B$679,MATCH(193,'Transfer Engine'!$C$2:$C$679,0)))</f>
        <v/>
      </c>
      <c r="C202">
        <f>IF(ISNA(MATCH(193,'Transfer Engine'!$C$2:$C$679,0)),"",INDEX('Compliance Database'!$C$2:$C$679,MATCH(193,'Transfer Engine'!$C$2:$C$679,0)))</f>
        <v/>
      </c>
      <c r="D202" s="8">
        <f>IF(ISNA(MATCH(193,'Transfer Engine'!$C$2:$C$679,0)),"",INDEX('Compliance Database'!$D$2:$D$679,MATCH(193,'Transfer Engine'!$C$2:$C$679,0)))</f>
        <v/>
      </c>
      <c r="E202">
        <f>IF(ISNA(MATCH(193,'Transfer Engine'!$C$2:$C$679,0)),"",INDEX('Compliance Database'!$E$2:$E$679,MATCH(193,'Transfer Engine'!$C$2:$C$679,0)))</f>
        <v/>
      </c>
      <c r="F202">
        <f>IF(ISNA(MATCH(193,'Transfer Engine'!$C$2:$C$679,0)),"",INDEX('Compliance Database'!$F$2:$F$679,MATCH(193,'Transfer Engine'!$C$2:$C$679,0)))</f>
        <v/>
      </c>
      <c r="G202">
        <f>IF(ISNA(MATCH(193,'Transfer Engine'!$C$2:$C$679,0)),"",INDEX('Compliance Database'!$G$2:$G$679,MATCH(193,'Transfer Engine'!$C$2:$C$679,0)))</f>
        <v/>
      </c>
      <c r="H202">
        <f>IF(ISNA(MATCH(193,'Transfer Engine'!$C$2:$C$679,0)),"",INDEX('Compliance Database'!$H$2:$H$679,MATCH(193,'Transfer Engine'!$C$2:$C$679,0)))</f>
        <v/>
      </c>
      <c r="I202" s="8">
        <f>IF(ISNA(MATCH(193,'Transfer Engine'!$C$2:$C$679,0)),"",INDEX('Compliance Database'!$I$2:$I$679,MATCH(193,'Transfer Engine'!$C$2:$C$679,0)))</f>
        <v/>
      </c>
      <c r="J202" s="8">
        <f>IF(ISNA(MATCH(193,'Transfer Engine'!$C$2:$C$679,0)),"",INDEX('Compliance Database'!$J$2:$J$679,MATCH(193,'Transfer Engine'!$C$2:$C$679,0)))</f>
        <v/>
      </c>
      <c r="K202">
        <f>IF(ISNA(MATCH(193,'Transfer Engine'!$C$2:$C$679,0)),"",INDEX('Compliance Database'!$K$2:$K$679,MATCH(193,'Transfer Engine'!$C$2:$C$679,0)))</f>
        <v/>
      </c>
      <c r="L202" s="8">
        <f>IF(ISNA(MATCH(193,'Transfer Engine'!$C$2:$C$679,0)),"",INDEX('Compliance Database'!$L$2:$L$679,MATCH(193,'Transfer Engine'!$C$2:$C$679,0)))</f>
        <v/>
      </c>
      <c r="M202" s="8">
        <f>IF(ISNA(MATCH(193,'Transfer Engine'!$C$2:$C$679,0)),"",INDEX('Compliance Database'!$M$2:$M$679,MATCH(193,'Transfer Engine'!$C$2:$C$679,0)))</f>
        <v/>
      </c>
      <c r="N202" s="8">
        <f>IF(ISNA(MATCH(193,'Transfer Engine'!$C$2:$C$679,0)),"",INDEX('Compliance Database'!$N$2:$N$679,MATCH(193,'Transfer Engine'!$C$2:$C$679,0)))</f>
        <v/>
      </c>
      <c r="O202" s="8">
        <f>IF(ISNA(MATCH(193,'Transfer Engine'!$C$2:$C$679,0)),"",INDEX('Compliance Database'!$O$2:$O$679,MATCH(193,'Transfer Engine'!$C$2:$C$679,0)))</f>
        <v/>
      </c>
      <c r="P202">
        <f>IF(ISNA(MATCH(193,'Transfer Engine'!$C$2:$C$679,0)),"",HYPERLINK(INDEX('Compliance Database'!$P$2:$P$679,MATCH(193,'Transfer Engine'!$C$2:$C$679,0)),"Open PDF"))</f>
        <v/>
      </c>
    </row>
    <row r="203">
      <c r="A203">
        <f>IF(ISNA(MATCH(194,'Transfer Engine'!$C$2:$C$679,0)),"",INDEX('Compliance Database'!$A$2:$A$679,MATCH(194,'Transfer Engine'!$C$2:$C$679,0)))</f>
        <v/>
      </c>
      <c r="B203">
        <f>IF(ISNA(MATCH(194,'Transfer Engine'!$C$2:$C$679,0)),"",INDEX('Compliance Database'!$B$2:$B$679,MATCH(194,'Transfer Engine'!$C$2:$C$679,0)))</f>
        <v/>
      </c>
      <c r="C203">
        <f>IF(ISNA(MATCH(194,'Transfer Engine'!$C$2:$C$679,0)),"",INDEX('Compliance Database'!$C$2:$C$679,MATCH(194,'Transfer Engine'!$C$2:$C$679,0)))</f>
        <v/>
      </c>
      <c r="D203" s="8">
        <f>IF(ISNA(MATCH(194,'Transfer Engine'!$C$2:$C$679,0)),"",INDEX('Compliance Database'!$D$2:$D$679,MATCH(194,'Transfer Engine'!$C$2:$C$679,0)))</f>
        <v/>
      </c>
      <c r="E203">
        <f>IF(ISNA(MATCH(194,'Transfer Engine'!$C$2:$C$679,0)),"",INDEX('Compliance Database'!$E$2:$E$679,MATCH(194,'Transfer Engine'!$C$2:$C$679,0)))</f>
        <v/>
      </c>
      <c r="F203">
        <f>IF(ISNA(MATCH(194,'Transfer Engine'!$C$2:$C$679,0)),"",INDEX('Compliance Database'!$F$2:$F$679,MATCH(194,'Transfer Engine'!$C$2:$C$679,0)))</f>
        <v/>
      </c>
      <c r="G203">
        <f>IF(ISNA(MATCH(194,'Transfer Engine'!$C$2:$C$679,0)),"",INDEX('Compliance Database'!$G$2:$G$679,MATCH(194,'Transfer Engine'!$C$2:$C$679,0)))</f>
        <v/>
      </c>
      <c r="H203">
        <f>IF(ISNA(MATCH(194,'Transfer Engine'!$C$2:$C$679,0)),"",INDEX('Compliance Database'!$H$2:$H$679,MATCH(194,'Transfer Engine'!$C$2:$C$679,0)))</f>
        <v/>
      </c>
      <c r="I203" s="8">
        <f>IF(ISNA(MATCH(194,'Transfer Engine'!$C$2:$C$679,0)),"",INDEX('Compliance Database'!$I$2:$I$679,MATCH(194,'Transfer Engine'!$C$2:$C$679,0)))</f>
        <v/>
      </c>
      <c r="J203" s="8">
        <f>IF(ISNA(MATCH(194,'Transfer Engine'!$C$2:$C$679,0)),"",INDEX('Compliance Database'!$J$2:$J$679,MATCH(194,'Transfer Engine'!$C$2:$C$679,0)))</f>
        <v/>
      </c>
      <c r="K203">
        <f>IF(ISNA(MATCH(194,'Transfer Engine'!$C$2:$C$679,0)),"",INDEX('Compliance Database'!$K$2:$K$679,MATCH(194,'Transfer Engine'!$C$2:$C$679,0)))</f>
        <v/>
      </c>
      <c r="L203" s="8">
        <f>IF(ISNA(MATCH(194,'Transfer Engine'!$C$2:$C$679,0)),"",INDEX('Compliance Database'!$L$2:$L$679,MATCH(194,'Transfer Engine'!$C$2:$C$679,0)))</f>
        <v/>
      </c>
      <c r="M203" s="8">
        <f>IF(ISNA(MATCH(194,'Transfer Engine'!$C$2:$C$679,0)),"",INDEX('Compliance Database'!$M$2:$M$679,MATCH(194,'Transfer Engine'!$C$2:$C$679,0)))</f>
        <v/>
      </c>
      <c r="N203" s="8">
        <f>IF(ISNA(MATCH(194,'Transfer Engine'!$C$2:$C$679,0)),"",INDEX('Compliance Database'!$N$2:$N$679,MATCH(194,'Transfer Engine'!$C$2:$C$679,0)))</f>
        <v/>
      </c>
      <c r="O203" s="8">
        <f>IF(ISNA(MATCH(194,'Transfer Engine'!$C$2:$C$679,0)),"",INDEX('Compliance Database'!$O$2:$O$679,MATCH(194,'Transfer Engine'!$C$2:$C$679,0)))</f>
        <v/>
      </c>
      <c r="P203">
        <f>IF(ISNA(MATCH(194,'Transfer Engine'!$C$2:$C$679,0)),"",HYPERLINK(INDEX('Compliance Database'!$P$2:$P$679,MATCH(194,'Transfer Engine'!$C$2:$C$679,0)),"Open PDF"))</f>
        <v/>
      </c>
    </row>
    <row r="204">
      <c r="A204">
        <f>IF(ISNA(MATCH(195,'Transfer Engine'!$C$2:$C$679,0)),"",INDEX('Compliance Database'!$A$2:$A$679,MATCH(195,'Transfer Engine'!$C$2:$C$679,0)))</f>
        <v/>
      </c>
      <c r="B204">
        <f>IF(ISNA(MATCH(195,'Transfer Engine'!$C$2:$C$679,0)),"",INDEX('Compliance Database'!$B$2:$B$679,MATCH(195,'Transfer Engine'!$C$2:$C$679,0)))</f>
        <v/>
      </c>
      <c r="C204">
        <f>IF(ISNA(MATCH(195,'Transfer Engine'!$C$2:$C$679,0)),"",INDEX('Compliance Database'!$C$2:$C$679,MATCH(195,'Transfer Engine'!$C$2:$C$679,0)))</f>
        <v/>
      </c>
      <c r="D204" s="8">
        <f>IF(ISNA(MATCH(195,'Transfer Engine'!$C$2:$C$679,0)),"",INDEX('Compliance Database'!$D$2:$D$679,MATCH(195,'Transfer Engine'!$C$2:$C$679,0)))</f>
        <v/>
      </c>
      <c r="E204">
        <f>IF(ISNA(MATCH(195,'Transfer Engine'!$C$2:$C$679,0)),"",INDEX('Compliance Database'!$E$2:$E$679,MATCH(195,'Transfer Engine'!$C$2:$C$679,0)))</f>
        <v/>
      </c>
      <c r="F204">
        <f>IF(ISNA(MATCH(195,'Transfer Engine'!$C$2:$C$679,0)),"",INDEX('Compliance Database'!$F$2:$F$679,MATCH(195,'Transfer Engine'!$C$2:$C$679,0)))</f>
        <v/>
      </c>
      <c r="G204">
        <f>IF(ISNA(MATCH(195,'Transfer Engine'!$C$2:$C$679,0)),"",INDEX('Compliance Database'!$G$2:$G$679,MATCH(195,'Transfer Engine'!$C$2:$C$679,0)))</f>
        <v/>
      </c>
      <c r="H204">
        <f>IF(ISNA(MATCH(195,'Transfer Engine'!$C$2:$C$679,0)),"",INDEX('Compliance Database'!$H$2:$H$679,MATCH(195,'Transfer Engine'!$C$2:$C$679,0)))</f>
        <v/>
      </c>
      <c r="I204" s="8">
        <f>IF(ISNA(MATCH(195,'Transfer Engine'!$C$2:$C$679,0)),"",INDEX('Compliance Database'!$I$2:$I$679,MATCH(195,'Transfer Engine'!$C$2:$C$679,0)))</f>
        <v/>
      </c>
      <c r="J204" s="8">
        <f>IF(ISNA(MATCH(195,'Transfer Engine'!$C$2:$C$679,0)),"",INDEX('Compliance Database'!$J$2:$J$679,MATCH(195,'Transfer Engine'!$C$2:$C$679,0)))</f>
        <v/>
      </c>
      <c r="K204">
        <f>IF(ISNA(MATCH(195,'Transfer Engine'!$C$2:$C$679,0)),"",INDEX('Compliance Database'!$K$2:$K$679,MATCH(195,'Transfer Engine'!$C$2:$C$679,0)))</f>
        <v/>
      </c>
      <c r="L204" s="8">
        <f>IF(ISNA(MATCH(195,'Transfer Engine'!$C$2:$C$679,0)),"",INDEX('Compliance Database'!$L$2:$L$679,MATCH(195,'Transfer Engine'!$C$2:$C$679,0)))</f>
        <v/>
      </c>
      <c r="M204" s="8">
        <f>IF(ISNA(MATCH(195,'Transfer Engine'!$C$2:$C$679,0)),"",INDEX('Compliance Database'!$M$2:$M$679,MATCH(195,'Transfer Engine'!$C$2:$C$679,0)))</f>
        <v/>
      </c>
      <c r="N204" s="8">
        <f>IF(ISNA(MATCH(195,'Transfer Engine'!$C$2:$C$679,0)),"",INDEX('Compliance Database'!$N$2:$N$679,MATCH(195,'Transfer Engine'!$C$2:$C$679,0)))</f>
        <v/>
      </c>
      <c r="O204" s="8">
        <f>IF(ISNA(MATCH(195,'Transfer Engine'!$C$2:$C$679,0)),"",INDEX('Compliance Database'!$O$2:$O$679,MATCH(195,'Transfer Engine'!$C$2:$C$679,0)))</f>
        <v/>
      </c>
      <c r="P204">
        <f>IF(ISNA(MATCH(195,'Transfer Engine'!$C$2:$C$679,0)),"",HYPERLINK(INDEX('Compliance Database'!$P$2:$P$679,MATCH(195,'Transfer Engine'!$C$2:$C$679,0)),"Open PDF"))</f>
        <v/>
      </c>
    </row>
    <row r="205">
      <c r="A205">
        <f>IF(ISNA(MATCH(196,'Transfer Engine'!$C$2:$C$679,0)),"",INDEX('Compliance Database'!$A$2:$A$679,MATCH(196,'Transfer Engine'!$C$2:$C$679,0)))</f>
        <v/>
      </c>
      <c r="B205">
        <f>IF(ISNA(MATCH(196,'Transfer Engine'!$C$2:$C$679,0)),"",INDEX('Compliance Database'!$B$2:$B$679,MATCH(196,'Transfer Engine'!$C$2:$C$679,0)))</f>
        <v/>
      </c>
      <c r="C205">
        <f>IF(ISNA(MATCH(196,'Transfer Engine'!$C$2:$C$679,0)),"",INDEX('Compliance Database'!$C$2:$C$679,MATCH(196,'Transfer Engine'!$C$2:$C$679,0)))</f>
        <v/>
      </c>
      <c r="D205" s="8">
        <f>IF(ISNA(MATCH(196,'Transfer Engine'!$C$2:$C$679,0)),"",INDEX('Compliance Database'!$D$2:$D$679,MATCH(196,'Transfer Engine'!$C$2:$C$679,0)))</f>
        <v/>
      </c>
      <c r="E205">
        <f>IF(ISNA(MATCH(196,'Transfer Engine'!$C$2:$C$679,0)),"",INDEX('Compliance Database'!$E$2:$E$679,MATCH(196,'Transfer Engine'!$C$2:$C$679,0)))</f>
        <v/>
      </c>
      <c r="F205">
        <f>IF(ISNA(MATCH(196,'Transfer Engine'!$C$2:$C$679,0)),"",INDEX('Compliance Database'!$F$2:$F$679,MATCH(196,'Transfer Engine'!$C$2:$C$679,0)))</f>
        <v/>
      </c>
      <c r="G205">
        <f>IF(ISNA(MATCH(196,'Transfer Engine'!$C$2:$C$679,0)),"",INDEX('Compliance Database'!$G$2:$G$679,MATCH(196,'Transfer Engine'!$C$2:$C$679,0)))</f>
        <v/>
      </c>
      <c r="H205">
        <f>IF(ISNA(MATCH(196,'Transfer Engine'!$C$2:$C$679,0)),"",INDEX('Compliance Database'!$H$2:$H$679,MATCH(196,'Transfer Engine'!$C$2:$C$679,0)))</f>
        <v/>
      </c>
      <c r="I205" s="8">
        <f>IF(ISNA(MATCH(196,'Transfer Engine'!$C$2:$C$679,0)),"",INDEX('Compliance Database'!$I$2:$I$679,MATCH(196,'Transfer Engine'!$C$2:$C$679,0)))</f>
        <v/>
      </c>
      <c r="J205" s="8">
        <f>IF(ISNA(MATCH(196,'Transfer Engine'!$C$2:$C$679,0)),"",INDEX('Compliance Database'!$J$2:$J$679,MATCH(196,'Transfer Engine'!$C$2:$C$679,0)))</f>
        <v/>
      </c>
      <c r="K205">
        <f>IF(ISNA(MATCH(196,'Transfer Engine'!$C$2:$C$679,0)),"",INDEX('Compliance Database'!$K$2:$K$679,MATCH(196,'Transfer Engine'!$C$2:$C$679,0)))</f>
        <v/>
      </c>
      <c r="L205" s="8">
        <f>IF(ISNA(MATCH(196,'Transfer Engine'!$C$2:$C$679,0)),"",INDEX('Compliance Database'!$L$2:$L$679,MATCH(196,'Transfer Engine'!$C$2:$C$679,0)))</f>
        <v/>
      </c>
      <c r="M205" s="8">
        <f>IF(ISNA(MATCH(196,'Transfer Engine'!$C$2:$C$679,0)),"",INDEX('Compliance Database'!$M$2:$M$679,MATCH(196,'Transfer Engine'!$C$2:$C$679,0)))</f>
        <v/>
      </c>
      <c r="N205" s="8">
        <f>IF(ISNA(MATCH(196,'Transfer Engine'!$C$2:$C$679,0)),"",INDEX('Compliance Database'!$N$2:$N$679,MATCH(196,'Transfer Engine'!$C$2:$C$679,0)))</f>
        <v/>
      </c>
      <c r="O205" s="8">
        <f>IF(ISNA(MATCH(196,'Transfer Engine'!$C$2:$C$679,0)),"",INDEX('Compliance Database'!$O$2:$O$679,MATCH(196,'Transfer Engine'!$C$2:$C$679,0)))</f>
        <v/>
      </c>
      <c r="P205">
        <f>IF(ISNA(MATCH(196,'Transfer Engine'!$C$2:$C$679,0)),"",HYPERLINK(INDEX('Compliance Database'!$P$2:$P$679,MATCH(196,'Transfer Engine'!$C$2:$C$679,0)),"Open PDF"))</f>
        <v/>
      </c>
    </row>
    <row r="206">
      <c r="A206">
        <f>IF(ISNA(MATCH(197,'Transfer Engine'!$C$2:$C$679,0)),"",INDEX('Compliance Database'!$A$2:$A$679,MATCH(197,'Transfer Engine'!$C$2:$C$679,0)))</f>
        <v/>
      </c>
      <c r="B206">
        <f>IF(ISNA(MATCH(197,'Transfer Engine'!$C$2:$C$679,0)),"",INDEX('Compliance Database'!$B$2:$B$679,MATCH(197,'Transfer Engine'!$C$2:$C$679,0)))</f>
        <v/>
      </c>
      <c r="C206">
        <f>IF(ISNA(MATCH(197,'Transfer Engine'!$C$2:$C$679,0)),"",INDEX('Compliance Database'!$C$2:$C$679,MATCH(197,'Transfer Engine'!$C$2:$C$679,0)))</f>
        <v/>
      </c>
      <c r="D206" s="8">
        <f>IF(ISNA(MATCH(197,'Transfer Engine'!$C$2:$C$679,0)),"",INDEX('Compliance Database'!$D$2:$D$679,MATCH(197,'Transfer Engine'!$C$2:$C$679,0)))</f>
        <v/>
      </c>
      <c r="E206">
        <f>IF(ISNA(MATCH(197,'Transfer Engine'!$C$2:$C$679,0)),"",INDEX('Compliance Database'!$E$2:$E$679,MATCH(197,'Transfer Engine'!$C$2:$C$679,0)))</f>
        <v/>
      </c>
      <c r="F206">
        <f>IF(ISNA(MATCH(197,'Transfer Engine'!$C$2:$C$679,0)),"",INDEX('Compliance Database'!$F$2:$F$679,MATCH(197,'Transfer Engine'!$C$2:$C$679,0)))</f>
        <v/>
      </c>
      <c r="G206">
        <f>IF(ISNA(MATCH(197,'Transfer Engine'!$C$2:$C$679,0)),"",INDEX('Compliance Database'!$G$2:$G$679,MATCH(197,'Transfer Engine'!$C$2:$C$679,0)))</f>
        <v/>
      </c>
      <c r="H206">
        <f>IF(ISNA(MATCH(197,'Transfer Engine'!$C$2:$C$679,0)),"",INDEX('Compliance Database'!$H$2:$H$679,MATCH(197,'Transfer Engine'!$C$2:$C$679,0)))</f>
        <v/>
      </c>
      <c r="I206" s="8">
        <f>IF(ISNA(MATCH(197,'Transfer Engine'!$C$2:$C$679,0)),"",INDEX('Compliance Database'!$I$2:$I$679,MATCH(197,'Transfer Engine'!$C$2:$C$679,0)))</f>
        <v/>
      </c>
      <c r="J206" s="8">
        <f>IF(ISNA(MATCH(197,'Transfer Engine'!$C$2:$C$679,0)),"",INDEX('Compliance Database'!$J$2:$J$679,MATCH(197,'Transfer Engine'!$C$2:$C$679,0)))</f>
        <v/>
      </c>
      <c r="K206">
        <f>IF(ISNA(MATCH(197,'Transfer Engine'!$C$2:$C$679,0)),"",INDEX('Compliance Database'!$K$2:$K$679,MATCH(197,'Transfer Engine'!$C$2:$C$679,0)))</f>
        <v/>
      </c>
      <c r="L206" s="8">
        <f>IF(ISNA(MATCH(197,'Transfer Engine'!$C$2:$C$679,0)),"",INDEX('Compliance Database'!$L$2:$L$679,MATCH(197,'Transfer Engine'!$C$2:$C$679,0)))</f>
        <v/>
      </c>
      <c r="M206" s="8">
        <f>IF(ISNA(MATCH(197,'Transfer Engine'!$C$2:$C$679,0)),"",INDEX('Compliance Database'!$M$2:$M$679,MATCH(197,'Transfer Engine'!$C$2:$C$679,0)))</f>
        <v/>
      </c>
      <c r="N206" s="8">
        <f>IF(ISNA(MATCH(197,'Transfer Engine'!$C$2:$C$679,0)),"",INDEX('Compliance Database'!$N$2:$N$679,MATCH(197,'Transfer Engine'!$C$2:$C$679,0)))</f>
        <v/>
      </c>
      <c r="O206" s="8">
        <f>IF(ISNA(MATCH(197,'Transfer Engine'!$C$2:$C$679,0)),"",INDEX('Compliance Database'!$O$2:$O$679,MATCH(197,'Transfer Engine'!$C$2:$C$679,0)))</f>
        <v/>
      </c>
      <c r="P206">
        <f>IF(ISNA(MATCH(197,'Transfer Engine'!$C$2:$C$679,0)),"",HYPERLINK(INDEX('Compliance Database'!$P$2:$P$679,MATCH(197,'Transfer Engine'!$C$2:$C$679,0)),"Open PDF"))</f>
        <v/>
      </c>
    </row>
    <row r="207">
      <c r="A207">
        <f>IF(ISNA(MATCH(198,'Transfer Engine'!$C$2:$C$679,0)),"",INDEX('Compliance Database'!$A$2:$A$679,MATCH(198,'Transfer Engine'!$C$2:$C$679,0)))</f>
        <v/>
      </c>
      <c r="B207">
        <f>IF(ISNA(MATCH(198,'Transfer Engine'!$C$2:$C$679,0)),"",INDEX('Compliance Database'!$B$2:$B$679,MATCH(198,'Transfer Engine'!$C$2:$C$679,0)))</f>
        <v/>
      </c>
      <c r="C207">
        <f>IF(ISNA(MATCH(198,'Transfer Engine'!$C$2:$C$679,0)),"",INDEX('Compliance Database'!$C$2:$C$679,MATCH(198,'Transfer Engine'!$C$2:$C$679,0)))</f>
        <v/>
      </c>
      <c r="D207" s="8">
        <f>IF(ISNA(MATCH(198,'Transfer Engine'!$C$2:$C$679,0)),"",INDEX('Compliance Database'!$D$2:$D$679,MATCH(198,'Transfer Engine'!$C$2:$C$679,0)))</f>
        <v/>
      </c>
      <c r="E207">
        <f>IF(ISNA(MATCH(198,'Transfer Engine'!$C$2:$C$679,0)),"",INDEX('Compliance Database'!$E$2:$E$679,MATCH(198,'Transfer Engine'!$C$2:$C$679,0)))</f>
        <v/>
      </c>
      <c r="F207">
        <f>IF(ISNA(MATCH(198,'Transfer Engine'!$C$2:$C$679,0)),"",INDEX('Compliance Database'!$F$2:$F$679,MATCH(198,'Transfer Engine'!$C$2:$C$679,0)))</f>
        <v/>
      </c>
      <c r="G207">
        <f>IF(ISNA(MATCH(198,'Transfer Engine'!$C$2:$C$679,0)),"",INDEX('Compliance Database'!$G$2:$G$679,MATCH(198,'Transfer Engine'!$C$2:$C$679,0)))</f>
        <v/>
      </c>
      <c r="H207">
        <f>IF(ISNA(MATCH(198,'Transfer Engine'!$C$2:$C$679,0)),"",INDEX('Compliance Database'!$H$2:$H$679,MATCH(198,'Transfer Engine'!$C$2:$C$679,0)))</f>
        <v/>
      </c>
      <c r="I207" s="8">
        <f>IF(ISNA(MATCH(198,'Transfer Engine'!$C$2:$C$679,0)),"",INDEX('Compliance Database'!$I$2:$I$679,MATCH(198,'Transfer Engine'!$C$2:$C$679,0)))</f>
        <v/>
      </c>
      <c r="J207" s="8">
        <f>IF(ISNA(MATCH(198,'Transfer Engine'!$C$2:$C$679,0)),"",INDEX('Compliance Database'!$J$2:$J$679,MATCH(198,'Transfer Engine'!$C$2:$C$679,0)))</f>
        <v/>
      </c>
      <c r="K207">
        <f>IF(ISNA(MATCH(198,'Transfer Engine'!$C$2:$C$679,0)),"",INDEX('Compliance Database'!$K$2:$K$679,MATCH(198,'Transfer Engine'!$C$2:$C$679,0)))</f>
        <v/>
      </c>
      <c r="L207" s="8">
        <f>IF(ISNA(MATCH(198,'Transfer Engine'!$C$2:$C$679,0)),"",INDEX('Compliance Database'!$L$2:$L$679,MATCH(198,'Transfer Engine'!$C$2:$C$679,0)))</f>
        <v/>
      </c>
      <c r="M207" s="8">
        <f>IF(ISNA(MATCH(198,'Transfer Engine'!$C$2:$C$679,0)),"",INDEX('Compliance Database'!$M$2:$M$679,MATCH(198,'Transfer Engine'!$C$2:$C$679,0)))</f>
        <v/>
      </c>
      <c r="N207" s="8">
        <f>IF(ISNA(MATCH(198,'Transfer Engine'!$C$2:$C$679,0)),"",INDEX('Compliance Database'!$N$2:$N$679,MATCH(198,'Transfer Engine'!$C$2:$C$679,0)))</f>
        <v/>
      </c>
      <c r="O207" s="8">
        <f>IF(ISNA(MATCH(198,'Transfer Engine'!$C$2:$C$679,0)),"",INDEX('Compliance Database'!$O$2:$O$679,MATCH(198,'Transfer Engine'!$C$2:$C$679,0)))</f>
        <v/>
      </c>
      <c r="P207">
        <f>IF(ISNA(MATCH(198,'Transfer Engine'!$C$2:$C$679,0)),"",HYPERLINK(INDEX('Compliance Database'!$P$2:$P$679,MATCH(198,'Transfer Engine'!$C$2:$C$679,0)),"Open PDF"))</f>
        <v/>
      </c>
    </row>
    <row r="208">
      <c r="A208">
        <f>IF(ISNA(MATCH(199,'Transfer Engine'!$C$2:$C$679,0)),"",INDEX('Compliance Database'!$A$2:$A$679,MATCH(199,'Transfer Engine'!$C$2:$C$679,0)))</f>
        <v/>
      </c>
      <c r="B208">
        <f>IF(ISNA(MATCH(199,'Transfer Engine'!$C$2:$C$679,0)),"",INDEX('Compliance Database'!$B$2:$B$679,MATCH(199,'Transfer Engine'!$C$2:$C$679,0)))</f>
        <v/>
      </c>
      <c r="C208">
        <f>IF(ISNA(MATCH(199,'Transfer Engine'!$C$2:$C$679,0)),"",INDEX('Compliance Database'!$C$2:$C$679,MATCH(199,'Transfer Engine'!$C$2:$C$679,0)))</f>
        <v/>
      </c>
      <c r="D208" s="8">
        <f>IF(ISNA(MATCH(199,'Transfer Engine'!$C$2:$C$679,0)),"",INDEX('Compliance Database'!$D$2:$D$679,MATCH(199,'Transfer Engine'!$C$2:$C$679,0)))</f>
        <v/>
      </c>
      <c r="E208">
        <f>IF(ISNA(MATCH(199,'Transfer Engine'!$C$2:$C$679,0)),"",INDEX('Compliance Database'!$E$2:$E$679,MATCH(199,'Transfer Engine'!$C$2:$C$679,0)))</f>
        <v/>
      </c>
      <c r="F208">
        <f>IF(ISNA(MATCH(199,'Transfer Engine'!$C$2:$C$679,0)),"",INDEX('Compliance Database'!$F$2:$F$679,MATCH(199,'Transfer Engine'!$C$2:$C$679,0)))</f>
        <v/>
      </c>
      <c r="G208">
        <f>IF(ISNA(MATCH(199,'Transfer Engine'!$C$2:$C$679,0)),"",INDEX('Compliance Database'!$G$2:$G$679,MATCH(199,'Transfer Engine'!$C$2:$C$679,0)))</f>
        <v/>
      </c>
      <c r="H208">
        <f>IF(ISNA(MATCH(199,'Transfer Engine'!$C$2:$C$679,0)),"",INDEX('Compliance Database'!$H$2:$H$679,MATCH(199,'Transfer Engine'!$C$2:$C$679,0)))</f>
        <v/>
      </c>
      <c r="I208" s="8">
        <f>IF(ISNA(MATCH(199,'Transfer Engine'!$C$2:$C$679,0)),"",INDEX('Compliance Database'!$I$2:$I$679,MATCH(199,'Transfer Engine'!$C$2:$C$679,0)))</f>
        <v/>
      </c>
      <c r="J208" s="8">
        <f>IF(ISNA(MATCH(199,'Transfer Engine'!$C$2:$C$679,0)),"",INDEX('Compliance Database'!$J$2:$J$679,MATCH(199,'Transfer Engine'!$C$2:$C$679,0)))</f>
        <v/>
      </c>
      <c r="K208">
        <f>IF(ISNA(MATCH(199,'Transfer Engine'!$C$2:$C$679,0)),"",INDEX('Compliance Database'!$K$2:$K$679,MATCH(199,'Transfer Engine'!$C$2:$C$679,0)))</f>
        <v/>
      </c>
      <c r="L208" s="8">
        <f>IF(ISNA(MATCH(199,'Transfer Engine'!$C$2:$C$679,0)),"",INDEX('Compliance Database'!$L$2:$L$679,MATCH(199,'Transfer Engine'!$C$2:$C$679,0)))</f>
        <v/>
      </c>
      <c r="M208" s="8">
        <f>IF(ISNA(MATCH(199,'Transfer Engine'!$C$2:$C$679,0)),"",INDEX('Compliance Database'!$M$2:$M$679,MATCH(199,'Transfer Engine'!$C$2:$C$679,0)))</f>
        <v/>
      </c>
      <c r="N208" s="8">
        <f>IF(ISNA(MATCH(199,'Transfer Engine'!$C$2:$C$679,0)),"",INDEX('Compliance Database'!$N$2:$N$679,MATCH(199,'Transfer Engine'!$C$2:$C$679,0)))</f>
        <v/>
      </c>
      <c r="O208" s="8">
        <f>IF(ISNA(MATCH(199,'Transfer Engine'!$C$2:$C$679,0)),"",INDEX('Compliance Database'!$O$2:$O$679,MATCH(199,'Transfer Engine'!$C$2:$C$679,0)))</f>
        <v/>
      </c>
      <c r="P208">
        <f>IF(ISNA(MATCH(199,'Transfer Engine'!$C$2:$C$679,0)),"",HYPERLINK(INDEX('Compliance Database'!$P$2:$P$679,MATCH(199,'Transfer Engine'!$C$2:$C$679,0)),"Open PDF"))</f>
        <v/>
      </c>
    </row>
    <row r="209">
      <c r="A209">
        <f>IF(ISNA(MATCH(200,'Transfer Engine'!$C$2:$C$679,0)),"",INDEX('Compliance Database'!$A$2:$A$679,MATCH(200,'Transfer Engine'!$C$2:$C$679,0)))</f>
        <v/>
      </c>
      <c r="B209">
        <f>IF(ISNA(MATCH(200,'Transfer Engine'!$C$2:$C$679,0)),"",INDEX('Compliance Database'!$B$2:$B$679,MATCH(200,'Transfer Engine'!$C$2:$C$679,0)))</f>
        <v/>
      </c>
      <c r="C209">
        <f>IF(ISNA(MATCH(200,'Transfer Engine'!$C$2:$C$679,0)),"",INDEX('Compliance Database'!$C$2:$C$679,MATCH(200,'Transfer Engine'!$C$2:$C$679,0)))</f>
        <v/>
      </c>
      <c r="D209" s="8">
        <f>IF(ISNA(MATCH(200,'Transfer Engine'!$C$2:$C$679,0)),"",INDEX('Compliance Database'!$D$2:$D$679,MATCH(200,'Transfer Engine'!$C$2:$C$679,0)))</f>
        <v/>
      </c>
      <c r="E209">
        <f>IF(ISNA(MATCH(200,'Transfer Engine'!$C$2:$C$679,0)),"",INDEX('Compliance Database'!$E$2:$E$679,MATCH(200,'Transfer Engine'!$C$2:$C$679,0)))</f>
        <v/>
      </c>
      <c r="F209">
        <f>IF(ISNA(MATCH(200,'Transfer Engine'!$C$2:$C$679,0)),"",INDEX('Compliance Database'!$F$2:$F$679,MATCH(200,'Transfer Engine'!$C$2:$C$679,0)))</f>
        <v/>
      </c>
      <c r="G209">
        <f>IF(ISNA(MATCH(200,'Transfer Engine'!$C$2:$C$679,0)),"",INDEX('Compliance Database'!$G$2:$G$679,MATCH(200,'Transfer Engine'!$C$2:$C$679,0)))</f>
        <v/>
      </c>
      <c r="H209">
        <f>IF(ISNA(MATCH(200,'Transfer Engine'!$C$2:$C$679,0)),"",INDEX('Compliance Database'!$H$2:$H$679,MATCH(200,'Transfer Engine'!$C$2:$C$679,0)))</f>
        <v/>
      </c>
      <c r="I209" s="8">
        <f>IF(ISNA(MATCH(200,'Transfer Engine'!$C$2:$C$679,0)),"",INDEX('Compliance Database'!$I$2:$I$679,MATCH(200,'Transfer Engine'!$C$2:$C$679,0)))</f>
        <v/>
      </c>
      <c r="J209" s="8">
        <f>IF(ISNA(MATCH(200,'Transfer Engine'!$C$2:$C$679,0)),"",INDEX('Compliance Database'!$J$2:$J$679,MATCH(200,'Transfer Engine'!$C$2:$C$679,0)))</f>
        <v/>
      </c>
      <c r="K209">
        <f>IF(ISNA(MATCH(200,'Transfer Engine'!$C$2:$C$679,0)),"",INDEX('Compliance Database'!$K$2:$K$679,MATCH(200,'Transfer Engine'!$C$2:$C$679,0)))</f>
        <v/>
      </c>
      <c r="L209" s="8">
        <f>IF(ISNA(MATCH(200,'Transfer Engine'!$C$2:$C$679,0)),"",INDEX('Compliance Database'!$L$2:$L$679,MATCH(200,'Transfer Engine'!$C$2:$C$679,0)))</f>
        <v/>
      </c>
      <c r="M209" s="8">
        <f>IF(ISNA(MATCH(200,'Transfer Engine'!$C$2:$C$679,0)),"",INDEX('Compliance Database'!$M$2:$M$679,MATCH(200,'Transfer Engine'!$C$2:$C$679,0)))</f>
        <v/>
      </c>
      <c r="N209" s="8">
        <f>IF(ISNA(MATCH(200,'Transfer Engine'!$C$2:$C$679,0)),"",INDEX('Compliance Database'!$N$2:$N$679,MATCH(200,'Transfer Engine'!$C$2:$C$679,0)))</f>
        <v/>
      </c>
      <c r="O209" s="8">
        <f>IF(ISNA(MATCH(200,'Transfer Engine'!$C$2:$C$679,0)),"",INDEX('Compliance Database'!$O$2:$O$679,MATCH(200,'Transfer Engine'!$C$2:$C$679,0)))</f>
        <v/>
      </c>
      <c r="P209">
        <f>IF(ISNA(MATCH(200,'Transfer Engine'!$C$2:$C$679,0)),"",HYPERLINK(INDEX('Compliance Database'!$P$2:$P$679,MATCH(200,'Transfer Engine'!$C$2:$C$679,0)),"Open PDF"))</f>
        <v/>
      </c>
    </row>
    <row r="210">
      <c r="A210">
        <f>IF(ISNA(MATCH(201,'Transfer Engine'!$C$2:$C$679,0)),"",INDEX('Compliance Database'!$A$2:$A$679,MATCH(201,'Transfer Engine'!$C$2:$C$679,0)))</f>
        <v/>
      </c>
      <c r="B210">
        <f>IF(ISNA(MATCH(201,'Transfer Engine'!$C$2:$C$679,0)),"",INDEX('Compliance Database'!$B$2:$B$679,MATCH(201,'Transfer Engine'!$C$2:$C$679,0)))</f>
        <v/>
      </c>
      <c r="C210">
        <f>IF(ISNA(MATCH(201,'Transfer Engine'!$C$2:$C$679,0)),"",INDEX('Compliance Database'!$C$2:$C$679,MATCH(201,'Transfer Engine'!$C$2:$C$679,0)))</f>
        <v/>
      </c>
      <c r="D210" s="8">
        <f>IF(ISNA(MATCH(201,'Transfer Engine'!$C$2:$C$679,0)),"",INDEX('Compliance Database'!$D$2:$D$679,MATCH(201,'Transfer Engine'!$C$2:$C$679,0)))</f>
        <v/>
      </c>
      <c r="E210">
        <f>IF(ISNA(MATCH(201,'Transfer Engine'!$C$2:$C$679,0)),"",INDEX('Compliance Database'!$E$2:$E$679,MATCH(201,'Transfer Engine'!$C$2:$C$679,0)))</f>
        <v/>
      </c>
      <c r="F210">
        <f>IF(ISNA(MATCH(201,'Transfer Engine'!$C$2:$C$679,0)),"",INDEX('Compliance Database'!$F$2:$F$679,MATCH(201,'Transfer Engine'!$C$2:$C$679,0)))</f>
        <v/>
      </c>
      <c r="G210">
        <f>IF(ISNA(MATCH(201,'Transfer Engine'!$C$2:$C$679,0)),"",INDEX('Compliance Database'!$G$2:$G$679,MATCH(201,'Transfer Engine'!$C$2:$C$679,0)))</f>
        <v/>
      </c>
      <c r="H210">
        <f>IF(ISNA(MATCH(201,'Transfer Engine'!$C$2:$C$679,0)),"",INDEX('Compliance Database'!$H$2:$H$679,MATCH(201,'Transfer Engine'!$C$2:$C$679,0)))</f>
        <v/>
      </c>
      <c r="I210" s="8">
        <f>IF(ISNA(MATCH(201,'Transfer Engine'!$C$2:$C$679,0)),"",INDEX('Compliance Database'!$I$2:$I$679,MATCH(201,'Transfer Engine'!$C$2:$C$679,0)))</f>
        <v/>
      </c>
      <c r="J210" s="8">
        <f>IF(ISNA(MATCH(201,'Transfer Engine'!$C$2:$C$679,0)),"",INDEX('Compliance Database'!$J$2:$J$679,MATCH(201,'Transfer Engine'!$C$2:$C$679,0)))</f>
        <v/>
      </c>
      <c r="K210">
        <f>IF(ISNA(MATCH(201,'Transfer Engine'!$C$2:$C$679,0)),"",INDEX('Compliance Database'!$K$2:$K$679,MATCH(201,'Transfer Engine'!$C$2:$C$679,0)))</f>
        <v/>
      </c>
      <c r="L210" s="8">
        <f>IF(ISNA(MATCH(201,'Transfer Engine'!$C$2:$C$679,0)),"",INDEX('Compliance Database'!$L$2:$L$679,MATCH(201,'Transfer Engine'!$C$2:$C$679,0)))</f>
        <v/>
      </c>
      <c r="M210" s="8">
        <f>IF(ISNA(MATCH(201,'Transfer Engine'!$C$2:$C$679,0)),"",INDEX('Compliance Database'!$M$2:$M$679,MATCH(201,'Transfer Engine'!$C$2:$C$679,0)))</f>
        <v/>
      </c>
      <c r="N210" s="8">
        <f>IF(ISNA(MATCH(201,'Transfer Engine'!$C$2:$C$679,0)),"",INDEX('Compliance Database'!$N$2:$N$679,MATCH(201,'Transfer Engine'!$C$2:$C$679,0)))</f>
        <v/>
      </c>
      <c r="O210" s="8">
        <f>IF(ISNA(MATCH(201,'Transfer Engine'!$C$2:$C$679,0)),"",INDEX('Compliance Database'!$O$2:$O$679,MATCH(201,'Transfer Engine'!$C$2:$C$679,0)))</f>
        <v/>
      </c>
      <c r="P210">
        <f>IF(ISNA(MATCH(201,'Transfer Engine'!$C$2:$C$679,0)),"",HYPERLINK(INDEX('Compliance Database'!$P$2:$P$679,MATCH(201,'Transfer Engine'!$C$2:$C$679,0)),"Open PDF"))</f>
        <v/>
      </c>
    </row>
    <row r="211">
      <c r="A211">
        <f>IF(ISNA(MATCH(202,'Transfer Engine'!$C$2:$C$679,0)),"",INDEX('Compliance Database'!$A$2:$A$679,MATCH(202,'Transfer Engine'!$C$2:$C$679,0)))</f>
        <v/>
      </c>
      <c r="B211">
        <f>IF(ISNA(MATCH(202,'Transfer Engine'!$C$2:$C$679,0)),"",INDEX('Compliance Database'!$B$2:$B$679,MATCH(202,'Transfer Engine'!$C$2:$C$679,0)))</f>
        <v/>
      </c>
      <c r="C211">
        <f>IF(ISNA(MATCH(202,'Transfer Engine'!$C$2:$C$679,0)),"",INDEX('Compliance Database'!$C$2:$C$679,MATCH(202,'Transfer Engine'!$C$2:$C$679,0)))</f>
        <v/>
      </c>
      <c r="D211" s="8">
        <f>IF(ISNA(MATCH(202,'Transfer Engine'!$C$2:$C$679,0)),"",INDEX('Compliance Database'!$D$2:$D$679,MATCH(202,'Transfer Engine'!$C$2:$C$679,0)))</f>
        <v/>
      </c>
      <c r="E211">
        <f>IF(ISNA(MATCH(202,'Transfer Engine'!$C$2:$C$679,0)),"",INDEX('Compliance Database'!$E$2:$E$679,MATCH(202,'Transfer Engine'!$C$2:$C$679,0)))</f>
        <v/>
      </c>
      <c r="F211">
        <f>IF(ISNA(MATCH(202,'Transfer Engine'!$C$2:$C$679,0)),"",INDEX('Compliance Database'!$F$2:$F$679,MATCH(202,'Transfer Engine'!$C$2:$C$679,0)))</f>
        <v/>
      </c>
      <c r="G211">
        <f>IF(ISNA(MATCH(202,'Transfer Engine'!$C$2:$C$679,0)),"",INDEX('Compliance Database'!$G$2:$G$679,MATCH(202,'Transfer Engine'!$C$2:$C$679,0)))</f>
        <v/>
      </c>
      <c r="H211">
        <f>IF(ISNA(MATCH(202,'Transfer Engine'!$C$2:$C$679,0)),"",INDEX('Compliance Database'!$H$2:$H$679,MATCH(202,'Transfer Engine'!$C$2:$C$679,0)))</f>
        <v/>
      </c>
      <c r="I211" s="8">
        <f>IF(ISNA(MATCH(202,'Transfer Engine'!$C$2:$C$679,0)),"",INDEX('Compliance Database'!$I$2:$I$679,MATCH(202,'Transfer Engine'!$C$2:$C$679,0)))</f>
        <v/>
      </c>
      <c r="J211" s="8">
        <f>IF(ISNA(MATCH(202,'Transfer Engine'!$C$2:$C$679,0)),"",INDEX('Compliance Database'!$J$2:$J$679,MATCH(202,'Transfer Engine'!$C$2:$C$679,0)))</f>
        <v/>
      </c>
      <c r="K211">
        <f>IF(ISNA(MATCH(202,'Transfer Engine'!$C$2:$C$679,0)),"",INDEX('Compliance Database'!$K$2:$K$679,MATCH(202,'Transfer Engine'!$C$2:$C$679,0)))</f>
        <v/>
      </c>
      <c r="L211" s="8">
        <f>IF(ISNA(MATCH(202,'Transfer Engine'!$C$2:$C$679,0)),"",INDEX('Compliance Database'!$L$2:$L$679,MATCH(202,'Transfer Engine'!$C$2:$C$679,0)))</f>
        <v/>
      </c>
      <c r="M211" s="8">
        <f>IF(ISNA(MATCH(202,'Transfer Engine'!$C$2:$C$679,0)),"",INDEX('Compliance Database'!$M$2:$M$679,MATCH(202,'Transfer Engine'!$C$2:$C$679,0)))</f>
        <v/>
      </c>
      <c r="N211" s="8">
        <f>IF(ISNA(MATCH(202,'Transfer Engine'!$C$2:$C$679,0)),"",INDEX('Compliance Database'!$N$2:$N$679,MATCH(202,'Transfer Engine'!$C$2:$C$679,0)))</f>
        <v/>
      </c>
      <c r="O211" s="8">
        <f>IF(ISNA(MATCH(202,'Transfer Engine'!$C$2:$C$679,0)),"",INDEX('Compliance Database'!$O$2:$O$679,MATCH(202,'Transfer Engine'!$C$2:$C$679,0)))</f>
        <v/>
      </c>
      <c r="P211">
        <f>IF(ISNA(MATCH(202,'Transfer Engine'!$C$2:$C$679,0)),"",HYPERLINK(INDEX('Compliance Database'!$P$2:$P$679,MATCH(202,'Transfer Engine'!$C$2:$C$679,0)),"Open PDF"))</f>
        <v/>
      </c>
    </row>
    <row r="212">
      <c r="A212">
        <f>IF(ISNA(MATCH(203,'Transfer Engine'!$C$2:$C$679,0)),"",INDEX('Compliance Database'!$A$2:$A$679,MATCH(203,'Transfer Engine'!$C$2:$C$679,0)))</f>
        <v/>
      </c>
      <c r="B212">
        <f>IF(ISNA(MATCH(203,'Transfer Engine'!$C$2:$C$679,0)),"",INDEX('Compliance Database'!$B$2:$B$679,MATCH(203,'Transfer Engine'!$C$2:$C$679,0)))</f>
        <v/>
      </c>
      <c r="C212">
        <f>IF(ISNA(MATCH(203,'Transfer Engine'!$C$2:$C$679,0)),"",INDEX('Compliance Database'!$C$2:$C$679,MATCH(203,'Transfer Engine'!$C$2:$C$679,0)))</f>
        <v/>
      </c>
      <c r="D212" s="8">
        <f>IF(ISNA(MATCH(203,'Transfer Engine'!$C$2:$C$679,0)),"",INDEX('Compliance Database'!$D$2:$D$679,MATCH(203,'Transfer Engine'!$C$2:$C$679,0)))</f>
        <v/>
      </c>
      <c r="E212">
        <f>IF(ISNA(MATCH(203,'Transfer Engine'!$C$2:$C$679,0)),"",INDEX('Compliance Database'!$E$2:$E$679,MATCH(203,'Transfer Engine'!$C$2:$C$679,0)))</f>
        <v/>
      </c>
      <c r="F212">
        <f>IF(ISNA(MATCH(203,'Transfer Engine'!$C$2:$C$679,0)),"",INDEX('Compliance Database'!$F$2:$F$679,MATCH(203,'Transfer Engine'!$C$2:$C$679,0)))</f>
        <v/>
      </c>
      <c r="G212">
        <f>IF(ISNA(MATCH(203,'Transfer Engine'!$C$2:$C$679,0)),"",INDEX('Compliance Database'!$G$2:$G$679,MATCH(203,'Transfer Engine'!$C$2:$C$679,0)))</f>
        <v/>
      </c>
      <c r="H212">
        <f>IF(ISNA(MATCH(203,'Transfer Engine'!$C$2:$C$679,0)),"",INDEX('Compliance Database'!$H$2:$H$679,MATCH(203,'Transfer Engine'!$C$2:$C$679,0)))</f>
        <v/>
      </c>
      <c r="I212" s="8">
        <f>IF(ISNA(MATCH(203,'Transfer Engine'!$C$2:$C$679,0)),"",INDEX('Compliance Database'!$I$2:$I$679,MATCH(203,'Transfer Engine'!$C$2:$C$679,0)))</f>
        <v/>
      </c>
      <c r="J212" s="8">
        <f>IF(ISNA(MATCH(203,'Transfer Engine'!$C$2:$C$679,0)),"",INDEX('Compliance Database'!$J$2:$J$679,MATCH(203,'Transfer Engine'!$C$2:$C$679,0)))</f>
        <v/>
      </c>
      <c r="K212">
        <f>IF(ISNA(MATCH(203,'Transfer Engine'!$C$2:$C$679,0)),"",INDEX('Compliance Database'!$K$2:$K$679,MATCH(203,'Transfer Engine'!$C$2:$C$679,0)))</f>
        <v/>
      </c>
      <c r="L212" s="8">
        <f>IF(ISNA(MATCH(203,'Transfer Engine'!$C$2:$C$679,0)),"",INDEX('Compliance Database'!$L$2:$L$679,MATCH(203,'Transfer Engine'!$C$2:$C$679,0)))</f>
        <v/>
      </c>
      <c r="M212" s="8">
        <f>IF(ISNA(MATCH(203,'Transfer Engine'!$C$2:$C$679,0)),"",INDEX('Compliance Database'!$M$2:$M$679,MATCH(203,'Transfer Engine'!$C$2:$C$679,0)))</f>
        <v/>
      </c>
      <c r="N212" s="8">
        <f>IF(ISNA(MATCH(203,'Transfer Engine'!$C$2:$C$679,0)),"",INDEX('Compliance Database'!$N$2:$N$679,MATCH(203,'Transfer Engine'!$C$2:$C$679,0)))</f>
        <v/>
      </c>
      <c r="O212" s="8">
        <f>IF(ISNA(MATCH(203,'Transfer Engine'!$C$2:$C$679,0)),"",INDEX('Compliance Database'!$O$2:$O$679,MATCH(203,'Transfer Engine'!$C$2:$C$679,0)))</f>
        <v/>
      </c>
      <c r="P212">
        <f>IF(ISNA(MATCH(203,'Transfer Engine'!$C$2:$C$679,0)),"",HYPERLINK(INDEX('Compliance Database'!$P$2:$P$679,MATCH(203,'Transfer Engine'!$C$2:$C$679,0)),"Open PDF"))</f>
        <v/>
      </c>
    </row>
    <row r="213">
      <c r="A213">
        <f>IF(ISNA(MATCH(204,'Transfer Engine'!$C$2:$C$679,0)),"",INDEX('Compliance Database'!$A$2:$A$679,MATCH(204,'Transfer Engine'!$C$2:$C$679,0)))</f>
        <v/>
      </c>
      <c r="B213">
        <f>IF(ISNA(MATCH(204,'Transfer Engine'!$C$2:$C$679,0)),"",INDEX('Compliance Database'!$B$2:$B$679,MATCH(204,'Transfer Engine'!$C$2:$C$679,0)))</f>
        <v/>
      </c>
      <c r="C213">
        <f>IF(ISNA(MATCH(204,'Transfer Engine'!$C$2:$C$679,0)),"",INDEX('Compliance Database'!$C$2:$C$679,MATCH(204,'Transfer Engine'!$C$2:$C$679,0)))</f>
        <v/>
      </c>
      <c r="D213" s="8">
        <f>IF(ISNA(MATCH(204,'Transfer Engine'!$C$2:$C$679,0)),"",INDEX('Compliance Database'!$D$2:$D$679,MATCH(204,'Transfer Engine'!$C$2:$C$679,0)))</f>
        <v/>
      </c>
      <c r="E213">
        <f>IF(ISNA(MATCH(204,'Transfer Engine'!$C$2:$C$679,0)),"",INDEX('Compliance Database'!$E$2:$E$679,MATCH(204,'Transfer Engine'!$C$2:$C$679,0)))</f>
        <v/>
      </c>
      <c r="F213">
        <f>IF(ISNA(MATCH(204,'Transfer Engine'!$C$2:$C$679,0)),"",INDEX('Compliance Database'!$F$2:$F$679,MATCH(204,'Transfer Engine'!$C$2:$C$679,0)))</f>
        <v/>
      </c>
      <c r="G213">
        <f>IF(ISNA(MATCH(204,'Transfer Engine'!$C$2:$C$679,0)),"",INDEX('Compliance Database'!$G$2:$G$679,MATCH(204,'Transfer Engine'!$C$2:$C$679,0)))</f>
        <v/>
      </c>
      <c r="H213">
        <f>IF(ISNA(MATCH(204,'Transfer Engine'!$C$2:$C$679,0)),"",INDEX('Compliance Database'!$H$2:$H$679,MATCH(204,'Transfer Engine'!$C$2:$C$679,0)))</f>
        <v/>
      </c>
      <c r="I213" s="8">
        <f>IF(ISNA(MATCH(204,'Transfer Engine'!$C$2:$C$679,0)),"",INDEX('Compliance Database'!$I$2:$I$679,MATCH(204,'Transfer Engine'!$C$2:$C$679,0)))</f>
        <v/>
      </c>
      <c r="J213" s="8">
        <f>IF(ISNA(MATCH(204,'Transfer Engine'!$C$2:$C$679,0)),"",INDEX('Compliance Database'!$J$2:$J$679,MATCH(204,'Transfer Engine'!$C$2:$C$679,0)))</f>
        <v/>
      </c>
      <c r="K213">
        <f>IF(ISNA(MATCH(204,'Transfer Engine'!$C$2:$C$679,0)),"",INDEX('Compliance Database'!$K$2:$K$679,MATCH(204,'Transfer Engine'!$C$2:$C$679,0)))</f>
        <v/>
      </c>
      <c r="L213" s="8">
        <f>IF(ISNA(MATCH(204,'Transfer Engine'!$C$2:$C$679,0)),"",INDEX('Compliance Database'!$L$2:$L$679,MATCH(204,'Transfer Engine'!$C$2:$C$679,0)))</f>
        <v/>
      </c>
      <c r="M213" s="8">
        <f>IF(ISNA(MATCH(204,'Transfer Engine'!$C$2:$C$679,0)),"",INDEX('Compliance Database'!$M$2:$M$679,MATCH(204,'Transfer Engine'!$C$2:$C$679,0)))</f>
        <v/>
      </c>
      <c r="N213" s="8">
        <f>IF(ISNA(MATCH(204,'Transfer Engine'!$C$2:$C$679,0)),"",INDEX('Compliance Database'!$N$2:$N$679,MATCH(204,'Transfer Engine'!$C$2:$C$679,0)))</f>
        <v/>
      </c>
      <c r="O213" s="8">
        <f>IF(ISNA(MATCH(204,'Transfer Engine'!$C$2:$C$679,0)),"",INDEX('Compliance Database'!$O$2:$O$679,MATCH(204,'Transfer Engine'!$C$2:$C$679,0)))</f>
        <v/>
      </c>
      <c r="P213">
        <f>IF(ISNA(MATCH(204,'Transfer Engine'!$C$2:$C$679,0)),"",HYPERLINK(INDEX('Compliance Database'!$P$2:$P$679,MATCH(204,'Transfer Engine'!$C$2:$C$679,0)),"Open PDF"))</f>
        <v/>
      </c>
    </row>
    <row r="214">
      <c r="A214">
        <f>IF(ISNA(MATCH(205,'Transfer Engine'!$C$2:$C$679,0)),"",INDEX('Compliance Database'!$A$2:$A$679,MATCH(205,'Transfer Engine'!$C$2:$C$679,0)))</f>
        <v/>
      </c>
      <c r="B214">
        <f>IF(ISNA(MATCH(205,'Transfer Engine'!$C$2:$C$679,0)),"",INDEX('Compliance Database'!$B$2:$B$679,MATCH(205,'Transfer Engine'!$C$2:$C$679,0)))</f>
        <v/>
      </c>
      <c r="C214">
        <f>IF(ISNA(MATCH(205,'Transfer Engine'!$C$2:$C$679,0)),"",INDEX('Compliance Database'!$C$2:$C$679,MATCH(205,'Transfer Engine'!$C$2:$C$679,0)))</f>
        <v/>
      </c>
      <c r="D214" s="8">
        <f>IF(ISNA(MATCH(205,'Transfer Engine'!$C$2:$C$679,0)),"",INDEX('Compliance Database'!$D$2:$D$679,MATCH(205,'Transfer Engine'!$C$2:$C$679,0)))</f>
        <v/>
      </c>
      <c r="E214">
        <f>IF(ISNA(MATCH(205,'Transfer Engine'!$C$2:$C$679,0)),"",INDEX('Compliance Database'!$E$2:$E$679,MATCH(205,'Transfer Engine'!$C$2:$C$679,0)))</f>
        <v/>
      </c>
      <c r="F214">
        <f>IF(ISNA(MATCH(205,'Transfer Engine'!$C$2:$C$679,0)),"",INDEX('Compliance Database'!$F$2:$F$679,MATCH(205,'Transfer Engine'!$C$2:$C$679,0)))</f>
        <v/>
      </c>
      <c r="G214">
        <f>IF(ISNA(MATCH(205,'Transfer Engine'!$C$2:$C$679,0)),"",INDEX('Compliance Database'!$G$2:$G$679,MATCH(205,'Transfer Engine'!$C$2:$C$679,0)))</f>
        <v/>
      </c>
      <c r="H214">
        <f>IF(ISNA(MATCH(205,'Transfer Engine'!$C$2:$C$679,0)),"",INDEX('Compliance Database'!$H$2:$H$679,MATCH(205,'Transfer Engine'!$C$2:$C$679,0)))</f>
        <v/>
      </c>
      <c r="I214" s="8">
        <f>IF(ISNA(MATCH(205,'Transfer Engine'!$C$2:$C$679,0)),"",INDEX('Compliance Database'!$I$2:$I$679,MATCH(205,'Transfer Engine'!$C$2:$C$679,0)))</f>
        <v/>
      </c>
      <c r="J214" s="8">
        <f>IF(ISNA(MATCH(205,'Transfer Engine'!$C$2:$C$679,0)),"",INDEX('Compliance Database'!$J$2:$J$679,MATCH(205,'Transfer Engine'!$C$2:$C$679,0)))</f>
        <v/>
      </c>
      <c r="K214">
        <f>IF(ISNA(MATCH(205,'Transfer Engine'!$C$2:$C$679,0)),"",INDEX('Compliance Database'!$K$2:$K$679,MATCH(205,'Transfer Engine'!$C$2:$C$679,0)))</f>
        <v/>
      </c>
      <c r="L214" s="8">
        <f>IF(ISNA(MATCH(205,'Transfer Engine'!$C$2:$C$679,0)),"",INDEX('Compliance Database'!$L$2:$L$679,MATCH(205,'Transfer Engine'!$C$2:$C$679,0)))</f>
        <v/>
      </c>
      <c r="M214" s="8">
        <f>IF(ISNA(MATCH(205,'Transfer Engine'!$C$2:$C$679,0)),"",INDEX('Compliance Database'!$M$2:$M$679,MATCH(205,'Transfer Engine'!$C$2:$C$679,0)))</f>
        <v/>
      </c>
      <c r="N214" s="8">
        <f>IF(ISNA(MATCH(205,'Transfer Engine'!$C$2:$C$679,0)),"",INDEX('Compliance Database'!$N$2:$N$679,MATCH(205,'Transfer Engine'!$C$2:$C$679,0)))</f>
        <v/>
      </c>
      <c r="O214" s="8">
        <f>IF(ISNA(MATCH(205,'Transfer Engine'!$C$2:$C$679,0)),"",INDEX('Compliance Database'!$O$2:$O$679,MATCH(205,'Transfer Engine'!$C$2:$C$679,0)))</f>
        <v/>
      </c>
      <c r="P214">
        <f>IF(ISNA(MATCH(205,'Transfer Engine'!$C$2:$C$679,0)),"",HYPERLINK(INDEX('Compliance Database'!$P$2:$P$679,MATCH(205,'Transfer Engine'!$C$2:$C$679,0)),"Open PDF"))</f>
        <v/>
      </c>
    </row>
    <row r="215">
      <c r="A215">
        <f>IF(ISNA(MATCH(206,'Transfer Engine'!$C$2:$C$679,0)),"",INDEX('Compliance Database'!$A$2:$A$679,MATCH(206,'Transfer Engine'!$C$2:$C$679,0)))</f>
        <v/>
      </c>
      <c r="B215">
        <f>IF(ISNA(MATCH(206,'Transfer Engine'!$C$2:$C$679,0)),"",INDEX('Compliance Database'!$B$2:$B$679,MATCH(206,'Transfer Engine'!$C$2:$C$679,0)))</f>
        <v/>
      </c>
      <c r="C215">
        <f>IF(ISNA(MATCH(206,'Transfer Engine'!$C$2:$C$679,0)),"",INDEX('Compliance Database'!$C$2:$C$679,MATCH(206,'Transfer Engine'!$C$2:$C$679,0)))</f>
        <v/>
      </c>
      <c r="D215" s="8">
        <f>IF(ISNA(MATCH(206,'Transfer Engine'!$C$2:$C$679,0)),"",INDEX('Compliance Database'!$D$2:$D$679,MATCH(206,'Transfer Engine'!$C$2:$C$679,0)))</f>
        <v/>
      </c>
      <c r="E215">
        <f>IF(ISNA(MATCH(206,'Transfer Engine'!$C$2:$C$679,0)),"",INDEX('Compliance Database'!$E$2:$E$679,MATCH(206,'Transfer Engine'!$C$2:$C$679,0)))</f>
        <v/>
      </c>
      <c r="F215">
        <f>IF(ISNA(MATCH(206,'Transfer Engine'!$C$2:$C$679,0)),"",INDEX('Compliance Database'!$F$2:$F$679,MATCH(206,'Transfer Engine'!$C$2:$C$679,0)))</f>
        <v/>
      </c>
      <c r="G215">
        <f>IF(ISNA(MATCH(206,'Transfer Engine'!$C$2:$C$679,0)),"",INDEX('Compliance Database'!$G$2:$G$679,MATCH(206,'Transfer Engine'!$C$2:$C$679,0)))</f>
        <v/>
      </c>
      <c r="H215">
        <f>IF(ISNA(MATCH(206,'Transfer Engine'!$C$2:$C$679,0)),"",INDEX('Compliance Database'!$H$2:$H$679,MATCH(206,'Transfer Engine'!$C$2:$C$679,0)))</f>
        <v/>
      </c>
      <c r="I215" s="8">
        <f>IF(ISNA(MATCH(206,'Transfer Engine'!$C$2:$C$679,0)),"",INDEX('Compliance Database'!$I$2:$I$679,MATCH(206,'Transfer Engine'!$C$2:$C$679,0)))</f>
        <v/>
      </c>
      <c r="J215" s="8">
        <f>IF(ISNA(MATCH(206,'Transfer Engine'!$C$2:$C$679,0)),"",INDEX('Compliance Database'!$J$2:$J$679,MATCH(206,'Transfer Engine'!$C$2:$C$679,0)))</f>
        <v/>
      </c>
      <c r="K215">
        <f>IF(ISNA(MATCH(206,'Transfer Engine'!$C$2:$C$679,0)),"",INDEX('Compliance Database'!$K$2:$K$679,MATCH(206,'Transfer Engine'!$C$2:$C$679,0)))</f>
        <v/>
      </c>
      <c r="L215" s="8">
        <f>IF(ISNA(MATCH(206,'Transfer Engine'!$C$2:$C$679,0)),"",INDEX('Compliance Database'!$L$2:$L$679,MATCH(206,'Transfer Engine'!$C$2:$C$679,0)))</f>
        <v/>
      </c>
      <c r="M215" s="8">
        <f>IF(ISNA(MATCH(206,'Transfer Engine'!$C$2:$C$679,0)),"",INDEX('Compliance Database'!$M$2:$M$679,MATCH(206,'Transfer Engine'!$C$2:$C$679,0)))</f>
        <v/>
      </c>
      <c r="N215" s="8">
        <f>IF(ISNA(MATCH(206,'Transfer Engine'!$C$2:$C$679,0)),"",INDEX('Compliance Database'!$N$2:$N$679,MATCH(206,'Transfer Engine'!$C$2:$C$679,0)))</f>
        <v/>
      </c>
      <c r="O215" s="8">
        <f>IF(ISNA(MATCH(206,'Transfer Engine'!$C$2:$C$679,0)),"",INDEX('Compliance Database'!$O$2:$O$679,MATCH(206,'Transfer Engine'!$C$2:$C$679,0)))</f>
        <v/>
      </c>
      <c r="P215">
        <f>IF(ISNA(MATCH(206,'Transfer Engine'!$C$2:$C$679,0)),"",HYPERLINK(INDEX('Compliance Database'!$P$2:$P$679,MATCH(206,'Transfer Engine'!$C$2:$C$679,0)),"Open PDF"))</f>
        <v/>
      </c>
    </row>
    <row r="216">
      <c r="A216">
        <f>IF(ISNA(MATCH(207,'Transfer Engine'!$C$2:$C$679,0)),"",INDEX('Compliance Database'!$A$2:$A$679,MATCH(207,'Transfer Engine'!$C$2:$C$679,0)))</f>
        <v/>
      </c>
      <c r="B216">
        <f>IF(ISNA(MATCH(207,'Transfer Engine'!$C$2:$C$679,0)),"",INDEX('Compliance Database'!$B$2:$B$679,MATCH(207,'Transfer Engine'!$C$2:$C$679,0)))</f>
        <v/>
      </c>
      <c r="C216">
        <f>IF(ISNA(MATCH(207,'Transfer Engine'!$C$2:$C$679,0)),"",INDEX('Compliance Database'!$C$2:$C$679,MATCH(207,'Transfer Engine'!$C$2:$C$679,0)))</f>
        <v/>
      </c>
      <c r="D216" s="8">
        <f>IF(ISNA(MATCH(207,'Transfer Engine'!$C$2:$C$679,0)),"",INDEX('Compliance Database'!$D$2:$D$679,MATCH(207,'Transfer Engine'!$C$2:$C$679,0)))</f>
        <v/>
      </c>
      <c r="E216">
        <f>IF(ISNA(MATCH(207,'Transfer Engine'!$C$2:$C$679,0)),"",INDEX('Compliance Database'!$E$2:$E$679,MATCH(207,'Transfer Engine'!$C$2:$C$679,0)))</f>
        <v/>
      </c>
      <c r="F216">
        <f>IF(ISNA(MATCH(207,'Transfer Engine'!$C$2:$C$679,0)),"",INDEX('Compliance Database'!$F$2:$F$679,MATCH(207,'Transfer Engine'!$C$2:$C$679,0)))</f>
        <v/>
      </c>
      <c r="G216">
        <f>IF(ISNA(MATCH(207,'Transfer Engine'!$C$2:$C$679,0)),"",INDEX('Compliance Database'!$G$2:$G$679,MATCH(207,'Transfer Engine'!$C$2:$C$679,0)))</f>
        <v/>
      </c>
      <c r="H216">
        <f>IF(ISNA(MATCH(207,'Transfer Engine'!$C$2:$C$679,0)),"",INDEX('Compliance Database'!$H$2:$H$679,MATCH(207,'Transfer Engine'!$C$2:$C$679,0)))</f>
        <v/>
      </c>
      <c r="I216" s="8">
        <f>IF(ISNA(MATCH(207,'Transfer Engine'!$C$2:$C$679,0)),"",INDEX('Compliance Database'!$I$2:$I$679,MATCH(207,'Transfer Engine'!$C$2:$C$679,0)))</f>
        <v/>
      </c>
      <c r="J216" s="8">
        <f>IF(ISNA(MATCH(207,'Transfer Engine'!$C$2:$C$679,0)),"",INDEX('Compliance Database'!$J$2:$J$679,MATCH(207,'Transfer Engine'!$C$2:$C$679,0)))</f>
        <v/>
      </c>
      <c r="K216">
        <f>IF(ISNA(MATCH(207,'Transfer Engine'!$C$2:$C$679,0)),"",INDEX('Compliance Database'!$K$2:$K$679,MATCH(207,'Transfer Engine'!$C$2:$C$679,0)))</f>
        <v/>
      </c>
      <c r="L216" s="8">
        <f>IF(ISNA(MATCH(207,'Transfer Engine'!$C$2:$C$679,0)),"",INDEX('Compliance Database'!$L$2:$L$679,MATCH(207,'Transfer Engine'!$C$2:$C$679,0)))</f>
        <v/>
      </c>
      <c r="M216" s="8">
        <f>IF(ISNA(MATCH(207,'Transfer Engine'!$C$2:$C$679,0)),"",INDEX('Compliance Database'!$M$2:$M$679,MATCH(207,'Transfer Engine'!$C$2:$C$679,0)))</f>
        <v/>
      </c>
      <c r="N216" s="8">
        <f>IF(ISNA(MATCH(207,'Transfer Engine'!$C$2:$C$679,0)),"",INDEX('Compliance Database'!$N$2:$N$679,MATCH(207,'Transfer Engine'!$C$2:$C$679,0)))</f>
        <v/>
      </c>
      <c r="O216" s="8">
        <f>IF(ISNA(MATCH(207,'Transfer Engine'!$C$2:$C$679,0)),"",INDEX('Compliance Database'!$O$2:$O$679,MATCH(207,'Transfer Engine'!$C$2:$C$679,0)))</f>
        <v/>
      </c>
      <c r="P216">
        <f>IF(ISNA(MATCH(207,'Transfer Engine'!$C$2:$C$679,0)),"",HYPERLINK(INDEX('Compliance Database'!$P$2:$P$679,MATCH(207,'Transfer Engine'!$C$2:$C$679,0)),"Open PDF"))</f>
        <v/>
      </c>
    </row>
    <row r="217">
      <c r="A217">
        <f>IF(ISNA(MATCH(208,'Transfer Engine'!$C$2:$C$679,0)),"",INDEX('Compliance Database'!$A$2:$A$679,MATCH(208,'Transfer Engine'!$C$2:$C$679,0)))</f>
        <v/>
      </c>
      <c r="B217">
        <f>IF(ISNA(MATCH(208,'Transfer Engine'!$C$2:$C$679,0)),"",INDEX('Compliance Database'!$B$2:$B$679,MATCH(208,'Transfer Engine'!$C$2:$C$679,0)))</f>
        <v/>
      </c>
      <c r="C217">
        <f>IF(ISNA(MATCH(208,'Transfer Engine'!$C$2:$C$679,0)),"",INDEX('Compliance Database'!$C$2:$C$679,MATCH(208,'Transfer Engine'!$C$2:$C$679,0)))</f>
        <v/>
      </c>
      <c r="D217" s="8">
        <f>IF(ISNA(MATCH(208,'Transfer Engine'!$C$2:$C$679,0)),"",INDEX('Compliance Database'!$D$2:$D$679,MATCH(208,'Transfer Engine'!$C$2:$C$679,0)))</f>
        <v/>
      </c>
      <c r="E217">
        <f>IF(ISNA(MATCH(208,'Transfer Engine'!$C$2:$C$679,0)),"",INDEX('Compliance Database'!$E$2:$E$679,MATCH(208,'Transfer Engine'!$C$2:$C$679,0)))</f>
        <v/>
      </c>
      <c r="F217">
        <f>IF(ISNA(MATCH(208,'Transfer Engine'!$C$2:$C$679,0)),"",INDEX('Compliance Database'!$F$2:$F$679,MATCH(208,'Transfer Engine'!$C$2:$C$679,0)))</f>
        <v/>
      </c>
      <c r="G217">
        <f>IF(ISNA(MATCH(208,'Transfer Engine'!$C$2:$C$679,0)),"",INDEX('Compliance Database'!$G$2:$G$679,MATCH(208,'Transfer Engine'!$C$2:$C$679,0)))</f>
        <v/>
      </c>
      <c r="H217">
        <f>IF(ISNA(MATCH(208,'Transfer Engine'!$C$2:$C$679,0)),"",INDEX('Compliance Database'!$H$2:$H$679,MATCH(208,'Transfer Engine'!$C$2:$C$679,0)))</f>
        <v/>
      </c>
      <c r="I217" s="8">
        <f>IF(ISNA(MATCH(208,'Transfer Engine'!$C$2:$C$679,0)),"",INDEX('Compliance Database'!$I$2:$I$679,MATCH(208,'Transfer Engine'!$C$2:$C$679,0)))</f>
        <v/>
      </c>
      <c r="J217" s="8">
        <f>IF(ISNA(MATCH(208,'Transfer Engine'!$C$2:$C$679,0)),"",INDEX('Compliance Database'!$J$2:$J$679,MATCH(208,'Transfer Engine'!$C$2:$C$679,0)))</f>
        <v/>
      </c>
      <c r="K217">
        <f>IF(ISNA(MATCH(208,'Transfer Engine'!$C$2:$C$679,0)),"",INDEX('Compliance Database'!$K$2:$K$679,MATCH(208,'Transfer Engine'!$C$2:$C$679,0)))</f>
        <v/>
      </c>
      <c r="L217" s="8">
        <f>IF(ISNA(MATCH(208,'Transfer Engine'!$C$2:$C$679,0)),"",INDEX('Compliance Database'!$L$2:$L$679,MATCH(208,'Transfer Engine'!$C$2:$C$679,0)))</f>
        <v/>
      </c>
      <c r="M217" s="8">
        <f>IF(ISNA(MATCH(208,'Transfer Engine'!$C$2:$C$679,0)),"",INDEX('Compliance Database'!$M$2:$M$679,MATCH(208,'Transfer Engine'!$C$2:$C$679,0)))</f>
        <v/>
      </c>
      <c r="N217" s="8">
        <f>IF(ISNA(MATCH(208,'Transfer Engine'!$C$2:$C$679,0)),"",INDEX('Compliance Database'!$N$2:$N$679,MATCH(208,'Transfer Engine'!$C$2:$C$679,0)))</f>
        <v/>
      </c>
      <c r="O217" s="8">
        <f>IF(ISNA(MATCH(208,'Transfer Engine'!$C$2:$C$679,0)),"",INDEX('Compliance Database'!$O$2:$O$679,MATCH(208,'Transfer Engine'!$C$2:$C$679,0)))</f>
        <v/>
      </c>
      <c r="P217">
        <f>IF(ISNA(MATCH(208,'Transfer Engine'!$C$2:$C$679,0)),"",HYPERLINK(INDEX('Compliance Database'!$P$2:$P$679,MATCH(208,'Transfer Engine'!$C$2:$C$679,0)),"Open PDF"))</f>
        <v/>
      </c>
    </row>
    <row r="218">
      <c r="A218">
        <f>IF(ISNA(MATCH(209,'Transfer Engine'!$C$2:$C$679,0)),"",INDEX('Compliance Database'!$A$2:$A$679,MATCH(209,'Transfer Engine'!$C$2:$C$679,0)))</f>
        <v/>
      </c>
      <c r="B218">
        <f>IF(ISNA(MATCH(209,'Transfer Engine'!$C$2:$C$679,0)),"",INDEX('Compliance Database'!$B$2:$B$679,MATCH(209,'Transfer Engine'!$C$2:$C$679,0)))</f>
        <v/>
      </c>
      <c r="C218">
        <f>IF(ISNA(MATCH(209,'Transfer Engine'!$C$2:$C$679,0)),"",INDEX('Compliance Database'!$C$2:$C$679,MATCH(209,'Transfer Engine'!$C$2:$C$679,0)))</f>
        <v/>
      </c>
      <c r="D218" s="8">
        <f>IF(ISNA(MATCH(209,'Transfer Engine'!$C$2:$C$679,0)),"",INDEX('Compliance Database'!$D$2:$D$679,MATCH(209,'Transfer Engine'!$C$2:$C$679,0)))</f>
        <v/>
      </c>
      <c r="E218">
        <f>IF(ISNA(MATCH(209,'Transfer Engine'!$C$2:$C$679,0)),"",INDEX('Compliance Database'!$E$2:$E$679,MATCH(209,'Transfer Engine'!$C$2:$C$679,0)))</f>
        <v/>
      </c>
      <c r="F218">
        <f>IF(ISNA(MATCH(209,'Transfer Engine'!$C$2:$C$679,0)),"",INDEX('Compliance Database'!$F$2:$F$679,MATCH(209,'Transfer Engine'!$C$2:$C$679,0)))</f>
        <v/>
      </c>
      <c r="G218">
        <f>IF(ISNA(MATCH(209,'Transfer Engine'!$C$2:$C$679,0)),"",INDEX('Compliance Database'!$G$2:$G$679,MATCH(209,'Transfer Engine'!$C$2:$C$679,0)))</f>
        <v/>
      </c>
      <c r="H218">
        <f>IF(ISNA(MATCH(209,'Transfer Engine'!$C$2:$C$679,0)),"",INDEX('Compliance Database'!$H$2:$H$679,MATCH(209,'Transfer Engine'!$C$2:$C$679,0)))</f>
        <v/>
      </c>
      <c r="I218" s="8">
        <f>IF(ISNA(MATCH(209,'Transfer Engine'!$C$2:$C$679,0)),"",INDEX('Compliance Database'!$I$2:$I$679,MATCH(209,'Transfer Engine'!$C$2:$C$679,0)))</f>
        <v/>
      </c>
      <c r="J218" s="8">
        <f>IF(ISNA(MATCH(209,'Transfer Engine'!$C$2:$C$679,0)),"",INDEX('Compliance Database'!$J$2:$J$679,MATCH(209,'Transfer Engine'!$C$2:$C$679,0)))</f>
        <v/>
      </c>
      <c r="K218">
        <f>IF(ISNA(MATCH(209,'Transfer Engine'!$C$2:$C$679,0)),"",INDEX('Compliance Database'!$K$2:$K$679,MATCH(209,'Transfer Engine'!$C$2:$C$679,0)))</f>
        <v/>
      </c>
      <c r="L218" s="8">
        <f>IF(ISNA(MATCH(209,'Transfer Engine'!$C$2:$C$679,0)),"",INDEX('Compliance Database'!$L$2:$L$679,MATCH(209,'Transfer Engine'!$C$2:$C$679,0)))</f>
        <v/>
      </c>
      <c r="M218" s="8">
        <f>IF(ISNA(MATCH(209,'Transfer Engine'!$C$2:$C$679,0)),"",INDEX('Compliance Database'!$M$2:$M$679,MATCH(209,'Transfer Engine'!$C$2:$C$679,0)))</f>
        <v/>
      </c>
      <c r="N218" s="8">
        <f>IF(ISNA(MATCH(209,'Transfer Engine'!$C$2:$C$679,0)),"",INDEX('Compliance Database'!$N$2:$N$679,MATCH(209,'Transfer Engine'!$C$2:$C$679,0)))</f>
        <v/>
      </c>
      <c r="O218" s="8">
        <f>IF(ISNA(MATCH(209,'Transfer Engine'!$C$2:$C$679,0)),"",INDEX('Compliance Database'!$O$2:$O$679,MATCH(209,'Transfer Engine'!$C$2:$C$679,0)))</f>
        <v/>
      </c>
      <c r="P218">
        <f>IF(ISNA(MATCH(209,'Transfer Engine'!$C$2:$C$679,0)),"",HYPERLINK(INDEX('Compliance Database'!$P$2:$P$679,MATCH(209,'Transfer Engine'!$C$2:$C$679,0)),"Open PDF"))</f>
        <v/>
      </c>
    </row>
    <row r="219">
      <c r="A219">
        <f>IF(ISNA(MATCH(210,'Transfer Engine'!$C$2:$C$679,0)),"",INDEX('Compliance Database'!$A$2:$A$679,MATCH(210,'Transfer Engine'!$C$2:$C$679,0)))</f>
        <v/>
      </c>
      <c r="B219">
        <f>IF(ISNA(MATCH(210,'Transfer Engine'!$C$2:$C$679,0)),"",INDEX('Compliance Database'!$B$2:$B$679,MATCH(210,'Transfer Engine'!$C$2:$C$679,0)))</f>
        <v/>
      </c>
      <c r="C219">
        <f>IF(ISNA(MATCH(210,'Transfer Engine'!$C$2:$C$679,0)),"",INDEX('Compliance Database'!$C$2:$C$679,MATCH(210,'Transfer Engine'!$C$2:$C$679,0)))</f>
        <v/>
      </c>
      <c r="D219" s="8">
        <f>IF(ISNA(MATCH(210,'Transfer Engine'!$C$2:$C$679,0)),"",INDEX('Compliance Database'!$D$2:$D$679,MATCH(210,'Transfer Engine'!$C$2:$C$679,0)))</f>
        <v/>
      </c>
      <c r="E219">
        <f>IF(ISNA(MATCH(210,'Transfer Engine'!$C$2:$C$679,0)),"",INDEX('Compliance Database'!$E$2:$E$679,MATCH(210,'Transfer Engine'!$C$2:$C$679,0)))</f>
        <v/>
      </c>
      <c r="F219">
        <f>IF(ISNA(MATCH(210,'Transfer Engine'!$C$2:$C$679,0)),"",INDEX('Compliance Database'!$F$2:$F$679,MATCH(210,'Transfer Engine'!$C$2:$C$679,0)))</f>
        <v/>
      </c>
      <c r="G219">
        <f>IF(ISNA(MATCH(210,'Transfer Engine'!$C$2:$C$679,0)),"",INDEX('Compliance Database'!$G$2:$G$679,MATCH(210,'Transfer Engine'!$C$2:$C$679,0)))</f>
        <v/>
      </c>
      <c r="H219">
        <f>IF(ISNA(MATCH(210,'Transfer Engine'!$C$2:$C$679,0)),"",INDEX('Compliance Database'!$H$2:$H$679,MATCH(210,'Transfer Engine'!$C$2:$C$679,0)))</f>
        <v/>
      </c>
      <c r="I219" s="8">
        <f>IF(ISNA(MATCH(210,'Transfer Engine'!$C$2:$C$679,0)),"",INDEX('Compliance Database'!$I$2:$I$679,MATCH(210,'Transfer Engine'!$C$2:$C$679,0)))</f>
        <v/>
      </c>
      <c r="J219" s="8">
        <f>IF(ISNA(MATCH(210,'Transfer Engine'!$C$2:$C$679,0)),"",INDEX('Compliance Database'!$J$2:$J$679,MATCH(210,'Transfer Engine'!$C$2:$C$679,0)))</f>
        <v/>
      </c>
      <c r="K219">
        <f>IF(ISNA(MATCH(210,'Transfer Engine'!$C$2:$C$679,0)),"",INDEX('Compliance Database'!$K$2:$K$679,MATCH(210,'Transfer Engine'!$C$2:$C$679,0)))</f>
        <v/>
      </c>
      <c r="L219" s="8">
        <f>IF(ISNA(MATCH(210,'Transfer Engine'!$C$2:$C$679,0)),"",INDEX('Compliance Database'!$L$2:$L$679,MATCH(210,'Transfer Engine'!$C$2:$C$679,0)))</f>
        <v/>
      </c>
      <c r="M219" s="8">
        <f>IF(ISNA(MATCH(210,'Transfer Engine'!$C$2:$C$679,0)),"",INDEX('Compliance Database'!$M$2:$M$679,MATCH(210,'Transfer Engine'!$C$2:$C$679,0)))</f>
        <v/>
      </c>
      <c r="N219" s="8">
        <f>IF(ISNA(MATCH(210,'Transfer Engine'!$C$2:$C$679,0)),"",INDEX('Compliance Database'!$N$2:$N$679,MATCH(210,'Transfer Engine'!$C$2:$C$679,0)))</f>
        <v/>
      </c>
      <c r="O219" s="8">
        <f>IF(ISNA(MATCH(210,'Transfer Engine'!$C$2:$C$679,0)),"",INDEX('Compliance Database'!$O$2:$O$679,MATCH(210,'Transfer Engine'!$C$2:$C$679,0)))</f>
        <v/>
      </c>
      <c r="P219">
        <f>IF(ISNA(MATCH(210,'Transfer Engine'!$C$2:$C$679,0)),"",HYPERLINK(INDEX('Compliance Database'!$P$2:$P$679,MATCH(210,'Transfer Engine'!$C$2:$C$679,0)),"Open PDF"))</f>
        <v/>
      </c>
    </row>
    <row r="220">
      <c r="A220">
        <f>IF(ISNA(MATCH(211,'Transfer Engine'!$C$2:$C$679,0)),"",INDEX('Compliance Database'!$A$2:$A$679,MATCH(211,'Transfer Engine'!$C$2:$C$679,0)))</f>
        <v/>
      </c>
      <c r="B220">
        <f>IF(ISNA(MATCH(211,'Transfer Engine'!$C$2:$C$679,0)),"",INDEX('Compliance Database'!$B$2:$B$679,MATCH(211,'Transfer Engine'!$C$2:$C$679,0)))</f>
        <v/>
      </c>
      <c r="C220">
        <f>IF(ISNA(MATCH(211,'Transfer Engine'!$C$2:$C$679,0)),"",INDEX('Compliance Database'!$C$2:$C$679,MATCH(211,'Transfer Engine'!$C$2:$C$679,0)))</f>
        <v/>
      </c>
      <c r="D220" s="8">
        <f>IF(ISNA(MATCH(211,'Transfer Engine'!$C$2:$C$679,0)),"",INDEX('Compliance Database'!$D$2:$D$679,MATCH(211,'Transfer Engine'!$C$2:$C$679,0)))</f>
        <v/>
      </c>
      <c r="E220">
        <f>IF(ISNA(MATCH(211,'Transfer Engine'!$C$2:$C$679,0)),"",INDEX('Compliance Database'!$E$2:$E$679,MATCH(211,'Transfer Engine'!$C$2:$C$679,0)))</f>
        <v/>
      </c>
      <c r="F220">
        <f>IF(ISNA(MATCH(211,'Transfer Engine'!$C$2:$C$679,0)),"",INDEX('Compliance Database'!$F$2:$F$679,MATCH(211,'Transfer Engine'!$C$2:$C$679,0)))</f>
        <v/>
      </c>
      <c r="G220">
        <f>IF(ISNA(MATCH(211,'Transfer Engine'!$C$2:$C$679,0)),"",INDEX('Compliance Database'!$G$2:$G$679,MATCH(211,'Transfer Engine'!$C$2:$C$679,0)))</f>
        <v/>
      </c>
      <c r="H220">
        <f>IF(ISNA(MATCH(211,'Transfer Engine'!$C$2:$C$679,0)),"",INDEX('Compliance Database'!$H$2:$H$679,MATCH(211,'Transfer Engine'!$C$2:$C$679,0)))</f>
        <v/>
      </c>
      <c r="I220" s="8">
        <f>IF(ISNA(MATCH(211,'Transfer Engine'!$C$2:$C$679,0)),"",INDEX('Compliance Database'!$I$2:$I$679,MATCH(211,'Transfer Engine'!$C$2:$C$679,0)))</f>
        <v/>
      </c>
      <c r="J220" s="8">
        <f>IF(ISNA(MATCH(211,'Transfer Engine'!$C$2:$C$679,0)),"",INDEX('Compliance Database'!$J$2:$J$679,MATCH(211,'Transfer Engine'!$C$2:$C$679,0)))</f>
        <v/>
      </c>
      <c r="K220">
        <f>IF(ISNA(MATCH(211,'Transfer Engine'!$C$2:$C$679,0)),"",INDEX('Compliance Database'!$K$2:$K$679,MATCH(211,'Transfer Engine'!$C$2:$C$679,0)))</f>
        <v/>
      </c>
      <c r="L220" s="8">
        <f>IF(ISNA(MATCH(211,'Transfer Engine'!$C$2:$C$679,0)),"",INDEX('Compliance Database'!$L$2:$L$679,MATCH(211,'Transfer Engine'!$C$2:$C$679,0)))</f>
        <v/>
      </c>
      <c r="M220" s="8">
        <f>IF(ISNA(MATCH(211,'Transfer Engine'!$C$2:$C$679,0)),"",INDEX('Compliance Database'!$M$2:$M$679,MATCH(211,'Transfer Engine'!$C$2:$C$679,0)))</f>
        <v/>
      </c>
      <c r="N220" s="8">
        <f>IF(ISNA(MATCH(211,'Transfer Engine'!$C$2:$C$679,0)),"",INDEX('Compliance Database'!$N$2:$N$679,MATCH(211,'Transfer Engine'!$C$2:$C$679,0)))</f>
        <v/>
      </c>
      <c r="O220" s="8">
        <f>IF(ISNA(MATCH(211,'Transfer Engine'!$C$2:$C$679,0)),"",INDEX('Compliance Database'!$O$2:$O$679,MATCH(211,'Transfer Engine'!$C$2:$C$679,0)))</f>
        <v/>
      </c>
      <c r="P220">
        <f>IF(ISNA(MATCH(211,'Transfer Engine'!$C$2:$C$679,0)),"",HYPERLINK(INDEX('Compliance Database'!$P$2:$P$679,MATCH(211,'Transfer Engine'!$C$2:$C$679,0)),"Open PDF"))</f>
        <v/>
      </c>
    </row>
    <row r="221">
      <c r="A221">
        <f>IF(ISNA(MATCH(212,'Transfer Engine'!$C$2:$C$679,0)),"",INDEX('Compliance Database'!$A$2:$A$679,MATCH(212,'Transfer Engine'!$C$2:$C$679,0)))</f>
        <v/>
      </c>
      <c r="B221">
        <f>IF(ISNA(MATCH(212,'Transfer Engine'!$C$2:$C$679,0)),"",INDEX('Compliance Database'!$B$2:$B$679,MATCH(212,'Transfer Engine'!$C$2:$C$679,0)))</f>
        <v/>
      </c>
      <c r="C221">
        <f>IF(ISNA(MATCH(212,'Transfer Engine'!$C$2:$C$679,0)),"",INDEX('Compliance Database'!$C$2:$C$679,MATCH(212,'Transfer Engine'!$C$2:$C$679,0)))</f>
        <v/>
      </c>
      <c r="D221" s="8">
        <f>IF(ISNA(MATCH(212,'Transfer Engine'!$C$2:$C$679,0)),"",INDEX('Compliance Database'!$D$2:$D$679,MATCH(212,'Transfer Engine'!$C$2:$C$679,0)))</f>
        <v/>
      </c>
      <c r="E221">
        <f>IF(ISNA(MATCH(212,'Transfer Engine'!$C$2:$C$679,0)),"",INDEX('Compliance Database'!$E$2:$E$679,MATCH(212,'Transfer Engine'!$C$2:$C$679,0)))</f>
        <v/>
      </c>
      <c r="F221">
        <f>IF(ISNA(MATCH(212,'Transfer Engine'!$C$2:$C$679,0)),"",INDEX('Compliance Database'!$F$2:$F$679,MATCH(212,'Transfer Engine'!$C$2:$C$679,0)))</f>
        <v/>
      </c>
      <c r="G221">
        <f>IF(ISNA(MATCH(212,'Transfer Engine'!$C$2:$C$679,0)),"",INDEX('Compliance Database'!$G$2:$G$679,MATCH(212,'Transfer Engine'!$C$2:$C$679,0)))</f>
        <v/>
      </c>
      <c r="H221">
        <f>IF(ISNA(MATCH(212,'Transfer Engine'!$C$2:$C$679,0)),"",INDEX('Compliance Database'!$H$2:$H$679,MATCH(212,'Transfer Engine'!$C$2:$C$679,0)))</f>
        <v/>
      </c>
      <c r="I221" s="8">
        <f>IF(ISNA(MATCH(212,'Transfer Engine'!$C$2:$C$679,0)),"",INDEX('Compliance Database'!$I$2:$I$679,MATCH(212,'Transfer Engine'!$C$2:$C$679,0)))</f>
        <v/>
      </c>
      <c r="J221" s="8">
        <f>IF(ISNA(MATCH(212,'Transfer Engine'!$C$2:$C$679,0)),"",INDEX('Compliance Database'!$J$2:$J$679,MATCH(212,'Transfer Engine'!$C$2:$C$679,0)))</f>
        <v/>
      </c>
      <c r="K221">
        <f>IF(ISNA(MATCH(212,'Transfer Engine'!$C$2:$C$679,0)),"",INDEX('Compliance Database'!$K$2:$K$679,MATCH(212,'Transfer Engine'!$C$2:$C$679,0)))</f>
        <v/>
      </c>
      <c r="L221" s="8">
        <f>IF(ISNA(MATCH(212,'Transfer Engine'!$C$2:$C$679,0)),"",INDEX('Compliance Database'!$L$2:$L$679,MATCH(212,'Transfer Engine'!$C$2:$C$679,0)))</f>
        <v/>
      </c>
      <c r="M221" s="8">
        <f>IF(ISNA(MATCH(212,'Transfer Engine'!$C$2:$C$679,0)),"",INDEX('Compliance Database'!$M$2:$M$679,MATCH(212,'Transfer Engine'!$C$2:$C$679,0)))</f>
        <v/>
      </c>
      <c r="N221" s="8">
        <f>IF(ISNA(MATCH(212,'Transfer Engine'!$C$2:$C$679,0)),"",INDEX('Compliance Database'!$N$2:$N$679,MATCH(212,'Transfer Engine'!$C$2:$C$679,0)))</f>
        <v/>
      </c>
      <c r="O221" s="8">
        <f>IF(ISNA(MATCH(212,'Transfer Engine'!$C$2:$C$679,0)),"",INDEX('Compliance Database'!$O$2:$O$679,MATCH(212,'Transfer Engine'!$C$2:$C$679,0)))</f>
        <v/>
      </c>
      <c r="P221">
        <f>IF(ISNA(MATCH(212,'Transfer Engine'!$C$2:$C$679,0)),"",HYPERLINK(INDEX('Compliance Database'!$P$2:$P$679,MATCH(212,'Transfer Engine'!$C$2:$C$679,0)),"Open PDF"))</f>
        <v/>
      </c>
    </row>
    <row r="222">
      <c r="A222">
        <f>IF(ISNA(MATCH(213,'Transfer Engine'!$C$2:$C$679,0)),"",INDEX('Compliance Database'!$A$2:$A$679,MATCH(213,'Transfer Engine'!$C$2:$C$679,0)))</f>
        <v/>
      </c>
      <c r="B222">
        <f>IF(ISNA(MATCH(213,'Transfer Engine'!$C$2:$C$679,0)),"",INDEX('Compliance Database'!$B$2:$B$679,MATCH(213,'Transfer Engine'!$C$2:$C$679,0)))</f>
        <v/>
      </c>
      <c r="C222">
        <f>IF(ISNA(MATCH(213,'Transfer Engine'!$C$2:$C$679,0)),"",INDEX('Compliance Database'!$C$2:$C$679,MATCH(213,'Transfer Engine'!$C$2:$C$679,0)))</f>
        <v/>
      </c>
      <c r="D222" s="8">
        <f>IF(ISNA(MATCH(213,'Transfer Engine'!$C$2:$C$679,0)),"",INDEX('Compliance Database'!$D$2:$D$679,MATCH(213,'Transfer Engine'!$C$2:$C$679,0)))</f>
        <v/>
      </c>
      <c r="E222">
        <f>IF(ISNA(MATCH(213,'Transfer Engine'!$C$2:$C$679,0)),"",INDEX('Compliance Database'!$E$2:$E$679,MATCH(213,'Transfer Engine'!$C$2:$C$679,0)))</f>
        <v/>
      </c>
      <c r="F222">
        <f>IF(ISNA(MATCH(213,'Transfer Engine'!$C$2:$C$679,0)),"",INDEX('Compliance Database'!$F$2:$F$679,MATCH(213,'Transfer Engine'!$C$2:$C$679,0)))</f>
        <v/>
      </c>
      <c r="G222">
        <f>IF(ISNA(MATCH(213,'Transfer Engine'!$C$2:$C$679,0)),"",INDEX('Compliance Database'!$G$2:$G$679,MATCH(213,'Transfer Engine'!$C$2:$C$679,0)))</f>
        <v/>
      </c>
      <c r="H222">
        <f>IF(ISNA(MATCH(213,'Transfer Engine'!$C$2:$C$679,0)),"",INDEX('Compliance Database'!$H$2:$H$679,MATCH(213,'Transfer Engine'!$C$2:$C$679,0)))</f>
        <v/>
      </c>
      <c r="I222" s="8">
        <f>IF(ISNA(MATCH(213,'Transfer Engine'!$C$2:$C$679,0)),"",INDEX('Compliance Database'!$I$2:$I$679,MATCH(213,'Transfer Engine'!$C$2:$C$679,0)))</f>
        <v/>
      </c>
      <c r="J222" s="8">
        <f>IF(ISNA(MATCH(213,'Transfer Engine'!$C$2:$C$679,0)),"",INDEX('Compliance Database'!$J$2:$J$679,MATCH(213,'Transfer Engine'!$C$2:$C$679,0)))</f>
        <v/>
      </c>
      <c r="K222">
        <f>IF(ISNA(MATCH(213,'Transfer Engine'!$C$2:$C$679,0)),"",INDEX('Compliance Database'!$K$2:$K$679,MATCH(213,'Transfer Engine'!$C$2:$C$679,0)))</f>
        <v/>
      </c>
      <c r="L222" s="8">
        <f>IF(ISNA(MATCH(213,'Transfer Engine'!$C$2:$C$679,0)),"",INDEX('Compliance Database'!$L$2:$L$679,MATCH(213,'Transfer Engine'!$C$2:$C$679,0)))</f>
        <v/>
      </c>
      <c r="M222" s="8">
        <f>IF(ISNA(MATCH(213,'Transfer Engine'!$C$2:$C$679,0)),"",INDEX('Compliance Database'!$M$2:$M$679,MATCH(213,'Transfer Engine'!$C$2:$C$679,0)))</f>
        <v/>
      </c>
      <c r="N222" s="8">
        <f>IF(ISNA(MATCH(213,'Transfer Engine'!$C$2:$C$679,0)),"",INDEX('Compliance Database'!$N$2:$N$679,MATCH(213,'Transfer Engine'!$C$2:$C$679,0)))</f>
        <v/>
      </c>
      <c r="O222" s="8">
        <f>IF(ISNA(MATCH(213,'Transfer Engine'!$C$2:$C$679,0)),"",INDEX('Compliance Database'!$O$2:$O$679,MATCH(213,'Transfer Engine'!$C$2:$C$679,0)))</f>
        <v/>
      </c>
      <c r="P222">
        <f>IF(ISNA(MATCH(213,'Transfer Engine'!$C$2:$C$679,0)),"",HYPERLINK(INDEX('Compliance Database'!$P$2:$P$679,MATCH(213,'Transfer Engine'!$C$2:$C$679,0)),"Open PDF"))</f>
        <v/>
      </c>
    </row>
    <row r="223">
      <c r="A223">
        <f>IF(ISNA(MATCH(214,'Transfer Engine'!$C$2:$C$679,0)),"",INDEX('Compliance Database'!$A$2:$A$679,MATCH(214,'Transfer Engine'!$C$2:$C$679,0)))</f>
        <v/>
      </c>
      <c r="B223">
        <f>IF(ISNA(MATCH(214,'Transfer Engine'!$C$2:$C$679,0)),"",INDEX('Compliance Database'!$B$2:$B$679,MATCH(214,'Transfer Engine'!$C$2:$C$679,0)))</f>
        <v/>
      </c>
      <c r="C223">
        <f>IF(ISNA(MATCH(214,'Transfer Engine'!$C$2:$C$679,0)),"",INDEX('Compliance Database'!$C$2:$C$679,MATCH(214,'Transfer Engine'!$C$2:$C$679,0)))</f>
        <v/>
      </c>
      <c r="D223" s="8">
        <f>IF(ISNA(MATCH(214,'Transfer Engine'!$C$2:$C$679,0)),"",INDEX('Compliance Database'!$D$2:$D$679,MATCH(214,'Transfer Engine'!$C$2:$C$679,0)))</f>
        <v/>
      </c>
      <c r="E223">
        <f>IF(ISNA(MATCH(214,'Transfer Engine'!$C$2:$C$679,0)),"",INDEX('Compliance Database'!$E$2:$E$679,MATCH(214,'Transfer Engine'!$C$2:$C$679,0)))</f>
        <v/>
      </c>
      <c r="F223">
        <f>IF(ISNA(MATCH(214,'Transfer Engine'!$C$2:$C$679,0)),"",INDEX('Compliance Database'!$F$2:$F$679,MATCH(214,'Transfer Engine'!$C$2:$C$679,0)))</f>
        <v/>
      </c>
      <c r="G223">
        <f>IF(ISNA(MATCH(214,'Transfer Engine'!$C$2:$C$679,0)),"",INDEX('Compliance Database'!$G$2:$G$679,MATCH(214,'Transfer Engine'!$C$2:$C$679,0)))</f>
        <v/>
      </c>
      <c r="H223">
        <f>IF(ISNA(MATCH(214,'Transfer Engine'!$C$2:$C$679,0)),"",INDEX('Compliance Database'!$H$2:$H$679,MATCH(214,'Transfer Engine'!$C$2:$C$679,0)))</f>
        <v/>
      </c>
      <c r="I223" s="8">
        <f>IF(ISNA(MATCH(214,'Transfer Engine'!$C$2:$C$679,0)),"",INDEX('Compliance Database'!$I$2:$I$679,MATCH(214,'Transfer Engine'!$C$2:$C$679,0)))</f>
        <v/>
      </c>
      <c r="J223" s="8">
        <f>IF(ISNA(MATCH(214,'Transfer Engine'!$C$2:$C$679,0)),"",INDEX('Compliance Database'!$J$2:$J$679,MATCH(214,'Transfer Engine'!$C$2:$C$679,0)))</f>
        <v/>
      </c>
      <c r="K223">
        <f>IF(ISNA(MATCH(214,'Transfer Engine'!$C$2:$C$679,0)),"",INDEX('Compliance Database'!$K$2:$K$679,MATCH(214,'Transfer Engine'!$C$2:$C$679,0)))</f>
        <v/>
      </c>
      <c r="L223" s="8">
        <f>IF(ISNA(MATCH(214,'Transfer Engine'!$C$2:$C$679,0)),"",INDEX('Compliance Database'!$L$2:$L$679,MATCH(214,'Transfer Engine'!$C$2:$C$679,0)))</f>
        <v/>
      </c>
      <c r="M223" s="8">
        <f>IF(ISNA(MATCH(214,'Transfer Engine'!$C$2:$C$679,0)),"",INDEX('Compliance Database'!$M$2:$M$679,MATCH(214,'Transfer Engine'!$C$2:$C$679,0)))</f>
        <v/>
      </c>
      <c r="N223" s="8">
        <f>IF(ISNA(MATCH(214,'Transfer Engine'!$C$2:$C$679,0)),"",INDEX('Compliance Database'!$N$2:$N$679,MATCH(214,'Transfer Engine'!$C$2:$C$679,0)))</f>
        <v/>
      </c>
      <c r="O223" s="8">
        <f>IF(ISNA(MATCH(214,'Transfer Engine'!$C$2:$C$679,0)),"",INDEX('Compliance Database'!$O$2:$O$679,MATCH(214,'Transfer Engine'!$C$2:$C$679,0)))</f>
        <v/>
      </c>
      <c r="P223">
        <f>IF(ISNA(MATCH(214,'Transfer Engine'!$C$2:$C$679,0)),"",HYPERLINK(INDEX('Compliance Database'!$P$2:$P$679,MATCH(214,'Transfer Engine'!$C$2:$C$679,0)),"Open PDF"))</f>
        <v/>
      </c>
    </row>
    <row r="224">
      <c r="A224">
        <f>IF(ISNA(MATCH(215,'Transfer Engine'!$C$2:$C$679,0)),"",INDEX('Compliance Database'!$A$2:$A$679,MATCH(215,'Transfer Engine'!$C$2:$C$679,0)))</f>
        <v/>
      </c>
      <c r="B224">
        <f>IF(ISNA(MATCH(215,'Transfer Engine'!$C$2:$C$679,0)),"",INDEX('Compliance Database'!$B$2:$B$679,MATCH(215,'Transfer Engine'!$C$2:$C$679,0)))</f>
        <v/>
      </c>
      <c r="C224">
        <f>IF(ISNA(MATCH(215,'Transfer Engine'!$C$2:$C$679,0)),"",INDEX('Compliance Database'!$C$2:$C$679,MATCH(215,'Transfer Engine'!$C$2:$C$679,0)))</f>
        <v/>
      </c>
      <c r="D224" s="8">
        <f>IF(ISNA(MATCH(215,'Transfer Engine'!$C$2:$C$679,0)),"",INDEX('Compliance Database'!$D$2:$D$679,MATCH(215,'Transfer Engine'!$C$2:$C$679,0)))</f>
        <v/>
      </c>
      <c r="E224">
        <f>IF(ISNA(MATCH(215,'Transfer Engine'!$C$2:$C$679,0)),"",INDEX('Compliance Database'!$E$2:$E$679,MATCH(215,'Transfer Engine'!$C$2:$C$679,0)))</f>
        <v/>
      </c>
      <c r="F224">
        <f>IF(ISNA(MATCH(215,'Transfer Engine'!$C$2:$C$679,0)),"",INDEX('Compliance Database'!$F$2:$F$679,MATCH(215,'Transfer Engine'!$C$2:$C$679,0)))</f>
        <v/>
      </c>
      <c r="G224">
        <f>IF(ISNA(MATCH(215,'Transfer Engine'!$C$2:$C$679,0)),"",INDEX('Compliance Database'!$G$2:$G$679,MATCH(215,'Transfer Engine'!$C$2:$C$679,0)))</f>
        <v/>
      </c>
      <c r="H224">
        <f>IF(ISNA(MATCH(215,'Transfer Engine'!$C$2:$C$679,0)),"",INDEX('Compliance Database'!$H$2:$H$679,MATCH(215,'Transfer Engine'!$C$2:$C$679,0)))</f>
        <v/>
      </c>
      <c r="I224" s="8">
        <f>IF(ISNA(MATCH(215,'Transfer Engine'!$C$2:$C$679,0)),"",INDEX('Compliance Database'!$I$2:$I$679,MATCH(215,'Transfer Engine'!$C$2:$C$679,0)))</f>
        <v/>
      </c>
      <c r="J224" s="8">
        <f>IF(ISNA(MATCH(215,'Transfer Engine'!$C$2:$C$679,0)),"",INDEX('Compliance Database'!$J$2:$J$679,MATCH(215,'Transfer Engine'!$C$2:$C$679,0)))</f>
        <v/>
      </c>
      <c r="K224">
        <f>IF(ISNA(MATCH(215,'Transfer Engine'!$C$2:$C$679,0)),"",INDEX('Compliance Database'!$K$2:$K$679,MATCH(215,'Transfer Engine'!$C$2:$C$679,0)))</f>
        <v/>
      </c>
      <c r="L224" s="8">
        <f>IF(ISNA(MATCH(215,'Transfer Engine'!$C$2:$C$679,0)),"",INDEX('Compliance Database'!$L$2:$L$679,MATCH(215,'Transfer Engine'!$C$2:$C$679,0)))</f>
        <v/>
      </c>
      <c r="M224" s="8">
        <f>IF(ISNA(MATCH(215,'Transfer Engine'!$C$2:$C$679,0)),"",INDEX('Compliance Database'!$M$2:$M$679,MATCH(215,'Transfer Engine'!$C$2:$C$679,0)))</f>
        <v/>
      </c>
      <c r="N224" s="8">
        <f>IF(ISNA(MATCH(215,'Transfer Engine'!$C$2:$C$679,0)),"",INDEX('Compliance Database'!$N$2:$N$679,MATCH(215,'Transfer Engine'!$C$2:$C$679,0)))</f>
        <v/>
      </c>
      <c r="O224" s="8">
        <f>IF(ISNA(MATCH(215,'Transfer Engine'!$C$2:$C$679,0)),"",INDEX('Compliance Database'!$O$2:$O$679,MATCH(215,'Transfer Engine'!$C$2:$C$679,0)))</f>
        <v/>
      </c>
      <c r="P224">
        <f>IF(ISNA(MATCH(215,'Transfer Engine'!$C$2:$C$679,0)),"",HYPERLINK(INDEX('Compliance Database'!$P$2:$P$679,MATCH(215,'Transfer Engine'!$C$2:$C$679,0)),"Open PDF"))</f>
        <v/>
      </c>
    </row>
    <row r="225">
      <c r="A225">
        <f>IF(ISNA(MATCH(216,'Transfer Engine'!$C$2:$C$679,0)),"",INDEX('Compliance Database'!$A$2:$A$679,MATCH(216,'Transfer Engine'!$C$2:$C$679,0)))</f>
        <v/>
      </c>
      <c r="B225">
        <f>IF(ISNA(MATCH(216,'Transfer Engine'!$C$2:$C$679,0)),"",INDEX('Compliance Database'!$B$2:$B$679,MATCH(216,'Transfer Engine'!$C$2:$C$679,0)))</f>
        <v/>
      </c>
      <c r="C225">
        <f>IF(ISNA(MATCH(216,'Transfer Engine'!$C$2:$C$679,0)),"",INDEX('Compliance Database'!$C$2:$C$679,MATCH(216,'Transfer Engine'!$C$2:$C$679,0)))</f>
        <v/>
      </c>
      <c r="D225" s="8">
        <f>IF(ISNA(MATCH(216,'Transfer Engine'!$C$2:$C$679,0)),"",INDEX('Compliance Database'!$D$2:$D$679,MATCH(216,'Transfer Engine'!$C$2:$C$679,0)))</f>
        <v/>
      </c>
      <c r="E225">
        <f>IF(ISNA(MATCH(216,'Transfer Engine'!$C$2:$C$679,0)),"",INDEX('Compliance Database'!$E$2:$E$679,MATCH(216,'Transfer Engine'!$C$2:$C$679,0)))</f>
        <v/>
      </c>
      <c r="F225">
        <f>IF(ISNA(MATCH(216,'Transfer Engine'!$C$2:$C$679,0)),"",INDEX('Compliance Database'!$F$2:$F$679,MATCH(216,'Transfer Engine'!$C$2:$C$679,0)))</f>
        <v/>
      </c>
      <c r="G225">
        <f>IF(ISNA(MATCH(216,'Transfer Engine'!$C$2:$C$679,0)),"",INDEX('Compliance Database'!$G$2:$G$679,MATCH(216,'Transfer Engine'!$C$2:$C$679,0)))</f>
        <v/>
      </c>
      <c r="H225">
        <f>IF(ISNA(MATCH(216,'Transfer Engine'!$C$2:$C$679,0)),"",INDEX('Compliance Database'!$H$2:$H$679,MATCH(216,'Transfer Engine'!$C$2:$C$679,0)))</f>
        <v/>
      </c>
      <c r="I225" s="8">
        <f>IF(ISNA(MATCH(216,'Transfer Engine'!$C$2:$C$679,0)),"",INDEX('Compliance Database'!$I$2:$I$679,MATCH(216,'Transfer Engine'!$C$2:$C$679,0)))</f>
        <v/>
      </c>
      <c r="J225" s="8">
        <f>IF(ISNA(MATCH(216,'Transfer Engine'!$C$2:$C$679,0)),"",INDEX('Compliance Database'!$J$2:$J$679,MATCH(216,'Transfer Engine'!$C$2:$C$679,0)))</f>
        <v/>
      </c>
      <c r="K225">
        <f>IF(ISNA(MATCH(216,'Transfer Engine'!$C$2:$C$679,0)),"",INDEX('Compliance Database'!$K$2:$K$679,MATCH(216,'Transfer Engine'!$C$2:$C$679,0)))</f>
        <v/>
      </c>
      <c r="L225" s="8">
        <f>IF(ISNA(MATCH(216,'Transfer Engine'!$C$2:$C$679,0)),"",INDEX('Compliance Database'!$L$2:$L$679,MATCH(216,'Transfer Engine'!$C$2:$C$679,0)))</f>
        <v/>
      </c>
      <c r="M225" s="8">
        <f>IF(ISNA(MATCH(216,'Transfer Engine'!$C$2:$C$679,0)),"",INDEX('Compliance Database'!$M$2:$M$679,MATCH(216,'Transfer Engine'!$C$2:$C$679,0)))</f>
        <v/>
      </c>
      <c r="N225" s="8">
        <f>IF(ISNA(MATCH(216,'Transfer Engine'!$C$2:$C$679,0)),"",INDEX('Compliance Database'!$N$2:$N$679,MATCH(216,'Transfer Engine'!$C$2:$C$679,0)))</f>
        <v/>
      </c>
      <c r="O225" s="8">
        <f>IF(ISNA(MATCH(216,'Transfer Engine'!$C$2:$C$679,0)),"",INDEX('Compliance Database'!$O$2:$O$679,MATCH(216,'Transfer Engine'!$C$2:$C$679,0)))</f>
        <v/>
      </c>
      <c r="P225">
        <f>IF(ISNA(MATCH(216,'Transfer Engine'!$C$2:$C$679,0)),"",HYPERLINK(INDEX('Compliance Database'!$P$2:$P$679,MATCH(216,'Transfer Engine'!$C$2:$C$679,0)),"Open PDF"))</f>
        <v/>
      </c>
    </row>
    <row r="226">
      <c r="A226">
        <f>IF(ISNA(MATCH(217,'Transfer Engine'!$C$2:$C$679,0)),"",INDEX('Compliance Database'!$A$2:$A$679,MATCH(217,'Transfer Engine'!$C$2:$C$679,0)))</f>
        <v/>
      </c>
      <c r="B226">
        <f>IF(ISNA(MATCH(217,'Transfer Engine'!$C$2:$C$679,0)),"",INDEX('Compliance Database'!$B$2:$B$679,MATCH(217,'Transfer Engine'!$C$2:$C$679,0)))</f>
        <v/>
      </c>
      <c r="C226">
        <f>IF(ISNA(MATCH(217,'Transfer Engine'!$C$2:$C$679,0)),"",INDEX('Compliance Database'!$C$2:$C$679,MATCH(217,'Transfer Engine'!$C$2:$C$679,0)))</f>
        <v/>
      </c>
      <c r="D226" s="8">
        <f>IF(ISNA(MATCH(217,'Transfer Engine'!$C$2:$C$679,0)),"",INDEX('Compliance Database'!$D$2:$D$679,MATCH(217,'Transfer Engine'!$C$2:$C$679,0)))</f>
        <v/>
      </c>
      <c r="E226">
        <f>IF(ISNA(MATCH(217,'Transfer Engine'!$C$2:$C$679,0)),"",INDEX('Compliance Database'!$E$2:$E$679,MATCH(217,'Transfer Engine'!$C$2:$C$679,0)))</f>
        <v/>
      </c>
      <c r="F226">
        <f>IF(ISNA(MATCH(217,'Transfer Engine'!$C$2:$C$679,0)),"",INDEX('Compliance Database'!$F$2:$F$679,MATCH(217,'Transfer Engine'!$C$2:$C$679,0)))</f>
        <v/>
      </c>
      <c r="G226">
        <f>IF(ISNA(MATCH(217,'Transfer Engine'!$C$2:$C$679,0)),"",INDEX('Compliance Database'!$G$2:$G$679,MATCH(217,'Transfer Engine'!$C$2:$C$679,0)))</f>
        <v/>
      </c>
      <c r="H226">
        <f>IF(ISNA(MATCH(217,'Transfer Engine'!$C$2:$C$679,0)),"",INDEX('Compliance Database'!$H$2:$H$679,MATCH(217,'Transfer Engine'!$C$2:$C$679,0)))</f>
        <v/>
      </c>
      <c r="I226" s="8">
        <f>IF(ISNA(MATCH(217,'Transfer Engine'!$C$2:$C$679,0)),"",INDEX('Compliance Database'!$I$2:$I$679,MATCH(217,'Transfer Engine'!$C$2:$C$679,0)))</f>
        <v/>
      </c>
      <c r="J226" s="8">
        <f>IF(ISNA(MATCH(217,'Transfer Engine'!$C$2:$C$679,0)),"",INDEX('Compliance Database'!$J$2:$J$679,MATCH(217,'Transfer Engine'!$C$2:$C$679,0)))</f>
        <v/>
      </c>
      <c r="K226">
        <f>IF(ISNA(MATCH(217,'Transfer Engine'!$C$2:$C$679,0)),"",INDEX('Compliance Database'!$K$2:$K$679,MATCH(217,'Transfer Engine'!$C$2:$C$679,0)))</f>
        <v/>
      </c>
      <c r="L226" s="8">
        <f>IF(ISNA(MATCH(217,'Transfer Engine'!$C$2:$C$679,0)),"",INDEX('Compliance Database'!$L$2:$L$679,MATCH(217,'Transfer Engine'!$C$2:$C$679,0)))</f>
        <v/>
      </c>
      <c r="M226" s="8">
        <f>IF(ISNA(MATCH(217,'Transfer Engine'!$C$2:$C$679,0)),"",INDEX('Compliance Database'!$M$2:$M$679,MATCH(217,'Transfer Engine'!$C$2:$C$679,0)))</f>
        <v/>
      </c>
      <c r="N226" s="8">
        <f>IF(ISNA(MATCH(217,'Transfer Engine'!$C$2:$C$679,0)),"",INDEX('Compliance Database'!$N$2:$N$679,MATCH(217,'Transfer Engine'!$C$2:$C$679,0)))</f>
        <v/>
      </c>
      <c r="O226" s="8">
        <f>IF(ISNA(MATCH(217,'Transfer Engine'!$C$2:$C$679,0)),"",INDEX('Compliance Database'!$O$2:$O$679,MATCH(217,'Transfer Engine'!$C$2:$C$679,0)))</f>
        <v/>
      </c>
      <c r="P226">
        <f>IF(ISNA(MATCH(217,'Transfer Engine'!$C$2:$C$679,0)),"",HYPERLINK(INDEX('Compliance Database'!$P$2:$P$679,MATCH(217,'Transfer Engine'!$C$2:$C$679,0)),"Open PDF"))</f>
        <v/>
      </c>
    </row>
    <row r="227">
      <c r="A227">
        <f>IF(ISNA(MATCH(218,'Transfer Engine'!$C$2:$C$679,0)),"",INDEX('Compliance Database'!$A$2:$A$679,MATCH(218,'Transfer Engine'!$C$2:$C$679,0)))</f>
        <v/>
      </c>
      <c r="B227">
        <f>IF(ISNA(MATCH(218,'Transfer Engine'!$C$2:$C$679,0)),"",INDEX('Compliance Database'!$B$2:$B$679,MATCH(218,'Transfer Engine'!$C$2:$C$679,0)))</f>
        <v/>
      </c>
      <c r="C227">
        <f>IF(ISNA(MATCH(218,'Transfer Engine'!$C$2:$C$679,0)),"",INDEX('Compliance Database'!$C$2:$C$679,MATCH(218,'Transfer Engine'!$C$2:$C$679,0)))</f>
        <v/>
      </c>
      <c r="D227" s="8">
        <f>IF(ISNA(MATCH(218,'Transfer Engine'!$C$2:$C$679,0)),"",INDEX('Compliance Database'!$D$2:$D$679,MATCH(218,'Transfer Engine'!$C$2:$C$679,0)))</f>
        <v/>
      </c>
      <c r="E227">
        <f>IF(ISNA(MATCH(218,'Transfer Engine'!$C$2:$C$679,0)),"",INDEX('Compliance Database'!$E$2:$E$679,MATCH(218,'Transfer Engine'!$C$2:$C$679,0)))</f>
        <v/>
      </c>
      <c r="F227">
        <f>IF(ISNA(MATCH(218,'Transfer Engine'!$C$2:$C$679,0)),"",INDEX('Compliance Database'!$F$2:$F$679,MATCH(218,'Transfer Engine'!$C$2:$C$679,0)))</f>
        <v/>
      </c>
      <c r="G227">
        <f>IF(ISNA(MATCH(218,'Transfer Engine'!$C$2:$C$679,0)),"",INDEX('Compliance Database'!$G$2:$G$679,MATCH(218,'Transfer Engine'!$C$2:$C$679,0)))</f>
        <v/>
      </c>
      <c r="H227">
        <f>IF(ISNA(MATCH(218,'Transfer Engine'!$C$2:$C$679,0)),"",INDEX('Compliance Database'!$H$2:$H$679,MATCH(218,'Transfer Engine'!$C$2:$C$679,0)))</f>
        <v/>
      </c>
      <c r="I227" s="8">
        <f>IF(ISNA(MATCH(218,'Transfer Engine'!$C$2:$C$679,0)),"",INDEX('Compliance Database'!$I$2:$I$679,MATCH(218,'Transfer Engine'!$C$2:$C$679,0)))</f>
        <v/>
      </c>
      <c r="J227" s="8">
        <f>IF(ISNA(MATCH(218,'Transfer Engine'!$C$2:$C$679,0)),"",INDEX('Compliance Database'!$J$2:$J$679,MATCH(218,'Transfer Engine'!$C$2:$C$679,0)))</f>
        <v/>
      </c>
      <c r="K227">
        <f>IF(ISNA(MATCH(218,'Transfer Engine'!$C$2:$C$679,0)),"",INDEX('Compliance Database'!$K$2:$K$679,MATCH(218,'Transfer Engine'!$C$2:$C$679,0)))</f>
        <v/>
      </c>
      <c r="L227" s="8">
        <f>IF(ISNA(MATCH(218,'Transfer Engine'!$C$2:$C$679,0)),"",INDEX('Compliance Database'!$L$2:$L$679,MATCH(218,'Transfer Engine'!$C$2:$C$679,0)))</f>
        <v/>
      </c>
      <c r="M227" s="8">
        <f>IF(ISNA(MATCH(218,'Transfer Engine'!$C$2:$C$679,0)),"",INDEX('Compliance Database'!$M$2:$M$679,MATCH(218,'Transfer Engine'!$C$2:$C$679,0)))</f>
        <v/>
      </c>
      <c r="N227" s="8">
        <f>IF(ISNA(MATCH(218,'Transfer Engine'!$C$2:$C$679,0)),"",INDEX('Compliance Database'!$N$2:$N$679,MATCH(218,'Transfer Engine'!$C$2:$C$679,0)))</f>
        <v/>
      </c>
      <c r="O227" s="8">
        <f>IF(ISNA(MATCH(218,'Transfer Engine'!$C$2:$C$679,0)),"",INDEX('Compliance Database'!$O$2:$O$679,MATCH(218,'Transfer Engine'!$C$2:$C$679,0)))</f>
        <v/>
      </c>
      <c r="P227">
        <f>IF(ISNA(MATCH(218,'Transfer Engine'!$C$2:$C$679,0)),"",HYPERLINK(INDEX('Compliance Database'!$P$2:$P$679,MATCH(218,'Transfer Engine'!$C$2:$C$679,0)),"Open PDF"))</f>
        <v/>
      </c>
    </row>
    <row r="228">
      <c r="A228">
        <f>IF(ISNA(MATCH(219,'Transfer Engine'!$C$2:$C$679,0)),"",INDEX('Compliance Database'!$A$2:$A$679,MATCH(219,'Transfer Engine'!$C$2:$C$679,0)))</f>
        <v/>
      </c>
      <c r="B228">
        <f>IF(ISNA(MATCH(219,'Transfer Engine'!$C$2:$C$679,0)),"",INDEX('Compliance Database'!$B$2:$B$679,MATCH(219,'Transfer Engine'!$C$2:$C$679,0)))</f>
        <v/>
      </c>
      <c r="C228">
        <f>IF(ISNA(MATCH(219,'Transfer Engine'!$C$2:$C$679,0)),"",INDEX('Compliance Database'!$C$2:$C$679,MATCH(219,'Transfer Engine'!$C$2:$C$679,0)))</f>
        <v/>
      </c>
      <c r="D228" s="8">
        <f>IF(ISNA(MATCH(219,'Transfer Engine'!$C$2:$C$679,0)),"",INDEX('Compliance Database'!$D$2:$D$679,MATCH(219,'Transfer Engine'!$C$2:$C$679,0)))</f>
        <v/>
      </c>
      <c r="E228">
        <f>IF(ISNA(MATCH(219,'Transfer Engine'!$C$2:$C$679,0)),"",INDEX('Compliance Database'!$E$2:$E$679,MATCH(219,'Transfer Engine'!$C$2:$C$679,0)))</f>
        <v/>
      </c>
      <c r="F228">
        <f>IF(ISNA(MATCH(219,'Transfer Engine'!$C$2:$C$679,0)),"",INDEX('Compliance Database'!$F$2:$F$679,MATCH(219,'Transfer Engine'!$C$2:$C$679,0)))</f>
        <v/>
      </c>
      <c r="G228">
        <f>IF(ISNA(MATCH(219,'Transfer Engine'!$C$2:$C$679,0)),"",INDEX('Compliance Database'!$G$2:$G$679,MATCH(219,'Transfer Engine'!$C$2:$C$679,0)))</f>
        <v/>
      </c>
      <c r="H228">
        <f>IF(ISNA(MATCH(219,'Transfer Engine'!$C$2:$C$679,0)),"",INDEX('Compliance Database'!$H$2:$H$679,MATCH(219,'Transfer Engine'!$C$2:$C$679,0)))</f>
        <v/>
      </c>
      <c r="I228" s="8">
        <f>IF(ISNA(MATCH(219,'Transfer Engine'!$C$2:$C$679,0)),"",INDEX('Compliance Database'!$I$2:$I$679,MATCH(219,'Transfer Engine'!$C$2:$C$679,0)))</f>
        <v/>
      </c>
      <c r="J228" s="8">
        <f>IF(ISNA(MATCH(219,'Transfer Engine'!$C$2:$C$679,0)),"",INDEX('Compliance Database'!$J$2:$J$679,MATCH(219,'Transfer Engine'!$C$2:$C$679,0)))</f>
        <v/>
      </c>
      <c r="K228">
        <f>IF(ISNA(MATCH(219,'Transfer Engine'!$C$2:$C$679,0)),"",INDEX('Compliance Database'!$K$2:$K$679,MATCH(219,'Transfer Engine'!$C$2:$C$679,0)))</f>
        <v/>
      </c>
      <c r="L228" s="8">
        <f>IF(ISNA(MATCH(219,'Transfer Engine'!$C$2:$C$679,0)),"",INDEX('Compliance Database'!$L$2:$L$679,MATCH(219,'Transfer Engine'!$C$2:$C$679,0)))</f>
        <v/>
      </c>
      <c r="M228" s="8">
        <f>IF(ISNA(MATCH(219,'Transfer Engine'!$C$2:$C$679,0)),"",INDEX('Compliance Database'!$M$2:$M$679,MATCH(219,'Transfer Engine'!$C$2:$C$679,0)))</f>
        <v/>
      </c>
      <c r="N228" s="8">
        <f>IF(ISNA(MATCH(219,'Transfer Engine'!$C$2:$C$679,0)),"",INDEX('Compliance Database'!$N$2:$N$679,MATCH(219,'Transfer Engine'!$C$2:$C$679,0)))</f>
        <v/>
      </c>
      <c r="O228" s="8">
        <f>IF(ISNA(MATCH(219,'Transfer Engine'!$C$2:$C$679,0)),"",INDEX('Compliance Database'!$O$2:$O$679,MATCH(219,'Transfer Engine'!$C$2:$C$679,0)))</f>
        <v/>
      </c>
      <c r="P228">
        <f>IF(ISNA(MATCH(219,'Transfer Engine'!$C$2:$C$679,0)),"",HYPERLINK(INDEX('Compliance Database'!$P$2:$P$679,MATCH(219,'Transfer Engine'!$C$2:$C$679,0)),"Open PDF"))</f>
        <v/>
      </c>
    </row>
    <row r="229">
      <c r="A229">
        <f>IF(ISNA(MATCH(220,'Transfer Engine'!$C$2:$C$679,0)),"",INDEX('Compliance Database'!$A$2:$A$679,MATCH(220,'Transfer Engine'!$C$2:$C$679,0)))</f>
        <v/>
      </c>
      <c r="B229">
        <f>IF(ISNA(MATCH(220,'Transfer Engine'!$C$2:$C$679,0)),"",INDEX('Compliance Database'!$B$2:$B$679,MATCH(220,'Transfer Engine'!$C$2:$C$679,0)))</f>
        <v/>
      </c>
      <c r="C229">
        <f>IF(ISNA(MATCH(220,'Transfer Engine'!$C$2:$C$679,0)),"",INDEX('Compliance Database'!$C$2:$C$679,MATCH(220,'Transfer Engine'!$C$2:$C$679,0)))</f>
        <v/>
      </c>
      <c r="D229" s="8">
        <f>IF(ISNA(MATCH(220,'Transfer Engine'!$C$2:$C$679,0)),"",INDEX('Compliance Database'!$D$2:$D$679,MATCH(220,'Transfer Engine'!$C$2:$C$679,0)))</f>
        <v/>
      </c>
      <c r="E229">
        <f>IF(ISNA(MATCH(220,'Transfer Engine'!$C$2:$C$679,0)),"",INDEX('Compliance Database'!$E$2:$E$679,MATCH(220,'Transfer Engine'!$C$2:$C$679,0)))</f>
        <v/>
      </c>
      <c r="F229">
        <f>IF(ISNA(MATCH(220,'Transfer Engine'!$C$2:$C$679,0)),"",INDEX('Compliance Database'!$F$2:$F$679,MATCH(220,'Transfer Engine'!$C$2:$C$679,0)))</f>
        <v/>
      </c>
      <c r="G229">
        <f>IF(ISNA(MATCH(220,'Transfer Engine'!$C$2:$C$679,0)),"",INDEX('Compliance Database'!$G$2:$G$679,MATCH(220,'Transfer Engine'!$C$2:$C$679,0)))</f>
        <v/>
      </c>
      <c r="H229">
        <f>IF(ISNA(MATCH(220,'Transfer Engine'!$C$2:$C$679,0)),"",INDEX('Compliance Database'!$H$2:$H$679,MATCH(220,'Transfer Engine'!$C$2:$C$679,0)))</f>
        <v/>
      </c>
      <c r="I229" s="8">
        <f>IF(ISNA(MATCH(220,'Transfer Engine'!$C$2:$C$679,0)),"",INDEX('Compliance Database'!$I$2:$I$679,MATCH(220,'Transfer Engine'!$C$2:$C$679,0)))</f>
        <v/>
      </c>
      <c r="J229" s="8">
        <f>IF(ISNA(MATCH(220,'Transfer Engine'!$C$2:$C$679,0)),"",INDEX('Compliance Database'!$J$2:$J$679,MATCH(220,'Transfer Engine'!$C$2:$C$679,0)))</f>
        <v/>
      </c>
      <c r="K229">
        <f>IF(ISNA(MATCH(220,'Transfer Engine'!$C$2:$C$679,0)),"",INDEX('Compliance Database'!$K$2:$K$679,MATCH(220,'Transfer Engine'!$C$2:$C$679,0)))</f>
        <v/>
      </c>
      <c r="L229" s="8">
        <f>IF(ISNA(MATCH(220,'Transfer Engine'!$C$2:$C$679,0)),"",INDEX('Compliance Database'!$L$2:$L$679,MATCH(220,'Transfer Engine'!$C$2:$C$679,0)))</f>
        <v/>
      </c>
      <c r="M229" s="8">
        <f>IF(ISNA(MATCH(220,'Transfer Engine'!$C$2:$C$679,0)),"",INDEX('Compliance Database'!$M$2:$M$679,MATCH(220,'Transfer Engine'!$C$2:$C$679,0)))</f>
        <v/>
      </c>
      <c r="N229" s="8">
        <f>IF(ISNA(MATCH(220,'Transfer Engine'!$C$2:$C$679,0)),"",INDEX('Compliance Database'!$N$2:$N$679,MATCH(220,'Transfer Engine'!$C$2:$C$679,0)))</f>
        <v/>
      </c>
      <c r="O229" s="8">
        <f>IF(ISNA(MATCH(220,'Transfer Engine'!$C$2:$C$679,0)),"",INDEX('Compliance Database'!$O$2:$O$679,MATCH(220,'Transfer Engine'!$C$2:$C$679,0)))</f>
        <v/>
      </c>
      <c r="P229">
        <f>IF(ISNA(MATCH(220,'Transfer Engine'!$C$2:$C$679,0)),"",HYPERLINK(INDEX('Compliance Database'!$P$2:$P$679,MATCH(220,'Transfer Engine'!$C$2:$C$679,0)),"Open PDF"))</f>
        <v/>
      </c>
    </row>
    <row r="230">
      <c r="A230">
        <f>IF(ISNA(MATCH(221,'Transfer Engine'!$C$2:$C$679,0)),"",INDEX('Compliance Database'!$A$2:$A$679,MATCH(221,'Transfer Engine'!$C$2:$C$679,0)))</f>
        <v/>
      </c>
      <c r="B230">
        <f>IF(ISNA(MATCH(221,'Transfer Engine'!$C$2:$C$679,0)),"",INDEX('Compliance Database'!$B$2:$B$679,MATCH(221,'Transfer Engine'!$C$2:$C$679,0)))</f>
        <v/>
      </c>
      <c r="C230">
        <f>IF(ISNA(MATCH(221,'Transfer Engine'!$C$2:$C$679,0)),"",INDEX('Compliance Database'!$C$2:$C$679,MATCH(221,'Transfer Engine'!$C$2:$C$679,0)))</f>
        <v/>
      </c>
      <c r="D230" s="8">
        <f>IF(ISNA(MATCH(221,'Transfer Engine'!$C$2:$C$679,0)),"",INDEX('Compliance Database'!$D$2:$D$679,MATCH(221,'Transfer Engine'!$C$2:$C$679,0)))</f>
        <v/>
      </c>
      <c r="E230">
        <f>IF(ISNA(MATCH(221,'Transfer Engine'!$C$2:$C$679,0)),"",INDEX('Compliance Database'!$E$2:$E$679,MATCH(221,'Transfer Engine'!$C$2:$C$679,0)))</f>
        <v/>
      </c>
      <c r="F230">
        <f>IF(ISNA(MATCH(221,'Transfer Engine'!$C$2:$C$679,0)),"",INDEX('Compliance Database'!$F$2:$F$679,MATCH(221,'Transfer Engine'!$C$2:$C$679,0)))</f>
        <v/>
      </c>
      <c r="G230">
        <f>IF(ISNA(MATCH(221,'Transfer Engine'!$C$2:$C$679,0)),"",INDEX('Compliance Database'!$G$2:$G$679,MATCH(221,'Transfer Engine'!$C$2:$C$679,0)))</f>
        <v/>
      </c>
      <c r="H230">
        <f>IF(ISNA(MATCH(221,'Transfer Engine'!$C$2:$C$679,0)),"",INDEX('Compliance Database'!$H$2:$H$679,MATCH(221,'Transfer Engine'!$C$2:$C$679,0)))</f>
        <v/>
      </c>
      <c r="I230" s="8">
        <f>IF(ISNA(MATCH(221,'Transfer Engine'!$C$2:$C$679,0)),"",INDEX('Compliance Database'!$I$2:$I$679,MATCH(221,'Transfer Engine'!$C$2:$C$679,0)))</f>
        <v/>
      </c>
      <c r="J230" s="8">
        <f>IF(ISNA(MATCH(221,'Transfer Engine'!$C$2:$C$679,0)),"",INDEX('Compliance Database'!$J$2:$J$679,MATCH(221,'Transfer Engine'!$C$2:$C$679,0)))</f>
        <v/>
      </c>
      <c r="K230">
        <f>IF(ISNA(MATCH(221,'Transfer Engine'!$C$2:$C$679,0)),"",INDEX('Compliance Database'!$K$2:$K$679,MATCH(221,'Transfer Engine'!$C$2:$C$679,0)))</f>
        <v/>
      </c>
      <c r="L230" s="8">
        <f>IF(ISNA(MATCH(221,'Transfer Engine'!$C$2:$C$679,0)),"",INDEX('Compliance Database'!$L$2:$L$679,MATCH(221,'Transfer Engine'!$C$2:$C$679,0)))</f>
        <v/>
      </c>
      <c r="M230" s="8">
        <f>IF(ISNA(MATCH(221,'Transfer Engine'!$C$2:$C$679,0)),"",INDEX('Compliance Database'!$M$2:$M$679,MATCH(221,'Transfer Engine'!$C$2:$C$679,0)))</f>
        <v/>
      </c>
      <c r="N230" s="8">
        <f>IF(ISNA(MATCH(221,'Transfer Engine'!$C$2:$C$679,0)),"",INDEX('Compliance Database'!$N$2:$N$679,MATCH(221,'Transfer Engine'!$C$2:$C$679,0)))</f>
        <v/>
      </c>
      <c r="O230" s="8">
        <f>IF(ISNA(MATCH(221,'Transfer Engine'!$C$2:$C$679,0)),"",INDEX('Compliance Database'!$O$2:$O$679,MATCH(221,'Transfer Engine'!$C$2:$C$679,0)))</f>
        <v/>
      </c>
      <c r="P230">
        <f>IF(ISNA(MATCH(221,'Transfer Engine'!$C$2:$C$679,0)),"",HYPERLINK(INDEX('Compliance Database'!$P$2:$P$679,MATCH(221,'Transfer Engine'!$C$2:$C$679,0)),"Open PDF"))</f>
        <v/>
      </c>
    </row>
    <row r="231">
      <c r="A231">
        <f>IF(ISNA(MATCH(222,'Transfer Engine'!$C$2:$C$679,0)),"",INDEX('Compliance Database'!$A$2:$A$679,MATCH(222,'Transfer Engine'!$C$2:$C$679,0)))</f>
        <v/>
      </c>
      <c r="B231">
        <f>IF(ISNA(MATCH(222,'Transfer Engine'!$C$2:$C$679,0)),"",INDEX('Compliance Database'!$B$2:$B$679,MATCH(222,'Transfer Engine'!$C$2:$C$679,0)))</f>
        <v/>
      </c>
      <c r="C231">
        <f>IF(ISNA(MATCH(222,'Transfer Engine'!$C$2:$C$679,0)),"",INDEX('Compliance Database'!$C$2:$C$679,MATCH(222,'Transfer Engine'!$C$2:$C$679,0)))</f>
        <v/>
      </c>
      <c r="D231" s="8">
        <f>IF(ISNA(MATCH(222,'Transfer Engine'!$C$2:$C$679,0)),"",INDEX('Compliance Database'!$D$2:$D$679,MATCH(222,'Transfer Engine'!$C$2:$C$679,0)))</f>
        <v/>
      </c>
      <c r="E231">
        <f>IF(ISNA(MATCH(222,'Transfer Engine'!$C$2:$C$679,0)),"",INDEX('Compliance Database'!$E$2:$E$679,MATCH(222,'Transfer Engine'!$C$2:$C$679,0)))</f>
        <v/>
      </c>
      <c r="F231">
        <f>IF(ISNA(MATCH(222,'Transfer Engine'!$C$2:$C$679,0)),"",INDEX('Compliance Database'!$F$2:$F$679,MATCH(222,'Transfer Engine'!$C$2:$C$679,0)))</f>
        <v/>
      </c>
      <c r="G231">
        <f>IF(ISNA(MATCH(222,'Transfer Engine'!$C$2:$C$679,0)),"",INDEX('Compliance Database'!$G$2:$G$679,MATCH(222,'Transfer Engine'!$C$2:$C$679,0)))</f>
        <v/>
      </c>
      <c r="H231">
        <f>IF(ISNA(MATCH(222,'Transfer Engine'!$C$2:$C$679,0)),"",INDEX('Compliance Database'!$H$2:$H$679,MATCH(222,'Transfer Engine'!$C$2:$C$679,0)))</f>
        <v/>
      </c>
      <c r="I231" s="8">
        <f>IF(ISNA(MATCH(222,'Transfer Engine'!$C$2:$C$679,0)),"",INDEX('Compliance Database'!$I$2:$I$679,MATCH(222,'Transfer Engine'!$C$2:$C$679,0)))</f>
        <v/>
      </c>
      <c r="J231" s="8">
        <f>IF(ISNA(MATCH(222,'Transfer Engine'!$C$2:$C$679,0)),"",INDEX('Compliance Database'!$J$2:$J$679,MATCH(222,'Transfer Engine'!$C$2:$C$679,0)))</f>
        <v/>
      </c>
      <c r="K231">
        <f>IF(ISNA(MATCH(222,'Transfer Engine'!$C$2:$C$679,0)),"",INDEX('Compliance Database'!$K$2:$K$679,MATCH(222,'Transfer Engine'!$C$2:$C$679,0)))</f>
        <v/>
      </c>
      <c r="L231" s="8">
        <f>IF(ISNA(MATCH(222,'Transfer Engine'!$C$2:$C$679,0)),"",INDEX('Compliance Database'!$L$2:$L$679,MATCH(222,'Transfer Engine'!$C$2:$C$679,0)))</f>
        <v/>
      </c>
      <c r="M231" s="8">
        <f>IF(ISNA(MATCH(222,'Transfer Engine'!$C$2:$C$679,0)),"",INDEX('Compliance Database'!$M$2:$M$679,MATCH(222,'Transfer Engine'!$C$2:$C$679,0)))</f>
        <v/>
      </c>
      <c r="N231" s="8">
        <f>IF(ISNA(MATCH(222,'Transfer Engine'!$C$2:$C$679,0)),"",INDEX('Compliance Database'!$N$2:$N$679,MATCH(222,'Transfer Engine'!$C$2:$C$679,0)))</f>
        <v/>
      </c>
      <c r="O231" s="8">
        <f>IF(ISNA(MATCH(222,'Transfer Engine'!$C$2:$C$679,0)),"",INDEX('Compliance Database'!$O$2:$O$679,MATCH(222,'Transfer Engine'!$C$2:$C$679,0)))</f>
        <v/>
      </c>
      <c r="P231">
        <f>IF(ISNA(MATCH(222,'Transfer Engine'!$C$2:$C$679,0)),"",HYPERLINK(INDEX('Compliance Database'!$P$2:$P$679,MATCH(222,'Transfer Engine'!$C$2:$C$679,0)),"Open PDF"))</f>
        <v/>
      </c>
    </row>
    <row r="232">
      <c r="A232">
        <f>IF(ISNA(MATCH(223,'Transfer Engine'!$C$2:$C$679,0)),"",INDEX('Compliance Database'!$A$2:$A$679,MATCH(223,'Transfer Engine'!$C$2:$C$679,0)))</f>
        <v/>
      </c>
      <c r="B232">
        <f>IF(ISNA(MATCH(223,'Transfer Engine'!$C$2:$C$679,0)),"",INDEX('Compliance Database'!$B$2:$B$679,MATCH(223,'Transfer Engine'!$C$2:$C$679,0)))</f>
        <v/>
      </c>
      <c r="C232">
        <f>IF(ISNA(MATCH(223,'Transfer Engine'!$C$2:$C$679,0)),"",INDEX('Compliance Database'!$C$2:$C$679,MATCH(223,'Transfer Engine'!$C$2:$C$679,0)))</f>
        <v/>
      </c>
      <c r="D232" s="8">
        <f>IF(ISNA(MATCH(223,'Transfer Engine'!$C$2:$C$679,0)),"",INDEX('Compliance Database'!$D$2:$D$679,MATCH(223,'Transfer Engine'!$C$2:$C$679,0)))</f>
        <v/>
      </c>
      <c r="E232">
        <f>IF(ISNA(MATCH(223,'Transfer Engine'!$C$2:$C$679,0)),"",INDEX('Compliance Database'!$E$2:$E$679,MATCH(223,'Transfer Engine'!$C$2:$C$679,0)))</f>
        <v/>
      </c>
      <c r="F232">
        <f>IF(ISNA(MATCH(223,'Transfer Engine'!$C$2:$C$679,0)),"",INDEX('Compliance Database'!$F$2:$F$679,MATCH(223,'Transfer Engine'!$C$2:$C$679,0)))</f>
        <v/>
      </c>
      <c r="G232">
        <f>IF(ISNA(MATCH(223,'Transfer Engine'!$C$2:$C$679,0)),"",INDEX('Compliance Database'!$G$2:$G$679,MATCH(223,'Transfer Engine'!$C$2:$C$679,0)))</f>
        <v/>
      </c>
      <c r="H232">
        <f>IF(ISNA(MATCH(223,'Transfer Engine'!$C$2:$C$679,0)),"",INDEX('Compliance Database'!$H$2:$H$679,MATCH(223,'Transfer Engine'!$C$2:$C$679,0)))</f>
        <v/>
      </c>
      <c r="I232" s="8">
        <f>IF(ISNA(MATCH(223,'Transfer Engine'!$C$2:$C$679,0)),"",INDEX('Compliance Database'!$I$2:$I$679,MATCH(223,'Transfer Engine'!$C$2:$C$679,0)))</f>
        <v/>
      </c>
      <c r="J232" s="8">
        <f>IF(ISNA(MATCH(223,'Transfer Engine'!$C$2:$C$679,0)),"",INDEX('Compliance Database'!$J$2:$J$679,MATCH(223,'Transfer Engine'!$C$2:$C$679,0)))</f>
        <v/>
      </c>
      <c r="K232">
        <f>IF(ISNA(MATCH(223,'Transfer Engine'!$C$2:$C$679,0)),"",INDEX('Compliance Database'!$K$2:$K$679,MATCH(223,'Transfer Engine'!$C$2:$C$679,0)))</f>
        <v/>
      </c>
      <c r="L232" s="8">
        <f>IF(ISNA(MATCH(223,'Transfer Engine'!$C$2:$C$679,0)),"",INDEX('Compliance Database'!$L$2:$L$679,MATCH(223,'Transfer Engine'!$C$2:$C$679,0)))</f>
        <v/>
      </c>
      <c r="M232" s="8">
        <f>IF(ISNA(MATCH(223,'Transfer Engine'!$C$2:$C$679,0)),"",INDEX('Compliance Database'!$M$2:$M$679,MATCH(223,'Transfer Engine'!$C$2:$C$679,0)))</f>
        <v/>
      </c>
      <c r="N232" s="8">
        <f>IF(ISNA(MATCH(223,'Transfer Engine'!$C$2:$C$679,0)),"",INDEX('Compliance Database'!$N$2:$N$679,MATCH(223,'Transfer Engine'!$C$2:$C$679,0)))</f>
        <v/>
      </c>
      <c r="O232" s="8">
        <f>IF(ISNA(MATCH(223,'Transfer Engine'!$C$2:$C$679,0)),"",INDEX('Compliance Database'!$O$2:$O$679,MATCH(223,'Transfer Engine'!$C$2:$C$679,0)))</f>
        <v/>
      </c>
      <c r="P232">
        <f>IF(ISNA(MATCH(223,'Transfer Engine'!$C$2:$C$679,0)),"",HYPERLINK(INDEX('Compliance Database'!$P$2:$P$679,MATCH(223,'Transfer Engine'!$C$2:$C$679,0)),"Open PDF"))</f>
        <v/>
      </c>
    </row>
    <row r="233">
      <c r="A233">
        <f>IF(ISNA(MATCH(224,'Transfer Engine'!$C$2:$C$679,0)),"",INDEX('Compliance Database'!$A$2:$A$679,MATCH(224,'Transfer Engine'!$C$2:$C$679,0)))</f>
        <v/>
      </c>
      <c r="B233">
        <f>IF(ISNA(MATCH(224,'Transfer Engine'!$C$2:$C$679,0)),"",INDEX('Compliance Database'!$B$2:$B$679,MATCH(224,'Transfer Engine'!$C$2:$C$679,0)))</f>
        <v/>
      </c>
      <c r="C233">
        <f>IF(ISNA(MATCH(224,'Transfer Engine'!$C$2:$C$679,0)),"",INDEX('Compliance Database'!$C$2:$C$679,MATCH(224,'Transfer Engine'!$C$2:$C$679,0)))</f>
        <v/>
      </c>
      <c r="D233" s="8">
        <f>IF(ISNA(MATCH(224,'Transfer Engine'!$C$2:$C$679,0)),"",INDEX('Compliance Database'!$D$2:$D$679,MATCH(224,'Transfer Engine'!$C$2:$C$679,0)))</f>
        <v/>
      </c>
      <c r="E233">
        <f>IF(ISNA(MATCH(224,'Transfer Engine'!$C$2:$C$679,0)),"",INDEX('Compliance Database'!$E$2:$E$679,MATCH(224,'Transfer Engine'!$C$2:$C$679,0)))</f>
        <v/>
      </c>
      <c r="F233">
        <f>IF(ISNA(MATCH(224,'Transfer Engine'!$C$2:$C$679,0)),"",INDEX('Compliance Database'!$F$2:$F$679,MATCH(224,'Transfer Engine'!$C$2:$C$679,0)))</f>
        <v/>
      </c>
      <c r="G233">
        <f>IF(ISNA(MATCH(224,'Transfer Engine'!$C$2:$C$679,0)),"",INDEX('Compliance Database'!$G$2:$G$679,MATCH(224,'Transfer Engine'!$C$2:$C$679,0)))</f>
        <v/>
      </c>
      <c r="H233">
        <f>IF(ISNA(MATCH(224,'Transfer Engine'!$C$2:$C$679,0)),"",INDEX('Compliance Database'!$H$2:$H$679,MATCH(224,'Transfer Engine'!$C$2:$C$679,0)))</f>
        <v/>
      </c>
      <c r="I233" s="8">
        <f>IF(ISNA(MATCH(224,'Transfer Engine'!$C$2:$C$679,0)),"",INDEX('Compliance Database'!$I$2:$I$679,MATCH(224,'Transfer Engine'!$C$2:$C$679,0)))</f>
        <v/>
      </c>
      <c r="J233" s="8">
        <f>IF(ISNA(MATCH(224,'Transfer Engine'!$C$2:$C$679,0)),"",INDEX('Compliance Database'!$J$2:$J$679,MATCH(224,'Transfer Engine'!$C$2:$C$679,0)))</f>
        <v/>
      </c>
      <c r="K233">
        <f>IF(ISNA(MATCH(224,'Transfer Engine'!$C$2:$C$679,0)),"",INDEX('Compliance Database'!$K$2:$K$679,MATCH(224,'Transfer Engine'!$C$2:$C$679,0)))</f>
        <v/>
      </c>
      <c r="L233" s="8">
        <f>IF(ISNA(MATCH(224,'Transfer Engine'!$C$2:$C$679,0)),"",INDEX('Compliance Database'!$L$2:$L$679,MATCH(224,'Transfer Engine'!$C$2:$C$679,0)))</f>
        <v/>
      </c>
      <c r="M233" s="8">
        <f>IF(ISNA(MATCH(224,'Transfer Engine'!$C$2:$C$679,0)),"",INDEX('Compliance Database'!$M$2:$M$679,MATCH(224,'Transfer Engine'!$C$2:$C$679,0)))</f>
        <v/>
      </c>
      <c r="N233" s="8">
        <f>IF(ISNA(MATCH(224,'Transfer Engine'!$C$2:$C$679,0)),"",INDEX('Compliance Database'!$N$2:$N$679,MATCH(224,'Transfer Engine'!$C$2:$C$679,0)))</f>
        <v/>
      </c>
      <c r="O233" s="8">
        <f>IF(ISNA(MATCH(224,'Transfer Engine'!$C$2:$C$679,0)),"",INDEX('Compliance Database'!$O$2:$O$679,MATCH(224,'Transfer Engine'!$C$2:$C$679,0)))</f>
        <v/>
      </c>
      <c r="P233">
        <f>IF(ISNA(MATCH(224,'Transfer Engine'!$C$2:$C$679,0)),"",HYPERLINK(INDEX('Compliance Database'!$P$2:$P$679,MATCH(224,'Transfer Engine'!$C$2:$C$679,0)),"Open PDF"))</f>
        <v/>
      </c>
    </row>
    <row r="234">
      <c r="A234">
        <f>IF(ISNA(MATCH(225,'Transfer Engine'!$C$2:$C$679,0)),"",INDEX('Compliance Database'!$A$2:$A$679,MATCH(225,'Transfer Engine'!$C$2:$C$679,0)))</f>
        <v/>
      </c>
      <c r="B234">
        <f>IF(ISNA(MATCH(225,'Transfer Engine'!$C$2:$C$679,0)),"",INDEX('Compliance Database'!$B$2:$B$679,MATCH(225,'Transfer Engine'!$C$2:$C$679,0)))</f>
        <v/>
      </c>
      <c r="C234">
        <f>IF(ISNA(MATCH(225,'Transfer Engine'!$C$2:$C$679,0)),"",INDEX('Compliance Database'!$C$2:$C$679,MATCH(225,'Transfer Engine'!$C$2:$C$679,0)))</f>
        <v/>
      </c>
      <c r="D234" s="8">
        <f>IF(ISNA(MATCH(225,'Transfer Engine'!$C$2:$C$679,0)),"",INDEX('Compliance Database'!$D$2:$D$679,MATCH(225,'Transfer Engine'!$C$2:$C$679,0)))</f>
        <v/>
      </c>
      <c r="E234">
        <f>IF(ISNA(MATCH(225,'Transfer Engine'!$C$2:$C$679,0)),"",INDEX('Compliance Database'!$E$2:$E$679,MATCH(225,'Transfer Engine'!$C$2:$C$679,0)))</f>
        <v/>
      </c>
      <c r="F234">
        <f>IF(ISNA(MATCH(225,'Transfer Engine'!$C$2:$C$679,0)),"",INDEX('Compliance Database'!$F$2:$F$679,MATCH(225,'Transfer Engine'!$C$2:$C$679,0)))</f>
        <v/>
      </c>
      <c r="G234">
        <f>IF(ISNA(MATCH(225,'Transfer Engine'!$C$2:$C$679,0)),"",INDEX('Compliance Database'!$G$2:$G$679,MATCH(225,'Transfer Engine'!$C$2:$C$679,0)))</f>
        <v/>
      </c>
      <c r="H234">
        <f>IF(ISNA(MATCH(225,'Transfer Engine'!$C$2:$C$679,0)),"",INDEX('Compliance Database'!$H$2:$H$679,MATCH(225,'Transfer Engine'!$C$2:$C$679,0)))</f>
        <v/>
      </c>
      <c r="I234" s="8">
        <f>IF(ISNA(MATCH(225,'Transfer Engine'!$C$2:$C$679,0)),"",INDEX('Compliance Database'!$I$2:$I$679,MATCH(225,'Transfer Engine'!$C$2:$C$679,0)))</f>
        <v/>
      </c>
      <c r="J234" s="8">
        <f>IF(ISNA(MATCH(225,'Transfer Engine'!$C$2:$C$679,0)),"",INDEX('Compliance Database'!$J$2:$J$679,MATCH(225,'Transfer Engine'!$C$2:$C$679,0)))</f>
        <v/>
      </c>
      <c r="K234">
        <f>IF(ISNA(MATCH(225,'Transfer Engine'!$C$2:$C$679,0)),"",INDEX('Compliance Database'!$K$2:$K$679,MATCH(225,'Transfer Engine'!$C$2:$C$679,0)))</f>
        <v/>
      </c>
      <c r="L234" s="8">
        <f>IF(ISNA(MATCH(225,'Transfer Engine'!$C$2:$C$679,0)),"",INDEX('Compliance Database'!$L$2:$L$679,MATCH(225,'Transfer Engine'!$C$2:$C$679,0)))</f>
        <v/>
      </c>
      <c r="M234" s="8">
        <f>IF(ISNA(MATCH(225,'Transfer Engine'!$C$2:$C$679,0)),"",INDEX('Compliance Database'!$M$2:$M$679,MATCH(225,'Transfer Engine'!$C$2:$C$679,0)))</f>
        <v/>
      </c>
      <c r="N234" s="8">
        <f>IF(ISNA(MATCH(225,'Transfer Engine'!$C$2:$C$679,0)),"",INDEX('Compliance Database'!$N$2:$N$679,MATCH(225,'Transfer Engine'!$C$2:$C$679,0)))</f>
        <v/>
      </c>
      <c r="O234" s="8">
        <f>IF(ISNA(MATCH(225,'Transfer Engine'!$C$2:$C$679,0)),"",INDEX('Compliance Database'!$O$2:$O$679,MATCH(225,'Transfer Engine'!$C$2:$C$679,0)))</f>
        <v/>
      </c>
      <c r="P234">
        <f>IF(ISNA(MATCH(225,'Transfer Engine'!$C$2:$C$679,0)),"",HYPERLINK(INDEX('Compliance Database'!$P$2:$P$679,MATCH(225,'Transfer Engine'!$C$2:$C$679,0)),"Open PDF"))</f>
        <v/>
      </c>
    </row>
    <row r="235">
      <c r="A235">
        <f>IF(ISNA(MATCH(226,'Transfer Engine'!$C$2:$C$679,0)),"",INDEX('Compliance Database'!$A$2:$A$679,MATCH(226,'Transfer Engine'!$C$2:$C$679,0)))</f>
        <v/>
      </c>
      <c r="B235">
        <f>IF(ISNA(MATCH(226,'Transfer Engine'!$C$2:$C$679,0)),"",INDEX('Compliance Database'!$B$2:$B$679,MATCH(226,'Transfer Engine'!$C$2:$C$679,0)))</f>
        <v/>
      </c>
      <c r="C235">
        <f>IF(ISNA(MATCH(226,'Transfer Engine'!$C$2:$C$679,0)),"",INDEX('Compliance Database'!$C$2:$C$679,MATCH(226,'Transfer Engine'!$C$2:$C$679,0)))</f>
        <v/>
      </c>
      <c r="D235" s="8">
        <f>IF(ISNA(MATCH(226,'Transfer Engine'!$C$2:$C$679,0)),"",INDEX('Compliance Database'!$D$2:$D$679,MATCH(226,'Transfer Engine'!$C$2:$C$679,0)))</f>
        <v/>
      </c>
      <c r="E235">
        <f>IF(ISNA(MATCH(226,'Transfer Engine'!$C$2:$C$679,0)),"",INDEX('Compliance Database'!$E$2:$E$679,MATCH(226,'Transfer Engine'!$C$2:$C$679,0)))</f>
        <v/>
      </c>
      <c r="F235">
        <f>IF(ISNA(MATCH(226,'Transfer Engine'!$C$2:$C$679,0)),"",INDEX('Compliance Database'!$F$2:$F$679,MATCH(226,'Transfer Engine'!$C$2:$C$679,0)))</f>
        <v/>
      </c>
      <c r="G235">
        <f>IF(ISNA(MATCH(226,'Transfer Engine'!$C$2:$C$679,0)),"",INDEX('Compliance Database'!$G$2:$G$679,MATCH(226,'Transfer Engine'!$C$2:$C$679,0)))</f>
        <v/>
      </c>
      <c r="H235">
        <f>IF(ISNA(MATCH(226,'Transfer Engine'!$C$2:$C$679,0)),"",INDEX('Compliance Database'!$H$2:$H$679,MATCH(226,'Transfer Engine'!$C$2:$C$679,0)))</f>
        <v/>
      </c>
      <c r="I235" s="8">
        <f>IF(ISNA(MATCH(226,'Transfer Engine'!$C$2:$C$679,0)),"",INDEX('Compliance Database'!$I$2:$I$679,MATCH(226,'Transfer Engine'!$C$2:$C$679,0)))</f>
        <v/>
      </c>
      <c r="J235" s="8">
        <f>IF(ISNA(MATCH(226,'Transfer Engine'!$C$2:$C$679,0)),"",INDEX('Compliance Database'!$J$2:$J$679,MATCH(226,'Transfer Engine'!$C$2:$C$679,0)))</f>
        <v/>
      </c>
      <c r="K235">
        <f>IF(ISNA(MATCH(226,'Transfer Engine'!$C$2:$C$679,0)),"",INDEX('Compliance Database'!$K$2:$K$679,MATCH(226,'Transfer Engine'!$C$2:$C$679,0)))</f>
        <v/>
      </c>
      <c r="L235" s="8">
        <f>IF(ISNA(MATCH(226,'Transfer Engine'!$C$2:$C$679,0)),"",INDEX('Compliance Database'!$L$2:$L$679,MATCH(226,'Transfer Engine'!$C$2:$C$679,0)))</f>
        <v/>
      </c>
      <c r="M235" s="8">
        <f>IF(ISNA(MATCH(226,'Transfer Engine'!$C$2:$C$679,0)),"",INDEX('Compliance Database'!$M$2:$M$679,MATCH(226,'Transfer Engine'!$C$2:$C$679,0)))</f>
        <v/>
      </c>
      <c r="N235" s="8">
        <f>IF(ISNA(MATCH(226,'Transfer Engine'!$C$2:$C$679,0)),"",INDEX('Compliance Database'!$N$2:$N$679,MATCH(226,'Transfer Engine'!$C$2:$C$679,0)))</f>
        <v/>
      </c>
      <c r="O235" s="8">
        <f>IF(ISNA(MATCH(226,'Transfer Engine'!$C$2:$C$679,0)),"",INDEX('Compliance Database'!$O$2:$O$679,MATCH(226,'Transfer Engine'!$C$2:$C$679,0)))</f>
        <v/>
      </c>
      <c r="P235">
        <f>IF(ISNA(MATCH(226,'Transfer Engine'!$C$2:$C$679,0)),"",HYPERLINK(INDEX('Compliance Database'!$P$2:$P$679,MATCH(226,'Transfer Engine'!$C$2:$C$679,0)),"Open PDF"))</f>
        <v/>
      </c>
    </row>
    <row r="236">
      <c r="A236">
        <f>IF(ISNA(MATCH(227,'Transfer Engine'!$C$2:$C$679,0)),"",INDEX('Compliance Database'!$A$2:$A$679,MATCH(227,'Transfer Engine'!$C$2:$C$679,0)))</f>
        <v/>
      </c>
      <c r="B236">
        <f>IF(ISNA(MATCH(227,'Transfer Engine'!$C$2:$C$679,0)),"",INDEX('Compliance Database'!$B$2:$B$679,MATCH(227,'Transfer Engine'!$C$2:$C$679,0)))</f>
        <v/>
      </c>
      <c r="C236">
        <f>IF(ISNA(MATCH(227,'Transfer Engine'!$C$2:$C$679,0)),"",INDEX('Compliance Database'!$C$2:$C$679,MATCH(227,'Transfer Engine'!$C$2:$C$679,0)))</f>
        <v/>
      </c>
      <c r="D236" s="8">
        <f>IF(ISNA(MATCH(227,'Transfer Engine'!$C$2:$C$679,0)),"",INDEX('Compliance Database'!$D$2:$D$679,MATCH(227,'Transfer Engine'!$C$2:$C$679,0)))</f>
        <v/>
      </c>
      <c r="E236">
        <f>IF(ISNA(MATCH(227,'Transfer Engine'!$C$2:$C$679,0)),"",INDEX('Compliance Database'!$E$2:$E$679,MATCH(227,'Transfer Engine'!$C$2:$C$679,0)))</f>
        <v/>
      </c>
      <c r="F236">
        <f>IF(ISNA(MATCH(227,'Transfer Engine'!$C$2:$C$679,0)),"",INDEX('Compliance Database'!$F$2:$F$679,MATCH(227,'Transfer Engine'!$C$2:$C$679,0)))</f>
        <v/>
      </c>
      <c r="G236">
        <f>IF(ISNA(MATCH(227,'Transfer Engine'!$C$2:$C$679,0)),"",INDEX('Compliance Database'!$G$2:$G$679,MATCH(227,'Transfer Engine'!$C$2:$C$679,0)))</f>
        <v/>
      </c>
      <c r="H236">
        <f>IF(ISNA(MATCH(227,'Transfer Engine'!$C$2:$C$679,0)),"",INDEX('Compliance Database'!$H$2:$H$679,MATCH(227,'Transfer Engine'!$C$2:$C$679,0)))</f>
        <v/>
      </c>
      <c r="I236" s="8">
        <f>IF(ISNA(MATCH(227,'Transfer Engine'!$C$2:$C$679,0)),"",INDEX('Compliance Database'!$I$2:$I$679,MATCH(227,'Transfer Engine'!$C$2:$C$679,0)))</f>
        <v/>
      </c>
      <c r="J236" s="8">
        <f>IF(ISNA(MATCH(227,'Transfer Engine'!$C$2:$C$679,0)),"",INDEX('Compliance Database'!$J$2:$J$679,MATCH(227,'Transfer Engine'!$C$2:$C$679,0)))</f>
        <v/>
      </c>
      <c r="K236">
        <f>IF(ISNA(MATCH(227,'Transfer Engine'!$C$2:$C$679,0)),"",INDEX('Compliance Database'!$K$2:$K$679,MATCH(227,'Transfer Engine'!$C$2:$C$679,0)))</f>
        <v/>
      </c>
      <c r="L236" s="8">
        <f>IF(ISNA(MATCH(227,'Transfer Engine'!$C$2:$C$679,0)),"",INDEX('Compliance Database'!$L$2:$L$679,MATCH(227,'Transfer Engine'!$C$2:$C$679,0)))</f>
        <v/>
      </c>
      <c r="M236" s="8">
        <f>IF(ISNA(MATCH(227,'Transfer Engine'!$C$2:$C$679,0)),"",INDEX('Compliance Database'!$M$2:$M$679,MATCH(227,'Transfer Engine'!$C$2:$C$679,0)))</f>
        <v/>
      </c>
      <c r="N236" s="8">
        <f>IF(ISNA(MATCH(227,'Transfer Engine'!$C$2:$C$679,0)),"",INDEX('Compliance Database'!$N$2:$N$679,MATCH(227,'Transfer Engine'!$C$2:$C$679,0)))</f>
        <v/>
      </c>
      <c r="O236" s="8">
        <f>IF(ISNA(MATCH(227,'Transfer Engine'!$C$2:$C$679,0)),"",INDEX('Compliance Database'!$O$2:$O$679,MATCH(227,'Transfer Engine'!$C$2:$C$679,0)))</f>
        <v/>
      </c>
      <c r="P236">
        <f>IF(ISNA(MATCH(227,'Transfer Engine'!$C$2:$C$679,0)),"",HYPERLINK(INDEX('Compliance Database'!$P$2:$P$679,MATCH(227,'Transfer Engine'!$C$2:$C$679,0)),"Open PDF"))</f>
        <v/>
      </c>
    </row>
    <row r="237">
      <c r="A237">
        <f>IF(ISNA(MATCH(228,'Transfer Engine'!$C$2:$C$679,0)),"",INDEX('Compliance Database'!$A$2:$A$679,MATCH(228,'Transfer Engine'!$C$2:$C$679,0)))</f>
        <v/>
      </c>
      <c r="B237">
        <f>IF(ISNA(MATCH(228,'Transfer Engine'!$C$2:$C$679,0)),"",INDEX('Compliance Database'!$B$2:$B$679,MATCH(228,'Transfer Engine'!$C$2:$C$679,0)))</f>
        <v/>
      </c>
      <c r="C237">
        <f>IF(ISNA(MATCH(228,'Transfer Engine'!$C$2:$C$679,0)),"",INDEX('Compliance Database'!$C$2:$C$679,MATCH(228,'Transfer Engine'!$C$2:$C$679,0)))</f>
        <v/>
      </c>
      <c r="D237" s="8">
        <f>IF(ISNA(MATCH(228,'Transfer Engine'!$C$2:$C$679,0)),"",INDEX('Compliance Database'!$D$2:$D$679,MATCH(228,'Transfer Engine'!$C$2:$C$679,0)))</f>
        <v/>
      </c>
      <c r="E237">
        <f>IF(ISNA(MATCH(228,'Transfer Engine'!$C$2:$C$679,0)),"",INDEX('Compliance Database'!$E$2:$E$679,MATCH(228,'Transfer Engine'!$C$2:$C$679,0)))</f>
        <v/>
      </c>
      <c r="F237">
        <f>IF(ISNA(MATCH(228,'Transfer Engine'!$C$2:$C$679,0)),"",INDEX('Compliance Database'!$F$2:$F$679,MATCH(228,'Transfer Engine'!$C$2:$C$679,0)))</f>
        <v/>
      </c>
      <c r="G237">
        <f>IF(ISNA(MATCH(228,'Transfer Engine'!$C$2:$C$679,0)),"",INDEX('Compliance Database'!$G$2:$G$679,MATCH(228,'Transfer Engine'!$C$2:$C$679,0)))</f>
        <v/>
      </c>
      <c r="H237">
        <f>IF(ISNA(MATCH(228,'Transfer Engine'!$C$2:$C$679,0)),"",INDEX('Compliance Database'!$H$2:$H$679,MATCH(228,'Transfer Engine'!$C$2:$C$679,0)))</f>
        <v/>
      </c>
      <c r="I237" s="8">
        <f>IF(ISNA(MATCH(228,'Transfer Engine'!$C$2:$C$679,0)),"",INDEX('Compliance Database'!$I$2:$I$679,MATCH(228,'Transfer Engine'!$C$2:$C$679,0)))</f>
        <v/>
      </c>
      <c r="J237" s="8">
        <f>IF(ISNA(MATCH(228,'Transfer Engine'!$C$2:$C$679,0)),"",INDEX('Compliance Database'!$J$2:$J$679,MATCH(228,'Transfer Engine'!$C$2:$C$679,0)))</f>
        <v/>
      </c>
      <c r="K237">
        <f>IF(ISNA(MATCH(228,'Transfer Engine'!$C$2:$C$679,0)),"",INDEX('Compliance Database'!$K$2:$K$679,MATCH(228,'Transfer Engine'!$C$2:$C$679,0)))</f>
        <v/>
      </c>
      <c r="L237" s="8">
        <f>IF(ISNA(MATCH(228,'Transfer Engine'!$C$2:$C$679,0)),"",INDEX('Compliance Database'!$L$2:$L$679,MATCH(228,'Transfer Engine'!$C$2:$C$679,0)))</f>
        <v/>
      </c>
      <c r="M237" s="8">
        <f>IF(ISNA(MATCH(228,'Transfer Engine'!$C$2:$C$679,0)),"",INDEX('Compliance Database'!$M$2:$M$679,MATCH(228,'Transfer Engine'!$C$2:$C$679,0)))</f>
        <v/>
      </c>
      <c r="N237" s="8">
        <f>IF(ISNA(MATCH(228,'Transfer Engine'!$C$2:$C$679,0)),"",INDEX('Compliance Database'!$N$2:$N$679,MATCH(228,'Transfer Engine'!$C$2:$C$679,0)))</f>
        <v/>
      </c>
      <c r="O237" s="8">
        <f>IF(ISNA(MATCH(228,'Transfer Engine'!$C$2:$C$679,0)),"",INDEX('Compliance Database'!$O$2:$O$679,MATCH(228,'Transfer Engine'!$C$2:$C$679,0)))</f>
        <v/>
      </c>
      <c r="P237">
        <f>IF(ISNA(MATCH(228,'Transfer Engine'!$C$2:$C$679,0)),"",HYPERLINK(INDEX('Compliance Database'!$P$2:$P$679,MATCH(228,'Transfer Engine'!$C$2:$C$679,0)),"Open PDF"))</f>
        <v/>
      </c>
    </row>
    <row r="238">
      <c r="A238">
        <f>IF(ISNA(MATCH(229,'Transfer Engine'!$C$2:$C$679,0)),"",INDEX('Compliance Database'!$A$2:$A$679,MATCH(229,'Transfer Engine'!$C$2:$C$679,0)))</f>
        <v/>
      </c>
      <c r="B238">
        <f>IF(ISNA(MATCH(229,'Transfer Engine'!$C$2:$C$679,0)),"",INDEX('Compliance Database'!$B$2:$B$679,MATCH(229,'Transfer Engine'!$C$2:$C$679,0)))</f>
        <v/>
      </c>
      <c r="C238">
        <f>IF(ISNA(MATCH(229,'Transfer Engine'!$C$2:$C$679,0)),"",INDEX('Compliance Database'!$C$2:$C$679,MATCH(229,'Transfer Engine'!$C$2:$C$679,0)))</f>
        <v/>
      </c>
      <c r="D238" s="8">
        <f>IF(ISNA(MATCH(229,'Transfer Engine'!$C$2:$C$679,0)),"",INDEX('Compliance Database'!$D$2:$D$679,MATCH(229,'Transfer Engine'!$C$2:$C$679,0)))</f>
        <v/>
      </c>
      <c r="E238">
        <f>IF(ISNA(MATCH(229,'Transfer Engine'!$C$2:$C$679,0)),"",INDEX('Compliance Database'!$E$2:$E$679,MATCH(229,'Transfer Engine'!$C$2:$C$679,0)))</f>
        <v/>
      </c>
      <c r="F238">
        <f>IF(ISNA(MATCH(229,'Transfer Engine'!$C$2:$C$679,0)),"",INDEX('Compliance Database'!$F$2:$F$679,MATCH(229,'Transfer Engine'!$C$2:$C$679,0)))</f>
        <v/>
      </c>
      <c r="G238">
        <f>IF(ISNA(MATCH(229,'Transfer Engine'!$C$2:$C$679,0)),"",INDEX('Compliance Database'!$G$2:$G$679,MATCH(229,'Transfer Engine'!$C$2:$C$679,0)))</f>
        <v/>
      </c>
      <c r="H238">
        <f>IF(ISNA(MATCH(229,'Transfer Engine'!$C$2:$C$679,0)),"",INDEX('Compliance Database'!$H$2:$H$679,MATCH(229,'Transfer Engine'!$C$2:$C$679,0)))</f>
        <v/>
      </c>
      <c r="I238" s="8">
        <f>IF(ISNA(MATCH(229,'Transfer Engine'!$C$2:$C$679,0)),"",INDEX('Compliance Database'!$I$2:$I$679,MATCH(229,'Transfer Engine'!$C$2:$C$679,0)))</f>
        <v/>
      </c>
      <c r="J238" s="8">
        <f>IF(ISNA(MATCH(229,'Transfer Engine'!$C$2:$C$679,0)),"",INDEX('Compliance Database'!$J$2:$J$679,MATCH(229,'Transfer Engine'!$C$2:$C$679,0)))</f>
        <v/>
      </c>
      <c r="K238">
        <f>IF(ISNA(MATCH(229,'Transfer Engine'!$C$2:$C$679,0)),"",INDEX('Compliance Database'!$K$2:$K$679,MATCH(229,'Transfer Engine'!$C$2:$C$679,0)))</f>
        <v/>
      </c>
      <c r="L238" s="8">
        <f>IF(ISNA(MATCH(229,'Transfer Engine'!$C$2:$C$679,0)),"",INDEX('Compliance Database'!$L$2:$L$679,MATCH(229,'Transfer Engine'!$C$2:$C$679,0)))</f>
        <v/>
      </c>
      <c r="M238" s="8">
        <f>IF(ISNA(MATCH(229,'Transfer Engine'!$C$2:$C$679,0)),"",INDEX('Compliance Database'!$M$2:$M$679,MATCH(229,'Transfer Engine'!$C$2:$C$679,0)))</f>
        <v/>
      </c>
      <c r="N238" s="8">
        <f>IF(ISNA(MATCH(229,'Transfer Engine'!$C$2:$C$679,0)),"",INDEX('Compliance Database'!$N$2:$N$679,MATCH(229,'Transfer Engine'!$C$2:$C$679,0)))</f>
        <v/>
      </c>
      <c r="O238" s="8">
        <f>IF(ISNA(MATCH(229,'Transfer Engine'!$C$2:$C$679,0)),"",INDEX('Compliance Database'!$O$2:$O$679,MATCH(229,'Transfer Engine'!$C$2:$C$679,0)))</f>
        <v/>
      </c>
      <c r="P238">
        <f>IF(ISNA(MATCH(229,'Transfer Engine'!$C$2:$C$679,0)),"",HYPERLINK(INDEX('Compliance Database'!$P$2:$P$679,MATCH(229,'Transfer Engine'!$C$2:$C$679,0)),"Open PDF"))</f>
        <v/>
      </c>
    </row>
    <row r="239">
      <c r="A239">
        <f>IF(ISNA(MATCH(230,'Transfer Engine'!$C$2:$C$679,0)),"",INDEX('Compliance Database'!$A$2:$A$679,MATCH(230,'Transfer Engine'!$C$2:$C$679,0)))</f>
        <v/>
      </c>
      <c r="B239">
        <f>IF(ISNA(MATCH(230,'Transfer Engine'!$C$2:$C$679,0)),"",INDEX('Compliance Database'!$B$2:$B$679,MATCH(230,'Transfer Engine'!$C$2:$C$679,0)))</f>
        <v/>
      </c>
      <c r="C239">
        <f>IF(ISNA(MATCH(230,'Transfer Engine'!$C$2:$C$679,0)),"",INDEX('Compliance Database'!$C$2:$C$679,MATCH(230,'Transfer Engine'!$C$2:$C$679,0)))</f>
        <v/>
      </c>
      <c r="D239" s="8">
        <f>IF(ISNA(MATCH(230,'Transfer Engine'!$C$2:$C$679,0)),"",INDEX('Compliance Database'!$D$2:$D$679,MATCH(230,'Transfer Engine'!$C$2:$C$679,0)))</f>
        <v/>
      </c>
      <c r="E239">
        <f>IF(ISNA(MATCH(230,'Transfer Engine'!$C$2:$C$679,0)),"",INDEX('Compliance Database'!$E$2:$E$679,MATCH(230,'Transfer Engine'!$C$2:$C$679,0)))</f>
        <v/>
      </c>
      <c r="F239">
        <f>IF(ISNA(MATCH(230,'Transfer Engine'!$C$2:$C$679,0)),"",INDEX('Compliance Database'!$F$2:$F$679,MATCH(230,'Transfer Engine'!$C$2:$C$679,0)))</f>
        <v/>
      </c>
      <c r="G239">
        <f>IF(ISNA(MATCH(230,'Transfer Engine'!$C$2:$C$679,0)),"",INDEX('Compliance Database'!$G$2:$G$679,MATCH(230,'Transfer Engine'!$C$2:$C$679,0)))</f>
        <v/>
      </c>
      <c r="H239">
        <f>IF(ISNA(MATCH(230,'Transfer Engine'!$C$2:$C$679,0)),"",INDEX('Compliance Database'!$H$2:$H$679,MATCH(230,'Transfer Engine'!$C$2:$C$679,0)))</f>
        <v/>
      </c>
      <c r="I239" s="8">
        <f>IF(ISNA(MATCH(230,'Transfer Engine'!$C$2:$C$679,0)),"",INDEX('Compliance Database'!$I$2:$I$679,MATCH(230,'Transfer Engine'!$C$2:$C$679,0)))</f>
        <v/>
      </c>
      <c r="J239" s="8">
        <f>IF(ISNA(MATCH(230,'Transfer Engine'!$C$2:$C$679,0)),"",INDEX('Compliance Database'!$J$2:$J$679,MATCH(230,'Transfer Engine'!$C$2:$C$679,0)))</f>
        <v/>
      </c>
      <c r="K239">
        <f>IF(ISNA(MATCH(230,'Transfer Engine'!$C$2:$C$679,0)),"",INDEX('Compliance Database'!$K$2:$K$679,MATCH(230,'Transfer Engine'!$C$2:$C$679,0)))</f>
        <v/>
      </c>
      <c r="L239" s="8">
        <f>IF(ISNA(MATCH(230,'Transfer Engine'!$C$2:$C$679,0)),"",INDEX('Compliance Database'!$L$2:$L$679,MATCH(230,'Transfer Engine'!$C$2:$C$679,0)))</f>
        <v/>
      </c>
      <c r="M239" s="8">
        <f>IF(ISNA(MATCH(230,'Transfer Engine'!$C$2:$C$679,0)),"",INDEX('Compliance Database'!$M$2:$M$679,MATCH(230,'Transfer Engine'!$C$2:$C$679,0)))</f>
        <v/>
      </c>
      <c r="N239" s="8">
        <f>IF(ISNA(MATCH(230,'Transfer Engine'!$C$2:$C$679,0)),"",INDEX('Compliance Database'!$N$2:$N$679,MATCH(230,'Transfer Engine'!$C$2:$C$679,0)))</f>
        <v/>
      </c>
      <c r="O239" s="8">
        <f>IF(ISNA(MATCH(230,'Transfer Engine'!$C$2:$C$679,0)),"",INDEX('Compliance Database'!$O$2:$O$679,MATCH(230,'Transfer Engine'!$C$2:$C$679,0)))</f>
        <v/>
      </c>
      <c r="P239">
        <f>IF(ISNA(MATCH(230,'Transfer Engine'!$C$2:$C$679,0)),"",HYPERLINK(INDEX('Compliance Database'!$P$2:$P$679,MATCH(230,'Transfer Engine'!$C$2:$C$679,0)),"Open PDF"))</f>
        <v/>
      </c>
    </row>
    <row r="240">
      <c r="A240">
        <f>IF(ISNA(MATCH(231,'Transfer Engine'!$C$2:$C$679,0)),"",INDEX('Compliance Database'!$A$2:$A$679,MATCH(231,'Transfer Engine'!$C$2:$C$679,0)))</f>
        <v/>
      </c>
      <c r="B240">
        <f>IF(ISNA(MATCH(231,'Transfer Engine'!$C$2:$C$679,0)),"",INDEX('Compliance Database'!$B$2:$B$679,MATCH(231,'Transfer Engine'!$C$2:$C$679,0)))</f>
        <v/>
      </c>
      <c r="C240">
        <f>IF(ISNA(MATCH(231,'Transfer Engine'!$C$2:$C$679,0)),"",INDEX('Compliance Database'!$C$2:$C$679,MATCH(231,'Transfer Engine'!$C$2:$C$679,0)))</f>
        <v/>
      </c>
      <c r="D240" s="8">
        <f>IF(ISNA(MATCH(231,'Transfer Engine'!$C$2:$C$679,0)),"",INDEX('Compliance Database'!$D$2:$D$679,MATCH(231,'Transfer Engine'!$C$2:$C$679,0)))</f>
        <v/>
      </c>
      <c r="E240">
        <f>IF(ISNA(MATCH(231,'Transfer Engine'!$C$2:$C$679,0)),"",INDEX('Compliance Database'!$E$2:$E$679,MATCH(231,'Transfer Engine'!$C$2:$C$679,0)))</f>
        <v/>
      </c>
      <c r="F240">
        <f>IF(ISNA(MATCH(231,'Transfer Engine'!$C$2:$C$679,0)),"",INDEX('Compliance Database'!$F$2:$F$679,MATCH(231,'Transfer Engine'!$C$2:$C$679,0)))</f>
        <v/>
      </c>
      <c r="G240">
        <f>IF(ISNA(MATCH(231,'Transfer Engine'!$C$2:$C$679,0)),"",INDEX('Compliance Database'!$G$2:$G$679,MATCH(231,'Transfer Engine'!$C$2:$C$679,0)))</f>
        <v/>
      </c>
      <c r="H240">
        <f>IF(ISNA(MATCH(231,'Transfer Engine'!$C$2:$C$679,0)),"",INDEX('Compliance Database'!$H$2:$H$679,MATCH(231,'Transfer Engine'!$C$2:$C$679,0)))</f>
        <v/>
      </c>
      <c r="I240" s="8">
        <f>IF(ISNA(MATCH(231,'Transfer Engine'!$C$2:$C$679,0)),"",INDEX('Compliance Database'!$I$2:$I$679,MATCH(231,'Transfer Engine'!$C$2:$C$679,0)))</f>
        <v/>
      </c>
      <c r="J240" s="8">
        <f>IF(ISNA(MATCH(231,'Transfer Engine'!$C$2:$C$679,0)),"",INDEX('Compliance Database'!$J$2:$J$679,MATCH(231,'Transfer Engine'!$C$2:$C$679,0)))</f>
        <v/>
      </c>
      <c r="K240">
        <f>IF(ISNA(MATCH(231,'Transfer Engine'!$C$2:$C$679,0)),"",INDEX('Compliance Database'!$K$2:$K$679,MATCH(231,'Transfer Engine'!$C$2:$C$679,0)))</f>
        <v/>
      </c>
      <c r="L240" s="8">
        <f>IF(ISNA(MATCH(231,'Transfer Engine'!$C$2:$C$679,0)),"",INDEX('Compliance Database'!$L$2:$L$679,MATCH(231,'Transfer Engine'!$C$2:$C$679,0)))</f>
        <v/>
      </c>
      <c r="M240" s="8">
        <f>IF(ISNA(MATCH(231,'Transfer Engine'!$C$2:$C$679,0)),"",INDEX('Compliance Database'!$M$2:$M$679,MATCH(231,'Transfer Engine'!$C$2:$C$679,0)))</f>
        <v/>
      </c>
      <c r="N240" s="8">
        <f>IF(ISNA(MATCH(231,'Transfer Engine'!$C$2:$C$679,0)),"",INDEX('Compliance Database'!$N$2:$N$679,MATCH(231,'Transfer Engine'!$C$2:$C$679,0)))</f>
        <v/>
      </c>
      <c r="O240" s="8">
        <f>IF(ISNA(MATCH(231,'Transfer Engine'!$C$2:$C$679,0)),"",INDEX('Compliance Database'!$O$2:$O$679,MATCH(231,'Transfer Engine'!$C$2:$C$679,0)))</f>
        <v/>
      </c>
      <c r="P240">
        <f>IF(ISNA(MATCH(231,'Transfer Engine'!$C$2:$C$679,0)),"",HYPERLINK(INDEX('Compliance Database'!$P$2:$P$679,MATCH(231,'Transfer Engine'!$C$2:$C$679,0)),"Open PDF"))</f>
        <v/>
      </c>
    </row>
    <row r="241">
      <c r="A241">
        <f>IF(ISNA(MATCH(232,'Transfer Engine'!$C$2:$C$679,0)),"",INDEX('Compliance Database'!$A$2:$A$679,MATCH(232,'Transfer Engine'!$C$2:$C$679,0)))</f>
        <v/>
      </c>
      <c r="B241">
        <f>IF(ISNA(MATCH(232,'Transfer Engine'!$C$2:$C$679,0)),"",INDEX('Compliance Database'!$B$2:$B$679,MATCH(232,'Transfer Engine'!$C$2:$C$679,0)))</f>
        <v/>
      </c>
      <c r="C241">
        <f>IF(ISNA(MATCH(232,'Transfer Engine'!$C$2:$C$679,0)),"",INDEX('Compliance Database'!$C$2:$C$679,MATCH(232,'Transfer Engine'!$C$2:$C$679,0)))</f>
        <v/>
      </c>
      <c r="D241" s="8">
        <f>IF(ISNA(MATCH(232,'Transfer Engine'!$C$2:$C$679,0)),"",INDEX('Compliance Database'!$D$2:$D$679,MATCH(232,'Transfer Engine'!$C$2:$C$679,0)))</f>
        <v/>
      </c>
      <c r="E241">
        <f>IF(ISNA(MATCH(232,'Transfer Engine'!$C$2:$C$679,0)),"",INDEX('Compliance Database'!$E$2:$E$679,MATCH(232,'Transfer Engine'!$C$2:$C$679,0)))</f>
        <v/>
      </c>
      <c r="F241">
        <f>IF(ISNA(MATCH(232,'Transfer Engine'!$C$2:$C$679,0)),"",INDEX('Compliance Database'!$F$2:$F$679,MATCH(232,'Transfer Engine'!$C$2:$C$679,0)))</f>
        <v/>
      </c>
      <c r="G241">
        <f>IF(ISNA(MATCH(232,'Transfer Engine'!$C$2:$C$679,0)),"",INDEX('Compliance Database'!$G$2:$G$679,MATCH(232,'Transfer Engine'!$C$2:$C$679,0)))</f>
        <v/>
      </c>
      <c r="H241">
        <f>IF(ISNA(MATCH(232,'Transfer Engine'!$C$2:$C$679,0)),"",INDEX('Compliance Database'!$H$2:$H$679,MATCH(232,'Transfer Engine'!$C$2:$C$679,0)))</f>
        <v/>
      </c>
      <c r="I241" s="8">
        <f>IF(ISNA(MATCH(232,'Transfer Engine'!$C$2:$C$679,0)),"",INDEX('Compliance Database'!$I$2:$I$679,MATCH(232,'Transfer Engine'!$C$2:$C$679,0)))</f>
        <v/>
      </c>
      <c r="J241" s="8">
        <f>IF(ISNA(MATCH(232,'Transfer Engine'!$C$2:$C$679,0)),"",INDEX('Compliance Database'!$J$2:$J$679,MATCH(232,'Transfer Engine'!$C$2:$C$679,0)))</f>
        <v/>
      </c>
      <c r="K241">
        <f>IF(ISNA(MATCH(232,'Transfer Engine'!$C$2:$C$679,0)),"",INDEX('Compliance Database'!$K$2:$K$679,MATCH(232,'Transfer Engine'!$C$2:$C$679,0)))</f>
        <v/>
      </c>
      <c r="L241" s="8">
        <f>IF(ISNA(MATCH(232,'Transfer Engine'!$C$2:$C$679,0)),"",INDEX('Compliance Database'!$L$2:$L$679,MATCH(232,'Transfer Engine'!$C$2:$C$679,0)))</f>
        <v/>
      </c>
      <c r="M241" s="8">
        <f>IF(ISNA(MATCH(232,'Transfer Engine'!$C$2:$C$679,0)),"",INDEX('Compliance Database'!$M$2:$M$679,MATCH(232,'Transfer Engine'!$C$2:$C$679,0)))</f>
        <v/>
      </c>
      <c r="N241" s="8">
        <f>IF(ISNA(MATCH(232,'Transfer Engine'!$C$2:$C$679,0)),"",INDEX('Compliance Database'!$N$2:$N$679,MATCH(232,'Transfer Engine'!$C$2:$C$679,0)))</f>
        <v/>
      </c>
      <c r="O241" s="8">
        <f>IF(ISNA(MATCH(232,'Transfer Engine'!$C$2:$C$679,0)),"",INDEX('Compliance Database'!$O$2:$O$679,MATCH(232,'Transfer Engine'!$C$2:$C$679,0)))</f>
        <v/>
      </c>
      <c r="P241">
        <f>IF(ISNA(MATCH(232,'Transfer Engine'!$C$2:$C$679,0)),"",HYPERLINK(INDEX('Compliance Database'!$P$2:$P$679,MATCH(232,'Transfer Engine'!$C$2:$C$679,0)),"Open PDF"))</f>
        <v/>
      </c>
    </row>
    <row r="242">
      <c r="A242">
        <f>IF(ISNA(MATCH(233,'Transfer Engine'!$C$2:$C$679,0)),"",INDEX('Compliance Database'!$A$2:$A$679,MATCH(233,'Transfer Engine'!$C$2:$C$679,0)))</f>
        <v/>
      </c>
      <c r="B242">
        <f>IF(ISNA(MATCH(233,'Transfer Engine'!$C$2:$C$679,0)),"",INDEX('Compliance Database'!$B$2:$B$679,MATCH(233,'Transfer Engine'!$C$2:$C$679,0)))</f>
        <v/>
      </c>
      <c r="C242">
        <f>IF(ISNA(MATCH(233,'Transfer Engine'!$C$2:$C$679,0)),"",INDEX('Compliance Database'!$C$2:$C$679,MATCH(233,'Transfer Engine'!$C$2:$C$679,0)))</f>
        <v/>
      </c>
      <c r="D242" s="8">
        <f>IF(ISNA(MATCH(233,'Transfer Engine'!$C$2:$C$679,0)),"",INDEX('Compliance Database'!$D$2:$D$679,MATCH(233,'Transfer Engine'!$C$2:$C$679,0)))</f>
        <v/>
      </c>
      <c r="E242">
        <f>IF(ISNA(MATCH(233,'Transfer Engine'!$C$2:$C$679,0)),"",INDEX('Compliance Database'!$E$2:$E$679,MATCH(233,'Transfer Engine'!$C$2:$C$679,0)))</f>
        <v/>
      </c>
      <c r="F242">
        <f>IF(ISNA(MATCH(233,'Transfer Engine'!$C$2:$C$679,0)),"",INDEX('Compliance Database'!$F$2:$F$679,MATCH(233,'Transfer Engine'!$C$2:$C$679,0)))</f>
        <v/>
      </c>
      <c r="G242">
        <f>IF(ISNA(MATCH(233,'Transfer Engine'!$C$2:$C$679,0)),"",INDEX('Compliance Database'!$G$2:$G$679,MATCH(233,'Transfer Engine'!$C$2:$C$679,0)))</f>
        <v/>
      </c>
      <c r="H242">
        <f>IF(ISNA(MATCH(233,'Transfer Engine'!$C$2:$C$679,0)),"",INDEX('Compliance Database'!$H$2:$H$679,MATCH(233,'Transfer Engine'!$C$2:$C$679,0)))</f>
        <v/>
      </c>
      <c r="I242" s="8">
        <f>IF(ISNA(MATCH(233,'Transfer Engine'!$C$2:$C$679,0)),"",INDEX('Compliance Database'!$I$2:$I$679,MATCH(233,'Transfer Engine'!$C$2:$C$679,0)))</f>
        <v/>
      </c>
      <c r="J242" s="8">
        <f>IF(ISNA(MATCH(233,'Transfer Engine'!$C$2:$C$679,0)),"",INDEX('Compliance Database'!$J$2:$J$679,MATCH(233,'Transfer Engine'!$C$2:$C$679,0)))</f>
        <v/>
      </c>
      <c r="K242">
        <f>IF(ISNA(MATCH(233,'Transfer Engine'!$C$2:$C$679,0)),"",INDEX('Compliance Database'!$K$2:$K$679,MATCH(233,'Transfer Engine'!$C$2:$C$679,0)))</f>
        <v/>
      </c>
      <c r="L242" s="8">
        <f>IF(ISNA(MATCH(233,'Transfer Engine'!$C$2:$C$679,0)),"",INDEX('Compliance Database'!$L$2:$L$679,MATCH(233,'Transfer Engine'!$C$2:$C$679,0)))</f>
        <v/>
      </c>
      <c r="M242" s="8">
        <f>IF(ISNA(MATCH(233,'Transfer Engine'!$C$2:$C$679,0)),"",INDEX('Compliance Database'!$M$2:$M$679,MATCH(233,'Transfer Engine'!$C$2:$C$679,0)))</f>
        <v/>
      </c>
      <c r="N242" s="8">
        <f>IF(ISNA(MATCH(233,'Transfer Engine'!$C$2:$C$679,0)),"",INDEX('Compliance Database'!$N$2:$N$679,MATCH(233,'Transfer Engine'!$C$2:$C$679,0)))</f>
        <v/>
      </c>
      <c r="O242" s="8">
        <f>IF(ISNA(MATCH(233,'Transfer Engine'!$C$2:$C$679,0)),"",INDEX('Compliance Database'!$O$2:$O$679,MATCH(233,'Transfer Engine'!$C$2:$C$679,0)))</f>
        <v/>
      </c>
      <c r="P242">
        <f>IF(ISNA(MATCH(233,'Transfer Engine'!$C$2:$C$679,0)),"",HYPERLINK(INDEX('Compliance Database'!$P$2:$P$679,MATCH(233,'Transfer Engine'!$C$2:$C$679,0)),"Open PDF"))</f>
        <v/>
      </c>
    </row>
    <row r="243">
      <c r="A243">
        <f>IF(ISNA(MATCH(234,'Transfer Engine'!$C$2:$C$679,0)),"",INDEX('Compliance Database'!$A$2:$A$679,MATCH(234,'Transfer Engine'!$C$2:$C$679,0)))</f>
        <v/>
      </c>
      <c r="B243">
        <f>IF(ISNA(MATCH(234,'Transfer Engine'!$C$2:$C$679,0)),"",INDEX('Compliance Database'!$B$2:$B$679,MATCH(234,'Transfer Engine'!$C$2:$C$679,0)))</f>
        <v/>
      </c>
      <c r="C243">
        <f>IF(ISNA(MATCH(234,'Transfer Engine'!$C$2:$C$679,0)),"",INDEX('Compliance Database'!$C$2:$C$679,MATCH(234,'Transfer Engine'!$C$2:$C$679,0)))</f>
        <v/>
      </c>
      <c r="D243" s="8">
        <f>IF(ISNA(MATCH(234,'Transfer Engine'!$C$2:$C$679,0)),"",INDEX('Compliance Database'!$D$2:$D$679,MATCH(234,'Transfer Engine'!$C$2:$C$679,0)))</f>
        <v/>
      </c>
      <c r="E243">
        <f>IF(ISNA(MATCH(234,'Transfer Engine'!$C$2:$C$679,0)),"",INDEX('Compliance Database'!$E$2:$E$679,MATCH(234,'Transfer Engine'!$C$2:$C$679,0)))</f>
        <v/>
      </c>
      <c r="F243">
        <f>IF(ISNA(MATCH(234,'Transfer Engine'!$C$2:$C$679,0)),"",INDEX('Compliance Database'!$F$2:$F$679,MATCH(234,'Transfer Engine'!$C$2:$C$679,0)))</f>
        <v/>
      </c>
      <c r="G243">
        <f>IF(ISNA(MATCH(234,'Transfer Engine'!$C$2:$C$679,0)),"",INDEX('Compliance Database'!$G$2:$G$679,MATCH(234,'Transfer Engine'!$C$2:$C$679,0)))</f>
        <v/>
      </c>
      <c r="H243">
        <f>IF(ISNA(MATCH(234,'Transfer Engine'!$C$2:$C$679,0)),"",INDEX('Compliance Database'!$H$2:$H$679,MATCH(234,'Transfer Engine'!$C$2:$C$679,0)))</f>
        <v/>
      </c>
      <c r="I243" s="8">
        <f>IF(ISNA(MATCH(234,'Transfer Engine'!$C$2:$C$679,0)),"",INDEX('Compliance Database'!$I$2:$I$679,MATCH(234,'Transfer Engine'!$C$2:$C$679,0)))</f>
        <v/>
      </c>
      <c r="J243" s="8">
        <f>IF(ISNA(MATCH(234,'Transfer Engine'!$C$2:$C$679,0)),"",INDEX('Compliance Database'!$J$2:$J$679,MATCH(234,'Transfer Engine'!$C$2:$C$679,0)))</f>
        <v/>
      </c>
      <c r="K243">
        <f>IF(ISNA(MATCH(234,'Transfer Engine'!$C$2:$C$679,0)),"",INDEX('Compliance Database'!$K$2:$K$679,MATCH(234,'Transfer Engine'!$C$2:$C$679,0)))</f>
        <v/>
      </c>
      <c r="L243" s="8">
        <f>IF(ISNA(MATCH(234,'Transfer Engine'!$C$2:$C$679,0)),"",INDEX('Compliance Database'!$L$2:$L$679,MATCH(234,'Transfer Engine'!$C$2:$C$679,0)))</f>
        <v/>
      </c>
      <c r="M243" s="8">
        <f>IF(ISNA(MATCH(234,'Transfer Engine'!$C$2:$C$679,0)),"",INDEX('Compliance Database'!$M$2:$M$679,MATCH(234,'Transfer Engine'!$C$2:$C$679,0)))</f>
        <v/>
      </c>
      <c r="N243" s="8">
        <f>IF(ISNA(MATCH(234,'Transfer Engine'!$C$2:$C$679,0)),"",INDEX('Compliance Database'!$N$2:$N$679,MATCH(234,'Transfer Engine'!$C$2:$C$679,0)))</f>
        <v/>
      </c>
      <c r="O243" s="8">
        <f>IF(ISNA(MATCH(234,'Transfer Engine'!$C$2:$C$679,0)),"",INDEX('Compliance Database'!$O$2:$O$679,MATCH(234,'Transfer Engine'!$C$2:$C$679,0)))</f>
        <v/>
      </c>
      <c r="P243">
        <f>IF(ISNA(MATCH(234,'Transfer Engine'!$C$2:$C$679,0)),"",HYPERLINK(INDEX('Compliance Database'!$P$2:$P$679,MATCH(234,'Transfer Engine'!$C$2:$C$679,0)),"Open PDF"))</f>
        <v/>
      </c>
    </row>
    <row r="244">
      <c r="A244">
        <f>IF(ISNA(MATCH(235,'Transfer Engine'!$C$2:$C$679,0)),"",INDEX('Compliance Database'!$A$2:$A$679,MATCH(235,'Transfer Engine'!$C$2:$C$679,0)))</f>
        <v/>
      </c>
      <c r="B244">
        <f>IF(ISNA(MATCH(235,'Transfer Engine'!$C$2:$C$679,0)),"",INDEX('Compliance Database'!$B$2:$B$679,MATCH(235,'Transfer Engine'!$C$2:$C$679,0)))</f>
        <v/>
      </c>
      <c r="C244">
        <f>IF(ISNA(MATCH(235,'Transfer Engine'!$C$2:$C$679,0)),"",INDEX('Compliance Database'!$C$2:$C$679,MATCH(235,'Transfer Engine'!$C$2:$C$679,0)))</f>
        <v/>
      </c>
      <c r="D244" s="8">
        <f>IF(ISNA(MATCH(235,'Transfer Engine'!$C$2:$C$679,0)),"",INDEX('Compliance Database'!$D$2:$D$679,MATCH(235,'Transfer Engine'!$C$2:$C$679,0)))</f>
        <v/>
      </c>
      <c r="E244">
        <f>IF(ISNA(MATCH(235,'Transfer Engine'!$C$2:$C$679,0)),"",INDEX('Compliance Database'!$E$2:$E$679,MATCH(235,'Transfer Engine'!$C$2:$C$679,0)))</f>
        <v/>
      </c>
      <c r="F244">
        <f>IF(ISNA(MATCH(235,'Transfer Engine'!$C$2:$C$679,0)),"",INDEX('Compliance Database'!$F$2:$F$679,MATCH(235,'Transfer Engine'!$C$2:$C$679,0)))</f>
        <v/>
      </c>
      <c r="G244">
        <f>IF(ISNA(MATCH(235,'Transfer Engine'!$C$2:$C$679,0)),"",INDEX('Compliance Database'!$G$2:$G$679,MATCH(235,'Transfer Engine'!$C$2:$C$679,0)))</f>
        <v/>
      </c>
      <c r="H244">
        <f>IF(ISNA(MATCH(235,'Transfer Engine'!$C$2:$C$679,0)),"",INDEX('Compliance Database'!$H$2:$H$679,MATCH(235,'Transfer Engine'!$C$2:$C$679,0)))</f>
        <v/>
      </c>
      <c r="I244" s="8">
        <f>IF(ISNA(MATCH(235,'Transfer Engine'!$C$2:$C$679,0)),"",INDEX('Compliance Database'!$I$2:$I$679,MATCH(235,'Transfer Engine'!$C$2:$C$679,0)))</f>
        <v/>
      </c>
      <c r="J244" s="8">
        <f>IF(ISNA(MATCH(235,'Transfer Engine'!$C$2:$C$679,0)),"",INDEX('Compliance Database'!$J$2:$J$679,MATCH(235,'Transfer Engine'!$C$2:$C$679,0)))</f>
        <v/>
      </c>
      <c r="K244">
        <f>IF(ISNA(MATCH(235,'Transfer Engine'!$C$2:$C$679,0)),"",INDEX('Compliance Database'!$K$2:$K$679,MATCH(235,'Transfer Engine'!$C$2:$C$679,0)))</f>
        <v/>
      </c>
      <c r="L244" s="8">
        <f>IF(ISNA(MATCH(235,'Transfer Engine'!$C$2:$C$679,0)),"",INDEX('Compliance Database'!$L$2:$L$679,MATCH(235,'Transfer Engine'!$C$2:$C$679,0)))</f>
        <v/>
      </c>
      <c r="M244" s="8">
        <f>IF(ISNA(MATCH(235,'Transfer Engine'!$C$2:$C$679,0)),"",INDEX('Compliance Database'!$M$2:$M$679,MATCH(235,'Transfer Engine'!$C$2:$C$679,0)))</f>
        <v/>
      </c>
      <c r="N244" s="8">
        <f>IF(ISNA(MATCH(235,'Transfer Engine'!$C$2:$C$679,0)),"",INDEX('Compliance Database'!$N$2:$N$679,MATCH(235,'Transfer Engine'!$C$2:$C$679,0)))</f>
        <v/>
      </c>
      <c r="O244" s="8">
        <f>IF(ISNA(MATCH(235,'Transfer Engine'!$C$2:$C$679,0)),"",INDEX('Compliance Database'!$O$2:$O$679,MATCH(235,'Transfer Engine'!$C$2:$C$679,0)))</f>
        <v/>
      </c>
      <c r="P244">
        <f>IF(ISNA(MATCH(235,'Transfer Engine'!$C$2:$C$679,0)),"",HYPERLINK(INDEX('Compliance Database'!$P$2:$P$679,MATCH(235,'Transfer Engine'!$C$2:$C$679,0)),"Open PDF"))</f>
        <v/>
      </c>
    </row>
    <row r="245">
      <c r="A245">
        <f>IF(ISNA(MATCH(236,'Transfer Engine'!$C$2:$C$679,0)),"",INDEX('Compliance Database'!$A$2:$A$679,MATCH(236,'Transfer Engine'!$C$2:$C$679,0)))</f>
        <v/>
      </c>
      <c r="B245">
        <f>IF(ISNA(MATCH(236,'Transfer Engine'!$C$2:$C$679,0)),"",INDEX('Compliance Database'!$B$2:$B$679,MATCH(236,'Transfer Engine'!$C$2:$C$679,0)))</f>
        <v/>
      </c>
      <c r="C245">
        <f>IF(ISNA(MATCH(236,'Transfer Engine'!$C$2:$C$679,0)),"",INDEX('Compliance Database'!$C$2:$C$679,MATCH(236,'Transfer Engine'!$C$2:$C$679,0)))</f>
        <v/>
      </c>
      <c r="D245" s="8">
        <f>IF(ISNA(MATCH(236,'Transfer Engine'!$C$2:$C$679,0)),"",INDEX('Compliance Database'!$D$2:$D$679,MATCH(236,'Transfer Engine'!$C$2:$C$679,0)))</f>
        <v/>
      </c>
      <c r="E245">
        <f>IF(ISNA(MATCH(236,'Transfer Engine'!$C$2:$C$679,0)),"",INDEX('Compliance Database'!$E$2:$E$679,MATCH(236,'Transfer Engine'!$C$2:$C$679,0)))</f>
        <v/>
      </c>
      <c r="F245">
        <f>IF(ISNA(MATCH(236,'Transfer Engine'!$C$2:$C$679,0)),"",INDEX('Compliance Database'!$F$2:$F$679,MATCH(236,'Transfer Engine'!$C$2:$C$679,0)))</f>
        <v/>
      </c>
      <c r="G245">
        <f>IF(ISNA(MATCH(236,'Transfer Engine'!$C$2:$C$679,0)),"",INDEX('Compliance Database'!$G$2:$G$679,MATCH(236,'Transfer Engine'!$C$2:$C$679,0)))</f>
        <v/>
      </c>
      <c r="H245">
        <f>IF(ISNA(MATCH(236,'Transfer Engine'!$C$2:$C$679,0)),"",INDEX('Compliance Database'!$H$2:$H$679,MATCH(236,'Transfer Engine'!$C$2:$C$679,0)))</f>
        <v/>
      </c>
      <c r="I245" s="8">
        <f>IF(ISNA(MATCH(236,'Transfer Engine'!$C$2:$C$679,0)),"",INDEX('Compliance Database'!$I$2:$I$679,MATCH(236,'Transfer Engine'!$C$2:$C$679,0)))</f>
        <v/>
      </c>
      <c r="J245" s="8">
        <f>IF(ISNA(MATCH(236,'Transfer Engine'!$C$2:$C$679,0)),"",INDEX('Compliance Database'!$J$2:$J$679,MATCH(236,'Transfer Engine'!$C$2:$C$679,0)))</f>
        <v/>
      </c>
      <c r="K245">
        <f>IF(ISNA(MATCH(236,'Transfer Engine'!$C$2:$C$679,0)),"",INDEX('Compliance Database'!$K$2:$K$679,MATCH(236,'Transfer Engine'!$C$2:$C$679,0)))</f>
        <v/>
      </c>
      <c r="L245" s="8">
        <f>IF(ISNA(MATCH(236,'Transfer Engine'!$C$2:$C$679,0)),"",INDEX('Compliance Database'!$L$2:$L$679,MATCH(236,'Transfer Engine'!$C$2:$C$679,0)))</f>
        <v/>
      </c>
      <c r="M245" s="8">
        <f>IF(ISNA(MATCH(236,'Transfer Engine'!$C$2:$C$679,0)),"",INDEX('Compliance Database'!$M$2:$M$679,MATCH(236,'Transfer Engine'!$C$2:$C$679,0)))</f>
        <v/>
      </c>
      <c r="N245" s="8">
        <f>IF(ISNA(MATCH(236,'Transfer Engine'!$C$2:$C$679,0)),"",INDEX('Compliance Database'!$N$2:$N$679,MATCH(236,'Transfer Engine'!$C$2:$C$679,0)))</f>
        <v/>
      </c>
      <c r="O245" s="8">
        <f>IF(ISNA(MATCH(236,'Transfer Engine'!$C$2:$C$679,0)),"",INDEX('Compliance Database'!$O$2:$O$679,MATCH(236,'Transfer Engine'!$C$2:$C$679,0)))</f>
        <v/>
      </c>
      <c r="P245">
        <f>IF(ISNA(MATCH(236,'Transfer Engine'!$C$2:$C$679,0)),"",HYPERLINK(INDEX('Compliance Database'!$P$2:$P$679,MATCH(236,'Transfer Engine'!$C$2:$C$679,0)),"Open PDF"))</f>
        <v/>
      </c>
    </row>
    <row r="246">
      <c r="A246">
        <f>IF(ISNA(MATCH(237,'Transfer Engine'!$C$2:$C$679,0)),"",INDEX('Compliance Database'!$A$2:$A$679,MATCH(237,'Transfer Engine'!$C$2:$C$679,0)))</f>
        <v/>
      </c>
      <c r="B246">
        <f>IF(ISNA(MATCH(237,'Transfer Engine'!$C$2:$C$679,0)),"",INDEX('Compliance Database'!$B$2:$B$679,MATCH(237,'Transfer Engine'!$C$2:$C$679,0)))</f>
        <v/>
      </c>
      <c r="C246">
        <f>IF(ISNA(MATCH(237,'Transfer Engine'!$C$2:$C$679,0)),"",INDEX('Compliance Database'!$C$2:$C$679,MATCH(237,'Transfer Engine'!$C$2:$C$679,0)))</f>
        <v/>
      </c>
      <c r="D246" s="8">
        <f>IF(ISNA(MATCH(237,'Transfer Engine'!$C$2:$C$679,0)),"",INDEX('Compliance Database'!$D$2:$D$679,MATCH(237,'Transfer Engine'!$C$2:$C$679,0)))</f>
        <v/>
      </c>
      <c r="E246">
        <f>IF(ISNA(MATCH(237,'Transfer Engine'!$C$2:$C$679,0)),"",INDEX('Compliance Database'!$E$2:$E$679,MATCH(237,'Transfer Engine'!$C$2:$C$679,0)))</f>
        <v/>
      </c>
      <c r="F246">
        <f>IF(ISNA(MATCH(237,'Transfer Engine'!$C$2:$C$679,0)),"",INDEX('Compliance Database'!$F$2:$F$679,MATCH(237,'Transfer Engine'!$C$2:$C$679,0)))</f>
        <v/>
      </c>
      <c r="G246">
        <f>IF(ISNA(MATCH(237,'Transfer Engine'!$C$2:$C$679,0)),"",INDEX('Compliance Database'!$G$2:$G$679,MATCH(237,'Transfer Engine'!$C$2:$C$679,0)))</f>
        <v/>
      </c>
      <c r="H246">
        <f>IF(ISNA(MATCH(237,'Transfer Engine'!$C$2:$C$679,0)),"",INDEX('Compliance Database'!$H$2:$H$679,MATCH(237,'Transfer Engine'!$C$2:$C$679,0)))</f>
        <v/>
      </c>
      <c r="I246" s="8">
        <f>IF(ISNA(MATCH(237,'Transfer Engine'!$C$2:$C$679,0)),"",INDEX('Compliance Database'!$I$2:$I$679,MATCH(237,'Transfer Engine'!$C$2:$C$679,0)))</f>
        <v/>
      </c>
      <c r="J246" s="8">
        <f>IF(ISNA(MATCH(237,'Transfer Engine'!$C$2:$C$679,0)),"",INDEX('Compliance Database'!$J$2:$J$679,MATCH(237,'Transfer Engine'!$C$2:$C$679,0)))</f>
        <v/>
      </c>
      <c r="K246">
        <f>IF(ISNA(MATCH(237,'Transfer Engine'!$C$2:$C$679,0)),"",INDEX('Compliance Database'!$K$2:$K$679,MATCH(237,'Transfer Engine'!$C$2:$C$679,0)))</f>
        <v/>
      </c>
      <c r="L246" s="8">
        <f>IF(ISNA(MATCH(237,'Transfer Engine'!$C$2:$C$679,0)),"",INDEX('Compliance Database'!$L$2:$L$679,MATCH(237,'Transfer Engine'!$C$2:$C$679,0)))</f>
        <v/>
      </c>
      <c r="M246" s="8">
        <f>IF(ISNA(MATCH(237,'Transfer Engine'!$C$2:$C$679,0)),"",INDEX('Compliance Database'!$M$2:$M$679,MATCH(237,'Transfer Engine'!$C$2:$C$679,0)))</f>
        <v/>
      </c>
      <c r="N246" s="8">
        <f>IF(ISNA(MATCH(237,'Transfer Engine'!$C$2:$C$679,0)),"",INDEX('Compliance Database'!$N$2:$N$679,MATCH(237,'Transfer Engine'!$C$2:$C$679,0)))</f>
        <v/>
      </c>
      <c r="O246" s="8">
        <f>IF(ISNA(MATCH(237,'Transfer Engine'!$C$2:$C$679,0)),"",INDEX('Compliance Database'!$O$2:$O$679,MATCH(237,'Transfer Engine'!$C$2:$C$679,0)))</f>
        <v/>
      </c>
      <c r="P246">
        <f>IF(ISNA(MATCH(237,'Transfer Engine'!$C$2:$C$679,0)),"",HYPERLINK(INDEX('Compliance Database'!$P$2:$P$679,MATCH(237,'Transfer Engine'!$C$2:$C$679,0)),"Open PDF"))</f>
        <v/>
      </c>
    </row>
    <row r="247">
      <c r="A247">
        <f>IF(ISNA(MATCH(238,'Transfer Engine'!$C$2:$C$679,0)),"",INDEX('Compliance Database'!$A$2:$A$679,MATCH(238,'Transfer Engine'!$C$2:$C$679,0)))</f>
        <v/>
      </c>
      <c r="B247">
        <f>IF(ISNA(MATCH(238,'Transfer Engine'!$C$2:$C$679,0)),"",INDEX('Compliance Database'!$B$2:$B$679,MATCH(238,'Transfer Engine'!$C$2:$C$679,0)))</f>
        <v/>
      </c>
      <c r="C247">
        <f>IF(ISNA(MATCH(238,'Transfer Engine'!$C$2:$C$679,0)),"",INDEX('Compliance Database'!$C$2:$C$679,MATCH(238,'Transfer Engine'!$C$2:$C$679,0)))</f>
        <v/>
      </c>
      <c r="D247" s="8">
        <f>IF(ISNA(MATCH(238,'Transfer Engine'!$C$2:$C$679,0)),"",INDEX('Compliance Database'!$D$2:$D$679,MATCH(238,'Transfer Engine'!$C$2:$C$679,0)))</f>
        <v/>
      </c>
      <c r="E247">
        <f>IF(ISNA(MATCH(238,'Transfer Engine'!$C$2:$C$679,0)),"",INDEX('Compliance Database'!$E$2:$E$679,MATCH(238,'Transfer Engine'!$C$2:$C$679,0)))</f>
        <v/>
      </c>
      <c r="F247">
        <f>IF(ISNA(MATCH(238,'Transfer Engine'!$C$2:$C$679,0)),"",INDEX('Compliance Database'!$F$2:$F$679,MATCH(238,'Transfer Engine'!$C$2:$C$679,0)))</f>
        <v/>
      </c>
      <c r="G247">
        <f>IF(ISNA(MATCH(238,'Transfer Engine'!$C$2:$C$679,0)),"",INDEX('Compliance Database'!$G$2:$G$679,MATCH(238,'Transfer Engine'!$C$2:$C$679,0)))</f>
        <v/>
      </c>
      <c r="H247">
        <f>IF(ISNA(MATCH(238,'Transfer Engine'!$C$2:$C$679,0)),"",INDEX('Compliance Database'!$H$2:$H$679,MATCH(238,'Transfer Engine'!$C$2:$C$679,0)))</f>
        <v/>
      </c>
      <c r="I247" s="8">
        <f>IF(ISNA(MATCH(238,'Transfer Engine'!$C$2:$C$679,0)),"",INDEX('Compliance Database'!$I$2:$I$679,MATCH(238,'Transfer Engine'!$C$2:$C$679,0)))</f>
        <v/>
      </c>
      <c r="J247" s="8">
        <f>IF(ISNA(MATCH(238,'Transfer Engine'!$C$2:$C$679,0)),"",INDEX('Compliance Database'!$J$2:$J$679,MATCH(238,'Transfer Engine'!$C$2:$C$679,0)))</f>
        <v/>
      </c>
      <c r="K247">
        <f>IF(ISNA(MATCH(238,'Transfer Engine'!$C$2:$C$679,0)),"",INDEX('Compliance Database'!$K$2:$K$679,MATCH(238,'Transfer Engine'!$C$2:$C$679,0)))</f>
        <v/>
      </c>
      <c r="L247" s="8">
        <f>IF(ISNA(MATCH(238,'Transfer Engine'!$C$2:$C$679,0)),"",INDEX('Compliance Database'!$L$2:$L$679,MATCH(238,'Transfer Engine'!$C$2:$C$679,0)))</f>
        <v/>
      </c>
      <c r="M247" s="8">
        <f>IF(ISNA(MATCH(238,'Transfer Engine'!$C$2:$C$679,0)),"",INDEX('Compliance Database'!$M$2:$M$679,MATCH(238,'Transfer Engine'!$C$2:$C$679,0)))</f>
        <v/>
      </c>
      <c r="N247" s="8">
        <f>IF(ISNA(MATCH(238,'Transfer Engine'!$C$2:$C$679,0)),"",INDEX('Compliance Database'!$N$2:$N$679,MATCH(238,'Transfer Engine'!$C$2:$C$679,0)))</f>
        <v/>
      </c>
      <c r="O247" s="8">
        <f>IF(ISNA(MATCH(238,'Transfer Engine'!$C$2:$C$679,0)),"",INDEX('Compliance Database'!$O$2:$O$679,MATCH(238,'Transfer Engine'!$C$2:$C$679,0)))</f>
        <v/>
      </c>
      <c r="P247">
        <f>IF(ISNA(MATCH(238,'Transfer Engine'!$C$2:$C$679,0)),"",HYPERLINK(INDEX('Compliance Database'!$P$2:$P$679,MATCH(238,'Transfer Engine'!$C$2:$C$679,0)),"Open PDF"))</f>
        <v/>
      </c>
    </row>
    <row r="248">
      <c r="A248">
        <f>IF(ISNA(MATCH(239,'Transfer Engine'!$C$2:$C$679,0)),"",INDEX('Compliance Database'!$A$2:$A$679,MATCH(239,'Transfer Engine'!$C$2:$C$679,0)))</f>
        <v/>
      </c>
      <c r="B248">
        <f>IF(ISNA(MATCH(239,'Transfer Engine'!$C$2:$C$679,0)),"",INDEX('Compliance Database'!$B$2:$B$679,MATCH(239,'Transfer Engine'!$C$2:$C$679,0)))</f>
        <v/>
      </c>
      <c r="C248">
        <f>IF(ISNA(MATCH(239,'Transfer Engine'!$C$2:$C$679,0)),"",INDEX('Compliance Database'!$C$2:$C$679,MATCH(239,'Transfer Engine'!$C$2:$C$679,0)))</f>
        <v/>
      </c>
      <c r="D248" s="8">
        <f>IF(ISNA(MATCH(239,'Transfer Engine'!$C$2:$C$679,0)),"",INDEX('Compliance Database'!$D$2:$D$679,MATCH(239,'Transfer Engine'!$C$2:$C$679,0)))</f>
        <v/>
      </c>
      <c r="E248">
        <f>IF(ISNA(MATCH(239,'Transfer Engine'!$C$2:$C$679,0)),"",INDEX('Compliance Database'!$E$2:$E$679,MATCH(239,'Transfer Engine'!$C$2:$C$679,0)))</f>
        <v/>
      </c>
      <c r="F248">
        <f>IF(ISNA(MATCH(239,'Transfer Engine'!$C$2:$C$679,0)),"",INDEX('Compliance Database'!$F$2:$F$679,MATCH(239,'Transfer Engine'!$C$2:$C$679,0)))</f>
        <v/>
      </c>
      <c r="G248">
        <f>IF(ISNA(MATCH(239,'Transfer Engine'!$C$2:$C$679,0)),"",INDEX('Compliance Database'!$G$2:$G$679,MATCH(239,'Transfer Engine'!$C$2:$C$679,0)))</f>
        <v/>
      </c>
      <c r="H248">
        <f>IF(ISNA(MATCH(239,'Transfer Engine'!$C$2:$C$679,0)),"",INDEX('Compliance Database'!$H$2:$H$679,MATCH(239,'Transfer Engine'!$C$2:$C$679,0)))</f>
        <v/>
      </c>
      <c r="I248" s="8">
        <f>IF(ISNA(MATCH(239,'Transfer Engine'!$C$2:$C$679,0)),"",INDEX('Compliance Database'!$I$2:$I$679,MATCH(239,'Transfer Engine'!$C$2:$C$679,0)))</f>
        <v/>
      </c>
      <c r="J248" s="8">
        <f>IF(ISNA(MATCH(239,'Transfer Engine'!$C$2:$C$679,0)),"",INDEX('Compliance Database'!$J$2:$J$679,MATCH(239,'Transfer Engine'!$C$2:$C$679,0)))</f>
        <v/>
      </c>
      <c r="K248">
        <f>IF(ISNA(MATCH(239,'Transfer Engine'!$C$2:$C$679,0)),"",INDEX('Compliance Database'!$K$2:$K$679,MATCH(239,'Transfer Engine'!$C$2:$C$679,0)))</f>
        <v/>
      </c>
      <c r="L248" s="8">
        <f>IF(ISNA(MATCH(239,'Transfer Engine'!$C$2:$C$679,0)),"",INDEX('Compliance Database'!$L$2:$L$679,MATCH(239,'Transfer Engine'!$C$2:$C$679,0)))</f>
        <v/>
      </c>
      <c r="M248" s="8">
        <f>IF(ISNA(MATCH(239,'Transfer Engine'!$C$2:$C$679,0)),"",INDEX('Compliance Database'!$M$2:$M$679,MATCH(239,'Transfer Engine'!$C$2:$C$679,0)))</f>
        <v/>
      </c>
      <c r="N248" s="8">
        <f>IF(ISNA(MATCH(239,'Transfer Engine'!$C$2:$C$679,0)),"",INDEX('Compliance Database'!$N$2:$N$679,MATCH(239,'Transfer Engine'!$C$2:$C$679,0)))</f>
        <v/>
      </c>
      <c r="O248" s="8">
        <f>IF(ISNA(MATCH(239,'Transfer Engine'!$C$2:$C$679,0)),"",INDEX('Compliance Database'!$O$2:$O$679,MATCH(239,'Transfer Engine'!$C$2:$C$679,0)))</f>
        <v/>
      </c>
      <c r="P248">
        <f>IF(ISNA(MATCH(239,'Transfer Engine'!$C$2:$C$679,0)),"",HYPERLINK(INDEX('Compliance Database'!$P$2:$P$679,MATCH(239,'Transfer Engine'!$C$2:$C$679,0)),"Open PDF"))</f>
        <v/>
      </c>
    </row>
    <row r="249">
      <c r="A249">
        <f>IF(ISNA(MATCH(240,'Transfer Engine'!$C$2:$C$679,0)),"",INDEX('Compliance Database'!$A$2:$A$679,MATCH(240,'Transfer Engine'!$C$2:$C$679,0)))</f>
        <v/>
      </c>
      <c r="B249">
        <f>IF(ISNA(MATCH(240,'Transfer Engine'!$C$2:$C$679,0)),"",INDEX('Compliance Database'!$B$2:$B$679,MATCH(240,'Transfer Engine'!$C$2:$C$679,0)))</f>
        <v/>
      </c>
      <c r="C249">
        <f>IF(ISNA(MATCH(240,'Transfer Engine'!$C$2:$C$679,0)),"",INDEX('Compliance Database'!$C$2:$C$679,MATCH(240,'Transfer Engine'!$C$2:$C$679,0)))</f>
        <v/>
      </c>
      <c r="D249" s="8">
        <f>IF(ISNA(MATCH(240,'Transfer Engine'!$C$2:$C$679,0)),"",INDEX('Compliance Database'!$D$2:$D$679,MATCH(240,'Transfer Engine'!$C$2:$C$679,0)))</f>
        <v/>
      </c>
      <c r="E249">
        <f>IF(ISNA(MATCH(240,'Transfer Engine'!$C$2:$C$679,0)),"",INDEX('Compliance Database'!$E$2:$E$679,MATCH(240,'Transfer Engine'!$C$2:$C$679,0)))</f>
        <v/>
      </c>
      <c r="F249">
        <f>IF(ISNA(MATCH(240,'Transfer Engine'!$C$2:$C$679,0)),"",INDEX('Compliance Database'!$F$2:$F$679,MATCH(240,'Transfer Engine'!$C$2:$C$679,0)))</f>
        <v/>
      </c>
      <c r="G249">
        <f>IF(ISNA(MATCH(240,'Transfer Engine'!$C$2:$C$679,0)),"",INDEX('Compliance Database'!$G$2:$G$679,MATCH(240,'Transfer Engine'!$C$2:$C$679,0)))</f>
        <v/>
      </c>
      <c r="H249">
        <f>IF(ISNA(MATCH(240,'Transfer Engine'!$C$2:$C$679,0)),"",INDEX('Compliance Database'!$H$2:$H$679,MATCH(240,'Transfer Engine'!$C$2:$C$679,0)))</f>
        <v/>
      </c>
      <c r="I249" s="8">
        <f>IF(ISNA(MATCH(240,'Transfer Engine'!$C$2:$C$679,0)),"",INDEX('Compliance Database'!$I$2:$I$679,MATCH(240,'Transfer Engine'!$C$2:$C$679,0)))</f>
        <v/>
      </c>
      <c r="J249" s="8">
        <f>IF(ISNA(MATCH(240,'Transfer Engine'!$C$2:$C$679,0)),"",INDEX('Compliance Database'!$J$2:$J$679,MATCH(240,'Transfer Engine'!$C$2:$C$679,0)))</f>
        <v/>
      </c>
      <c r="K249">
        <f>IF(ISNA(MATCH(240,'Transfer Engine'!$C$2:$C$679,0)),"",INDEX('Compliance Database'!$K$2:$K$679,MATCH(240,'Transfer Engine'!$C$2:$C$679,0)))</f>
        <v/>
      </c>
      <c r="L249" s="8">
        <f>IF(ISNA(MATCH(240,'Transfer Engine'!$C$2:$C$679,0)),"",INDEX('Compliance Database'!$L$2:$L$679,MATCH(240,'Transfer Engine'!$C$2:$C$679,0)))</f>
        <v/>
      </c>
      <c r="M249" s="8">
        <f>IF(ISNA(MATCH(240,'Transfer Engine'!$C$2:$C$679,0)),"",INDEX('Compliance Database'!$M$2:$M$679,MATCH(240,'Transfer Engine'!$C$2:$C$679,0)))</f>
        <v/>
      </c>
      <c r="N249" s="8">
        <f>IF(ISNA(MATCH(240,'Transfer Engine'!$C$2:$C$679,0)),"",INDEX('Compliance Database'!$N$2:$N$679,MATCH(240,'Transfer Engine'!$C$2:$C$679,0)))</f>
        <v/>
      </c>
      <c r="O249" s="8">
        <f>IF(ISNA(MATCH(240,'Transfer Engine'!$C$2:$C$679,0)),"",INDEX('Compliance Database'!$O$2:$O$679,MATCH(240,'Transfer Engine'!$C$2:$C$679,0)))</f>
        <v/>
      </c>
      <c r="P249">
        <f>IF(ISNA(MATCH(240,'Transfer Engine'!$C$2:$C$679,0)),"",HYPERLINK(INDEX('Compliance Database'!$P$2:$P$679,MATCH(240,'Transfer Engine'!$C$2:$C$679,0)),"Open PDF"))</f>
        <v/>
      </c>
    </row>
    <row r="250">
      <c r="A250">
        <f>IF(ISNA(MATCH(241,'Transfer Engine'!$C$2:$C$679,0)),"",INDEX('Compliance Database'!$A$2:$A$679,MATCH(241,'Transfer Engine'!$C$2:$C$679,0)))</f>
        <v/>
      </c>
      <c r="B250">
        <f>IF(ISNA(MATCH(241,'Transfer Engine'!$C$2:$C$679,0)),"",INDEX('Compliance Database'!$B$2:$B$679,MATCH(241,'Transfer Engine'!$C$2:$C$679,0)))</f>
        <v/>
      </c>
      <c r="C250">
        <f>IF(ISNA(MATCH(241,'Transfer Engine'!$C$2:$C$679,0)),"",INDEX('Compliance Database'!$C$2:$C$679,MATCH(241,'Transfer Engine'!$C$2:$C$679,0)))</f>
        <v/>
      </c>
      <c r="D250" s="8">
        <f>IF(ISNA(MATCH(241,'Transfer Engine'!$C$2:$C$679,0)),"",INDEX('Compliance Database'!$D$2:$D$679,MATCH(241,'Transfer Engine'!$C$2:$C$679,0)))</f>
        <v/>
      </c>
      <c r="E250">
        <f>IF(ISNA(MATCH(241,'Transfer Engine'!$C$2:$C$679,0)),"",INDEX('Compliance Database'!$E$2:$E$679,MATCH(241,'Transfer Engine'!$C$2:$C$679,0)))</f>
        <v/>
      </c>
      <c r="F250">
        <f>IF(ISNA(MATCH(241,'Transfer Engine'!$C$2:$C$679,0)),"",INDEX('Compliance Database'!$F$2:$F$679,MATCH(241,'Transfer Engine'!$C$2:$C$679,0)))</f>
        <v/>
      </c>
      <c r="G250">
        <f>IF(ISNA(MATCH(241,'Transfer Engine'!$C$2:$C$679,0)),"",INDEX('Compliance Database'!$G$2:$G$679,MATCH(241,'Transfer Engine'!$C$2:$C$679,0)))</f>
        <v/>
      </c>
      <c r="H250">
        <f>IF(ISNA(MATCH(241,'Transfer Engine'!$C$2:$C$679,0)),"",INDEX('Compliance Database'!$H$2:$H$679,MATCH(241,'Transfer Engine'!$C$2:$C$679,0)))</f>
        <v/>
      </c>
      <c r="I250" s="8">
        <f>IF(ISNA(MATCH(241,'Transfer Engine'!$C$2:$C$679,0)),"",INDEX('Compliance Database'!$I$2:$I$679,MATCH(241,'Transfer Engine'!$C$2:$C$679,0)))</f>
        <v/>
      </c>
      <c r="J250" s="8">
        <f>IF(ISNA(MATCH(241,'Transfer Engine'!$C$2:$C$679,0)),"",INDEX('Compliance Database'!$J$2:$J$679,MATCH(241,'Transfer Engine'!$C$2:$C$679,0)))</f>
        <v/>
      </c>
      <c r="K250">
        <f>IF(ISNA(MATCH(241,'Transfer Engine'!$C$2:$C$679,0)),"",INDEX('Compliance Database'!$K$2:$K$679,MATCH(241,'Transfer Engine'!$C$2:$C$679,0)))</f>
        <v/>
      </c>
      <c r="L250" s="8">
        <f>IF(ISNA(MATCH(241,'Transfer Engine'!$C$2:$C$679,0)),"",INDEX('Compliance Database'!$L$2:$L$679,MATCH(241,'Transfer Engine'!$C$2:$C$679,0)))</f>
        <v/>
      </c>
      <c r="M250" s="8">
        <f>IF(ISNA(MATCH(241,'Transfer Engine'!$C$2:$C$679,0)),"",INDEX('Compliance Database'!$M$2:$M$679,MATCH(241,'Transfer Engine'!$C$2:$C$679,0)))</f>
        <v/>
      </c>
      <c r="N250" s="8">
        <f>IF(ISNA(MATCH(241,'Transfer Engine'!$C$2:$C$679,0)),"",INDEX('Compliance Database'!$N$2:$N$679,MATCH(241,'Transfer Engine'!$C$2:$C$679,0)))</f>
        <v/>
      </c>
      <c r="O250" s="8">
        <f>IF(ISNA(MATCH(241,'Transfer Engine'!$C$2:$C$679,0)),"",INDEX('Compliance Database'!$O$2:$O$679,MATCH(241,'Transfer Engine'!$C$2:$C$679,0)))</f>
        <v/>
      </c>
      <c r="P250">
        <f>IF(ISNA(MATCH(241,'Transfer Engine'!$C$2:$C$679,0)),"",HYPERLINK(INDEX('Compliance Database'!$P$2:$P$679,MATCH(241,'Transfer Engine'!$C$2:$C$679,0)),"Open PDF"))</f>
        <v/>
      </c>
    </row>
    <row r="251">
      <c r="A251">
        <f>IF(ISNA(MATCH(242,'Transfer Engine'!$C$2:$C$679,0)),"",INDEX('Compliance Database'!$A$2:$A$679,MATCH(242,'Transfer Engine'!$C$2:$C$679,0)))</f>
        <v/>
      </c>
      <c r="B251">
        <f>IF(ISNA(MATCH(242,'Transfer Engine'!$C$2:$C$679,0)),"",INDEX('Compliance Database'!$B$2:$B$679,MATCH(242,'Transfer Engine'!$C$2:$C$679,0)))</f>
        <v/>
      </c>
      <c r="C251">
        <f>IF(ISNA(MATCH(242,'Transfer Engine'!$C$2:$C$679,0)),"",INDEX('Compliance Database'!$C$2:$C$679,MATCH(242,'Transfer Engine'!$C$2:$C$679,0)))</f>
        <v/>
      </c>
      <c r="D251" s="8">
        <f>IF(ISNA(MATCH(242,'Transfer Engine'!$C$2:$C$679,0)),"",INDEX('Compliance Database'!$D$2:$D$679,MATCH(242,'Transfer Engine'!$C$2:$C$679,0)))</f>
        <v/>
      </c>
      <c r="E251">
        <f>IF(ISNA(MATCH(242,'Transfer Engine'!$C$2:$C$679,0)),"",INDEX('Compliance Database'!$E$2:$E$679,MATCH(242,'Transfer Engine'!$C$2:$C$679,0)))</f>
        <v/>
      </c>
      <c r="F251">
        <f>IF(ISNA(MATCH(242,'Transfer Engine'!$C$2:$C$679,0)),"",INDEX('Compliance Database'!$F$2:$F$679,MATCH(242,'Transfer Engine'!$C$2:$C$679,0)))</f>
        <v/>
      </c>
      <c r="G251">
        <f>IF(ISNA(MATCH(242,'Transfer Engine'!$C$2:$C$679,0)),"",INDEX('Compliance Database'!$G$2:$G$679,MATCH(242,'Transfer Engine'!$C$2:$C$679,0)))</f>
        <v/>
      </c>
      <c r="H251">
        <f>IF(ISNA(MATCH(242,'Transfer Engine'!$C$2:$C$679,0)),"",INDEX('Compliance Database'!$H$2:$H$679,MATCH(242,'Transfer Engine'!$C$2:$C$679,0)))</f>
        <v/>
      </c>
      <c r="I251" s="8">
        <f>IF(ISNA(MATCH(242,'Transfer Engine'!$C$2:$C$679,0)),"",INDEX('Compliance Database'!$I$2:$I$679,MATCH(242,'Transfer Engine'!$C$2:$C$679,0)))</f>
        <v/>
      </c>
      <c r="J251" s="8">
        <f>IF(ISNA(MATCH(242,'Transfer Engine'!$C$2:$C$679,0)),"",INDEX('Compliance Database'!$J$2:$J$679,MATCH(242,'Transfer Engine'!$C$2:$C$679,0)))</f>
        <v/>
      </c>
      <c r="K251">
        <f>IF(ISNA(MATCH(242,'Transfer Engine'!$C$2:$C$679,0)),"",INDEX('Compliance Database'!$K$2:$K$679,MATCH(242,'Transfer Engine'!$C$2:$C$679,0)))</f>
        <v/>
      </c>
      <c r="L251" s="8">
        <f>IF(ISNA(MATCH(242,'Transfer Engine'!$C$2:$C$679,0)),"",INDEX('Compliance Database'!$L$2:$L$679,MATCH(242,'Transfer Engine'!$C$2:$C$679,0)))</f>
        <v/>
      </c>
      <c r="M251" s="8">
        <f>IF(ISNA(MATCH(242,'Transfer Engine'!$C$2:$C$679,0)),"",INDEX('Compliance Database'!$M$2:$M$679,MATCH(242,'Transfer Engine'!$C$2:$C$679,0)))</f>
        <v/>
      </c>
      <c r="N251" s="8">
        <f>IF(ISNA(MATCH(242,'Transfer Engine'!$C$2:$C$679,0)),"",INDEX('Compliance Database'!$N$2:$N$679,MATCH(242,'Transfer Engine'!$C$2:$C$679,0)))</f>
        <v/>
      </c>
      <c r="O251" s="8">
        <f>IF(ISNA(MATCH(242,'Transfer Engine'!$C$2:$C$679,0)),"",INDEX('Compliance Database'!$O$2:$O$679,MATCH(242,'Transfer Engine'!$C$2:$C$679,0)))</f>
        <v/>
      </c>
      <c r="P251">
        <f>IF(ISNA(MATCH(242,'Transfer Engine'!$C$2:$C$679,0)),"",HYPERLINK(INDEX('Compliance Database'!$P$2:$P$679,MATCH(242,'Transfer Engine'!$C$2:$C$679,0)),"Open PDF"))</f>
        <v/>
      </c>
    </row>
    <row r="252">
      <c r="A252">
        <f>IF(ISNA(MATCH(243,'Transfer Engine'!$C$2:$C$679,0)),"",INDEX('Compliance Database'!$A$2:$A$679,MATCH(243,'Transfer Engine'!$C$2:$C$679,0)))</f>
        <v/>
      </c>
      <c r="B252">
        <f>IF(ISNA(MATCH(243,'Transfer Engine'!$C$2:$C$679,0)),"",INDEX('Compliance Database'!$B$2:$B$679,MATCH(243,'Transfer Engine'!$C$2:$C$679,0)))</f>
        <v/>
      </c>
      <c r="C252">
        <f>IF(ISNA(MATCH(243,'Transfer Engine'!$C$2:$C$679,0)),"",INDEX('Compliance Database'!$C$2:$C$679,MATCH(243,'Transfer Engine'!$C$2:$C$679,0)))</f>
        <v/>
      </c>
      <c r="D252" s="8">
        <f>IF(ISNA(MATCH(243,'Transfer Engine'!$C$2:$C$679,0)),"",INDEX('Compliance Database'!$D$2:$D$679,MATCH(243,'Transfer Engine'!$C$2:$C$679,0)))</f>
        <v/>
      </c>
      <c r="E252">
        <f>IF(ISNA(MATCH(243,'Transfer Engine'!$C$2:$C$679,0)),"",INDEX('Compliance Database'!$E$2:$E$679,MATCH(243,'Transfer Engine'!$C$2:$C$679,0)))</f>
        <v/>
      </c>
      <c r="F252">
        <f>IF(ISNA(MATCH(243,'Transfer Engine'!$C$2:$C$679,0)),"",INDEX('Compliance Database'!$F$2:$F$679,MATCH(243,'Transfer Engine'!$C$2:$C$679,0)))</f>
        <v/>
      </c>
      <c r="G252">
        <f>IF(ISNA(MATCH(243,'Transfer Engine'!$C$2:$C$679,0)),"",INDEX('Compliance Database'!$G$2:$G$679,MATCH(243,'Transfer Engine'!$C$2:$C$679,0)))</f>
        <v/>
      </c>
      <c r="H252">
        <f>IF(ISNA(MATCH(243,'Transfer Engine'!$C$2:$C$679,0)),"",INDEX('Compliance Database'!$H$2:$H$679,MATCH(243,'Transfer Engine'!$C$2:$C$679,0)))</f>
        <v/>
      </c>
      <c r="I252" s="8">
        <f>IF(ISNA(MATCH(243,'Transfer Engine'!$C$2:$C$679,0)),"",INDEX('Compliance Database'!$I$2:$I$679,MATCH(243,'Transfer Engine'!$C$2:$C$679,0)))</f>
        <v/>
      </c>
      <c r="J252" s="8">
        <f>IF(ISNA(MATCH(243,'Transfer Engine'!$C$2:$C$679,0)),"",INDEX('Compliance Database'!$J$2:$J$679,MATCH(243,'Transfer Engine'!$C$2:$C$679,0)))</f>
        <v/>
      </c>
      <c r="K252">
        <f>IF(ISNA(MATCH(243,'Transfer Engine'!$C$2:$C$679,0)),"",INDEX('Compliance Database'!$K$2:$K$679,MATCH(243,'Transfer Engine'!$C$2:$C$679,0)))</f>
        <v/>
      </c>
      <c r="L252" s="8">
        <f>IF(ISNA(MATCH(243,'Transfer Engine'!$C$2:$C$679,0)),"",INDEX('Compliance Database'!$L$2:$L$679,MATCH(243,'Transfer Engine'!$C$2:$C$679,0)))</f>
        <v/>
      </c>
      <c r="M252" s="8">
        <f>IF(ISNA(MATCH(243,'Transfer Engine'!$C$2:$C$679,0)),"",INDEX('Compliance Database'!$M$2:$M$679,MATCH(243,'Transfer Engine'!$C$2:$C$679,0)))</f>
        <v/>
      </c>
      <c r="N252" s="8">
        <f>IF(ISNA(MATCH(243,'Transfer Engine'!$C$2:$C$679,0)),"",INDEX('Compliance Database'!$N$2:$N$679,MATCH(243,'Transfer Engine'!$C$2:$C$679,0)))</f>
        <v/>
      </c>
      <c r="O252" s="8">
        <f>IF(ISNA(MATCH(243,'Transfer Engine'!$C$2:$C$679,0)),"",INDEX('Compliance Database'!$O$2:$O$679,MATCH(243,'Transfer Engine'!$C$2:$C$679,0)))</f>
        <v/>
      </c>
      <c r="P252">
        <f>IF(ISNA(MATCH(243,'Transfer Engine'!$C$2:$C$679,0)),"",HYPERLINK(INDEX('Compliance Database'!$P$2:$P$679,MATCH(243,'Transfer Engine'!$C$2:$C$679,0)),"Open PDF"))</f>
        <v/>
      </c>
    </row>
    <row r="253">
      <c r="A253">
        <f>IF(ISNA(MATCH(244,'Transfer Engine'!$C$2:$C$679,0)),"",INDEX('Compliance Database'!$A$2:$A$679,MATCH(244,'Transfer Engine'!$C$2:$C$679,0)))</f>
        <v/>
      </c>
      <c r="B253">
        <f>IF(ISNA(MATCH(244,'Transfer Engine'!$C$2:$C$679,0)),"",INDEX('Compliance Database'!$B$2:$B$679,MATCH(244,'Transfer Engine'!$C$2:$C$679,0)))</f>
        <v/>
      </c>
      <c r="C253">
        <f>IF(ISNA(MATCH(244,'Transfer Engine'!$C$2:$C$679,0)),"",INDEX('Compliance Database'!$C$2:$C$679,MATCH(244,'Transfer Engine'!$C$2:$C$679,0)))</f>
        <v/>
      </c>
      <c r="D253" s="8">
        <f>IF(ISNA(MATCH(244,'Transfer Engine'!$C$2:$C$679,0)),"",INDEX('Compliance Database'!$D$2:$D$679,MATCH(244,'Transfer Engine'!$C$2:$C$679,0)))</f>
        <v/>
      </c>
      <c r="E253">
        <f>IF(ISNA(MATCH(244,'Transfer Engine'!$C$2:$C$679,0)),"",INDEX('Compliance Database'!$E$2:$E$679,MATCH(244,'Transfer Engine'!$C$2:$C$679,0)))</f>
        <v/>
      </c>
      <c r="F253">
        <f>IF(ISNA(MATCH(244,'Transfer Engine'!$C$2:$C$679,0)),"",INDEX('Compliance Database'!$F$2:$F$679,MATCH(244,'Transfer Engine'!$C$2:$C$679,0)))</f>
        <v/>
      </c>
      <c r="G253">
        <f>IF(ISNA(MATCH(244,'Transfer Engine'!$C$2:$C$679,0)),"",INDEX('Compliance Database'!$G$2:$G$679,MATCH(244,'Transfer Engine'!$C$2:$C$679,0)))</f>
        <v/>
      </c>
      <c r="H253">
        <f>IF(ISNA(MATCH(244,'Transfer Engine'!$C$2:$C$679,0)),"",INDEX('Compliance Database'!$H$2:$H$679,MATCH(244,'Transfer Engine'!$C$2:$C$679,0)))</f>
        <v/>
      </c>
      <c r="I253" s="8">
        <f>IF(ISNA(MATCH(244,'Transfer Engine'!$C$2:$C$679,0)),"",INDEX('Compliance Database'!$I$2:$I$679,MATCH(244,'Transfer Engine'!$C$2:$C$679,0)))</f>
        <v/>
      </c>
      <c r="J253" s="8">
        <f>IF(ISNA(MATCH(244,'Transfer Engine'!$C$2:$C$679,0)),"",INDEX('Compliance Database'!$J$2:$J$679,MATCH(244,'Transfer Engine'!$C$2:$C$679,0)))</f>
        <v/>
      </c>
      <c r="K253">
        <f>IF(ISNA(MATCH(244,'Transfer Engine'!$C$2:$C$679,0)),"",INDEX('Compliance Database'!$K$2:$K$679,MATCH(244,'Transfer Engine'!$C$2:$C$679,0)))</f>
        <v/>
      </c>
      <c r="L253" s="8">
        <f>IF(ISNA(MATCH(244,'Transfer Engine'!$C$2:$C$679,0)),"",INDEX('Compliance Database'!$L$2:$L$679,MATCH(244,'Transfer Engine'!$C$2:$C$679,0)))</f>
        <v/>
      </c>
      <c r="M253" s="8">
        <f>IF(ISNA(MATCH(244,'Transfer Engine'!$C$2:$C$679,0)),"",INDEX('Compliance Database'!$M$2:$M$679,MATCH(244,'Transfer Engine'!$C$2:$C$679,0)))</f>
        <v/>
      </c>
      <c r="N253" s="8">
        <f>IF(ISNA(MATCH(244,'Transfer Engine'!$C$2:$C$679,0)),"",INDEX('Compliance Database'!$N$2:$N$679,MATCH(244,'Transfer Engine'!$C$2:$C$679,0)))</f>
        <v/>
      </c>
      <c r="O253" s="8">
        <f>IF(ISNA(MATCH(244,'Transfer Engine'!$C$2:$C$679,0)),"",INDEX('Compliance Database'!$O$2:$O$679,MATCH(244,'Transfer Engine'!$C$2:$C$679,0)))</f>
        <v/>
      </c>
      <c r="P253">
        <f>IF(ISNA(MATCH(244,'Transfer Engine'!$C$2:$C$679,0)),"",HYPERLINK(INDEX('Compliance Database'!$P$2:$P$679,MATCH(244,'Transfer Engine'!$C$2:$C$679,0)),"Open PDF"))</f>
        <v/>
      </c>
    </row>
    <row r="254">
      <c r="A254">
        <f>IF(ISNA(MATCH(245,'Transfer Engine'!$C$2:$C$679,0)),"",INDEX('Compliance Database'!$A$2:$A$679,MATCH(245,'Transfer Engine'!$C$2:$C$679,0)))</f>
        <v/>
      </c>
      <c r="B254">
        <f>IF(ISNA(MATCH(245,'Transfer Engine'!$C$2:$C$679,0)),"",INDEX('Compliance Database'!$B$2:$B$679,MATCH(245,'Transfer Engine'!$C$2:$C$679,0)))</f>
        <v/>
      </c>
      <c r="C254">
        <f>IF(ISNA(MATCH(245,'Transfer Engine'!$C$2:$C$679,0)),"",INDEX('Compliance Database'!$C$2:$C$679,MATCH(245,'Transfer Engine'!$C$2:$C$679,0)))</f>
        <v/>
      </c>
      <c r="D254" s="8">
        <f>IF(ISNA(MATCH(245,'Transfer Engine'!$C$2:$C$679,0)),"",INDEX('Compliance Database'!$D$2:$D$679,MATCH(245,'Transfer Engine'!$C$2:$C$679,0)))</f>
        <v/>
      </c>
      <c r="E254">
        <f>IF(ISNA(MATCH(245,'Transfer Engine'!$C$2:$C$679,0)),"",INDEX('Compliance Database'!$E$2:$E$679,MATCH(245,'Transfer Engine'!$C$2:$C$679,0)))</f>
        <v/>
      </c>
      <c r="F254">
        <f>IF(ISNA(MATCH(245,'Transfer Engine'!$C$2:$C$679,0)),"",INDEX('Compliance Database'!$F$2:$F$679,MATCH(245,'Transfer Engine'!$C$2:$C$679,0)))</f>
        <v/>
      </c>
      <c r="G254">
        <f>IF(ISNA(MATCH(245,'Transfer Engine'!$C$2:$C$679,0)),"",INDEX('Compliance Database'!$G$2:$G$679,MATCH(245,'Transfer Engine'!$C$2:$C$679,0)))</f>
        <v/>
      </c>
      <c r="H254">
        <f>IF(ISNA(MATCH(245,'Transfer Engine'!$C$2:$C$679,0)),"",INDEX('Compliance Database'!$H$2:$H$679,MATCH(245,'Transfer Engine'!$C$2:$C$679,0)))</f>
        <v/>
      </c>
      <c r="I254" s="8">
        <f>IF(ISNA(MATCH(245,'Transfer Engine'!$C$2:$C$679,0)),"",INDEX('Compliance Database'!$I$2:$I$679,MATCH(245,'Transfer Engine'!$C$2:$C$679,0)))</f>
        <v/>
      </c>
      <c r="J254" s="8">
        <f>IF(ISNA(MATCH(245,'Transfer Engine'!$C$2:$C$679,0)),"",INDEX('Compliance Database'!$J$2:$J$679,MATCH(245,'Transfer Engine'!$C$2:$C$679,0)))</f>
        <v/>
      </c>
      <c r="K254">
        <f>IF(ISNA(MATCH(245,'Transfer Engine'!$C$2:$C$679,0)),"",INDEX('Compliance Database'!$K$2:$K$679,MATCH(245,'Transfer Engine'!$C$2:$C$679,0)))</f>
        <v/>
      </c>
      <c r="L254" s="8">
        <f>IF(ISNA(MATCH(245,'Transfer Engine'!$C$2:$C$679,0)),"",INDEX('Compliance Database'!$L$2:$L$679,MATCH(245,'Transfer Engine'!$C$2:$C$679,0)))</f>
        <v/>
      </c>
      <c r="M254" s="8">
        <f>IF(ISNA(MATCH(245,'Transfer Engine'!$C$2:$C$679,0)),"",INDEX('Compliance Database'!$M$2:$M$679,MATCH(245,'Transfer Engine'!$C$2:$C$679,0)))</f>
        <v/>
      </c>
      <c r="N254" s="8">
        <f>IF(ISNA(MATCH(245,'Transfer Engine'!$C$2:$C$679,0)),"",INDEX('Compliance Database'!$N$2:$N$679,MATCH(245,'Transfer Engine'!$C$2:$C$679,0)))</f>
        <v/>
      </c>
      <c r="O254" s="8">
        <f>IF(ISNA(MATCH(245,'Transfer Engine'!$C$2:$C$679,0)),"",INDEX('Compliance Database'!$O$2:$O$679,MATCH(245,'Transfer Engine'!$C$2:$C$679,0)))</f>
        <v/>
      </c>
      <c r="P254">
        <f>IF(ISNA(MATCH(245,'Transfer Engine'!$C$2:$C$679,0)),"",HYPERLINK(INDEX('Compliance Database'!$P$2:$P$679,MATCH(245,'Transfer Engine'!$C$2:$C$679,0)),"Open PDF"))</f>
        <v/>
      </c>
    </row>
    <row r="255">
      <c r="A255">
        <f>IF(ISNA(MATCH(246,'Transfer Engine'!$C$2:$C$679,0)),"",INDEX('Compliance Database'!$A$2:$A$679,MATCH(246,'Transfer Engine'!$C$2:$C$679,0)))</f>
        <v/>
      </c>
      <c r="B255">
        <f>IF(ISNA(MATCH(246,'Transfer Engine'!$C$2:$C$679,0)),"",INDEX('Compliance Database'!$B$2:$B$679,MATCH(246,'Transfer Engine'!$C$2:$C$679,0)))</f>
        <v/>
      </c>
      <c r="C255">
        <f>IF(ISNA(MATCH(246,'Transfer Engine'!$C$2:$C$679,0)),"",INDEX('Compliance Database'!$C$2:$C$679,MATCH(246,'Transfer Engine'!$C$2:$C$679,0)))</f>
        <v/>
      </c>
      <c r="D255" s="8">
        <f>IF(ISNA(MATCH(246,'Transfer Engine'!$C$2:$C$679,0)),"",INDEX('Compliance Database'!$D$2:$D$679,MATCH(246,'Transfer Engine'!$C$2:$C$679,0)))</f>
        <v/>
      </c>
      <c r="E255">
        <f>IF(ISNA(MATCH(246,'Transfer Engine'!$C$2:$C$679,0)),"",INDEX('Compliance Database'!$E$2:$E$679,MATCH(246,'Transfer Engine'!$C$2:$C$679,0)))</f>
        <v/>
      </c>
      <c r="F255">
        <f>IF(ISNA(MATCH(246,'Transfer Engine'!$C$2:$C$679,0)),"",INDEX('Compliance Database'!$F$2:$F$679,MATCH(246,'Transfer Engine'!$C$2:$C$679,0)))</f>
        <v/>
      </c>
      <c r="G255">
        <f>IF(ISNA(MATCH(246,'Transfer Engine'!$C$2:$C$679,0)),"",INDEX('Compliance Database'!$G$2:$G$679,MATCH(246,'Transfer Engine'!$C$2:$C$679,0)))</f>
        <v/>
      </c>
      <c r="H255">
        <f>IF(ISNA(MATCH(246,'Transfer Engine'!$C$2:$C$679,0)),"",INDEX('Compliance Database'!$H$2:$H$679,MATCH(246,'Transfer Engine'!$C$2:$C$679,0)))</f>
        <v/>
      </c>
      <c r="I255" s="8">
        <f>IF(ISNA(MATCH(246,'Transfer Engine'!$C$2:$C$679,0)),"",INDEX('Compliance Database'!$I$2:$I$679,MATCH(246,'Transfer Engine'!$C$2:$C$679,0)))</f>
        <v/>
      </c>
      <c r="J255" s="8">
        <f>IF(ISNA(MATCH(246,'Transfer Engine'!$C$2:$C$679,0)),"",INDEX('Compliance Database'!$J$2:$J$679,MATCH(246,'Transfer Engine'!$C$2:$C$679,0)))</f>
        <v/>
      </c>
      <c r="K255">
        <f>IF(ISNA(MATCH(246,'Transfer Engine'!$C$2:$C$679,0)),"",INDEX('Compliance Database'!$K$2:$K$679,MATCH(246,'Transfer Engine'!$C$2:$C$679,0)))</f>
        <v/>
      </c>
      <c r="L255" s="8">
        <f>IF(ISNA(MATCH(246,'Transfer Engine'!$C$2:$C$679,0)),"",INDEX('Compliance Database'!$L$2:$L$679,MATCH(246,'Transfer Engine'!$C$2:$C$679,0)))</f>
        <v/>
      </c>
      <c r="M255" s="8">
        <f>IF(ISNA(MATCH(246,'Transfer Engine'!$C$2:$C$679,0)),"",INDEX('Compliance Database'!$M$2:$M$679,MATCH(246,'Transfer Engine'!$C$2:$C$679,0)))</f>
        <v/>
      </c>
      <c r="N255" s="8">
        <f>IF(ISNA(MATCH(246,'Transfer Engine'!$C$2:$C$679,0)),"",INDEX('Compliance Database'!$N$2:$N$679,MATCH(246,'Transfer Engine'!$C$2:$C$679,0)))</f>
        <v/>
      </c>
      <c r="O255" s="8">
        <f>IF(ISNA(MATCH(246,'Transfer Engine'!$C$2:$C$679,0)),"",INDEX('Compliance Database'!$O$2:$O$679,MATCH(246,'Transfer Engine'!$C$2:$C$679,0)))</f>
        <v/>
      </c>
      <c r="P255">
        <f>IF(ISNA(MATCH(246,'Transfer Engine'!$C$2:$C$679,0)),"",HYPERLINK(INDEX('Compliance Database'!$P$2:$P$679,MATCH(246,'Transfer Engine'!$C$2:$C$679,0)),"Open PDF"))</f>
        <v/>
      </c>
    </row>
    <row r="256">
      <c r="A256">
        <f>IF(ISNA(MATCH(247,'Transfer Engine'!$C$2:$C$679,0)),"",INDEX('Compliance Database'!$A$2:$A$679,MATCH(247,'Transfer Engine'!$C$2:$C$679,0)))</f>
        <v/>
      </c>
      <c r="B256">
        <f>IF(ISNA(MATCH(247,'Transfer Engine'!$C$2:$C$679,0)),"",INDEX('Compliance Database'!$B$2:$B$679,MATCH(247,'Transfer Engine'!$C$2:$C$679,0)))</f>
        <v/>
      </c>
      <c r="C256">
        <f>IF(ISNA(MATCH(247,'Transfer Engine'!$C$2:$C$679,0)),"",INDEX('Compliance Database'!$C$2:$C$679,MATCH(247,'Transfer Engine'!$C$2:$C$679,0)))</f>
        <v/>
      </c>
      <c r="D256" s="8">
        <f>IF(ISNA(MATCH(247,'Transfer Engine'!$C$2:$C$679,0)),"",INDEX('Compliance Database'!$D$2:$D$679,MATCH(247,'Transfer Engine'!$C$2:$C$679,0)))</f>
        <v/>
      </c>
      <c r="E256">
        <f>IF(ISNA(MATCH(247,'Transfer Engine'!$C$2:$C$679,0)),"",INDEX('Compliance Database'!$E$2:$E$679,MATCH(247,'Transfer Engine'!$C$2:$C$679,0)))</f>
        <v/>
      </c>
      <c r="F256">
        <f>IF(ISNA(MATCH(247,'Transfer Engine'!$C$2:$C$679,0)),"",INDEX('Compliance Database'!$F$2:$F$679,MATCH(247,'Transfer Engine'!$C$2:$C$679,0)))</f>
        <v/>
      </c>
      <c r="G256">
        <f>IF(ISNA(MATCH(247,'Transfer Engine'!$C$2:$C$679,0)),"",INDEX('Compliance Database'!$G$2:$G$679,MATCH(247,'Transfer Engine'!$C$2:$C$679,0)))</f>
        <v/>
      </c>
      <c r="H256">
        <f>IF(ISNA(MATCH(247,'Transfer Engine'!$C$2:$C$679,0)),"",INDEX('Compliance Database'!$H$2:$H$679,MATCH(247,'Transfer Engine'!$C$2:$C$679,0)))</f>
        <v/>
      </c>
      <c r="I256" s="8">
        <f>IF(ISNA(MATCH(247,'Transfer Engine'!$C$2:$C$679,0)),"",INDEX('Compliance Database'!$I$2:$I$679,MATCH(247,'Transfer Engine'!$C$2:$C$679,0)))</f>
        <v/>
      </c>
      <c r="J256" s="8">
        <f>IF(ISNA(MATCH(247,'Transfer Engine'!$C$2:$C$679,0)),"",INDEX('Compliance Database'!$J$2:$J$679,MATCH(247,'Transfer Engine'!$C$2:$C$679,0)))</f>
        <v/>
      </c>
      <c r="K256">
        <f>IF(ISNA(MATCH(247,'Transfer Engine'!$C$2:$C$679,0)),"",INDEX('Compliance Database'!$K$2:$K$679,MATCH(247,'Transfer Engine'!$C$2:$C$679,0)))</f>
        <v/>
      </c>
      <c r="L256" s="8">
        <f>IF(ISNA(MATCH(247,'Transfer Engine'!$C$2:$C$679,0)),"",INDEX('Compliance Database'!$L$2:$L$679,MATCH(247,'Transfer Engine'!$C$2:$C$679,0)))</f>
        <v/>
      </c>
      <c r="M256" s="8">
        <f>IF(ISNA(MATCH(247,'Transfer Engine'!$C$2:$C$679,0)),"",INDEX('Compliance Database'!$M$2:$M$679,MATCH(247,'Transfer Engine'!$C$2:$C$679,0)))</f>
        <v/>
      </c>
      <c r="N256" s="8">
        <f>IF(ISNA(MATCH(247,'Transfer Engine'!$C$2:$C$679,0)),"",INDEX('Compliance Database'!$N$2:$N$679,MATCH(247,'Transfer Engine'!$C$2:$C$679,0)))</f>
        <v/>
      </c>
      <c r="O256" s="8">
        <f>IF(ISNA(MATCH(247,'Transfer Engine'!$C$2:$C$679,0)),"",INDEX('Compliance Database'!$O$2:$O$679,MATCH(247,'Transfer Engine'!$C$2:$C$679,0)))</f>
        <v/>
      </c>
      <c r="P256">
        <f>IF(ISNA(MATCH(247,'Transfer Engine'!$C$2:$C$679,0)),"",HYPERLINK(INDEX('Compliance Database'!$P$2:$P$679,MATCH(247,'Transfer Engine'!$C$2:$C$679,0)),"Open PDF"))</f>
        <v/>
      </c>
    </row>
    <row r="257">
      <c r="A257">
        <f>IF(ISNA(MATCH(248,'Transfer Engine'!$C$2:$C$679,0)),"",INDEX('Compliance Database'!$A$2:$A$679,MATCH(248,'Transfer Engine'!$C$2:$C$679,0)))</f>
        <v/>
      </c>
      <c r="B257">
        <f>IF(ISNA(MATCH(248,'Transfer Engine'!$C$2:$C$679,0)),"",INDEX('Compliance Database'!$B$2:$B$679,MATCH(248,'Transfer Engine'!$C$2:$C$679,0)))</f>
        <v/>
      </c>
      <c r="C257">
        <f>IF(ISNA(MATCH(248,'Transfer Engine'!$C$2:$C$679,0)),"",INDEX('Compliance Database'!$C$2:$C$679,MATCH(248,'Transfer Engine'!$C$2:$C$679,0)))</f>
        <v/>
      </c>
      <c r="D257" s="8">
        <f>IF(ISNA(MATCH(248,'Transfer Engine'!$C$2:$C$679,0)),"",INDEX('Compliance Database'!$D$2:$D$679,MATCH(248,'Transfer Engine'!$C$2:$C$679,0)))</f>
        <v/>
      </c>
      <c r="E257">
        <f>IF(ISNA(MATCH(248,'Transfer Engine'!$C$2:$C$679,0)),"",INDEX('Compliance Database'!$E$2:$E$679,MATCH(248,'Transfer Engine'!$C$2:$C$679,0)))</f>
        <v/>
      </c>
      <c r="F257">
        <f>IF(ISNA(MATCH(248,'Transfer Engine'!$C$2:$C$679,0)),"",INDEX('Compliance Database'!$F$2:$F$679,MATCH(248,'Transfer Engine'!$C$2:$C$679,0)))</f>
        <v/>
      </c>
      <c r="G257">
        <f>IF(ISNA(MATCH(248,'Transfer Engine'!$C$2:$C$679,0)),"",INDEX('Compliance Database'!$G$2:$G$679,MATCH(248,'Transfer Engine'!$C$2:$C$679,0)))</f>
        <v/>
      </c>
      <c r="H257">
        <f>IF(ISNA(MATCH(248,'Transfer Engine'!$C$2:$C$679,0)),"",INDEX('Compliance Database'!$H$2:$H$679,MATCH(248,'Transfer Engine'!$C$2:$C$679,0)))</f>
        <v/>
      </c>
      <c r="I257" s="8">
        <f>IF(ISNA(MATCH(248,'Transfer Engine'!$C$2:$C$679,0)),"",INDEX('Compliance Database'!$I$2:$I$679,MATCH(248,'Transfer Engine'!$C$2:$C$679,0)))</f>
        <v/>
      </c>
      <c r="J257" s="8">
        <f>IF(ISNA(MATCH(248,'Transfer Engine'!$C$2:$C$679,0)),"",INDEX('Compliance Database'!$J$2:$J$679,MATCH(248,'Transfer Engine'!$C$2:$C$679,0)))</f>
        <v/>
      </c>
      <c r="K257">
        <f>IF(ISNA(MATCH(248,'Transfer Engine'!$C$2:$C$679,0)),"",INDEX('Compliance Database'!$K$2:$K$679,MATCH(248,'Transfer Engine'!$C$2:$C$679,0)))</f>
        <v/>
      </c>
      <c r="L257" s="8">
        <f>IF(ISNA(MATCH(248,'Transfer Engine'!$C$2:$C$679,0)),"",INDEX('Compliance Database'!$L$2:$L$679,MATCH(248,'Transfer Engine'!$C$2:$C$679,0)))</f>
        <v/>
      </c>
      <c r="M257" s="8">
        <f>IF(ISNA(MATCH(248,'Transfer Engine'!$C$2:$C$679,0)),"",INDEX('Compliance Database'!$M$2:$M$679,MATCH(248,'Transfer Engine'!$C$2:$C$679,0)))</f>
        <v/>
      </c>
      <c r="N257" s="8">
        <f>IF(ISNA(MATCH(248,'Transfer Engine'!$C$2:$C$679,0)),"",INDEX('Compliance Database'!$N$2:$N$679,MATCH(248,'Transfer Engine'!$C$2:$C$679,0)))</f>
        <v/>
      </c>
      <c r="O257" s="8">
        <f>IF(ISNA(MATCH(248,'Transfer Engine'!$C$2:$C$679,0)),"",INDEX('Compliance Database'!$O$2:$O$679,MATCH(248,'Transfer Engine'!$C$2:$C$679,0)))</f>
        <v/>
      </c>
      <c r="P257">
        <f>IF(ISNA(MATCH(248,'Transfer Engine'!$C$2:$C$679,0)),"",HYPERLINK(INDEX('Compliance Database'!$P$2:$P$679,MATCH(248,'Transfer Engine'!$C$2:$C$679,0)),"Open PDF"))</f>
        <v/>
      </c>
    </row>
    <row r="258">
      <c r="A258">
        <f>IF(ISNA(MATCH(249,'Transfer Engine'!$C$2:$C$679,0)),"",INDEX('Compliance Database'!$A$2:$A$679,MATCH(249,'Transfer Engine'!$C$2:$C$679,0)))</f>
        <v/>
      </c>
      <c r="B258">
        <f>IF(ISNA(MATCH(249,'Transfer Engine'!$C$2:$C$679,0)),"",INDEX('Compliance Database'!$B$2:$B$679,MATCH(249,'Transfer Engine'!$C$2:$C$679,0)))</f>
        <v/>
      </c>
      <c r="C258">
        <f>IF(ISNA(MATCH(249,'Transfer Engine'!$C$2:$C$679,0)),"",INDEX('Compliance Database'!$C$2:$C$679,MATCH(249,'Transfer Engine'!$C$2:$C$679,0)))</f>
        <v/>
      </c>
      <c r="D258" s="8">
        <f>IF(ISNA(MATCH(249,'Transfer Engine'!$C$2:$C$679,0)),"",INDEX('Compliance Database'!$D$2:$D$679,MATCH(249,'Transfer Engine'!$C$2:$C$679,0)))</f>
        <v/>
      </c>
      <c r="E258">
        <f>IF(ISNA(MATCH(249,'Transfer Engine'!$C$2:$C$679,0)),"",INDEX('Compliance Database'!$E$2:$E$679,MATCH(249,'Transfer Engine'!$C$2:$C$679,0)))</f>
        <v/>
      </c>
      <c r="F258">
        <f>IF(ISNA(MATCH(249,'Transfer Engine'!$C$2:$C$679,0)),"",INDEX('Compliance Database'!$F$2:$F$679,MATCH(249,'Transfer Engine'!$C$2:$C$679,0)))</f>
        <v/>
      </c>
      <c r="G258">
        <f>IF(ISNA(MATCH(249,'Transfer Engine'!$C$2:$C$679,0)),"",INDEX('Compliance Database'!$G$2:$G$679,MATCH(249,'Transfer Engine'!$C$2:$C$679,0)))</f>
        <v/>
      </c>
      <c r="H258">
        <f>IF(ISNA(MATCH(249,'Transfer Engine'!$C$2:$C$679,0)),"",INDEX('Compliance Database'!$H$2:$H$679,MATCH(249,'Transfer Engine'!$C$2:$C$679,0)))</f>
        <v/>
      </c>
      <c r="I258" s="8">
        <f>IF(ISNA(MATCH(249,'Transfer Engine'!$C$2:$C$679,0)),"",INDEX('Compliance Database'!$I$2:$I$679,MATCH(249,'Transfer Engine'!$C$2:$C$679,0)))</f>
        <v/>
      </c>
      <c r="J258" s="8">
        <f>IF(ISNA(MATCH(249,'Transfer Engine'!$C$2:$C$679,0)),"",INDEX('Compliance Database'!$J$2:$J$679,MATCH(249,'Transfer Engine'!$C$2:$C$679,0)))</f>
        <v/>
      </c>
      <c r="K258">
        <f>IF(ISNA(MATCH(249,'Transfer Engine'!$C$2:$C$679,0)),"",INDEX('Compliance Database'!$K$2:$K$679,MATCH(249,'Transfer Engine'!$C$2:$C$679,0)))</f>
        <v/>
      </c>
      <c r="L258" s="8">
        <f>IF(ISNA(MATCH(249,'Transfer Engine'!$C$2:$C$679,0)),"",INDEX('Compliance Database'!$L$2:$L$679,MATCH(249,'Transfer Engine'!$C$2:$C$679,0)))</f>
        <v/>
      </c>
      <c r="M258" s="8">
        <f>IF(ISNA(MATCH(249,'Transfer Engine'!$C$2:$C$679,0)),"",INDEX('Compliance Database'!$M$2:$M$679,MATCH(249,'Transfer Engine'!$C$2:$C$679,0)))</f>
        <v/>
      </c>
      <c r="N258" s="8">
        <f>IF(ISNA(MATCH(249,'Transfer Engine'!$C$2:$C$679,0)),"",INDEX('Compliance Database'!$N$2:$N$679,MATCH(249,'Transfer Engine'!$C$2:$C$679,0)))</f>
        <v/>
      </c>
      <c r="O258" s="8">
        <f>IF(ISNA(MATCH(249,'Transfer Engine'!$C$2:$C$679,0)),"",INDEX('Compliance Database'!$O$2:$O$679,MATCH(249,'Transfer Engine'!$C$2:$C$679,0)))</f>
        <v/>
      </c>
      <c r="P258">
        <f>IF(ISNA(MATCH(249,'Transfer Engine'!$C$2:$C$679,0)),"",HYPERLINK(INDEX('Compliance Database'!$P$2:$P$679,MATCH(249,'Transfer Engine'!$C$2:$C$679,0)),"Open PDF"))</f>
        <v/>
      </c>
    </row>
    <row r="259">
      <c r="A259">
        <f>IF(ISNA(MATCH(250,'Transfer Engine'!$C$2:$C$679,0)),"",INDEX('Compliance Database'!$A$2:$A$679,MATCH(250,'Transfer Engine'!$C$2:$C$679,0)))</f>
        <v/>
      </c>
      <c r="B259">
        <f>IF(ISNA(MATCH(250,'Transfer Engine'!$C$2:$C$679,0)),"",INDEX('Compliance Database'!$B$2:$B$679,MATCH(250,'Transfer Engine'!$C$2:$C$679,0)))</f>
        <v/>
      </c>
      <c r="C259">
        <f>IF(ISNA(MATCH(250,'Transfer Engine'!$C$2:$C$679,0)),"",INDEX('Compliance Database'!$C$2:$C$679,MATCH(250,'Transfer Engine'!$C$2:$C$679,0)))</f>
        <v/>
      </c>
      <c r="D259" s="8">
        <f>IF(ISNA(MATCH(250,'Transfer Engine'!$C$2:$C$679,0)),"",INDEX('Compliance Database'!$D$2:$D$679,MATCH(250,'Transfer Engine'!$C$2:$C$679,0)))</f>
        <v/>
      </c>
      <c r="E259">
        <f>IF(ISNA(MATCH(250,'Transfer Engine'!$C$2:$C$679,0)),"",INDEX('Compliance Database'!$E$2:$E$679,MATCH(250,'Transfer Engine'!$C$2:$C$679,0)))</f>
        <v/>
      </c>
      <c r="F259">
        <f>IF(ISNA(MATCH(250,'Transfer Engine'!$C$2:$C$679,0)),"",INDEX('Compliance Database'!$F$2:$F$679,MATCH(250,'Transfer Engine'!$C$2:$C$679,0)))</f>
        <v/>
      </c>
      <c r="G259">
        <f>IF(ISNA(MATCH(250,'Transfer Engine'!$C$2:$C$679,0)),"",INDEX('Compliance Database'!$G$2:$G$679,MATCH(250,'Transfer Engine'!$C$2:$C$679,0)))</f>
        <v/>
      </c>
      <c r="H259">
        <f>IF(ISNA(MATCH(250,'Transfer Engine'!$C$2:$C$679,0)),"",INDEX('Compliance Database'!$H$2:$H$679,MATCH(250,'Transfer Engine'!$C$2:$C$679,0)))</f>
        <v/>
      </c>
      <c r="I259" s="8">
        <f>IF(ISNA(MATCH(250,'Transfer Engine'!$C$2:$C$679,0)),"",INDEX('Compliance Database'!$I$2:$I$679,MATCH(250,'Transfer Engine'!$C$2:$C$679,0)))</f>
        <v/>
      </c>
      <c r="J259" s="8">
        <f>IF(ISNA(MATCH(250,'Transfer Engine'!$C$2:$C$679,0)),"",INDEX('Compliance Database'!$J$2:$J$679,MATCH(250,'Transfer Engine'!$C$2:$C$679,0)))</f>
        <v/>
      </c>
      <c r="K259">
        <f>IF(ISNA(MATCH(250,'Transfer Engine'!$C$2:$C$679,0)),"",INDEX('Compliance Database'!$K$2:$K$679,MATCH(250,'Transfer Engine'!$C$2:$C$679,0)))</f>
        <v/>
      </c>
      <c r="L259" s="8">
        <f>IF(ISNA(MATCH(250,'Transfer Engine'!$C$2:$C$679,0)),"",INDEX('Compliance Database'!$L$2:$L$679,MATCH(250,'Transfer Engine'!$C$2:$C$679,0)))</f>
        <v/>
      </c>
      <c r="M259" s="8">
        <f>IF(ISNA(MATCH(250,'Transfer Engine'!$C$2:$C$679,0)),"",INDEX('Compliance Database'!$M$2:$M$679,MATCH(250,'Transfer Engine'!$C$2:$C$679,0)))</f>
        <v/>
      </c>
      <c r="N259" s="8">
        <f>IF(ISNA(MATCH(250,'Transfer Engine'!$C$2:$C$679,0)),"",INDEX('Compliance Database'!$N$2:$N$679,MATCH(250,'Transfer Engine'!$C$2:$C$679,0)))</f>
        <v/>
      </c>
      <c r="O259" s="8">
        <f>IF(ISNA(MATCH(250,'Transfer Engine'!$C$2:$C$679,0)),"",INDEX('Compliance Database'!$O$2:$O$679,MATCH(250,'Transfer Engine'!$C$2:$C$679,0)))</f>
        <v/>
      </c>
      <c r="P259">
        <f>IF(ISNA(MATCH(250,'Transfer Engine'!$C$2:$C$679,0)),"",HYPERLINK(INDEX('Compliance Database'!$P$2:$P$679,MATCH(250,'Transfer Engine'!$C$2:$C$679,0)),"Open PDF"))</f>
        <v/>
      </c>
    </row>
    <row r="260">
      <c r="A260">
        <f>IF(ISNA(MATCH(251,'Transfer Engine'!$C$2:$C$679,0)),"",INDEX('Compliance Database'!$A$2:$A$679,MATCH(251,'Transfer Engine'!$C$2:$C$679,0)))</f>
        <v/>
      </c>
      <c r="B260">
        <f>IF(ISNA(MATCH(251,'Transfer Engine'!$C$2:$C$679,0)),"",INDEX('Compliance Database'!$B$2:$B$679,MATCH(251,'Transfer Engine'!$C$2:$C$679,0)))</f>
        <v/>
      </c>
      <c r="C260">
        <f>IF(ISNA(MATCH(251,'Transfer Engine'!$C$2:$C$679,0)),"",INDEX('Compliance Database'!$C$2:$C$679,MATCH(251,'Transfer Engine'!$C$2:$C$679,0)))</f>
        <v/>
      </c>
      <c r="D260" s="8">
        <f>IF(ISNA(MATCH(251,'Transfer Engine'!$C$2:$C$679,0)),"",INDEX('Compliance Database'!$D$2:$D$679,MATCH(251,'Transfer Engine'!$C$2:$C$679,0)))</f>
        <v/>
      </c>
      <c r="E260">
        <f>IF(ISNA(MATCH(251,'Transfer Engine'!$C$2:$C$679,0)),"",INDEX('Compliance Database'!$E$2:$E$679,MATCH(251,'Transfer Engine'!$C$2:$C$679,0)))</f>
        <v/>
      </c>
      <c r="F260">
        <f>IF(ISNA(MATCH(251,'Transfer Engine'!$C$2:$C$679,0)),"",INDEX('Compliance Database'!$F$2:$F$679,MATCH(251,'Transfer Engine'!$C$2:$C$679,0)))</f>
        <v/>
      </c>
      <c r="G260">
        <f>IF(ISNA(MATCH(251,'Transfer Engine'!$C$2:$C$679,0)),"",INDEX('Compliance Database'!$G$2:$G$679,MATCH(251,'Transfer Engine'!$C$2:$C$679,0)))</f>
        <v/>
      </c>
      <c r="H260">
        <f>IF(ISNA(MATCH(251,'Transfer Engine'!$C$2:$C$679,0)),"",INDEX('Compliance Database'!$H$2:$H$679,MATCH(251,'Transfer Engine'!$C$2:$C$679,0)))</f>
        <v/>
      </c>
      <c r="I260" s="8">
        <f>IF(ISNA(MATCH(251,'Transfer Engine'!$C$2:$C$679,0)),"",INDEX('Compliance Database'!$I$2:$I$679,MATCH(251,'Transfer Engine'!$C$2:$C$679,0)))</f>
        <v/>
      </c>
      <c r="J260" s="8">
        <f>IF(ISNA(MATCH(251,'Transfer Engine'!$C$2:$C$679,0)),"",INDEX('Compliance Database'!$J$2:$J$679,MATCH(251,'Transfer Engine'!$C$2:$C$679,0)))</f>
        <v/>
      </c>
      <c r="K260">
        <f>IF(ISNA(MATCH(251,'Transfer Engine'!$C$2:$C$679,0)),"",INDEX('Compliance Database'!$K$2:$K$679,MATCH(251,'Transfer Engine'!$C$2:$C$679,0)))</f>
        <v/>
      </c>
      <c r="L260" s="8">
        <f>IF(ISNA(MATCH(251,'Transfer Engine'!$C$2:$C$679,0)),"",INDEX('Compliance Database'!$L$2:$L$679,MATCH(251,'Transfer Engine'!$C$2:$C$679,0)))</f>
        <v/>
      </c>
      <c r="M260" s="8">
        <f>IF(ISNA(MATCH(251,'Transfer Engine'!$C$2:$C$679,0)),"",INDEX('Compliance Database'!$M$2:$M$679,MATCH(251,'Transfer Engine'!$C$2:$C$679,0)))</f>
        <v/>
      </c>
      <c r="N260" s="8">
        <f>IF(ISNA(MATCH(251,'Transfer Engine'!$C$2:$C$679,0)),"",INDEX('Compliance Database'!$N$2:$N$679,MATCH(251,'Transfer Engine'!$C$2:$C$679,0)))</f>
        <v/>
      </c>
      <c r="O260" s="8">
        <f>IF(ISNA(MATCH(251,'Transfer Engine'!$C$2:$C$679,0)),"",INDEX('Compliance Database'!$O$2:$O$679,MATCH(251,'Transfer Engine'!$C$2:$C$679,0)))</f>
        <v/>
      </c>
      <c r="P260">
        <f>IF(ISNA(MATCH(251,'Transfer Engine'!$C$2:$C$679,0)),"",HYPERLINK(INDEX('Compliance Database'!$P$2:$P$679,MATCH(251,'Transfer Engine'!$C$2:$C$679,0)),"Open PDF"))</f>
        <v/>
      </c>
    </row>
    <row r="261">
      <c r="A261">
        <f>IF(ISNA(MATCH(252,'Transfer Engine'!$C$2:$C$679,0)),"",INDEX('Compliance Database'!$A$2:$A$679,MATCH(252,'Transfer Engine'!$C$2:$C$679,0)))</f>
        <v/>
      </c>
      <c r="B261">
        <f>IF(ISNA(MATCH(252,'Transfer Engine'!$C$2:$C$679,0)),"",INDEX('Compliance Database'!$B$2:$B$679,MATCH(252,'Transfer Engine'!$C$2:$C$679,0)))</f>
        <v/>
      </c>
      <c r="C261">
        <f>IF(ISNA(MATCH(252,'Transfer Engine'!$C$2:$C$679,0)),"",INDEX('Compliance Database'!$C$2:$C$679,MATCH(252,'Transfer Engine'!$C$2:$C$679,0)))</f>
        <v/>
      </c>
      <c r="D261" s="8">
        <f>IF(ISNA(MATCH(252,'Transfer Engine'!$C$2:$C$679,0)),"",INDEX('Compliance Database'!$D$2:$D$679,MATCH(252,'Transfer Engine'!$C$2:$C$679,0)))</f>
        <v/>
      </c>
      <c r="E261">
        <f>IF(ISNA(MATCH(252,'Transfer Engine'!$C$2:$C$679,0)),"",INDEX('Compliance Database'!$E$2:$E$679,MATCH(252,'Transfer Engine'!$C$2:$C$679,0)))</f>
        <v/>
      </c>
      <c r="F261">
        <f>IF(ISNA(MATCH(252,'Transfer Engine'!$C$2:$C$679,0)),"",INDEX('Compliance Database'!$F$2:$F$679,MATCH(252,'Transfer Engine'!$C$2:$C$679,0)))</f>
        <v/>
      </c>
      <c r="G261">
        <f>IF(ISNA(MATCH(252,'Transfer Engine'!$C$2:$C$679,0)),"",INDEX('Compliance Database'!$G$2:$G$679,MATCH(252,'Transfer Engine'!$C$2:$C$679,0)))</f>
        <v/>
      </c>
      <c r="H261">
        <f>IF(ISNA(MATCH(252,'Transfer Engine'!$C$2:$C$679,0)),"",INDEX('Compliance Database'!$H$2:$H$679,MATCH(252,'Transfer Engine'!$C$2:$C$679,0)))</f>
        <v/>
      </c>
      <c r="I261" s="8">
        <f>IF(ISNA(MATCH(252,'Transfer Engine'!$C$2:$C$679,0)),"",INDEX('Compliance Database'!$I$2:$I$679,MATCH(252,'Transfer Engine'!$C$2:$C$679,0)))</f>
        <v/>
      </c>
      <c r="J261" s="8">
        <f>IF(ISNA(MATCH(252,'Transfer Engine'!$C$2:$C$679,0)),"",INDEX('Compliance Database'!$J$2:$J$679,MATCH(252,'Transfer Engine'!$C$2:$C$679,0)))</f>
        <v/>
      </c>
      <c r="K261">
        <f>IF(ISNA(MATCH(252,'Transfer Engine'!$C$2:$C$679,0)),"",INDEX('Compliance Database'!$K$2:$K$679,MATCH(252,'Transfer Engine'!$C$2:$C$679,0)))</f>
        <v/>
      </c>
      <c r="L261" s="8">
        <f>IF(ISNA(MATCH(252,'Transfer Engine'!$C$2:$C$679,0)),"",INDEX('Compliance Database'!$L$2:$L$679,MATCH(252,'Transfer Engine'!$C$2:$C$679,0)))</f>
        <v/>
      </c>
      <c r="M261" s="8">
        <f>IF(ISNA(MATCH(252,'Transfer Engine'!$C$2:$C$679,0)),"",INDEX('Compliance Database'!$M$2:$M$679,MATCH(252,'Transfer Engine'!$C$2:$C$679,0)))</f>
        <v/>
      </c>
      <c r="N261" s="8">
        <f>IF(ISNA(MATCH(252,'Transfer Engine'!$C$2:$C$679,0)),"",INDEX('Compliance Database'!$N$2:$N$679,MATCH(252,'Transfer Engine'!$C$2:$C$679,0)))</f>
        <v/>
      </c>
      <c r="O261" s="8">
        <f>IF(ISNA(MATCH(252,'Transfer Engine'!$C$2:$C$679,0)),"",INDEX('Compliance Database'!$O$2:$O$679,MATCH(252,'Transfer Engine'!$C$2:$C$679,0)))</f>
        <v/>
      </c>
      <c r="P261">
        <f>IF(ISNA(MATCH(252,'Transfer Engine'!$C$2:$C$679,0)),"",HYPERLINK(INDEX('Compliance Database'!$P$2:$P$679,MATCH(252,'Transfer Engine'!$C$2:$C$679,0)),"Open PDF"))</f>
        <v/>
      </c>
    </row>
    <row r="262">
      <c r="A262">
        <f>IF(ISNA(MATCH(253,'Transfer Engine'!$C$2:$C$679,0)),"",INDEX('Compliance Database'!$A$2:$A$679,MATCH(253,'Transfer Engine'!$C$2:$C$679,0)))</f>
        <v/>
      </c>
      <c r="B262">
        <f>IF(ISNA(MATCH(253,'Transfer Engine'!$C$2:$C$679,0)),"",INDEX('Compliance Database'!$B$2:$B$679,MATCH(253,'Transfer Engine'!$C$2:$C$679,0)))</f>
        <v/>
      </c>
      <c r="C262">
        <f>IF(ISNA(MATCH(253,'Transfer Engine'!$C$2:$C$679,0)),"",INDEX('Compliance Database'!$C$2:$C$679,MATCH(253,'Transfer Engine'!$C$2:$C$679,0)))</f>
        <v/>
      </c>
      <c r="D262" s="8">
        <f>IF(ISNA(MATCH(253,'Transfer Engine'!$C$2:$C$679,0)),"",INDEX('Compliance Database'!$D$2:$D$679,MATCH(253,'Transfer Engine'!$C$2:$C$679,0)))</f>
        <v/>
      </c>
      <c r="E262">
        <f>IF(ISNA(MATCH(253,'Transfer Engine'!$C$2:$C$679,0)),"",INDEX('Compliance Database'!$E$2:$E$679,MATCH(253,'Transfer Engine'!$C$2:$C$679,0)))</f>
        <v/>
      </c>
      <c r="F262">
        <f>IF(ISNA(MATCH(253,'Transfer Engine'!$C$2:$C$679,0)),"",INDEX('Compliance Database'!$F$2:$F$679,MATCH(253,'Transfer Engine'!$C$2:$C$679,0)))</f>
        <v/>
      </c>
      <c r="G262">
        <f>IF(ISNA(MATCH(253,'Transfer Engine'!$C$2:$C$679,0)),"",INDEX('Compliance Database'!$G$2:$G$679,MATCH(253,'Transfer Engine'!$C$2:$C$679,0)))</f>
        <v/>
      </c>
      <c r="H262">
        <f>IF(ISNA(MATCH(253,'Transfer Engine'!$C$2:$C$679,0)),"",INDEX('Compliance Database'!$H$2:$H$679,MATCH(253,'Transfer Engine'!$C$2:$C$679,0)))</f>
        <v/>
      </c>
      <c r="I262" s="8">
        <f>IF(ISNA(MATCH(253,'Transfer Engine'!$C$2:$C$679,0)),"",INDEX('Compliance Database'!$I$2:$I$679,MATCH(253,'Transfer Engine'!$C$2:$C$679,0)))</f>
        <v/>
      </c>
      <c r="J262" s="8">
        <f>IF(ISNA(MATCH(253,'Transfer Engine'!$C$2:$C$679,0)),"",INDEX('Compliance Database'!$J$2:$J$679,MATCH(253,'Transfer Engine'!$C$2:$C$679,0)))</f>
        <v/>
      </c>
      <c r="K262">
        <f>IF(ISNA(MATCH(253,'Transfer Engine'!$C$2:$C$679,0)),"",INDEX('Compliance Database'!$K$2:$K$679,MATCH(253,'Transfer Engine'!$C$2:$C$679,0)))</f>
        <v/>
      </c>
      <c r="L262" s="8">
        <f>IF(ISNA(MATCH(253,'Transfer Engine'!$C$2:$C$679,0)),"",INDEX('Compliance Database'!$L$2:$L$679,MATCH(253,'Transfer Engine'!$C$2:$C$679,0)))</f>
        <v/>
      </c>
      <c r="M262" s="8">
        <f>IF(ISNA(MATCH(253,'Transfer Engine'!$C$2:$C$679,0)),"",INDEX('Compliance Database'!$M$2:$M$679,MATCH(253,'Transfer Engine'!$C$2:$C$679,0)))</f>
        <v/>
      </c>
      <c r="N262" s="8">
        <f>IF(ISNA(MATCH(253,'Transfer Engine'!$C$2:$C$679,0)),"",INDEX('Compliance Database'!$N$2:$N$679,MATCH(253,'Transfer Engine'!$C$2:$C$679,0)))</f>
        <v/>
      </c>
      <c r="O262" s="8">
        <f>IF(ISNA(MATCH(253,'Transfer Engine'!$C$2:$C$679,0)),"",INDEX('Compliance Database'!$O$2:$O$679,MATCH(253,'Transfer Engine'!$C$2:$C$679,0)))</f>
        <v/>
      </c>
      <c r="P262">
        <f>IF(ISNA(MATCH(253,'Transfer Engine'!$C$2:$C$679,0)),"",HYPERLINK(INDEX('Compliance Database'!$P$2:$P$679,MATCH(253,'Transfer Engine'!$C$2:$C$679,0)),"Open PDF"))</f>
        <v/>
      </c>
    </row>
    <row r="263">
      <c r="A263">
        <f>IF(ISNA(MATCH(254,'Transfer Engine'!$C$2:$C$679,0)),"",INDEX('Compliance Database'!$A$2:$A$679,MATCH(254,'Transfer Engine'!$C$2:$C$679,0)))</f>
        <v/>
      </c>
      <c r="B263">
        <f>IF(ISNA(MATCH(254,'Transfer Engine'!$C$2:$C$679,0)),"",INDEX('Compliance Database'!$B$2:$B$679,MATCH(254,'Transfer Engine'!$C$2:$C$679,0)))</f>
        <v/>
      </c>
      <c r="C263">
        <f>IF(ISNA(MATCH(254,'Transfer Engine'!$C$2:$C$679,0)),"",INDEX('Compliance Database'!$C$2:$C$679,MATCH(254,'Transfer Engine'!$C$2:$C$679,0)))</f>
        <v/>
      </c>
      <c r="D263" s="8">
        <f>IF(ISNA(MATCH(254,'Transfer Engine'!$C$2:$C$679,0)),"",INDEX('Compliance Database'!$D$2:$D$679,MATCH(254,'Transfer Engine'!$C$2:$C$679,0)))</f>
        <v/>
      </c>
      <c r="E263">
        <f>IF(ISNA(MATCH(254,'Transfer Engine'!$C$2:$C$679,0)),"",INDEX('Compliance Database'!$E$2:$E$679,MATCH(254,'Transfer Engine'!$C$2:$C$679,0)))</f>
        <v/>
      </c>
      <c r="F263">
        <f>IF(ISNA(MATCH(254,'Transfer Engine'!$C$2:$C$679,0)),"",INDEX('Compliance Database'!$F$2:$F$679,MATCH(254,'Transfer Engine'!$C$2:$C$679,0)))</f>
        <v/>
      </c>
      <c r="G263">
        <f>IF(ISNA(MATCH(254,'Transfer Engine'!$C$2:$C$679,0)),"",INDEX('Compliance Database'!$G$2:$G$679,MATCH(254,'Transfer Engine'!$C$2:$C$679,0)))</f>
        <v/>
      </c>
      <c r="H263">
        <f>IF(ISNA(MATCH(254,'Transfer Engine'!$C$2:$C$679,0)),"",INDEX('Compliance Database'!$H$2:$H$679,MATCH(254,'Transfer Engine'!$C$2:$C$679,0)))</f>
        <v/>
      </c>
      <c r="I263" s="8">
        <f>IF(ISNA(MATCH(254,'Transfer Engine'!$C$2:$C$679,0)),"",INDEX('Compliance Database'!$I$2:$I$679,MATCH(254,'Transfer Engine'!$C$2:$C$679,0)))</f>
        <v/>
      </c>
      <c r="J263" s="8">
        <f>IF(ISNA(MATCH(254,'Transfer Engine'!$C$2:$C$679,0)),"",INDEX('Compliance Database'!$J$2:$J$679,MATCH(254,'Transfer Engine'!$C$2:$C$679,0)))</f>
        <v/>
      </c>
      <c r="K263">
        <f>IF(ISNA(MATCH(254,'Transfer Engine'!$C$2:$C$679,0)),"",INDEX('Compliance Database'!$K$2:$K$679,MATCH(254,'Transfer Engine'!$C$2:$C$679,0)))</f>
        <v/>
      </c>
      <c r="L263" s="8">
        <f>IF(ISNA(MATCH(254,'Transfer Engine'!$C$2:$C$679,0)),"",INDEX('Compliance Database'!$L$2:$L$679,MATCH(254,'Transfer Engine'!$C$2:$C$679,0)))</f>
        <v/>
      </c>
      <c r="M263" s="8">
        <f>IF(ISNA(MATCH(254,'Transfer Engine'!$C$2:$C$679,0)),"",INDEX('Compliance Database'!$M$2:$M$679,MATCH(254,'Transfer Engine'!$C$2:$C$679,0)))</f>
        <v/>
      </c>
      <c r="N263" s="8">
        <f>IF(ISNA(MATCH(254,'Transfer Engine'!$C$2:$C$679,0)),"",INDEX('Compliance Database'!$N$2:$N$679,MATCH(254,'Transfer Engine'!$C$2:$C$679,0)))</f>
        <v/>
      </c>
      <c r="O263" s="8">
        <f>IF(ISNA(MATCH(254,'Transfer Engine'!$C$2:$C$679,0)),"",INDEX('Compliance Database'!$O$2:$O$679,MATCH(254,'Transfer Engine'!$C$2:$C$679,0)))</f>
        <v/>
      </c>
      <c r="P263">
        <f>IF(ISNA(MATCH(254,'Transfer Engine'!$C$2:$C$679,0)),"",HYPERLINK(INDEX('Compliance Database'!$P$2:$P$679,MATCH(254,'Transfer Engine'!$C$2:$C$679,0)),"Open PDF"))</f>
        <v/>
      </c>
    </row>
    <row r="264">
      <c r="A264">
        <f>IF(ISNA(MATCH(255,'Transfer Engine'!$C$2:$C$679,0)),"",INDEX('Compliance Database'!$A$2:$A$679,MATCH(255,'Transfer Engine'!$C$2:$C$679,0)))</f>
        <v/>
      </c>
      <c r="B264">
        <f>IF(ISNA(MATCH(255,'Transfer Engine'!$C$2:$C$679,0)),"",INDEX('Compliance Database'!$B$2:$B$679,MATCH(255,'Transfer Engine'!$C$2:$C$679,0)))</f>
        <v/>
      </c>
      <c r="C264">
        <f>IF(ISNA(MATCH(255,'Transfer Engine'!$C$2:$C$679,0)),"",INDEX('Compliance Database'!$C$2:$C$679,MATCH(255,'Transfer Engine'!$C$2:$C$679,0)))</f>
        <v/>
      </c>
      <c r="D264" s="8">
        <f>IF(ISNA(MATCH(255,'Transfer Engine'!$C$2:$C$679,0)),"",INDEX('Compliance Database'!$D$2:$D$679,MATCH(255,'Transfer Engine'!$C$2:$C$679,0)))</f>
        <v/>
      </c>
      <c r="E264">
        <f>IF(ISNA(MATCH(255,'Transfer Engine'!$C$2:$C$679,0)),"",INDEX('Compliance Database'!$E$2:$E$679,MATCH(255,'Transfer Engine'!$C$2:$C$679,0)))</f>
        <v/>
      </c>
      <c r="F264">
        <f>IF(ISNA(MATCH(255,'Transfer Engine'!$C$2:$C$679,0)),"",INDEX('Compliance Database'!$F$2:$F$679,MATCH(255,'Transfer Engine'!$C$2:$C$679,0)))</f>
        <v/>
      </c>
      <c r="G264">
        <f>IF(ISNA(MATCH(255,'Transfer Engine'!$C$2:$C$679,0)),"",INDEX('Compliance Database'!$G$2:$G$679,MATCH(255,'Transfer Engine'!$C$2:$C$679,0)))</f>
        <v/>
      </c>
      <c r="H264">
        <f>IF(ISNA(MATCH(255,'Transfer Engine'!$C$2:$C$679,0)),"",INDEX('Compliance Database'!$H$2:$H$679,MATCH(255,'Transfer Engine'!$C$2:$C$679,0)))</f>
        <v/>
      </c>
      <c r="I264" s="8">
        <f>IF(ISNA(MATCH(255,'Transfer Engine'!$C$2:$C$679,0)),"",INDEX('Compliance Database'!$I$2:$I$679,MATCH(255,'Transfer Engine'!$C$2:$C$679,0)))</f>
        <v/>
      </c>
      <c r="J264" s="8">
        <f>IF(ISNA(MATCH(255,'Transfer Engine'!$C$2:$C$679,0)),"",INDEX('Compliance Database'!$J$2:$J$679,MATCH(255,'Transfer Engine'!$C$2:$C$679,0)))</f>
        <v/>
      </c>
      <c r="K264">
        <f>IF(ISNA(MATCH(255,'Transfer Engine'!$C$2:$C$679,0)),"",INDEX('Compliance Database'!$K$2:$K$679,MATCH(255,'Transfer Engine'!$C$2:$C$679,0)))</f>
        <v/>
      </c>
      <c r="L264" s="8">
        <f>IF(ISNA(MATCH(255,'Transfer Engine'!$C$2:$C$679,0)),"",INDEX('Compliance Database'!$L$2:$L$679,MATCH(255,'Transfer Engine'!$C$2:$C$679,0)))</f>
        <v/>
      </c>
      <c r="M264" s="8">
        <f>IF(ISNA(MATCH(255,'Transfer Engine'!$C$2:$C$679,0)),"",INDEX('Compliance Database'!$M$2:$M$679,MATCH(255,'Transfer Engine'!$C$2:$C$679,0)))</f>
        <v/>
      </c>
      <c r="N264" s="8">
        <f>IF(ISNA(MATCH(255,'Transfer Engine'!$C$2:$C$679,0)),"",INDEX('Compliance Database'!$N$2:$N$679,MATCH(255,'Transfer Engine'!$C$2:$C$679,0)))</f>
        <v/>
      </c>
      <c r="O264" s="8">
        <f>IF(ISNA(MATCH(255,'Transfer Engine'!$C$2:$C$679,0)),"",INDEX('Compliance Database'!$O$2:$O$679,MATCH(255,'Transfer Engine'!$C$2:$C$679,0)))</f>
        <v/>
      </c>
      <c r="P264">
        <f>IF(ISNA(MATCH(255,'Transfer Engine'!$C$2:$C$679,0)),"",HYPERLINK(INDEX('Compliance Database'!$P$2:$P$679,MATCH(255,'Transfer Engine'!$C$2:$C$679,0)),"Open PDF"))</f>
        <v/>
      </c>
    </row>
    <row r="265">
      <c r="A265">
        <f>IF(ISNA(MATCH(256,'Transfer Engine'!$C$2:$C$679,0)),"",INDEX('Compliance Database'!$A$2:$A$679,MATCH(256,'Transfer Engine'!$C$2:$C$679,0)))</f>
        <v/>
      </c>
      <c r="B265">
        <f>IF(ISNA(MATCH(256,'Transfer Engine'!$C$2:$C$679,0)),"",INDEX('Compliance Database'!$B$2:$B$679,MATCH(256,'Transfer Engine'!$C$2:$C$679,0)))</f>
        <v/>
      </c>
      <c r="C265">
        <f>IF(ISNA(MATCH(256,'Transfer Engine'!$C$2:$C$679,0)),"",INDEX('Compliance Database'!$C$2:$C$679,MATCH(256,'Transfer Engine'!$C$2:$C$679,0)))</f>
        <v/>
      </c>
      <c r="D265" s="8">
        <f>IF(ISNA(MATCH(256,'Transfer Engine'!$C$2:$C$679,0)),"",INDEX('Compliance Database'!$D$2:$D$679,MATCH(256,'Transfer Engine'!$C$2:$C$679,0)))</f>
        <v/>
      </c>
      <c r="E265">
        <f>IF(ISNA(MATCH(256,'Transfer Engine'!$C$2:$C$679,0)),"",INDEX('Compliance Database'!$E$2:$E$679,MATCH(256,'Transfer Engine'!$C$2:$C$679,0)))</f>
        <v/>
      </c>
      <c r="F265">
        <f>IF(ISNA(MATCH(256,'Transfer Engine'!$C$2:$C$679,0)),"",INDEX('Compliance Database'!$F$2:$F$679,MATCH(256,'Transfer Engine'!$C$2:$C$679,0)))</f>
        <v/>
      </c>
      <c r="G265">
        <f>IF(ISNA(MATCH(256,'Transfer Engine'!$C$2:$C$679,0)),"",INDEX('Compliance Database'!$G$2:$G$679,MATCH(256,'Transfer Engine'!$C$2:$C$679,0)))</f>
        <v/>
      </c>
      <c r="H265">
        <f>IF(ISNA(MATCH(256,'Transfer Engine'!$C$2:$C$679,0)),"",INDEX('Compliance Database'!$H$2:$H$679,MATCH(256,'Transfer Engine'!$C$2:$C$679,0)))</f>
        <v/>
      </c>
      <c r="I265" s="8">
        <f>IF(ISNA(MATCH(256,'Transfer Engine'!$C$2:$C$679,0)),"",INDEX('Compliance Database'!$I$2:$I$679,MATCH(256,'Transfer Engine'!$C$2:$C$679,0)))</f>
        <v/>
      </c>
      <c r="J265" s="8">
        <f>IF(ISNA(MATCH(256,'Transfer Engine'!$C$2:$C$679,0)),"",INDEX('Compliance Database'!$J$2:$J$679,MATCH(256,'Transfer Engine'!$C$2:$C$679,0)))</f>
        <v/>
      </c>
      <c r="K265">
        <f>IF(ISNA(MATCH(256,'Transfer Engine'!$C$2:$C$679,0)),"",INDEX('Compliance Database'!$K$2:$K$679,MATCH(256,'Transfer Engine'!$C$2:$C$679,0)))</f>
        <v/>
      </c>
      <c r="L265" s="8">
        <f>IF(ISNA(MATCH(256,'Transfer Engine'!$C$2:$C$679,0)),"",INDEX('Compliance Database'!$L$2:$L$679,MATCH(256,'Transfer Engine'!$C$2:$C$679,0)))</f>
        <v/>
      </c>
      <c r="M265" s="8">
        <f>IF(ISNA(MATCH(256,'Transfer Engine'!$C$2:$C$679,0)),"",INDEX('Compliance Database'!$M$2:$M$679,MATCH(256,'Transfer Engine'!$C$2:$C$679,0)))</f>
        <v/>
      </c>
      <c r="N265" s="8">
        <f>IF(ISNA(MATCH(256,'Transfer Engine'!$C$2:$C$679,0)),"",INDEX('Compliance Database'!$N$2:$N$679,MATCH(256,'Transfer Engine'!$C$2:$C$679,0)))</f>
        <v/>
      </c>
      <c r="O265" s="8">
        <f>IF(ISNA(MATCH(256,'Transfer Engine'!$C$2:$C$679,0)),"",INDEX('Compliance Database'!$O$2:$O$679,MATCH(256,'Transfer Engine'!$C$2:$C$679,0)))</f>
        <v/>
      </c>
      <c r="P265">
        <f>IF(ISNA(MATCH(256,'Transfer Engine'!$C$2:$C$679,0)),"",HYPERLINK(INDEX('Compliance Database'!$P$2:$P$679,MATCH(256,'Transfer Engine'!$C$2:$C$679,0)),"Open PDF"))</f>
        <v/>
      </c>
    </row>
    <row r="266">
      <c r="A266">
        <f>IF(ISNA(MATCH(257,'Transfer Engine'!$C$2:$C$679,0)),"",INDEX('Compliance Database'!$A$2:$A$679,MATCH(257,'Transfer Engine'!$C$2:$C$679,0)))</f>
        <v/>
      </c>
      <c r="B266">
        <f>IF(ISNA(MATCH(257,'Transfer Engine'!$C$2:$C$679,0)),"",INDEX('Compliance Database'!$B$2:$B$679,MATCH(257,'Transfer Engine'!$C$2:$C$679,0)))</f>
        <v/>
      </c>
      <c r="C266">
        <f>IF(ISNA(MATCH(257,'Transfer Engine'!$C$2:$C$679,0)),"",INDEX('Compliance Database'!$C$2:$C$679,MATCH(257,'Transfer Engine'!$C$2:$C$679,0)))</f>
        <v/>
      </c>
      <c r="D266" s="8">
        <f>IF(ISNA(MATCH(257,'Transfer Engine'!$C$2:$C$679,0)),"",INDEX('Compliance Database'!$D$2:$D$679,MATCH(257,'Transfer Engine'!$C$2:$C$679,0)))</f>
        <v/>
      </c>
      <c r="E266">
        <f>IF(ISNA(MATCH(257,'Transfer Engine'!$C$2:$C$679,0)),"",INDEX('Compliance Database'!$E$2:$E$679,MATCH(257,'Transfer Engine'!$C$2:$C$679,0)))</f>
        <v/>
      </c>
      <c r="F266">
        <f>IF(ISNA(MATCH(257,'Transfer Engine'!$C$2:$C$679,0)),"",INDEX('Compliance Database'!$F$2:$F$679,MATCH(257,'Transfer Engine'!$C$2:$C$679,0)))</f>
        <v/>
      </c>
      <c r="G266">
        <f>IF(ISNA(MATCH(257,'Transfer Engine'!$C$2:$C$679,0)),"",INDEX('Compliance Database'!$G$2:$G$679,MATCH(257,'Transfer Engine'!$C$2:$C$679,0)))</f>
        <v/>
      </c>
      <c r="H266">
        <f>IF(ISNA(MATCH(257,'Transfer Engine'!$C$2:$C$679,0)),"",INDEX('Compliance Database'!$H$2:$H$679,MATCH(257,'Transfer Engine'!$C$2:$C$679,0)))</f>
        <v/>
      </c>
      <c r="I266" s="8">
        <f>IF(ISNA(MATCH(257,'Transfer Engine'!$C$2:$C$679,0)),"",INDEX('Compliance Database'!$I$2:$I$679,MATCH(257,'Transfer Engine'!$C$2:$C$679,0)))</f>
        <v/>
      </c>
      <c r="J266" s="8">
        <f>IF(ISNA(MATCH(257,'Transfer Engine'!$C$2:$C$679,0)),"",INDEX('Compliance Database'!$J$2:$J$679,MATCH(257,'Transfer Engine'!$C$2:$C$679,0)))</f>
        <v/>
      </c>
      <c r="K266">
        <f>IF(ISNA(MATCH(257,'Transfer Engine'!$C$2:$C$679,0)),"",INDEX('Compliance Database'!$K$2:$K$679,MATCH(257,'Transfer Engine'!$C$2:$C$679,0)))</f>
        <v/>
      </c>
      <c r="L266" s="8">
        <f>IF(ISNA(MATCH(257,'Transfer Engine'!$C$2:$C$679,0)),"",INDEX('Compliance Database'!$L$2:$L$679,MATCH(257,'Transfer Engine'!$C$2:$C$679,0)))</f>
        <v/>
      </c>
      <c r="M266" s="8">
        <f>IF(ISNA(MATCH(257,'Transfer Engine'!$C$2:$C$679,0)),"",INDEX('Compliance Database'!$M$2:$M$679,MATCH(257,'Transfer Engine'!$C$2:$C$679,0)))</f>
        <v/>
      </c>
      <c r="N266" s="8">
        <f>IF(ISNA(MATCH(257,'Transfer Engine'!$C$2:$C$679,0)),"",INDEX('Compliance Database'!$N$2:$N$679,MATCH(257,'Transfer Engine'!$C$2:$C$679,0)))</f>
        <v/>
      </c>
      <c r="O266" s="8">
        <f>IF(ISNA(MATCH(257,'Transfer Engine'!$C$2:$C$679,0)),"",INDEX('Compliance Database'!$O$2:$O$679,MATCH(257,'Transfer Engine'!$C$2:$C$679,0)))</f>
        <v/>
      </c>
      <c r="P266">
        <f>IF(ISNA(MATCH(257,'Transfer Engine'!$C$2:$C$679,0)),"",HYPERLINK(INDEX('Compliance Database'!$P$2:$P$679,MATCH(257,'Transfer Engine'!$C$2:$C$679,0)),"Open PDF"))</f>
        <v/>
      </c>
    </row>
    <row r="267">
      <c r="A267">
        <f>IF(ISNA(MATCH(258,'Transfer Engine'!$C$2:$C$679,0)),"",INDEX('Compliance Database'!$A$2:$A$679,MATCH(258,'Transfer Engine'!$C$2:$C$679,0)))</f>
        <v/>
      </c>
      <c r="B267">
        <f>IF(ISNA(MATCH(258,'Transfer Engine'!$C$2:$C$679,0)),"",INDEX('Compliance Database'!$B$2:$B$679,MATCH(258,'Transfer Engine'!$C$2:$C$679,0)))</f>
        <v/>
      </c>
      <c r="C267">
        <f>IF(ISNA(MATCH(258,'Transfer Engine'!$C$2:$C$679,0)),"",INDEX('Compliance Database'!$C$2:$C$679,MATCH(258,'Transfer Engine'!$C$2:$C$679,0)))</f>
        <v/>
      </c>
      <c r="D267" s="8">
        <f>IF(ISNA(MATCH(258,'Transfer Engine'!$C$2:$C$679,0)),"",INDEX('Compliance Database'!$D$2:$D$679,MATCH(258,'Transfer Engine'!$C$2:$C$679,0)))</f>
        <v/>
      </c>
      <c r="E267">
        <f>IF(ISNA(MATCH(258,'Transfer Engine'!$C$2:$C$679,0)),"",INDEX('Compliance Database'!$E$2:$E$679,MATCH(258,'Transfer Engine'!$C$2:$C$679,0)))</f>
        <v/>
      </c>
      <c r="F267">
        <f>IF(ISNA(MATCH(258,'Transfer Engine'!$C$2:$C$679,0)),"",INDEX('Compliance Database'!$F$2:$F$679,MATCH(258,'Transfer Engine'!$C$2:$C$679,0)))</f>
        <v/>
      </c>
      <c r="G267">
        <f>IF(ISNA(MATCH(258,'Transfer Engine'!$C$2:$C$679,0)),"",INDEX('Compliance Database'!$G$2:$G$679,MATCH(258,'Transfer Engine'!$C$2:$C$679,0)))</f>
        <v/>
      </c>
      <c r="H267">
        <f>IF(ISNA(MATCH(258,'Transfer Engine'!$C$2:$C$679,0)),"",INDEX('Compliance Database'!$H$2:$H$679,MATCH(258,'Transfer Engine'!$C$2:$C$679,0)))</f>
        <v/>
      </c>
      <c r="I267" s="8">
        <f>IF(ISNA(MATCH(258,'Transfer Engine'!$C$2:$C$679,0)),"",INDEX('Compliance Database'!$I$2:$I$679,MATCH(258,'Transfer Engine'!$C$2:$C$679,0)))</f>
        <v/>
      </c>
      <c r="J267" s="8">
        <f>IF(ISNA(MATCH(258,'Transfer Engine'!$C$2:$C$679,0)),"",INDEX('Compliance Database'!$J$2:$J$679,MATCH(258,'Transfer Engine'!$C$2:$C$679,0)))</f>
        <v/>
      </c>
      <c r="K267">
        <f>IF(ISNA(MATCH(258,'Transfer Engine'!$C$2:$C$679,0)),"",INDEX('Compliance Database'!$K$2:$K$679,MATCH(258,'Transfer Engine'!$C$2:$C$679,0)))</f>
        <v/>
      </c>
      <c r="L267" s="8">
        <f>IF(ISNA(MATCH(258,'Transfer Engine'!$C$2:$C$679,0)),"",INDEX('Compliance Database'!$L$2:$L$679,MATCH(258,'Transfer Engine'!$C$2:$C$679,0)))</f>
        <v/>
      </c>
      <c r="M267" s="8">
        <f>IF(ISNA(MATCH(258,'Transfer Engine'!$C$2:$C$679,0)),"",INDEX('Compliance Database'!$M$2:$M$679,MATCH(258,'Transfer Engine'!$C$2:$C$679,0)))</f>
        <v/>
      </c>
      <c r="N267" s="8">
        <f>IF(ISNA(MATCH(258,'Transfer Engine'!$C$2:$C$679,0)),"",INDEX('Compliance Database'!$N$2:$N$679,MATCH(258,'Transfer Engine'!$C$2:$C$679,0)))</f>
        <v/>
      </c>
      <c r="O267" s="8">
        <f>IF(ISNA(MATCH(258,'Transfer Engine'!$C$2:$C$679,0)),"",INDEX('Compliance Database'!$O$2:$O$679,MATCH(258,'Transfer Engine'!$C$2:$C$679,0)))</f>
        <v/>
      </c>
      <c r="P267">
        <f>IF(ISNA(MATCH(258,'Transfer Engine'!$C$2:$C$679,0)),"",HYPERLINK(INDEX('Compliance Database'!$P$2:$P$679,MATCH(258,'Transfer Engine'!$C$2:$C$679,0)),"Open PDF"))</f>
        <v/>
      </c>
    </row>
    <row r="268">
      <c r="A268">
        <f>IF(ISNA(MATCH(259,'Transfer Engine'!$C$2:$C$679,0)),"",INDEX('Compliance Database'!$A$2:$A$679,MATCH(259,'Transfer Engine'!$C$2:$C$679,0)))</f>
        <v/>
      </c>
      <c r="B268">
        <f>IF(ISNA(MATCH(259,'Transfer Engine'!$C$2:$C$679,0)),"",INDEX('Compliance Database'!$B$2:$B$679,MATCH(259,'Transfer Engine'!$C$2:$C$679,0)))</f>
        <v/>
      </c>
      <c r="C268">
        <f>IF(ISNA(MATCH(259,'Transfer Engine'!$C$2:$C$679,0)),"",INDEX('Compliance Database'!$C$2:$C$679,MATCH(259,'Transfer Engine'!$C$2:$C$679,0)))</f>
        <v/>
      </c>
      <c r="D268" s="8">
        <f>IF(ISNA(MATCH(259,'Transfer Engine'!$C$2:$C$679,0)),"",INDEX('Compliance Database'!$D$2:$D$679,MATCH(259,'Transfer Engine'!$C$2:$C$679,0)))</f>
        <v/>
      </c>
      <c r="E268">
        <f>IF(ISNA(MATCH(259,'Transfer Engine'!$C$2:$C$679,0)),"",INDEX('Compliance Database'!$E$2:$E$679,MATCH(259,'Transfer Engine'!$C$2:$C$679,0)))</f>
        <v/>
      </c>
      <c r="F268">
        <f>IF(ISNA(MATCH(259,'Transfer Engine'!$C$2:$C$679,0)),"",INDEX('Compliance Database'!$F$2:$F$679,MATCH(259,'Transfer Engine'!$C$2:$C$679,0)))</f>
        <v/>
      </c>
      <c r="G268">
        <f>IF(ISNA(MATCH(259,'Transfer Engine'!$C$2:$C$679,0)),"",INDEX('Compliance Database'!$G$2:$G$679,MATCH(259,'Transfer Engine'!$C$2:$C$679,0)))</f>
        <v/>
      </c>
      <c r="H268">
        <f>IF(ISNA(MATCH(259,'Transfer Engine'!$C$2:$C$679,0)),"",INDEX('Compliance Database'!$H$2:$H$679,MATCH(259,'Transfer Engine'!$C$2:$C$679,0)))</f>
        <v/>
      </c>
      <c r="I268" s="8">
        <f>IF(ISNA(MATCH(259,'Transfer Engine'!$C$2:$C$679,0)),"",INDEX('Compliance Database'!$I$2:$I$679,MATCH(259,'Transfer Engine'!$C$2:$C$679,0)))</f>
        <v/>
      </c>
      <c r="J268" s="8">
        <f>IF(ISNA(MATCH(259,'Transfer Engine'!$C$2:$C$679,0)),"",INDEX('Compliance Database'!$J$2:$J$679,MATCH(259,'Transfer Engine'!$C$2:$C$679,0)))</f>
        <v/>
      </c>
      <c r="K268">
        <f>IF(ISNA(MATCH(259,'Transfer Engine'!$C$2:$C$679,0)),"",INDEX('Compliance Database'!$K$2:$K$679,MATCH(259,'Transfer Engine'!$C$2:$C$679,0)))</f>
        <v/>
      </c>
      <c r="L268" s="8">
        <f>IF(ISNA(MATCH(259,'Transfer Engine'!$C$2:$C$679,0)),"",INDEX('Compliance Database'!$L$2:$L$679,MATCH(259,'Transfer Engine'!$C$2:$C$679,0)))</f>
        <v/>
      </c>
      <c r="M268" s="8">
        <f>IF(ISNA(MATCH(259,'Transfer Engine'!$C$2:$C$679,0)),"",INDEX('Compliance Database'!$M$2:$M$679,MATCH(259,'Transfer Engine'!$C$2:$C$679,0)))</f>
        <v/>
      </c>
      <c r="N268" s="8">
        <f>IF(ISNA(MATCH(259,'Transfer Engine'!$C$2:$C$679,0)),"",INDEX('Compliance Database'!$N$2:$N$679,MATCH(259,'Transfer Engine'!$C$2:$C$679,0)))</f>
        <v/>
      </c>
      <c r="O268" s="8">
        <f>IF(ISNA(MATCH(259,'Transfer Engine'!$C$2:$C$679,0)),"",INDEX('Compliance Database'!$O$2:$O$679,MATCH(259,'Transfer Engine'!$C$2:$C$679,0)))</f>
        <v/>
      </c>
      <c r="P268">
        <f>IF(ISNA(MATCH(259,'Transfer Engine'!$C$2:$C$679,0)),"",HYPERLINK(INDEX('Compliance Database'!$P$2:$P$679,MATCH(259,'Transfer Engine'!$C$2:$C$679,0)),"Open PDF"))</f>
        <v/>
      </c>
    </row>
    <row r="269">
      <c r="A269">
        <f>IF(ISNA(MATCH(260,'Transfer Engine'!$C$2:$C$679,0)),"",INDEX('Compliance Database'!$A$2:$A$679,MATCH(260,'Transfer Engine'!$C$2:$C$679,0)))</f>
        <v/>
      </c>
      <c r="B269">
        <f>IF(ISNA(MATCH(260,'Transfer Engine'!$C$2:$C$679,0)),"",INDEX('Compliance Database'!$B$2:$B$679,MATCH(260,'Transfer Engine'!$C$2:$C$679,0)))</f>
        <v/>
      </c>
      <c r="C269">
        <f>IF(ISNA(MATCH(260,'Transfer Engine'!$C$2:$C$679,0)),"",INDEX('Compliance Database'!$C$2:$C$679,MATCH(260,'Transfer Engine'!$C$2:$C$679,0)))</f>
        <v/>
      </c>
      <c r="D269" s="8">
        <f>IF(ISNA(MATCH(260,'Transfer Engine'!$C$2:$C$679,0)),"",INDEX('Compliance Database'!$D$2:$D$679,MATCH(260,'Transfer Engine'!$C$2:$C$679,0)))</f>
        <v/>
      </c>
      <c r="E269">
        <f>IF(ISNA(MATCH(260,'Transfer Engine'!$C$2:$C$679,0)),"",INDEX('Compliance Database'!$E$2:$E$679,MATCH(260,'Transfer Engine'!$C$2:$C$679,0)))</f>
        <v/>
      </c>
      <c r="F269">
        <f>IF(ISNA(MATCH(260,'Transfer Engine'!$C$2:$C$679,0)),"",INDEX('Compliance Database'!$F$2:$F$679,MATCH(260,'Transfer Engine'!$C$2:$C$679,0)))</f>
        <v/>
      </c>
      <c r="G269">
        <f>IF(ISNA(MATCH(260,'Transfer Engine'!$C$2:$C$679,0)),"",INDEX('Compliance Database'!$G$2:$G$679,MATCH(260,'Transfer Engine'!$C$2:$C$679,0)))</f>
        <v/>
      </c>
      <c r="H269">
        <f>IF(ISNA(MATCH(260,'Transfer Engine'!$C$2:$C$679,0)),"",INDEX('Compliance Database'!$H$2:$H$679,MATCH(260,'Transfer Engine'!$C$2:$C$679,0)))</f>
        <v/>
      </c>
      <c r="I269" s="8">
        <f>IF(ISNA(MATCH(260,'Transfer Engine'!$C$2:$C$679,0)),"",INDEX('Compliance Database'!$I$2:$I$679,MATCH(260,'Transfer Engine'!$C$2:$C$679,0)))</f>
        <v/>
      </c>
      <c r="J269" s="8">
        <f>IF(ISNA(MATCH(260,'Transfer Engine'!$C$2:$C$679,0)),"",INDEX('Compliance Database'!$J$2:$J$679,MATCH(260,'Transfer Engine'!$C$2:$C$679,0)))</f>
        <v/>
      </c>
      <c r="K269">
        <f>IF(ISNA(MATCH(260,'Transfer Engine'!$C$2:$C$679,0)),"",INDEX('Compliance Database'!$K$2:$K$679,MATCH(260,'Transfer Engine'!$C$2:$C$679,0)))</f>
        <v/>
      </c>
      <c r="L269" s="8">
        <f>IF(ISNA(MATCH(260,'Transfer Engine'!$C$2:$C$679,0)),"",INDEX('Compliance Database'!$L$2:$L$679,MATCH(260,'Transfer Engine'!$C$2:$C$679,0)))</f>
        <v/>
      </c>
      <c r="M269" s="8">
        <f>IF(ISNA(MATCH(260,'Transfer Engine'!$C$2:$C$679,0)),"",INDEX('Compliance Database'!$M$2:$M$679,MATCH(260,'Transfer Engine'!$C$2:$C$679,0)))</f>
        <v/>
      </c>
      <c r="N269" s="8">
        <f>IF(ISNA(MATCH(260,'Transfer Engine'!$C$2:$C$679,0)),"",INDEX('Compliance Database'!$N$2:$N$679,MATCH(260,'Transfer Engine'!$C$2:$C$679,0)))</f>
        <v/>
      </c>
      <c r="O269" s="8">
        <f>IF(ISNA(MATCH(260,'Transfer Engine'!$C$2:$C$679,0)),"",INDEX('Compliance Database'!$O$2:$O$679,MATCH(260,'Transfer Engine'!$C$2:$C$679,0)))</f>
        <v/>
      </c>
      <c r="P269">
        <f>IF(ISNA(MATCH(260,'Transfer Engine'!$C$2:$C$679,0)),"",HYPERLINK(INDEX('Compliance Database'!$P$2:$P$679,MATCH(260,'Transfer Engine'!$C$2:$C$679,0)),"Open PDF"))</f>
        <v/>
      </c>
    </row>
    <row r="270">
      <c r="A270">
        <f>IF(ISNA(MATCH(261,'Transfer Engine'!$C$2:$C$679,0)),"",INDEX('Compliance Database'!$A$2:$A$679,MATCH(261,'Transfer Engine'!$C$2:$C$679,0)))</f>
        <v/>
      </c>
      <c r="B270">
        <f>IF(ISNA(MATCH(261,'Transfer Engine'!$C$2:$C$679,0)),"",INDEX('Compliance Database'!$B$2:$B$679,MATCH(261,'Transfer Engine'!$C$2:$C$679,0)))</f>
        <v/>
      </c>
      <c r="C270">
        <f>IF(ISNA(MATCH(261,'Transfer Engine'!$C$2:$C$679,0)),"",INDEX('Compliance Database'!$C$2:$C$679,MATCH(261,'Transfer Engine'!$C$2:$C$679,0)))</f>
        <v/>
      </c>
      <c r="D270" s="8">
        <f>IF(ISNA(MATCH(261,'Transfer Engine'!$C$2:$C$679,0)),"",INDEX('Compliance Database'!$D$2:$D$679,MATCH(261,'Transfer Engine'!$C$2:$C$679,0)))</f>
        <v/>
      </c>
      <c r="E270">
        <f>IF(ISNA(MATCH(261,'Transfer Engine'!$C$2:$C$679,0)),"",INDEX('Compliance Database'!$E$2:$E$679,MATCH(261,'Transfer Engine'!$C$2:$C$679,0)))</f>
        <v/>
      </c>
      <c r="F270">
        <f>IF(ISNA(MATCH(261,'Transfer Engine'!$C$2:$C$679,0)),"",INDEX('Compliance Database'!$F$2:$F$679,MATCH(261,'Transfer Engine'!$C$2:$C$679,0)))</f>
        <v/>
      </c>
      <c r="G270">
        <f>IF(ISNA(MATCH(261,'Transfer Engine'!$C$2:$C$679,0)),"",INDEX('Compliance Database'!$G$2:$G$679,MATCH(261,'Transfer Engine'!$C$2:$C$679,0)))</f>
        <v/>
      </c>
      <c r="H270">
        <f>IF(ISNA(MATCH(261,'Transfer Engine'!$C$2:$C$679,0)),"",INDEX('Compliance Database'!$H$2:$H$679,MATCH(261,'Transfer Engine'!$C$2:$C$679,0)))</f>
        <v/>
      </c>
      <c r="I270" s="8">
        <f>IF(ISNA(MATCH(261,'Transfer Engine'!$C$2:$C$679,0)),"",INDEX('Compliance Database'!$I$2:$I$679,MATCH(261,'Transfer Engine'!$C$2:$C$679,0)))</f>
        <v/>
      </c>
      <c r="J270" s="8">
        <f>IF(ISNA(MATCH(261,'Transfer Engine'!$C$2:$C$679,0)),"",INDEX('Compliance Database'!$J$2:$J$679,MATCH(261,'Transfer Engine'!$C$2:$C$679,0)))</f>
        <v/>
      </c>
      <c r="K270">
        <f>IF(ISNA(MATCH(261,'Transfer Engine'!$C$2:$C$679,0)),"",INDEX('Compliance Database'!$K$2:$K$679,MATCH(261,'Transfer Engine'!$C$2:$C$679,0)))</f>
        <v/>
      </c>
      <c r="L270" s="8">
        <f>IF(ISNA(MATCH(261,'Transfer Engine'!$C$2:$C$679,0)),"",INDEX('Compliance Database'!$L$2:$L$679,MATCH(261,'Transfer Engine'!$C$2:$C$679,0)))</f>
        <v/>
      </c>
      <c r="M270" s="8">
        <f>IF(ISNA(MATCH(261,'Transfer Engine'!$C$2:$C$679,0)),"",INDEX('Compliance Database'!$M$2:$M$679,MATCH(261,'Transfer Engine'!$C$2:$C$679,0)))</f>
        <v/>
      </c>
      <c r="N270" s="8">
        <f>IF(ISNA(MATCH(261,'Transfer Engine'!$C$2:$C$679,0)),"",INDEX('Compliance Database'!$N$2:$N$679,MATCH(261,'Transfer Engine'!$C$2:$C$679,0)))</f>
        <v/>
      </c>
      <c r="O270" s="8">
        <f>IF(ISNA(MATCH(261,'Transfer Engine'!$C$2:$C$679,0)),"",INDEX('Compliance Database'!$O$2:$O$679,MATCH(261,'Transfer Engine'!$C$2:$C$679,0)))</f>
        <v/>
      </c>
      <c r="P270">
        <f>IF(ISNA(MATCH(261,'Transfer Engine'!$C$2:$C$679,0)),"",HYPERLINK(INDEX('Compliance Database'!$P$2:$P$679,MATCH(261,'Transfer Engine'!$C$2:$C$679,0)),"Open PDF"))</f>
        <v/>
      </c>
    </row>
    <row r="271">
      <c r="A271">
        <f>IF(ISNA(MATCH(262,'Transfer Engine'!$C$2:$C$679,0)),"",INDEX('Compliance Database'!$A$2:$A$679,MATCH(262,'Transfer Engine'!$C$2:$C$679,0)))</f>
        <v/>
      </c>
      <c r="B271">
        <f>IF(ISNA(MATCH(262,'Transfer Engine'!$C$2:$C$679,0)),"",INDEX('Compliance Database'!$B$2:$B$679,MATCH(262,'Transfer Engine'!$C$2:$C$679,0)))</f>
        <v/>
      </c>
      <c r="C271">
        <f>IF(ISNA(MATCH(262,'Transfer Engine'!$C$2:$C$679,0)),"",INDEX('Compliance Database'!$C$2:$C$679,MATCH(262,'Transfer Engine'!$C$2:$C$679,0)))</f>
        <v/>
      </c>
      <c r="D271" s="8">
        <f>IF(ISNA(MATCH(262,'Transfer Engine'!$C$2:$C$679,0)),"",INDEX('Compliance Database'!$D$2:$D$679,MATCH(262,'Transfer Engine'!$C$2:$C$679,0)))</f>
        <v/>
      </c>
      <c r="E271">
        <f>IF(ISNA(MATCH(262,'Transfer Engine'!$C$2:$C$679,0)),"",INDEX('Compliance Database'!$E$2:$E$679,MATCH(262,'Transfer Engine'!$C$2:$C$679,0)))</f>
        <v/>
      </c>
      <c r="F271">
        <f>IF(ISNA(MATCH(262,'Transfer Engine'!$C$2:$C$679,0)),"",INDEX('Compliance Database'!$F$2:$F$679,MATCH(262,'Transfer Engine'!$C$2:$C$679,0)))</f>
        <v/>
      </c>
      <c r="G271">
        <f>IF(ISNA(MATCH(262,'Transfer Engine'!$C$2:$C$679,0)),"",INDEX('Compliance Database'!$G$2:$G$679,MATCH(262,'Transfer Engine'!$C$2:$C$679,0)))</f>
        <v/>
      </c>
      <c r="H271">
        <f>IF(ISNA(MATCH(262,'Transfer Engine'!$C$2:$C$679,0)),"",INDEX('Compliance Database'!$H$2:$H$679,MATCH(262,'Transfer Engine'!$C$2:$C$679,0)))</f>
        <v/>
      </c>
      <c r="I271" s="8">
        <f>IF(ISNA(MATCH(262,'Transfer Engine'!$C$2:$C$679,0)),"",INDEX('Compliance Database'!$I$2:$I$679,MATCH(262,'Transfer Engine'!$C$2:$C$679,0)))</f>
        <v/>
      </c>
      <c r="J271" s="8">
        <f>IF(ISNA(MATCH(262,'Transfer Engine'!$C$2:$C$679,0)),"",INDEX('Compliance Database'!$J$2:$J$679,MATCH(262,'Transfer Engine'!$C$2:$C$679,0)))</f>
        <v/>
      </c>
      <c r="K271">
        <f>IF(ISNA(MATCH(262,'Transfer Engine'!$C$2:$C$679,0)),"",INDEX('Compliance Database'!$K$2:$K$679,MATCH(262,'Transfer Engine'!$C$2:$C$679,0)))</f>
        <v/>
      </c>
      <c r="L271" s="8">
        <f>IF(ISNA(MATCH(262,'Transfer Engine'!$C$2:$C$679,0)),"",INDEX('Compliance Database'!$L$2:$L$679,MATCH(262,'Transfer Engine'!$C$2:$C$679,0)))</f>
        <v/>
      </c>
      <c r="M271" s="8">
        <f>IF(ISNA(MATCH(262,'Transfer Engine'!$C$2:$C$679,0)),"",INDEX('Compliance Database'!$M$2:$M$679,MATCH(262,'Transfer Engine'!$C$2:$C$679,0)))</f>
        <v/>
      </c>
      <c r="N271" s="8">
        <f>IF(ISNA(MATCH(262,'Transfer Engine'!$C$2:$C$679,0)),"",INDEX('Compliance Database'!$N$2:$N$679,MATCH(262,'Transfer Engine'!$C$2:$C$679,0)))</f>
        <v/>
      </c>
      <c r="O271" s="8">
        <f>IF(ISNA(MATCH(262,'Transfer Engine'!$C$2:$C$679,0)),"",INDEX('Compliance Database'!$O$2:$O$679,MATCH(262,'Transfer Engine'!$C$2:$C$679,0)))</f>
        <v/>
      </c>
      <c r="P271">
        <f>IF(ISNA(MATCH(262,'Transfer Engine'!$C$2:$C$679,0)),"",HYPERLINK(INDEX('Compliance Database'!$P$2:$P$679,MATCH(262,'Transfer Engine'!$C$2:$C$679,0)),"Open PDF"))</f>
        <v/>
      </c>
    </row>
    <row r="272">
      <c r="A272">
        <f>IF(ISNA(MATCH(263,'Transfer Engine'!$C$2:$C$679,0)),"",INDEX('Compliance Database'!$A$2:$A$679,MATCH(263,'Transfer Engine'!$C$2:$C$679,0)))</f>
        <v/>
      </c>
      <c r="B272">
        <f>IF(ISNA(MATCH(263,'Transfer Engine'!$C$2:$C$679,0)),"",INDEX('Compliance Database'!$B$2:$B$679,MATCH(263,'Transfer Engine'!$C$2:$C$679,0)))</f>
        <v/>
      </c>
      <c r="C272">
        <f>IF(ISNA(MATCH(263,'Transfer Engine'!$C$2:$C$679,0)),"",INDEX('Compliance Database'!$C$2:$C$679,MATCH(263,'Transfer Engine'!$C$2:$C$679,0)))</f>
        <v/>
      </c>
      <c r="D272" s="8">
        <f>IF(ISNA(MATCH(263,'Transfer Engine'!$C$2:$C$679,0)),"",INDEX('Compliance Database'!$D$2:$D$679,MATCH(263,'Transfer Engine'!$C$2:$C$679,0)))</f>
        <v/>
      </c>
      <c r="E272">
        <f>IF(ISNA(MATCH(263,'Transfer Engine'!$C$2:$C$679,0)),"",INDEX('Compliance Database'!$E$2:$E$679,MATCH(263,'Transfer Engine'!$C$2:$C$679,0)))</f>
        <v/>
      </c>
      <c r="F272">
        <f>IF(ISNA(MATCH(263,'Transfer Engine'!$C$2:$C$679,0)),"",INDEX('Compliance Database'!$F$2:$F$679,MATCH(263,'Transfer Engine'!$C$2:$C$679,0)))</f>
        <v/>
      </c>
      <c r="G272">
        <f>IF(ISNA(MATCH(263,'Transfer Engine'!$C$2:$C$679,0)),"",INDEX('Compliance Database'!$G$2:$G$679,MATCH(263,'Transfer Engine'!$C$2:$C$679,0)))</f>
        <v/>
      </c>
      <c r="H272">
        <f>IF(ISNA(MATCH(263,'Transfer Engine'!$C$2:$C$679,0)),"",INDEX('Compliance Database'!$H$2:$H$679,MATCH(263,'Transfer Engine'!$C$2:$C$679,0)))</f>
        <v/>
      </c>
      <c r="I272" s="8">
        <f>IF(ISNA(MATCH(263,'Transfer Engine'!$C$2:$C$679,0)),"",INDEX('Compliance Database'!$I$2:$I$679,MATCH(263,'Transfer Engine'!$C$2:$C$679,0)))</f>
        <v/>
      </c>
      <c r="J272" s="8">
        <f>IF(ISNA(MATCH(263,'Transfer Engine'!$C$2:$C$679,0)),"",INDEX('Compliance Database'!$J$2:$J$679,MATCH(263,'Transfer Engine'!$C$2:$C$679,0)))</f>
        <v/>
      </c>
      <c r="K272">
        <f>IF(ISNA(MATCH(263,'Transfer Engine'!$C$2:$C$679,0)),"",INDEX('Compliance Database'!$K$2:$K$679,MATCH(263,'Transfer Engine'!$C$2:$C$679,0)))</f>
        <v/>
      </c>
      <c r="L272" s="8">
        <f>IF(ISNA(MATCH(263,'Transfer Engine'!$C$2:$C$679,0)),"",INDEX('Compliance Database'!$L$2:$L$679,MATCH(263,'Transfer Engine'!$C$2:$C$679,0)))</f>
        <v/>
      </c>
      <c r="M272" s="8">
        <f>IF(ISNA(MATCH(263,'Transfer Engine'!$C$2:$C$679,0)),"",INDEX('Compliance Database'!$M$2:$M$679,MATCH(263,'Transfer Engine'!$C$2:$C$679,0)))</f>
        <v/>
      </c>
      <c r="N272" s="8">
        <f>IF(ISNA(MATCH(263,'Transfer Engine'!$C$2:$C$679,0)),"",INDEX('Compliance Database'!$N$2:$N$679,MATCH(263,'Transfer Engine'!$C$2:$C$679,0)))</f>
        <v/>
      </c>
      <c r="O272" s="8">
        <f>IF(ISNA(MATCH(263,'Transfer Engine'!$C$2:$C$679,0)),"",INDEX('Compliance Database'!$O$2:$O$679,MATCH(263,'Transfer Engine'!$C$2:$C$679,0)))</f>
        <v/>
      </c>
      <c r="P272">
        <f>IF(ISNA(MATCH(263,'Transfer Engine'!$C$2:$C$679,0)),"",HYPERLINK(INDEX('Compliance Database'!$P$2:$P$679,MATCH(263,'Transfer Engine'!$C$2:$C$679,0)),"Open PDF"))</f>
        <v/>
      </c>
    </row>
    <row r="273">
      <c r="A273">
        <f>IF(ISNA(MATCH(264,'Transfer Engine'!$C$2:$C$679,0)),"",INDEX('Compliance Database'!$A$2:$A$679,MATCH(264,'Transfer Engine'!$C$2:$C$679,0)))</f>
        <v/>
      </c>
      <c r="B273">
        <f>IF(ISNA(MATCH(264,'Transfer Engine'!$C$2:$C$679,0)),"",INDEX('Compliance Database'!$B$2:$B$679,MATCH(264,'Transfer Engine'!$C$2:$C$679,0)))</f>
        <v/>
      </c>
      <c r="C273">
        <f>IF(ISNA(MATCH(264,'Transfer Engine'!$C$2:$C$679,0)),"",INDEX('Compliance Database'!$C$2:$C$679,MATCH(264,'Transfer Engine'!$C$2:$C$679,0)))</f>
        <v/>
      </c>
      <c r="D273" s="8">
        <f>IF(ISNA(MATCH(264,'Transfer Engine'!$C$2:$C$679,0)),"",INDEX('Compliance Database'!$D$2:$D$679,MATCH(264,'Transfer Engine'!$C$2:$C$679,0)))</f>
        <v/>
      </c>
      <c r="E273">
        <f>IF(ISNA(MATCH(264,'Transfer Engine'!$C$2:$C$679,0)),"",INDEX('Compliance Database'!$E$2:$E$679,MATCH(264,'Transfer Engine'!$C$2:$C$679,0)))</f>
        <v/>
      </c>
      <c r="F273">
        <f>IF(ISNA(MATCH(264,'Transfer Engine'!$C$2:$C$679,0)),"",INDEX('Compliance Database'!$F$2:$F$679,MATCH(264,'Transfer Engine'!$C$2:$C$679,0)))</f>
        <v/>
      </c>
      <c r="G273">
        <f>IF(ISNA(MATCH(264,'Transfer Engine'!$C$2:$C$679,0)),"",INDEX('Compliance Database'!$G$2:$G$679,MATCH(264,'Transfer Engine'!$C$2:$C$679,0)))</f>
        <v/>
      </c>
      <c r="H273">
        <f>IF(ISNA(MATCH(264,'Transfer Engine'!$C$2:$C$679,0)),"",INDEX('Compliance Database'!$H$2:$H$679,MATCH(264,'Transfer Engine'!$C$2:$C$679,0)))</f>
        <v/>
      </c>
      <c r="I273" s="8">
        <f>IF(ISNA(MATCH(264,'Transfer Engine'!$C$2:$C$679,0)),"",INDEX('Compliance Database'!$I$2:$I$679,MATCH(264,'Transfer Engine'!$C$2:$C$679,0)))</f>
        <v/>
      </c>
      <c r="J273" s="8">
        <f>IF(ISNA(MATCH(264,'Transfer Engine'!$C$2:$C$679,0)),"",INDEX('Compliance Database'!$J$2:$J$679,MATCH(264,'Transfer Engine'!$C$2:$C$679,0)))</f>
        <v/>
      </c>
      <c r="K273">
        <f>IF(ISNA(MATCH(264,'Transfer Engine'!$C$2:$C$679,0)),"",INDEX('Compliance Database'!$K$2:$K$679,MATCH(264,'Transfer Engine'!$C$2:$C$679,0)))</f>
        <v/>
      </c>
      <c r="L273" s="8">
        <f>IF(ISNA(MATCH(264,'Transfer Engine'!$C$2:$C$679,0)),"",INDEX('Compliance Database'!$L$2:$L$679,MATCH(264,'Transfer Engine'!$C$2:$C$679,0)))</f>
        <v/>
      </c>
      <c r="M273" s="8">
        <f>IF(ISNA(MATCH(264,'Transfer Engine'!$C$2:$C$679,0)),"",INDEX('Compliance Database'!$M$2:$M$679,MATCH(264,'Transfer Engine'!$C$2:$C$679,0)))</f>
        <v/>
      </c>
      <c r="N273" s="8">
        <f>IF(ISNA(MATCH(264,'Transfer Engine'!$C$2:$C$679,0)),"",INDEX('Compliance Database'!$N$2:$N$679,MATCH(264,'Transfer Engine'!$C$2:$C$679,0)))</f>
        <v/>
      </c>
      <c r="O273" s="8">
        <f>IF(ISNA(MATCH(264,'Transfer Engine'!$C$2:$C$679,0)),"",INDEX('Compliance Database'!$O$2:$O$679,MATCH(264,'Transfer Engine'!$C$2:$C$679,0)))</f>
        <v/>
      </c>
      <c r="P273">
        <f>IF(ISNA(MATCH(264,'Transfer Engine'!$C$2:$C$679,0)),"",HYPERLINK(INDEX('Compliance Database'!$P$2:$P$679,MATCH(264,'Transfer Engine'!$C$2:$C$679,0)),"Open PDF"))</f>
        <v/>
      </c>
    </row>
    <row r="274">
      <c r="A274">
        <f>IF(ISNA(MATCH(265,'Transfer Engine'!$C$2:$C$679,0)),"",INDEX('Compliance Database'!$A$2:$A$679,MATCH(265,'Transfer Engine'!$C$2:$C$679,0)))</f>
        <v/>
      </c>
      <c r="B274">
        <f>IF(ISNA(MATCH(265,'Transfer Engine'!$C$2:$C$679,0)),"",INDEX('Compliance Database'!$B$2:$B$679,MATCH(265,'Transfer Engine'!$C$2:$C$679,0)))</f>
        <v/>
      </c>
      <c r="C274">
        <f>IF(ISNA(MATCH(265,'Transfer Engine'!$C$2:$C$679,0)),"",INDEX('Compliance Database'!$C$2:$C$679,MATCH(265,'Transfer Engine'!$C$2:$C$679,0)))</f>
        <v/>
      </c>
      <c r="D274" s="8">
        <f>IF(ISNA(MATCH(265,'Transfer Engine'!$C$2:$C$679,0)),"",INDEX('Compliance Database'!$D$2:$D$679,MATCH(265,'Transfer Engine'!$C$2:$C$679,0)))</f>
        <v/>
      </c>
      <c r="E274">
        <f>IF(ISNA(MATCH(265,'Transfer Engine'!$C$2:$C$679,0)),"",INDEX('Compliance Database'!$E$2:$E$679,MATCH(265,'Transfer Engine'!$C$2:$C$679,0)))</f>
        <v/>
      </c>
      <c r="F274">
        <f>IF(ISNA(MATCH(265,'Transfer Engine'!$C$2:$C$679,0)),"",INDEX('Compliance Database'!$F$2:$F$679,MATCH(265,'Transfer Engine'!$C$2:$C$679,0)))</f>
        <v/>
      </c>
      <c r="G274">
        <f>IF(ISNA(MATCH(265,'Transfer Engine'!$C$2:$C$679,0)),"",INDEX('Compliance Database'!$G$2:$G$679,MATCH(265,'Transfer Engine'!$C$2:$C$679,0)))</f>
        <v/>
      </c>
      <c r="H274">
        <f>IF(ISNA(MATCH(265,'Transfer Engine'!$C$2:$C$679,0)),"",INDEX('Compliance Database'!$H$2:$H$679,MATCH(265,'Transfer Engine'!$C$2:$C$679,0)))</f>
        <v/>
      </c>
      <c r="I274" s="8">
        <f>IF(ISNA(MATCH(265,'Transfer Engine'!$C$2:$C$679,0)),"",INDEX('Compliance Database'!$I$2:$I$679,MATCH(265,'Transfer Engine'!$C$2:$C$679,0)))</f>
        <v/>
      </c>
      <c r="J274" s="8">
        <f>IF(ISNA(MATCH(265,'Transfer Engine'!$C$2:$C$679,0)),"",INDEX('Compliance Database'!$J$2:$J$679,MATCH(265,'Transfer Engine'!$C$2:$C$679,0)))</f>
        <v/>
      </c>
      <c r="K274">
        <f>IF(ISNA(MATCH(265,'Transfer Engine'!$C$2:$C$679,0)),"",INDEX('Compliance Database'!$K$2:$K$679,MATCH(265,'Transfer Engine'!$C$2:$C$679,0)))</f>
        <v/>
      </c>
      <c r="L274" s="8">
        <f>IF(ISNA(MATCH(265,'Transfer Engine'!$C$2:$C$679,0)),"",INDEX('Compliance Database'!$L$2:$L$679,MATCH(265,'Transfer Engine'!$C$2:$C$679,0)))</f>
        <v/>
      </c>
      <c r="M274" s="8">
        <f>IF(ISNA(MATCH(265,'Transfer Engine'!$C$2:$C$679,0)),"",INDEX('Compliance Database'!$M$2:$M$679,MATCH(265,'Transfer Engine'!$C$2:$C$679,0)))</f>
        <v/>
      </c>
      <c r="N274" s="8">
        <f>IF(ISNA(MATCH(265,'Transfer Engine'!$C$2:$C$679,0)),"",INDEX('Compliance Database'!$N$2:$N$679,MATCH(265,'Transfer Engine'!$C$2:$C$679,0)))</f>
        <v/>
      </c>
      <c r="O274" s="8">
        <f>IF(ISNA(MATCH(265,'Transfer Engine'!$C$2:$C$679,0)),"",INDEX('Compliance Database'!$O$2:$O$679,MATCH(265,'Transfer Engine'!$C$2:$C$679,0)))</f>
        <v/>
      </c>
      <c r="P274">
        <f>IF(ISNA(MATCH(265,'Transfer Engine'!$C$2:$C$679,0)),"",HYPERLINK(INDEX('Compliance Database'!$P$2:$P$679,MATCH(265,'Transfer Engine'!$C$2:$C$679,0)),"Open PDF"))</f>
        <v/>
      </c>
    </row>
    <row r="275">
      <c r="A275">
        <f>IF(ISNA(MATCH(266,'Transfer Engine'!$C$2:$C$679,0)),"",INDEX('Compliance Database'!$A$2:$A$679,MATCH(266,'Transfer Engine'!$C$2:$C$679,0)))</f>
        <v/>
      </c>
      <c r="B275">
        <f>IF(ISNA(MATCH(266,'Transfer Engine'!$C$2:$C$679,0)),"",INDEX('Compliance Database'!$B$2:$B$679,MATCH(266,'Transfer Engine'!$C$2:$C$679,0)))</f>
        <v/>
      </c>
      <c r="C275">
        <f>IF(ISNA(MATCH(266,'Transfer Engine'!$C$2:$C$679,0)),"",INDEX('Compliance Database'!$C$2:$C$679,MATCH(266,'Transfer Engine'!$C$2:$C$679,0)))</f>
        <v/>
      </c>
      <c r="D275" s="8">
        <f>IF(ISNA(MATCH(266,'Transfer Engine'!$C$2:$C$679,0)),"",INDEX('Compliance Database'!$D$2:$D$679,MATCH(266,'Transfer Engine'!$C$2:$C$679,0)))</f>
        <v/>
      </c>
      <c r="E275">
        <f>IF(ISNA(MATCH(266,'Transfer Engine'!$C$2:$C$679,0)),"",INDEX('Compliance Database'!$E$2:$E$679,MATCH(266,'Transfer Engine'!$C$2:$C$679,0)))</f>
        <v/>
      </c>
      <c r="F275">
        <f>IF(ISNA(MATCH(266,'Transfer Engine'!$C$2:$C$679,0)),"",INDEX('Compliance Database'!$F$2:$F$679,MATCH(266,'Transfer Engine'!$C$2:$C$679,0)))</f>
        <v/>
      </c>
      <c r="G275">
        <f>IF(ISNA(MATCH(266,'Transfer Engine'!$C$2:$C$679,0)),"",INDEX('Compliance Database'!$G$2:$G$679,MATCH(266,'Transfer Engine'!$C$2:$C$679,0)))</f>
        <v/>
      </c>
      <c r="H275">
        <f>IF(ISNA(MATCH(266,'Transfer Engine'!$C$2:$C$679,0)),"",INDEX('Compliance Database'!$H$2:$H$679,MATCH(266,'Transfer Engine'!$C$2:$C$679,0)))</f>
        <v/>
      </c>
      <c r="I275" s="8">
        <f>IF(ISNA(MATCH(266,'Transfer Engine'!$C$2:$C$679,0)),"",INDEX('Compliance Database'!$I$2:$I$679,MATCH(266,'Transfer Engine'!$C$2:$C$679,0)))</f>
        <v/>
      </c>
      <c r="J275" s="8">
        <f>IF(ISNA(MATCH(266,'Transfer Engine'!$C$2:$C$679,0)),"",INDEX('Compliance Database'!$J$2:$J$679,MATCH(266,'Transfer Engine'!$C$2:$C$679,0)))</f>
        <v/>
      </c>
      <c r="K275">
        <f>IF(ISNA(MATCH(266,'Transfer Engine'!$C$2:$C$679,0)),"",INDEX('Compliance Database'!$K$2:$K$679,MATCH(266,'Transfer Engine'!$C$2:$C$679,0)))</f>
        <v/>
      </c>
      <c r="L275" s="8">
        <f>IF(ISNA(MATCH(266,'Transfer Engine'!$C$2:$C$679,0)),"",INDEX('Compliance Database'!$L$2:$L$679,MATCH(266,'Transfer Engine'!$C$2:$C$679,0)))</f>
        <v/>
      </c>
      <c r="M275" s="8">
        <f>IF(ISNA(MATCH(266,'Transfer Engine'!$C$2:$C$679,0)),"",INDEX('Compliance Database'!$M$2:$M$679,MATCH(266,'Transfer Engine'!$C$2:$C$679,0)))</f>
        <v/>
      </c>
      <c r="N275" s="8">
        <f>IF(ISNA(MATCH(266,'Transfer Engine'!$C$2:$C$679,0)),"",INDEX('Compliance Database'!$N$2:$N$679,MATCH(266,'Transfer Engine'!$C$2:$C$679,0)))</f>
        <v/>
      </c>
      <c r="O275" s="8">
        <f>IF(ISNA(MATCH(266,'Transfer Engine'!$C$2:$C$679,0)),"",INDEX('Compliance Database'!$O$2:$O$679,MATCH(266,'Transfer Engine'!$C$2:$C$679,0)))</f>
        <v/>
      </c>
      <c r="P275">
        <f>IF(ISNA(MATCH(266,'Transfer Engine'!$C$2:$C$679,0)),"",HYPERLINK(INDEX('Compliance Database'!$P$2:$P$679,MATCH(266,'Transfer Engine'!$C$2:$C$679,0)),"Open PDF"))</f>
        <v/>
      </c>
    </row>
    <row r="276">
      <c r="A276">
        <f>IF(ISNA(MATCH(267,'Transfer Engine'!$C$2:$C$679,0)),"",INDEX('Compliance Database'!$A$2:$A$679,MATCH(267,'Transfer Engine'!$C$2:$C$679,0)))</f>
        <v/>
      </c>
      <c r="B276">
        <f>IF(ISNA(MATCH(267,'Transfer Engine'!$C$2:$C$679,0)),"",INDEX('Compliance Database'!$B$2:$B$679,MATCH(267,'Transfer Engine'!$C$2:$C$679,0)))</f>
        <v/>
      </c>
      <c r="C276">
        <f>IF(ISNA(MATCH(267,'Transfer Engine'!$C$2:$C$679,0)),"",INDEX('Compliance Database'!$C$2:$C$679,MATCH(267,'Transfer Engine'!$C$2:$C$679,0)))</f>
        <v/>
      </c>
      <c r="D276" s="8">
        <f>IF(ISNA(MATCH(267,'Transfer Engine'!$C$2:$C$679,0)),"",INDEX('Compliance Database'!$D$2:$D$679,MATCH(267,'Transfer Engine'!$C$2:$C$679,0)))</f>
        <v/>
      </c>
      <c r="E276">
        <f>IF(ISNA(MATCH(267,'Transfer Engine'!$C$2:$C$679,0)),"",INDEX('Compliance Database'!$E$2:$E$679,MATCH(267,'Transfer Engine'!$C$2:$C$679,0)))</f>
        <v/>
      </c>
      <c r="F276">
        <f>IF(ISNA(MATCH(267,'Transfer Engine'!$C$2:$C$679,0)),"",INDEX('Compliance Database'!$F$2:$F$679,MATCH(267,'Transfer Engine'!$C$2:$C$679,0)))</f>
        <v/>
      </c>
      <c r="G276">
        <f>IF(ISNA(MATCH(267,'Transfer Engine'!$C$2:$C$679,0)),"",INDEX('Compliance Database'!$G$2:$G$679,MATCH(267,'Transfer Engine'!$C$2:$C$679,0)))</f>
        <v/>
      </c>
      <c r="H276">
        <f>IF(ISNA(MATCH(267,'Transfer Engine'!$C$2:$C$679,0)),"",INDEX('Compliance Database'!$H$2:$H$679,MATCH(267,'Transfer Engine'!$C$2:$C$679,0)))</f>
        <v/>
      </c>
      <c r="I276" s="8">
        <f>IF(ISNA(MATCH(267,'Transfer Engine'!$C$2:$C$679,0)),"",INDEX('Compliance Database'!$I$2:$I$679,MATCH(267,'Transfer Engine'!$C$2:$C$679,0)))</f>
        <v/>
      </c>
      <c r="J276" s="8">
        <f>IF(ISNA(MATCH(267,'Transfer Engine'!$C$2:$C$679,0)),"",INDEX('Compliance Database'!$J$2:$J$679,MATCH(267,'Transfer Engine'!$C$2:$C$679,0)))</f>
        <v/>
      </c>
      <c r="K276">
        <f>IF(ISNA(MATCH(267,'Transfer Engine'!$C$2:$C$679,0)),"",INDEX('Compliance Database'!$K$2:$K$679,MATCH(267,'Transfer Engine'!$C$2:$C$679,0)))</f>
        <v/>
      </c>
      <c r="L276" s="8">
        <f>IF(ISNA(MATCH(267,'Transfer Engine'!$C$2:$C$679,0)),"",INDEX('Compliance Database'!$L$2:$L$679,MATCH(267,'Transfer Engine'!$C$2:$C$679,0)))</f>
        <v/>
      </c>
      <c r="M276" s="8">
        <f>IF(ISNA(MATCH(267,'Transfer Engine'!$C$2:$C$679,0)),"",INDEX('Compliance Database'!$M$2:$M$679,MATCH(267,'Transfer Engine'!$C$2:$C$679,0)))</f>
        <v/>
      </c>
      <c r="N276" s="8">
        <f>IF(ISNA(MATCH(267,'Transfer Engine'!$C$2:$C$679,0)),"",INDEX('Compliance Database'!$N$2:$N$679,MATCH(267,'Transfer Engine'!$C$2:$C$679,0)))</f>
        <v/>
      </c>
      <c r="O276" s="8">
        <f>IF(ISNA(MATCH(267,'Transfer Engine'!$C$2:$C$679,0)),"",INDEX('Compliance Database'!$O$2:$O$679,MATCH(267,'Transfer Engine'!$C$2:$C$679,0)))</f>
        <v/>
      </c>
      <c r="P276">
        <f>IF(ISNA(MATCH(267,'Transfer Engine'!$C$2:$C$679,0)),"",HYPERLINK(INDEX('Compliance Database'!$P$2:$P$679,MATCH(267,'Transfer Engine'!$C$2:$C$679,0)),"Open PDF"))</f>
        <v/>
      </c>
    </row>
    <row r="277">
      <c r="A277">
        <f>IF(ISNA(MATCH(268,'Transfer Engine'!$C$2:$C$679,0)),"",INDEX('Compliance Database'!$A$2:$A$679,MATCH(268,'Transfer Engine'!$C$2:$C$679,0)))</f>
        <v/>
      </c>
      <c r="B277">
        <f>IF(ISNA(MATCH(268,'Transfer Engine'!$C$2:$C$679,0)),"",INDEX('Compliance Database'!$B$2:$B$679,MATCH(268,'Transfer Engine'!$C$2:$C$679,0)))</f>
        <v/>
      </c>
      <c r="C277">
        <f>IF(ISNA(MATCH(268,'Transfer Engine'!$C$2:$C$679,0)),"",INDEX('Compliance Database'!$C$2:$C$679,MATCH(268,'Transfer Engine'!$C$2:$C$679,0)))</f>
        <v/>
      </c>
      <c r="D277" s="8">
        <f>IF(ISNA(MATCH(268,'Transfer Engine'!$C$2:$C$679,0)),"",INDEX('Compliance Database'!$D$2:$D$679,MATCH(268,'Transfer Engine'!$C$2:$C$679,0)))</f>
        <v/>
      </c>
      <c r="E277">
        <f>IF(ISNA(MATCH(268,'Transfer Engine'!$C$2:$C$679,0)),"",INDEX('Compliance Database'!$E$2:$E$679,MATCH(268,'Transfer Engine'!$C$2:$C$679,0)))</f>
        <v/>
      </c>
      <c r="F277">
        <f>IF(ISNA(MATCH(268,'Transfer Engine'!$C$2:$C$679,0)),"",INDEX('Compliance Database'!$F$2:$F$679,MATCH(268,'Transfer Engine'!$C$2:$C$679,0)))</f>
        <v/>
      </c>
      <c r="G277">
        <f>IF(ISNA(MATCH(268,'Transfer Engine'!$C$2:$C$679,0)),"",INDEX('Compliance Database'!$G$2:$G$679,MATCH(268,'Transfer Engine'!$C$2:$C$679,0)))</f>
        <v/>
      </c>
      <c r="H277">
        <f>IF(ISNA(MATCH(268,'Transfer Engine'!$C$2:$C$679,0)),"",INDEX('Compliance Database'!$H$2:$H$679,MATCH(268,'Transfer Engine'!$C$2:$C$679,0)))</f>
        <v/>
      </c>
      <c r="I277" s="8">
        <f>IF(ISNA(MATCH(268,'Transfer Engine'!$C$2:$C$679,0)),"",INDEX('Compliance Database'!$I$2:$I$679,MATCH(268,'Transfer Engine'!$C$2:$C$679,0)))</f>
        <v/>
      </c>
      <c r="J277" s="8">
        <f>IF(ISNA(MATCH(268,'Transfer Engine'!$C$2:$C$679,0)),"",INDEX('Compliance Database'!$J$2:$J$679,MATCH(268,'Transfer Engine'!$C$2:$C$679,0)))</f>
        <v/>
      </c>
      <c r="K277">
        <f>IF(ISNA(MATCH(268,'Transfer Engine'!$C$2:$C$679,0)),"",INDEX('Compliance Database'!$K$2:$K$679,MATCH(268,'Transfer Engine'!$C$2:$C$679,0)))</f>
        <v/>
      </c>
      <c r="L277" s="8">
        <f>IF(ISNA(MATCH(268,'Transfer Engine'!$C$2:$C$679,0)),"",INDEX('Compliance Database'!$L$2:$L$679,MATCH(268,'Transfer Engine'!$C$2:$C$679,0)))</f>
        <v/>
      </c>
      <c r="M277" s="8">
        <f>IF(ISNA(MATCH(268,'Transfer Engine'!$C$2:$C$679,0)),"",INDEX('Compliance Database'!$M$2:$M$679,MATCH(268,'Transfer Engine'!$C$2:$C$679,0)))</f>
        <v/>
      </c>
      <c r="N277" s="8">
        <f>IF(ISNA(MATCH(268,'Transfer Engine'!$C$2:$C$679,0)),"",INDEX('Compliance Database'!$N$2:$N$679,MATCH(268,'Transfer Engine'!$C$2:$C$679,0)))</f>
        <v/>
      </c>
      <c r="O277" s="8">
        <f>IF(ISNA(MATCH(268,'Transfer Engine'!$C$2:$C$679,0)),"",INDEX('Compliance Database'!$O$2:$O$679,MATCH(268,'Transfer Engine'!$C$2:$C$679,0)))</f>
        <v/>
      </c>
      <c r="P277">
        <f>IF(ISNA(MATCH(268,'Transfer Engine'!$C$2:$C$679,0)),"",HYPERLINK(INDEX('Compliance Database'!$P$2:$P$679,MATCH(268,'Transfer Engine'!$C$2:$C$679,0)),"Open PDF"))</f>
        <v/>
      </c>
    </row>
    <row r="278">
      <c r="A278">
        <f>IF(ISNA(MATCH(269,'Transfer Engine'!$C$2:$C$679,0)),"",INDEX('Compliance Database'!$A$2:$A$679,MATCH(269,'Transfer Engine'!$C$2:$C$679,0)))</f>
        <v/>
      </c>
      <c r="B278">
        <f>IF(ISNA(MATCH(269,'Transfer Engine'!$C$2:$C$679,0)),"",INDEX('Compliance Database'!$B$2:$B$679,MATCH(269,'Transfer Engine'!$C$2:$C$679,0)))</f>
        <v/>
      </c>
      <c r="C278">
        <f>IF(ISNA(MATCH(269,'Transfer Engine'!$C$2:$C$679,0)),"",INDEX('Compliance Database'!$C$2:$C$679,MATCH(269,'Transfer Engine'!$C$2:$C$679,0)))</f>
        <v/>
      </c>
      <c r="D278" s="8">
        <f>IF(ISNA(MATCH(269,'Transfer Engine'!$C$2:$C$679,0)),"",INDEX('Compliance Database'!$D$2:$D$679,MATCH(269,'Transfer Engine'!$C$2:$C$679,0)))</f>
        <v/>
      </c>
      <c r="E278">
        <f>IF(ISNA(MATCH(269,'Transfer Engine'!$C$2:$C$679,0)),"",INDEX('Compliance Database'!$E$2:$E$679,MATCH(269,'Transfer Engine'!$C$2:$C$679,0)))</f>
        <v/>
      </c>
      <c r="F278">
        <f>IF(ISNA(MATCH(269,'Transfer Engine'!$C$2:$C$679,0)),"",INDEX('Compliance Database'!$F$2:$F$679,MATCH(269,'Transfer Engine'!$C$2:$C$679,0)))</f>
        <v/>
      </c>
      <c r="G278">
        <f>IF(ISNA(MATCH(269,'Transfer Engine'!$C$2:$C$679,0)),"",INDEX('Compliance Database'!$G$2:$G$679,MATCH(269,'Transfer Engine'!$C$2:$C$679,0)))</f>
        <v/>
      </c>
      <c r="H278">
        <f>IF(ISNA(MATCH(269,'Transfer Engine'!$C$2:$C$679,0)),"",INDEX('Compliance Database'!$H$2:$H$679,MATCH(269,'Transfer Engine'!$C$2:$C$679,0)))</f>
        <v/>
      </c>
      <c r="I278" s="8">
        <f>IF(ISNA(MATCH(269,'Transfer Engine'!$C$2:$C$679,0)),"",INDEX('Compliance Database'!$I$2:$I$679,MATCH(269,'Transfer Engine'!$C$2:$C$679,0)))</f>
        <v/>
      </c>
      <c r="J278" s="8">
        <f>IF(ISNA(MATCH(269,'Transfer Engine'!$C$2:$C$679,0)),"",INDEX('Compliance Database'!$J$2:$J$679,MATCH(269,'Transfer Engine'!$C$2:$C$679,0)))</f>
        <v/>
      </c>
      <c r="K278">
        <f>IF(ISNA(MATCH(269,'Transfer Engine'!$C$2:$C$679,0)),"",INDEX('Compliance Database'!$K$2:$K$679,MATCH(269,'Transfer Engine'!$C$2:$C$679,0)))</f>
        <v/>
      </c>
      <c r="L278" s="8">
        <f>IF(ISNA(MATCH(269,'Transfer Engine'!$C$2:$C$679,0)),"",INDEX('Compliance Database'!$L$2:$L$679,MATCH(269,'Transfer Engine'!$C$2:$C$679,0)))</f>
        <v/>
      </c>
      <c r="M278" s="8">
        <f>IF(ISNA(MATCH(269,'Transfer Engine'!$C$2:$C$679,0)),"",INDEX('Compliance Database'!$M$2:$M$679,MATCH(269,'Transfer Engine'!$C$2:$C$679,0)))</f>
        <v/>
      </c>
      <c r="N278" s="8">
        <f>IF(ISNA(MATCH(269,'Transfer Engine'!$C$2:$C$679,0)),"",INDEX('Compliance Database'!$N$2:$N$679,MATCH(269,'Transfer Engine'!$C$2:$C$679,0)))</f>
        <v/>
      </c>
      <c r="O278" s="8">
        <f>IF(ISNA(MATCH(269,'Transfer Engine'!$C$2:$C$679,0)),"",INDEX('Compliance Database'!$O$2:$O$679,MATCH(269,'Transfer Engine'!$C$2:$C$679,0)))</f>
        <v/>
      </c>
      <c r="P278">
        <f>IF(ISNA(MATCH(269,'Transfer Engine'!$C$2:$C$679,0)),"",HYPERLINK(INDEX('Compliance Database'!$P$2:$P$679,MATCH(269,'Transfer Engine'!$C$2:$C$679,0)),"Open PDF"))</f>
        <v/>
      </c>
    </row>
    <row r="279">
      <c r="A279">
        <f>IF(ISNA(MATCH(270,'Transfer Engine'!$C$2:$C$679,0)),"",INDEX('Compliance Database'!$A$2:$A$679,MATCH(270,'Transfer Engine'!$C$2:$C$679,0)))</f>
        <v/>
      </c>
      <c r="B279">
        <f>IF(ISNA(MATCH(270,'Transfer Engine'!$C$2:$C$679,0)),"",INDEX('Compliance Database'!$B$2:$B$679,MATCH(270,'Transfer Engine'!$C$2:$C$679,0)))</f>
        <v/>
      </c>
      <c r="C279">
        <f>IF(ISNA(MATCH(270,'Transfer Engine'!$C$2:$C$679,0)),"",INDEX('Compliance Database'!$C$2:$C$679,MATCH(270,'Transfer Engine'!$C$2:$C$679,0)))</f>
        <v/>
      </c>
      <c r="D279" s="8">
        <f>IF(ISNA(MATCH(270,'Transfer Engine'!$C$2:$C$679,0)),"",INDEX('Compliance Database'!$D$2:$D$679,MATCH(270,'Transfer Engine'!$C$2:$C$679,0)))</f>
        <v/>
      </c>
      <c r="E279">
        <f>IF(ISNA(MATCH(270,'Transfer Engine'!$C$2:$C$679,0)),"",INDEX('Compliance Database'!$E$2:$E$679,MATCH(270,'Transfer Engine'!$C$2:$C$679,0)))</f>
        <v/>
      </c>
      <c r="F279">
        <f>IF(ISNA(MATCH(270,'Transfer Engine'!$C$2:$C$679,0)),"",INDEX('Compliance Database'!$F$2:$F$679,MATCH(270,'Transfer Engine'!$C$2:$C$679,0)))</f>
        <v/>
      </c>
      <c r="G279">
        <f>IF(ISNA(MATCH(270,'Transfer Engine'!$C$2:$C$679,0)),"",INDEX('Compliance Database'!$G$2:$G$679,MATCH(270,'Transfer Engine'!$C$2:$C$679,0)))</f>
        <v/>
      </c>
      <c r="H279">
        <f>IF(ISNA(MATCH(270,'Transfer Engine'!$C$2:$C$679,0)),"",INDEX('Compliance Database'!$H$2:$H$679,MATCH(270,'Transfer Engine'!$C$2:$C$679,0)))</f>
        <v/>
      </c>
      <c r="I279" s="8">
        <f>IF(ISNA(MATCH(270,'Transfer Engine'!$C$2:$C$679,0)),"",INDEX('Compliance Database'!$I$2:$I$679,MATCH(270,'Transfer Engine'!$C$2:$C$679,0)))</f>
        <v/>
      </c>
      <c r="J279" s="8">
        <f>IF(ISNA(MATCH(270,'Transfer Engine'!$C$2:$C$679,0)),"",INDEX('Compliance Database'!$J$2:$J$679,MATCH(270,'Transfer Engine'!$C$2:$C$679,0)))</f>
        <v/>
      </c>
      <c r="K279">
        <f>IF(ISNA(MATCH(270,'Transfer Engine'!$C$2:$C$679,0)),"",INDEX('Compliance Database'!$K$2:$K$679,MATCH(270,'Transfer Engine'!$C$2:$C$679,0)))</f>
        <v/>
      </c>
      <c r="L279" s="8">
        <f>IF(ISNA(MATCH(270,'Transfer Engine'!$C$2:$C$679,0)),"",INDEX('Compliance Database'!$L$2:$L$679,MATCH(270,'Transfer Engine'!$C$2:$C$679,0)))</f>
        <v/>
      </c>
      <c r="M279" s="8">
        <f>IF(ISNA(MATCH(270,'Transfer Engine'!$C$2:$C$679,0)),"",INDEX('Compliance Database'!$M$2:$M$679,MATCH(270,'Transfer Engine'!$C$2:$C$679,0)))</f>
        <v/>
      </c>
      <c r="N279" s="8">
        <f>IF(ISNA(MATCH(270,'Transfer Engine'!$C$2:$C$679,0)),"",INDEX('Compliance Database'!$N$2:$N$679,MATCH(270,'Transfer Engine'!$C$2:$C$679,0)))</f>
        <v/>
      </c>
      <c r="O279" s="8">
        <f>IF(ISNA(MATCH(270,'Transfer Engine'!$C$2:$C$679,0)),"",INDEX('Compliance Database'!$O$2:$O$679,MATCH(270,'Transfer Engine'!$C$2:$C$679,0)))</f>
        <v/>
      </c>
      <c r="P279">
        <f>IF(ISNA(MATCH(270,'Transfer Engine'!$C$2:$C$679,0)),"",HYPERLINK(INDEX('Compliance Database'!$P$2:$P$679,MATCH(270,'Transfer Engine'!$C$2:$C$679,0)),"Open PDF"))</f>
        <v/>
      </c>
    </row>
    <row r="280">
      <c r="A280">
        <f>IF(ISNA(MATCH(271,'Transfer Engine'!$C$2:$C$679,0)),"",INDEX('Compliance Database'!$A$2:$A$679,MATCH(271,'Transfer Engine'!$C$2:$C$679,0)))</f>
        <v/>
      </c>
      <c r="B280">
        <f>IF(ISNA(MATCH(271,'Transfer Engine'!$C$2:$C$679,0)),"",INDEX('Compliance Database'!$B$2:$B$679,MATCH(271,'Transfer Engine'!$C$2:$C$679,0)))</f>
        <v/>
      </c>
      <c r="C280">
        <f>IF(ISNA(MATCH(271,'Transfer Engine'!$C$2:$C$679,0)),"",INDEX('Compliance Database'!$C$2:$C$679,MATCH(271,'Transfer Engine'!$C$2:$C$679,0)))</f>
        <v/>
      </c>
      <c r="D280" s="8">
        <f>IF(ISNA(MATCH(271,'Transfer Engine'!$C$2:$C$679,0)),"",INDEX('Compliance Database'!$D$2:$D$679,MATCH(271,'Transfer Engine'!$C$2:$C$679,0)))</f>
        <v/>
      </c>
      <c r="E280">
        <f>IF(ISNA(MATCH(271,'Transfer Engine'!$C$2:$C$679,0)),"",INDEX('Compliance Database'!$E$2:$E$679,MATCH(271,'Transfer Engine'!$C$2:$C$679,0)))</f>
        <v/>
      </c>
      <c r="F280">
        <f>IF(ISNA(MATCH(271,'Transfer Engine'!$C$2:$C$679,0)),"",INDEX('Compliance Database'!$F$2:$F$679,MATCH(271,'Transfer Engine'!$C$2:$C$679,0)))</f>
        <v/>
      </c>
      <c r="G280">
        <f>IF(ISNA(MATCH(271,'Transfer Engine'!$C$2:$C$679,0)),"",INDEX('Compliance Database'!$G$2:$G$679,MATCH(271,'Transfer Engine'!$C$2:$C$679,0)))</f>
        <v/>
      </c>
      <c r="H280">
        <f>IF(ISNA(MATCH(271,'Transfer Engine'!$C$2:$C$679,0)),"",INDEX('Compliance Database'!$H$2:$H$679,MATCH(271,'Transfer Engine'!$C$2:$C$679,0)))</f>
        <v/>
      </c>
      <c r="I280" s="8">
        <f>IF(ISNA(MATCH(271,'Transfer Engine'!$C$2:$C$679,0)),"",INDEX('Compliance Database'!$I$2:$I$679,MATCH(271,'Transfer Engine'!$C$2:$C$679,0)))</f>
        <v/>
      </c>
      <c r="J280" s="8">
        <f>IF(ISNA(MATCH(271,'Transfer Engine'!$C$2:$C$679,0)),"",INDEX('Compliance Database'!$J$2:$J$679,MATCH(271,'Transfer Engine'!$C$2:$C$679,0)))</f>
        <v/>
      </c>
      <c r="K280">
        <f>IF(ISNA(MATCH(271,'Transfer Engine'!$C$2:$C$679,0)),"",INDEX('Compliance Database'!$K$2:$K$679,MATCH(271,'Transfer Engine'!$C$2:$C$679,0)))</f>
        <v/>
      </c>
      <c r="L280" s="8">
        <f>IF(ISNA(MATCH(271,'Transfer Engine'!$C$2:$C$679,0)),"",INDEX('Compliance Database'!$L$2:$L$679,MATCH(271,'Transfer Engine'!$C$2:$C$679,0)))</f>
        <v/>
      </c>
      <c r="M280" s="8">
        <f>IF(ISNA(MATCH(271,'Transfer Engine'!$C$2:$C$679,0)),"",INDEX('Compliance Database'!$M$2:$M$679,MATCH(271,'Transfer Engine'!$C$2:$C$679,0)))</f>
        <v/>
      </c>
      <c r="N280" s="8">
        <f>IF(ISNA(MATCH(271,'Transfer Engine'!$C$2:$C$679,0)),"",INDEX('Compliance Database'!$N$2:$N$679,MATCH(271,'Transfer Engine'!$C$2:$C$679,0)))</f>
        <v/>
      </c>
      <c r="O280" s="8">
        <f>IF(ISNA(MATCH(271,'Transfer Engine'!$C$2:$C$679,0)),"",INDEX('Compliance Database'!$O$2:$O$679,MATCH(271,'Transfer Engine'!$C$2:$C$679,0)))</f>
        <v/>
      </c>
      <c r="P280">
        <f>IF(ISNA(MATCH(271,'Transfer Engine'!$C$2:$C$679,0)),"",HYPERLINK(INDEX('Compliance Database'!$P$2:$P$679,MATCH(271,'Transfer Engine'!$C$2:$C$679,0)),"Open PDF"))</f>
        <v/>
      </c>
    </row>
    <row r="281">
      <c r="A281">
        <f>IF(ISNA(MATCH(272,'Transfer Engine'!$C$2:$C$679,0)),"",INDEX('Compliance Database'!$A$2:$A$679,MATCH(272,'Transfer Engine'!$C$2:$C$679,0)))</f>
        <v/>
      </c>
      <c r="B281">
        <f>IF(ISNA(MATCH(272,'Transfer Engine'!$C$2:$C$679,0)),"",INDEX('Compliance Database'!$B$2:$B$679,MATCH(272,'Transfer Engine'!$C$2:$C$679,0)))</f>
        <v/>
      </c>
      <c r="C281">
        <f>IF(ISNA(MATCH(272,'Transfer Engine'!$C$2:$C$679,0)),"",INDEX('Compliance Database'!$C$2:$C$679,MATCH(272,'Transfer Engine'!$C$2:$C$679,0)))</f>
        <v/>
      </c>
      <c r="D281" s="8">
        <f>IF(ISNA(MATCH(272,'Transfer Engine'!$C$2:$C$679,0)),"",INDEX('Compliance Database'!$D$2:$D$679,MATCH(272,'Transfer Engine'!$C$2:$C$679,0)))</f>
        <v/>
      </c>
      <c r="E281">
        <f>IF(ISNA(MATCH(272,'Transfer Engine'!$C$2:$C$679,0)),"",INDEX('Compliance Database'!$E$2:$E$679,MATCH(272,'Transfer Engine'!$C$2:$C$679,0)))</f>
        <v/>
      </c>
      <c r="F281">
        <f>IF(ISNA(MATCH(272,'Transfer Engine'!$C$2:$C$679,0)),"",INDEX('Compliance Database'!$F$2:$F$679,MATCH(272,'Transfer Engine'!$C$2:$C$679,0)))</f>
        <v/>
      </c>
      <c r="G281">
        <f>IF(ISNA(MATCH(272,'Transfer Engine'!$C$2:$C$679,0)),"",INDEX('Compliance Database'!$G$2:$G$679,MATCH(272,'Transfer Engine'!$C$2:$C$679,0)))</f>
        <v/>
      </c>
      <c r="H281">
        <f>IF(ISNA(MATCH(272,'Transfer Engine'!$C$2:$C$679,0)),"",INDEX('Compliance Database'!$H$2:$H$679,MATCH(272,'Transfer Engine'!$C$2:$C$679,0)))</f>
        <v/>
      </c>
      <c r="I281" s="8">
        <f>IF(ISNA(MATCH(272,'Transfer Engine'!$C$2:$C$679,0)),"",INDEX('Compliance Database'!$I$2:$I$679,MATCH(272,'Transfer Engine'!$C$2:$C$679,0)))</f>
        <v/>
      </c>
      <c r="J281" s="8">
        <f>IF(ISNA(MATCH(272,'Transfer Engine'!$C$2:$C$679,0)),"",INDEX('Compliance Database'!$J$2:$J$679,MATCH(272,'Transfer Engine'!$C$2:$C$679,0)))</f>
        <v/>
      </c>
      <c r="K281">
        <f>IF(ISNA(MATCH(272,'Transfer Engine'!$C$2:$C$679,0)),"",INDEX('Compliance Database'!$K$2:$K$679,MATCH(272,'Transfer Engine'!$C$2:$C$679,0)))</f>
        <v/>
      </c>
      <c r="L281" s="8">
        <f>IF(ISNA(MATCH(272,'Transfer Engine'!$C$2:$C$679,0)),"",INDEX('Compliance Database'!$L$2:$L$679,MATCH(272,'Transfer Engine'!$C$2:$C$679,0)))</f>
        <v/>
      </c>
      <c r="M281" s="8">
        <f>IF(ISNA(MATCH(272,'Transfer Engine'!$C$2:$C$679,0)),"",INDEX('Compliance Database'!$M$2:$M$679,MATCH(272,'Transfer Engine'!$C$2:$C$679,0)))</f>
        <v/>
      </c>
      <c r="N281" s="8">
        <f>IF(ISNA(MATCH(272,'Transfer Engine'!$C$2:$C$679,0)),"",INDEX('Compliance Database'!$N$2:$N$679,MATCH(272,'Transfer Engine'!$C$2:$C$679,0)))</f>
        <v/>
      </c>
      <c r="O281" s="8">
        <f>IF(ISNA(MATCH(272,'Transfer Engine'!$C$2:$C$679,0)),"",INDEX('Compliance Database'!$O$2:$O$679,MATCH(272,'Transfer Engine'!$C$2:$C$679,0)))</f>
        <v/>
      </c>
      <c r="P281">
        <f>IF(ISNA(MATCH(272,'Transfer Engine'!$C$2:$C$679,0)),"",HYPERLINK(INDEX('Compliance Database'!$P$2:$P$679,MATCH(272,'Transfer Engine'!$C$2:$C$679,0)),"Open PDF"))</f>
        <v/>
      </c>
    </row>
    <row r="282">
      <c r="A282">
        <f>IF(ISNA(MATCH(273,'Transfer Engine'!$C$2:$C$679,0)),"",INDEX('Compliance Database'!$A$2:$A$679,MATCH(273,'Transfer Engine'!$C$2:$C$679,0)))</f>
        <v/>
      </c>
      <c r="B282">
        <f>IF(ISNA(MATCH(273,'Transfer Engine'!$C$2:$C$679,0)),"",INDEX('Compliance Database'!$B$2:$B$679,MATCH(273,'Transfer Engine'!$C$2:$C$679,0)))</f>
        <v/>
      </c>
      <c r="C282">
        <f>IF(ISNA(MATCH(273,'Transfer Engine'!$C$2:$C$679,0)),"",INDEX('Compliance Database'!$C$2:$C$679,MATCH(273,'Transfer Engine'!$C$2:$C$679,0)))</f>
        <v/>
      </c>
      <c r="D282" s="8">
        <f>IF(ISNA(MATCH(273,'Transfer Engine'!$C$2:$C$679,0)),"",INDEX('Compliance Database'!$D$2:$D$679,MATCH(273,'Transfer Engine'!$C$2:$C$679,0)))</f>
        <v/>
      </c>
      <c r="E282">
        <f>IF(ISNA(MATCH(273,'Transfer Engine'!$C$2:$C$679,0)),"",INDEX('Compliance Database'!$E$2:$E$679,MATCH(273,'Transfer Engine'!$C$2:$C$679,0)))</f>
        <v/>
      </c>
      <c r="F282">
        <f>IF(ISNA(MATCH(273,'Transfer Engine'!$C$2:$C$679,0)),"",INDEX('Compliance Database'!$F$2:$F$679,MATCH(273,'Transfer Engine'!$C$2:$C$679,0)))</f>
        <v/>
      </c>
      <c r="G282">
        <f>IF(ISNA(MATCH(273,'Transfer Engine'!$C$2:$C$679,0)),"",INDEX('Compliance Database'!$G$2:$G$679,MATCH(273,'Transfer Engine'!$C$2:$C$679,0)))</f>
        <v/>
      </c>
      <c r="H282">
        <f>IF(ISNA(MATCH(273,'Transfer Engine'!$C$2:$C$679,0)),"",INDEX('Compliance Database'!$H$2:$H$679,MATCH(273,'Transfer Engine'!$C$2:$C$679,0)))</f>
        <v/>
      </c>
      <c r="I282" s="8">
        <f>IF(ISNA(MATCH(273,'Transfer Engine'!$C$2:$C$679,0)),"",INDEX('Compliance Database'!$I$2:$I$679,MATCH(273,'Transfer Engine'!$C$2:$C$679,0)))</f>
        <v/>
      </c>
      <c r="J282" s="8">
        <f>IF(ISNA(MATCH(273,'Transfer Engine'!$C$2:$C$679,0)),"",INDEX('Compliance Database'!$J$2:$J$679,MATCH(273,'Transfer Engine'!$C$2:$C$679,0)))</f>
        <v/>
      </c>
      <c r="K282">
        <f>IF(ISNA(MATCH(273,'Transfer Engine'!$C$2:$C$679,0)),"",INDEX('Compliance Database'!$K$2:$K$679,MATCH(273,'Transfer Engine'!$C$2:$C$679,0)))</f>
        <v/>
      </c>
      <c r="L282" s="8">
        <f>IF(ISNA(MATCH(273,'Transfer Engine'!$C$2:$C$679,0)),"",INDEX('Compliance Database'!$L$2:$L$679,MATCH(273,'Transfer Engine'!$C$2:$C$679,0)))</f>
        <v/>
      </c>
      <c r="M282" s="8">
        <f>IF(ISNA(MATCH(273,'Transfer Engine'!$C$2:$C$679,0)),"",INDEX('Compliance Database'!$M$2:$M$679,MATCH(273,'Transfer Engine'!$C$2:$C$679,0)))</f>
        <v/>
      </c>
      <c r="N282" s="8">
        <f>IF(ISNA(MATCH(273,'Transfer Engine'!$C$2:$C$679,0)),"",INDEX('Compliance Database'!$N$2:$N$679,MATCH(273,'Transfer Engine'!$C$2:$C$679,0)))</f>
        <v/>
      </c>
      <c r="O282" s="8">
        <f>IF(ISNA(MATCH(273,'Transfer Engine'!$C$2:$C$679,0)),"",INDEX('Compliance Database'!$O$2:$O$679,MATCH(273,'Transfer Engine'!$C$2:$C$679,0)))</f>
        <v/>
      </c>
      <c r="P282">
        <f>IF(ISNA(MATCH(273,'Transfer Engine'!$C$2:$C$679,0)),"",HYPERLINK(INDEX('Compliance Database'!$P$2:$P$679,MATCH(273,'Transfer Engine'!$C$2:$C$679,0)),"Open PDF"))</f>
        <v/>
      </c>
    </row>
    <row r="283">
      <c r="A283">
        <f>IF(ISNA(MATCH(274,'Transfer Engine'!$C$2:$C$679,0)),"",INDEX('Compliance Database'!$A$2:$A$679,MATCH(274,'Transfer Engine'!$C$2:$C$679,0)))</f>
        <v/>
      </c>
      <c r="B283">
        <f>IF(ISNA(MATCH(274,'Transfer Engine'!$C$2:$C$679,0)),"",INDEX('Compliance Database'!$B$2:$B$679,MATCH(274,'Transfer Engine'!$C$2:$C$679,0)))</f>
        <v/>
      </c>
      <c r="C283">
        <f>IF(ISNA(MATCH(274,'Transfer Engine'!$C$2:$C$679,0)),"",INDEX('Compliance Database'!$C$2:$C$679,MATCH(274,'Transfer Engine'!$C$2:$C$679,0)))</f>
        <v/>
      </c>
      <c r="D283" s="8">
        <f>IF(ISNA(MATCH(274,'Transfer Engine'!$C$2:$C$679,0)),"",INDEX('Compliance Database'!$D$2:$D$679,MATCH(274,'Transfer Engine'!$C$2:$C$679,0)))</f>
        <v/>
      </c>
      <c r="E283">
        <f>IF(ISNA(MATCH(274,'Transfer Engine'!$C$2:$C$679,0)),"",INDEX('Compliance Database'!$E$2:$E$679,MATCH(274,'Transfer Engine'!$C$2:$C$679,0)))</f>
        <v/>
      </c>
      <c r="F283">
        <f>IF(ISNA(MATCH(274,'Transfer Engine'!$C$2:$C$679,0)),"",INDEX('Compliance Database'!$F$2:$F$679,MATCH(274,'Transfer Engine'!$C$2:$C$679,0)))</f>
        <v/>
      </c>
      <c r="G283">
        <f>IF(ISNA(MATCH(274,'Transfer Engine'!$C$2:$C$679,0)),"",INDEX('Compliance Database'!$G$2:$G$679,MATCH(274,'Transfer Engine'!$C$2:$C$679,0)))</f>
        <v/>
      </c>
      <c r="H283">
        <f>IF(ISNA(MATCH(274,'Transfer Engine'!$C$2:$C$679,0)),"",INDEX('Compliance Database'!$H$2:$H$679,MATCH(274,'Transfer Engine'!$C$2:$C$679,0)))</f>
        <v/>
      </c>
      <c r="I283" s="8">
        <f>IF(ISNA(MATCH(274,'Transfer Engine'!$C$2:$C$679,0)),"",INDEX('Compliance Database'!$I$2:$I$679,MATCH(274,'Transfer Engine'!$C$2:$C$679,0)))</f>
        <v/>
      </c>
      <c r="J283" s="8">
        <f>IF(ISNA(MATCH(274,'Transfer Engine'!$C$2:$C$679,0)),"",INDEX('Compliance Database'!$J$2:$J$679,MATCH(274,'Transfer Engine'!$C$2:$C$679,0)))</f>
        <v/>
      </c>
      <c r="K283">
        <f>IF(ISNA(MATCH(274,'Transfer Engine'!$C$2:$C$679,0)),"",INDEX('Compliance Database'!$K$2:$K$679,MATCH(274,'Transfer Engine'!$C$2:$C$679,0)))</f>
        <v/>
      </c>
      <c r="L283" s="8">
        <f>IF(ISNA(MATCH(274,'Transfer Engine'!$C$2:$C$679,0)),"",INDEX('Compliance Database'!$L$2:$L$679,MATCH(274,'Transfer Engine'!$C$2:$C$679,0)))</f>
        <v/>
      </c>
      <c r="M283" s="8">
        <f>IF(ISNA(MATCH(274,'Transfer Engine'!$C$2:$C$679,0)),"",INDEX('Compliance Database'!$M$2:$M$679,MATCH(274,'Transfer Engine'!$C$2:$C$679,0)))</f>
        <v/>
      </c>
      <c r="N283" s="8">
        <f>IF(ISNA(MATCH(274,'Transfer Engine'!$C$2:$C$679,0)),"",INDEX('Compliance Database'!$N$2:$N$679,MATCH(274,'Transfer Engine'!$C$2:$C$679,0)))</f>
        <v/>
      </c>
      <c r="O283" s="8">
        <f>IF(ISNA(MATCH(274,'Transfer Engine'!$C$2:$C$679,0)),"",INDEX('Compliance Database'!$O$2:$O$679,MATCH(274,'Transfer Engine'!$C$2:$C$679,0)))</f>
        <v/>
      </c>
      <c r="P283">
        <f>IF(ISNA(MATCH(274,'Transfer Engine'!$C$2:$C$679,0)),"",HYPERLINK(INDEX('Compliance Database'!$P$2:$P$679,MATCH(274,'Transfer Engine'!$C$2:$C$679,0)),"Open PDF"))</f>
        <v/>
      </c>
    </row>
    <row r="284">
      <c r="A284">
        <f>IF(ISNA(MATCH(275,'Transfer Engine'!$C$2:$C$679,0)),"",INDEX('Compliance Database'!$A$2:$A$679,MATCH(275,'Transfer Engine'!$C$2:$C$679,0)))</f>
        <v/>
      </c>
      <c r="B284">
        <f>IF(ISNA(MATCH(275,'Transfer Engine'!$C$2:$C$679,0)),"",INDEX('Compliance Database'!$B$2:$B$679,MATCH(275,'Transfer Engine'!$C$2:$C$679,0)))</f>
        <v/>
      </c>
      <c r="C284">
        <f>IF(ISNA(MATCH(275,'Transfer Engine'!$C$2:$C$679,0)),"",INDEX('Compliance Database'!$C$2:$C$679,MATCH(275,'Transfer Engine'!$C$2:$C$679,0)))</f>
        <v/>
      </c>
      <c r="D284" s="8">
        <f>IF(ISNA(MATCH(275,'Transfer Engine'!$C$2:$C$679,0)),"",INDEX('Compliance Database'!$D$2:$D$679,MATCH(275,'Transfer Engine'!$C$2:$C$679,0)))</f>
        <v/>
      </c>
      <c r="E284">
        <f>IF(ISNA(MATCH(275,'Transfer Engine'!$C$2:$C$679,0)),"",INDEX('Compliance Database'!$E$2:$E$679,MATCH(275,'Transfer Engine'!$C$2:$C$679,0)))</f>
        <v/>
      </c>
      <c r="F284">
        <f>IF(ISNA(MATCH(275,'Transfer Engine'!$C$2:$C$679,0)),"",INDEX('Compliance Database'!$F$2:$F$679,MATCH(275,'Transfer Engine'!$C$2:$C$679,0)))</f>
        <v/>
      </c>
      <c r="G284">
        <f>IF(ISNA(MATCH(275,'Transfer Engine'!$C$2:$C$679,0)),"",INDEX('Compliance Database'!$G$2:$G$679,MATCH(275,'Transfer Engine'!$C$2:$C$679,0)))</f>
        <v/>
      </c>
      <c r="H284">
        <f>IF(ISNA(MATCH(275,'Transfer Engine'!$C$2:$C$679,0)),"",INDEX('Compliance Database'!$H$2:$H$679,MATCH(275,'Transfer Engine'!$C$2:$C$679,0)))</f>
        <v/>
      </c>
      <c r="I284" s="8">
        <f>IF(ISNA(MATCH(275,'Transfer Engine'!$C$2:$C$679,0)),"",INDEX('Compliance Database'!$I$2:$I$679,MATCH(275,'Transfer Engine'!$C$2:$C$679,0)))</f>
        <v/>
      </c>
      <c r="J284" s="8">
        <f>IF(ISNA(MATCH(275,'Transfer Engine'!$C$2:$C$679,0)),"",INDEX('Compliance Database'!$J$2:$J$679,MATCH(275,'Transfer Engine'!$C$2:$C$679,0)))</f>
        <v/>
      </c>
      <c r="K284">
        <f>IF(ISNA(MATCH(275,'Transfer Engine'!$C$2:$C$679,0)),"",INDEX('Compliance Database'!$K$2:$K$679,MATCH(275,'Transfer Engine'!$C$2:$C$679,0)))</f>
        <v/>
      </c>
      <c r="L284" s="8">
        <f>IF(ISNA(MATCH(275,'Transfer Engine'!$C$2:$C$679,0)),"",INDEX('Compliance Database'!$L$2:$L$679,MATCH(275,'Transfer Engine'!$C$2:$C$679,0)))</f>
        <v/>
      </c>
      <c r="M284" s="8">
        <f>IF(ISNA(MATCH(275,'Transfer Engine'!$C$2:$C$679,0)),"",INDEX('Compliance Database'!$M$2:$M$679,MATCH(275,'Transfer Engine'!$C$2:$C$679,0)))</f>
        <v/>
      </c>
      <c r="N284" s="8">
        <f>IF(ISNA(MATCH(275,'Transfer Engine'!$C$2:$C$679,0)),"",INDEX('Compliance Database'!$N$2:$N$679,MATCH(275,'Transfer Engine'!$C$2:$C$679,0)))</f>
        <v/>
      </c>
      <c r="O284" s="8">
        <f>IF(ISNA(MATCH(275,'Transfer Engine'!$C$2:$C$679,0)),"",INDEX('Compliance Database'!$O$2:$O$679,MATCH(275,'Transfer Engine'!$C$2:$C$679,0)))</f>
        <v/>
      </c>
      <c r="P284">
        <f>IF(ISNA(MATCH(275,'Transfer Engine'!$C$2:$C$679,0)),"",HYPERLINK(INDEX('Compliance Database'!$P$2:$P$679,MATCH(275,'Transfer Engine'!$C$2:$C$679,0)),"Open PDF"))</f>
        <v/>
      </c>
    </row>
    <row r="285">
      <c r="A285">
        <f>IF(ISNA(MATCH(276,'Transfer Engine'!$C$2:$C$679,0)),"",INDEX('Compliance Database'!$A$2:$A$679,MATCH(276,'Transfer Engine'!$C$2:$C$679,0)))</f>
        <v/>
      </c>
      <c r="B285">
        <f>IF(ISNA(MATCH(276,'Transfer Engine'!$C$2:$C$679,0)),"",INDEX('Compliance Database'!$B$2:$B$679,MATCH(276,'Transfer Engine'!$C$2:$C$679,0)))</f>
        <v/>
      </c>
      <c r="C285">
        <f>IF(ISNA(MATCH(276,'Transfer Engine'!$C$2:$C$679,0)),"",INDEX('Compliance Database'!$C$2:$C$679,MATCH(276,'Transfer Engine'!$C$2:$C$679,0)))</f>
        <v/>
      </c>
      <c r="D285" s="8">
        <f>IF(ISNA(MATCH(276,'Transfer Engine'!$C$2:$C$679,0)),"",INDEX('Compliance Database'!$D$2:$D$679,MATCH(276,'Transfer Engine'!$C$2:$C$679,0)))</f>
        <v/>
      </c>
      <c r="E285">
        <f>IF(ISNA(MATCH(276,'Transfer Engine'!$C$2:$C$679,0)),"",INDEX('Compliance Database'!$E$2:$E$679,MATCH(276,'Transfer Engine'!$C$2:$C$679,0)))</f>
        <v/>
      </c>
      <c r="F285">
        <f>IF(ISNA(MATCH(276,'Transfer Engine'!$C$2:$C$679,0)),"",INDEX('Compliance Database'!$F$2:$F$679,MATCH(276,'Transfer Engine'!$C$2:$C$679,0)))</f>
        <v/>
      </c>
      <c r="G285">
        <f>IF(ISNA(MATCH(276,'Transfer Engine'!$C$2:$C$679,0)),"",INDEX('Compliance Database'!$G$2:$G$679,MATCH(276,'Transfer Engine'!$C$2:$C$679,0)))</f>
        <v/>
      </c>
      <c r="H285">
        <f>IF(ISNA(MATCH(276,'Transfer Engine'!$C$2:$C$679,0)),"",INDEX('Compliance Database'!$H$2:$H$679,MATCH(276,'Transfer Engine'!$C$2:$C$679,0)))</f>
        <v/>
      </c>
      <c r="I285" s="8">
        <f>IF(ISNA(MATCH(276,'Transfer Engine'!$C$2:$C$679,0)),"",INDEX('Compliance Database'!$I$2:$I$679,MATCH(276,'Transfer Engine'!$C$2:$C$679,0)))</f>
        <v/>
      </c>
      <c r="J285" s="8">
        <f>IF(ISNA(MATCH(276,'Transfer Engine'!$C$2:$C$679,0)),"",INDEX('Compliance Database'!$J$2:$J$679,MATCH(276,'Transfer Engine'!$C$2:$C$679,0)))</f>
        <v/>
      </c>
      <c r="K285">
        <f>IF(ISNA(MATCH(276,'Transfer Engine'!$C$2:$C$679,0)),"",INDEX('Compliance Database'!$K$2:$K$679,MATCH(276,'Transfer Engine'!$C$2:$C$679,0)))</f>
        <v/>
      </c>
      <c r="L285" s="8">
        <f>IF(ISNA(MATCH(276,'Transfer Engine'!$C$2:$C$679,0)),"",INDEX('Compliance Database'!$L$2:$L$679,MATCH(276,'Transfer Engine'!$C$2:$C$679,0)))</f>
        <v/>
      </c>
      <c r="M285" s="8">
        <f>IF(ISNA(MATCH(276,'Transfer Engine'!$C$2:$C$679,0)),"",INDEX('Compliance Database'!$M$2:$M$679,MATCH(276,'Transfer Engine'!$C$2:$C$679,0)))</f>
        <v/>
      </c>
      <c r="N285" s="8">
        <f>IF(ISNA(MATCH(276,'Transfer Engine'!$C$2:$C$679,0)),"",INDEX('Compliance Database'!$N$2:$N$679,MATCH(276,'Transfer Engine'!$C$2:$C$679,0)))</f>
        <v/>
      </c>
      <c r="O285" s="8">
        <f>IF(ISNA(MATCH(276,'Transfer Engine'!$C$2:$C$679,0)),"",INDEX('Compliance Database'!$O$2:$O$679,MATCH(276,'Transfer Engine'!$C$2:$C$679,0)))</f>
        <v/>
      </c>
      <c r="P285">
        <f>IF(ISNA(MATCH(276,'Transfer Engine'!$C$2:$C$679,0)),"",HYPERLINK(INDEX('Compliance Database'!$P$2:$P$679,MATCH(276,'Transfer Engine'!$C$2:$C$679,0)),"Open PDF"))</f>
        <v/>
      </c>
    </row>
    <row r="286">
      <c r="A286">
        <f>IF(ISNA(MATCH(277,'Transfer Engine'!$C$2:$C$679,0)),"",INDEX('Compliance Database'!$A$2:$A$679,MATCH(277,'Transfer Engine'!$C$2:$C$679,0)))</f>
        <v/>
      </c>
      <c r="B286">
        <f>IF(ISNA(MATCH(277,'Transfer Engine'!$C$2:$C$679,0)),"",INDEX('Compliance Database'!$B$2:$B$679,MATCH(277,'Transfer Engine'!$C$2:$C$679,0)))</f>
        <v/>
      </c>
      <c r="C286">
        <f>IF(ISNA(MATCH(277,'Transfer Engine'!$C$2:$C$679,0)),"",INDEX('Compliance Database'!$C$2:$C$679,MATCH(277,'Transfer Engine'!$C$2:$C$679,0)))</f>
        <v/>
      </c>
      <c r="D286" s="8">
        <f>IF(ISNA(MATCH(277,'Transfer Engine'!$C$2:$C$679,0)),"",INDEX('Compliance Database'!$D$2:$D$679,MATCH(277,'Transfer Engine'!$C$2:$C$679,0)))</f>
        <v/>
      </c>
      <c r="E286">
        <f>IF(ISNA(MATCH(277,'Transfer Engine'!$C$2:$C$679,0)),"",INDEX('Compliance Database'!$E$2:$E$679,MATCH(277,'Transfer Engine'!$C$2:$C$679,0)))</f>
        <v/>
      </c>
      <c r="F286">
        <f>IF(ISNA(MATCH(277,'Transfer Engine'!$C$2:$C$679,0)),"",INDEX('Compliance Database'!$F$2:$F$679,MATCH(277,'Transfer Engine'!$C$2:$C$679,0)))</f>
        <v/>
      </c>
      <c r="G286">
        <f>IF(ISNA(MATCH(277,'Transfer Engine'!$C$2:$C$679,0)),"",INDEX('Compliance Database'!$G$2:$G$679,MATCH(277,'Transfer Engine'!$C$2:$C$679,0)))</f>
        <v/>
      </c>
      <c r="H286">
        <f>IF(ISNA(MATCH(277,'Transfer Engine'!$C$2:$C$679,0)),"",INDEX('Compliance Database'!$H$2:$H$679,MATCH(277,'Transfer Engine'!$C$2:$C$679,0)))</f>
        <v/>
      </c>
      <c r="I286" s="8">
        <f>IF(ISNA(MATCH(277,'Transfer Engine'!$C$2:$C$679,0)),"",INDEX('Compliance Database'!$I$2:$I$679,MATCH(277,'Transfer Engine'!$C$2:$C$679,0)))</f>
        <v/>
      </c>
      <c r="J286" s="8">
        <f>IF(ISNA(MATCH(277,'Transfer Engine'!$C$2:$C$679,0)),"",INDEX('Compliance Database'!$J$2:$J$679,MATCH(277,'Transfer Engine'!$C$2:$C$679,0)))</f>
        <v/>
      </c>
      <c r="K286">
        <f>IF(ISNA(MATCH(277,'Transfer Engine'!$C$2:$C$679,0)),"",INDEX('Compliance Database'!$K$2:$K$679,MATCH(277,'Transfer Engine'!$C$2:$C$679,0)))</f>
        <v/>
      </c>
      <c r="L286" s="8">
        <f>IF(ISNA(MATCH(277,'Transfer Engine'!$C$2:$C$679,0)),"",INDEX('Compliance Database'!$L$2:$L$679,MATCH(277,'Transfer Engine'!$C$2:$C$679,0)))</f>
        <v/>
      </c>
      <c r="M286" s="8">
        <f>IF(ISNA(MATCH(277,'Transfer Engine'!$C$2:$C$679,0)),"",INDEX('Compliance Database'!$M$2:$M$679,MATCH(277,'Transfer Engine'!$C$2:$C$679,0)))</f>
        <v/>
      </c>
      <c r="N286" s="8">
        <f>IF(ISNA(MATCH(277,'Transfer Engine'!$C$2:$C$679,0)),"",INDEX('Compliance Database'!$N$2:$N$679,MATCH(277,'Transfer Engine'!$C$2:$C$679,0)))</f>
        <v/>
      </c>
      <c r="O286" s="8">
        <f>IF(ISNA(MATCH(277,'Transfer Engine'!$C$2:$C$679,0)),"",INDEX('Compliance Database'!$O$2:$O$679,MATCH(277,'Transfer Engine'!$C$2:$C$679,0)))</f>
        <v/>
      </c>
      <c r="P286">
        <f>IF(ISNA(MATCH(277,'Transfer Engine'!$C$2:$C$679,0)),"",HYPERLINK(INDEX('Compliance Database'!$P$2:$P$679,MATCH(277,'Transfer Engine'!$C$2:$C$679,0)),"Open PDF"))</f>
        <v/>
      </c>
    </row>
    <row r="287">
      <c r="A287">
        <f>IF(ISNA(MATCH(278,'Transfer Engine'!$C$2:$C$679,0)),"",INDEX('Compliance Database'!$A$2:$A$679,MATCH(278,'Transfer Engine'!$C$2:$C$679,0)))</f>
        <v/>
      </c>
      <c r="B287">
        <f>IF(ISNA(MATCH(278,'Transfer Engine'!$C$2:$C$679,0)),"",INDEX('Compliance Database'!$B$2:$B$679,MATCH(278,'Transfer Engine'!$C$2:$C$679,0)))</f>
        <v/>
      </c>
      <c r="C287">
        <f>IF(ISNA(MATCH(278,'Transfer Engine'!$C$2:$C$679,0)),"",INDEX('Compliance Database'!$C$2:$C$679,MATCH(278,'Transfer Engine'!$C$2:$C$679,0)))</f>
        <v/>
      </c>
      <c r="D287" s="8">
        <f>IF(ISNA(MATCH(278,'Transfer Engine'!$C$2:$C$679,0)),"",INDEX('Compliance Database'!$D$2:$D$679,MATCH(278,'Transfer Engine'!$C$2:$C$679,0)))</f>
        <v/>
      </c>
      <c r="E287">
        <f>IF(ISNA(MATCH(278,'Transfer Engine'!$C$2:$C$679,0)),"",INDEX('Compliance Database'!$E$2:$E$679,MATCH(278,'Transfer Engine'!$C$2:$C$679,0)))</f>
        <v/>
      </c>
      <c r="F287">
        <f>IF(ISNA(MATCH(278,'Transfer Engine'!$C$2:$C$679,0)),"",INDEX('Compliance Database'!$F$2:$F$679,MATCH(278,'Transfer Engine'!$C$2:$C$679,0)))</f>
        <v/>
      </c>
      <c r="G287">
        <f>IF(ISNA(MATCH(278,'Transfer Engine'!$C$2:$C$679,0)),"",INDEX('Compliance Database'!$G$2:$G$679,MATCH(278,'Transfer Engine'!$C$2:$C$679,0)))</f>
        <v/>
      </c>
      <c r="H287">
        <f>IF(ISNA(MATCH(278,'Transfer Engine'!$C$2:$C$679,0)),"",INDEX('Compliance Database'!$H$2:$H$679,MATCH(278,'Transfer Engine'!$C$2:$C$679,0)))</f>
        <v/>
      </c>
      <c r="I287" s="8">
        <f>IF(ISNA(MATCH(278,'Transfer Engine'!$C$2:$C$679,0)),"",INDEX('Compliance Database'!$I$2:$I$679,MATCH(278,'Transfer Engine'!$C$2:$C$679,0)))</f>
        <v/>
      </c>
      <c r="J287" s="8">
        <f>IF(ISNA(MATCH(278,'Transfer Engine'!$C$2:$C$679,0)),"",INDEX('Compliance Database'!$J$2:$J$679,MATCH(278,'Transfer Engine'!$C$2:$C$679,0)))</f>
        <v/>
      </c>
      <c r="K287">
        <f>IF(ISNA(MATCH(278,'Transfer Engine'!$C$2:$C$679,0)),"",INDEX('Compliance Database'!$K$2:$K$679,MATCH(278,'Transfer Engine'!$C$2:$C$679,0)))</f>
        <v/>
      </c>
      <c r="L287" s="8">
        <f>IF(ISNA(MATCH(278,'Transfer Engine'!$C$2:$C$679,0)),"",INDEX('Compliance Database'!$L$2:$L$679,MATCH(278,'Transfer Engine'!$C$2:$C$679,0)))</f>
        <v/>
      </c>
      <c r="M287" s="8">
        <f>IF(ISNA(MATCH(278,'Transfer Engine'!$C$2:$C$679,0)),"",INDEX('Compliance Database'!$M$2:$M$679,MATCH(278,'Transfer Engine'!$C$2:$C$679,0)))</f>
        <v/>
      </c>
      <c r="N287" s="8">
        <f>IF(ISNA(MATCH(278,'Transfer Engine'!$C$2:$C$679,0)),"",INDEX('Compliance Database'!$N$2:$N$679,MATCH(278,'Transfer Engine'!$C$2:$C$679,0)))</f>
        <v/>
      </c>
      <c r="O287" s="8">
        <f>IF(ISNA(MATCH(278,'Transfer Engine'!$C$2:$C$679,0)),"",INDEX('Compliance Database'!$O$2:$O$679,MATCH(278,'Transfer Engine'!$C$2:$C$679,0)))</f>
        <v/>
      </c>
      <c r="P287">
        <f>IF(ISNA(MATCH(278,'Transfer Engine'!$C$2:$C$679,0)),"",HYPERLINK(INDEX('Compliance Database'!$P$2:$P$679,MATCH(278,'Transfer Engine'!$C$2:$C$679,0)),"Open PDF"))</f>
        <v/>
      </c>
    </row>
    <row r="288">
      <c r="A288">
        <f>IF(ISNA(MATCH(279,'Transfer Engine'!$C$2:$C$679,0)),"",INDEX('Compliance Database'!$A$2:$A$679,MATCH(279,'Transfer Engine'!$C$2:$C$679,0)))</f>
        <v/>
      </c>
      <c r="B288">
        <f>IF(ISNA(MATCH(279,'Transfer Engine'!$C$2:$C$679,0)),"",INDEX('Compliance Database'!$B$2:$B$679,MATCH(279,'Transfer Engine'!$C$2:$C$679,0)))</f>
        <v/>
      </c>
      <c r="C288">
        <f>IF(ISNA(MATCH(279,'Transfer Engine'!$C$2:$C$679,0)),"",INDEX('Compliance Database'!$C$2:$C$679,MATCH(279,'Transfer Engine'!$C$2:$C$679,0)))</f>
        <v/>
      </c>
      <c r="D288" s="8">
        <f>IF(ISNA(MATCH(279,'Transfer Engine'!$C$2:$C$679,0)),"",INDEX('Compliance Database'!$D$2:$D$679,MATCH(279,'Transfer Engine'!$C$2:$C$679,0)))</f>
        <v/>
      </c>
      <c r="E288">
        <f>IF(ISNA(MATCH(279,'Transfer Engine'!$C$2:$C$679,0)),"",INDEX('Compliance Database'!$E$2:$E$679,MATCH(279,'Transfer Engine'!$C$2:$C$679,0)))</f>
        <v/>
      </c>
      <c r="F288">
        <f>IF(ISNA(MATCH(279,'Transfer Engine'!$C$2:$C$679,0)),"",INDEX('Compliance Database'!$F$2:$F$679,MATCH(279,'Transfer Engine'!$C$2:$C$679,0)))</f>
        <v/>
      </c>
      <c r="G288">
        <f>IF(ISNA(MATCH(279,'Transfer Engine'!$C$2:$C$679,0)),"",INDEX('Compliance Database'!$G$2:$G$679,MATCH(279,'Transfer Engine'!$C$2:$C$679,0)))</f>
        <v/>
      </c>
      <c r="H288">
        <f>IF(ISNA(MATCH(279,'Transfer Engine'!$C$2:$C$679,0)),"",INDEX('Compliance Database'!$H$2:$H$679,MATCH(279,'Transfer Engine'!$C$2:$C$679,0)))</f>
        <v/>
      </c>
      <c r="I288" s="8">
        <f>IF(ISNA(MATCH(279,'Transfer Engine'!$C$2:$C$679,0)),"",INDEX('Compliance Database'!$I$2:$I$679,MATCH(279,'Transfer Engine'!$C$2:$C$679,0)))</f>
        <v/>
      </c>
      <c r="J288" s="8">
        <f>IF(ISNA(MATCH(279,'Transfer Engine'!$C$2:$C$679,0)),"",INDEX('Compliance Database'!$J$2:$J$679,MATCH(279,'Transfer Engine'!$C$2:$C$679,0)))</f>
        <v/>
      </c>
      <c r="K288">
        <f>IF(ISNA(MATCH(279,'Transfer Engine'!$C$2:$C$679,0)),"",INDEX('Compliance Database'!$K$2:$K$679,MATCH(279,'Transfer Engine'!$C$2:$C$679,0)))</f>
        <v/>
      </c>
      <c r="L288" s="8">
        <f>IF(ISNA(MATCH(279,'Transfer Engine'!$C$2:$C$679,0)),"",INDEX('Compliance Database'!$L$2:$L$679,MATCH(279,'Transfer Engine'!$C$2:$C$679,0)))</f>
        <v/>
      </c>
      <c r="M288" s="8">
        <f>IF(ISNA(MATCH(279,'Transfer Engine'!$C$2:$C$679,0)),"",INDEX('Compliance Database'!$M$2:$M$679,MATCH(279,'Transfer Engine'!$C$2:$C$679,0)))</f>
        <v/>
      </c>
      <c r="N288" s="8">
        <f>IF(ISNA(MATCH(279,'Transfer Engine'!$C$2:$C$679,0)),"",INDEX('Compliance Database'!$N$2:$N$679,MATCH(279,'Transfer Engine'!$C$2:$C$679,0)))</f>
        <v/>
      </c>
      <c r="O288" s="8">
        <f>IF(ISNA(MATCH(279,'Transfer Engine'!$C$2:$C$679,0)),"",INDEX('Compliance Database'!$O$2:$O$679,MATCH(279,'Transfer Engine'!$C$2:$C$679,0)))</f>
        <v/>
      </c>
      <c r="P288">
        <f>IF(ISNA(MATCH(279,'Transfer Engine'!$C$2:$C$679,0)),"",HYPERLINK(INDEX('Compliance Database'!$P$2:$P$679,MATCH(279,'Transfer Engine'!$C$2:$C$679,0)),"Open PDF"))</f>
        <v/>
      </c>
    </row>
    <row r="289">
      <c r="A289">
        <f>IF(ISNA(MATCH(280,'Transfer Engine'!$C$2:$C$679,0)),"",INDEX('Compliance Database'!$A$2:$A$679,MATCH(280,'Transfer Engine'!$C$2:$C$679,0)))</f>
        <v/>
      </c>
      <c r="B289">
        <f>IF(ISNA(MATCH(280,'Transfer Engine'!$C$2:$C$679,0)),"",INDEX('Compliance Database'!$B$2:$B$679,MATCH(280,'Transfer Engine'!$C$2:$C$679,0)))</f>
        <v/>
      </c>
      <c r="C289">
        <f>IF(ISNA(MATCH(280,'Transfer Engine'!$C$2:$C$679,0)),"",INDEX('Compliance Database'!$C$2:$C$679,MATCH(280,'Transfer Engine'!$C$2:$C$679,0)))</f>
        <v/>
      </c>
      <c r="D289" s="8">
        <f>IF(ISNA(MATCH(280,'Transfer Engine'!$C$2:$C$679,0)),"",INDEX('Compliance Database'!$D$2:$D$679,MATCH(280,'Transfer Engine'!$C$2:$C$679,0)))</f>
        <v/>
      </c>
      <c r="E289">
        <f>IF(ISNA(MATCH(280,'Transfer Engine'!$C$2:$C$679,0)),"",INDEX('Compliance Database'!$E$2:$E$679,MATCH(280,'Transfer Engine'!$C$2:$C$679,0)))</f>
        <v/>
      </c>
      <c r="F289">
        <f>IF(ISNA(MATCH(280,'Transfer Engine'!$C$2:$C$679,0)),"",INDEX('Compliance Database'!$F$2:$F$679,MATCH(280,'Transfer Engine'!$C$2:$C$679,0)))</f>
        <v/>
      </c>
      <c r="G289">
        <f>IF(ISNA(MATCH(280,'Transfer Engine'!$C$2:$C$679,0)),"",INDEX('Compliance Database'!$G$2:$G$679,MATCH(280,'Transfer Engine'!$C$2:$C$679,0)))</f>
        <v/>
      </c>
      <c r="H289">
        <f>IF(ISNA(MATCH(280,'Transfer Engine'!$C$2:$C$679,0)),"",INDEX('Compliance Database'!$H$2:$H$679,MATCH(280,'Transfer Engine'!$C$2:$C$679,0)))</f>
        <v/>
      </c>
      <c r="I289" s="8">
        <f>IF(ISNA(MATCH(280,'Transfer Engine'!$C$2:$C$679,0)),"",INDEX('Compliance Database'!$I$2:$I$679,MATCH(280,'Transfer Engine'!$C$2:$C$679,0)))</f>
        <v/>
      </c>
      <c r="J289" s="8">
        <f>IF(ISNA(MATCH(280,'Transfer Engine'!$C$2:$C$679,0)),"",INDEX('Compliance Database'!$J$2:$J$679,MATCH(280,'Transfer Engine'!$C$2:$C$679,0)))</f>
        <v/>
      </c>
      <c r="K289">
        <f>IF(ISNA(MATCH(280,'Transfer Engine'!$C$2:$C$679,0)),"",INDEX('Compliance Database'!$K$2:$K$679,MATCH(280,'Transfer Engine'!$C$2:$C$679,0)))</f>
        <v/>
      </c>
      <c r="L289" s="8">
        <f>IF(ISNA(MATCH(280,'Transfer Engine'!$C$2:$C$679,0)),"",INDEX('Compliance Database'!$L$2:$L$679,MATCH(280,'Transfer Engine'!$C$2:$C$679,0)))</f>
        <v/>
      </c>
      <c r="M289" s="8">
        <f>IF(ISNA(MATCH(280,'Transfer Engine'!$C$2:$C$679,0)),"",INDEX('Compliance Database'!$M$2:$M$679,MATCH(280,'Transfer Engine'!$C$2:$C$679,0)))</f>
        <v/>
      </c>
      <c r="N289" s="8">
        <f>IF(ISNA(MATCH(280,'Transfer Engine'!$C$2:$C$679,0)),"",INDEX('Compliance Database'!$N$2:$N$679,MATCH(280,'Transfer Engine'!$C$2:$C$679,0)))</f>
        <v/>
      </c>
      <c r="O289" s="8">
        <f>IF(ISNA(MATCH(280,'Transfer Engine'!$C$2:$C$679,0)),"",INDEX('Compliance Database'!$O$2:$O$679,MATCH(280,'Transfer Engine'!$C$2:$C$679,0)))</f>
        <v/>
      </c>
      <c r="P289">
        <f>IF(ISNA(MATCH(280,'Transfer Engine'!$C$2:$C$679,0)),"",HYPERLINK(INDEX('Compliance Database'!$P$2:$P$679,MATCH(280,'Transfer Engine'!$C$2:$C$679,0)),"Open PDF"))</f>
        <v/>
      </c>
    </row>
    <row r="290">
      <c r="A290">
        <f>IF(ISNA(MATCH(281,'Transfer Engine'!$C$2:$C$679,0)),"",INDEX('Compliance Database'!$A$2:$A$679,MATCH(281,'Transfer Engine'!$C$2:$C$679,0)))</f>
        <v/>
      </c>
      <c r="B290">
        <f>IF(ISNA(MATCH(281,'Transfer Engine'!$C$2:$C$679,0)),"",INDEX('Compliance Database'!$B$2:$B$679,MATCH(281,'Transfer Engine'!$C$2:$C$679,0)))</f>
        <v/>
      </c>
      <c r="C290">
        <f>IF(ISNA(MATCH(281,'Transfer Engine'!$C$2:$C$679,0)),"",INDEX('Compliance Database'!$C$2:$C$679,MATCH(281,'Transfer Engine'!$C$2:$C$679,0)))</f>
        <v/>
      </c>
      <c r="D290" s="8">
        <f>IF(ISNA(MATCH(281,'Transfer Engine'!$C$2:$C$679,0)),"",INDEX('Compliance Database'!$D$2:$D$679,MATCH(281,'Transfer Engine'!$C$2:$C$679,0)))</f>
        <v/>
      </c>
      <c r="E290">
        <f>IF(ISNA(MATCH(281,'Transfer Engine'!$C$2:$C$679,0)),"",INDEX('Compliance Database'!$E$2:$E$679,MATCH(281,'Transfer Engine'!$C$2:$C$679,0)))</f>
        <v/>
      </c>
      <c r="F290">
        <f>IF(ISNA(MATCH(281,'Transfer Engine'!$C$2:$C$679,0)),"",INDEX('Compliance Database'!$F$2:$F$679,MATCH(281,'Transfer Engine'!$C$2:$C$679,0)))</f>
        <v/>
      </c>
      <c r="G290">
        <f>IF(ISNA(MATCH(281,'Transfer Engine'!$C$2:$C$679,0)),"",INDEX('Compliance Database'!$G$2:$G$679,MATCH(281,'Transfer Engine'!$C$2:$C$679,0)))</f>
        <v/>
      </c>
      <c r="H290">
        <f>IF(ISNA(MATCH(281,'Transfer Engine'!$C$2:$C$679,0)),"",INDEX('Compliance Database'!$H$2:$H$679,MATCH(281,'Transfer Engine'!$C$2:$C$679,0)))</f>
        <v/>
      </c>
      <c r="I290" s="8">
        <f>IF(ISNA(MATCH(281,'Transfer Engine'!$C$2:$C$679,0)),"",INDEX('Compliance Database'!$I$2:$I$679,MATCH(281,'Transfer Engine'!$C$2:$C$679,0)))</f>
        <v/>
      </c>
      <c r="J290" s="8">
        <f>IF(ISNA(MATCH(281,'Transfer Engine'!$C$2:$C$679,0)),"",INDEX('Compliance Database'!$J$2:$J$679,MATCH(281,'Transfer Engine'!$C$2:$C$679,0)))</f>
        <v/>
      </c>
      <c r="K290">
        <f>IF(ISNA(MATCH(281,'Transfer Engine'!$C$2:$C$679,0)),"",INDEX('Compliance Database'!$K$2:$K$679,MATCH(281,'Transfer Engine'!$C$2:$C$679,0)))</f>
        <v/>
      </c>
      <c r="L290" s="8">
        <f>IF(ISNA(MATCH(281,'Transfer Engine'!$C$2:$C$679,0)),"",INDEX('Compliance Database'!$L$2:$L$679,MATCH(281,'Transfer Engine'!$C$2:$C$679,0)))</f>
        <v/>
      </c>
      <c r="M290" s="8">
        <f>IF(ISNA(MATCH(281,'Transfer Engine'!$C$2:$C$679,0)),"",INDEX('Compliance Database'!$M$2:$M$679,MATCH(281,'Transfer Engine'!$C$2:$C$679,0)))</f>
        <v/>
      </c>
      <c r="N290" s="8">
        <f>IF(ISNA(MATCH(281,'Transfer Engine'!$C$2:$C$679,0)),"",INDEX('Compliance Database'!$N$2:$N$679,MATCH(281,'Transfer Engine'!$C$2:$C$679,0)))</f>
        <v/>
      </c>
      <c r="O290" s="8">
        <f>IF(ISNA(MATCH(281,'Transfer Engine'!$C$2:$C$679,0)),"",INDEX('Compliance Database'!$O$2:$O$679,MATCH(281,'Transfer Engine'!$C$2:$C$679,0)))</f>
        <v/>
      </c>
      <c r="P290">
        <f>IF(ISNA(MATCH(281,'Transfer Engine'!$C$2:$C$679,0)),"",HYPERLINK(INDEX('Compliance Database'!$P$2:$P$679,MATCH(281,'Transfer Engine'!$C$2:$C$679,0)),"Open PDF"))</f>
        <v/>
      </c>
    </row>
    <row r="291">
      <c r="A291">
        <f>IF(ISNA(MATCH(282,'Transfer Engine'!$C$2:$C$679,0)),"",INDEX('Compliance Database'!$A$2:$A$679,MATCH(282,'Transfer Engine'!$C$2:$C$679,0)))</f>
        <v/>
      </c>
      <c r="B291">
        <f>IF(ISNA(MATCH(282,'Transfer Engine'!$C$2:$C$679,0)),"",INDEX('Compliance Database'!$B$2:$B$679,MATCH(282,'Transfer Engine'!$C$2:$C$679,0)))</f>
        <v/>
      </c>
      <c r="C291">
        <f>IF(ISNA(MATCH(282,'Transfer Engine'!$C$2:$C$679,0)),"",INDEX('Compliance Database'!$C$2:$C$679,MATCH(282,'Transfer Engine'!$C$2:$C$679,0)))</f>
        <v/>
      </c>
      <c r="D291" s="8">
        <f>IF(ISNA(MATCH(282,'Transfer Engine'!$C$2:$C$679,0)),"",INDEX('Compliance Database'!$D$2:$D$679,MATCH(282,'Transfer Engine'!$C$2:$C$679,0)))</f>
        <v/>
      </c>
      <c r="E291">
        <f>IF(ISNA(MATCH(282,'Transfer Engine'!$C$2:$C$679,0)),"",INDEX('Compliance Database'!$E$2:$E$679,MATCH(282,'Transfer Engine'!$C$2:$C$679,0)))</f>
        <v/>
      </c>
      <c r="F291">
        <f>IF(ISNA(MATCH(282,'Transfer Engine'!$C$2:$C$679,0)),"",INDEX('Compliance Database'!$F$2:$F$679,MATCH(282,'Transfer Engine'!$C$2:$C$679,0)))</f>
        <v/>
      </c>
      <c r="G291">
        <f>IF(ISNA(MATCH(282,'Transfer Engine'!$C$2:$C$679,0)),"",INDEX('Compliance Database'!$G$2:$G$679,MATCH(282,'Transfer Engine'!$C$2:$C$679,0)))</f>
        <v/>
      </c>
      <c r="H291">
        <f>IF(ISNA(MATCH(282,'Transfer Engine'!$C$2:$C$679,0)),"",INDEX('Compliance Database'!$H$2:$H$679,MATCH(282,'Transfer Engine'!$C$2:$C$679,0)))</f>
        <v/>
      </c>
      <c r="I291" s="8">
        <f>IF(ISNA(MATCH(282,'Transfer Engine'!$C$2:$C$679,0)),"",INDEX('Compliance Database'!$I$2:$I$679,MATCH(282,'Transfer Engine'!$C$2:$C$679,0)))</f>
        <v/>
      </c>
      <c r="J291" s="8">
        <f>IF(ISNA(MATCH(282,'Transfer Engine'!$C$2:$C$679,0)),"",INDEX('Compliance Database'!$J$2:$J$679,MATCH(282,'Transfer Engine'!$C$2:$C$679,0)))</f>
        <v/>
      </c>
      <c r="K291">
        <f>IF(ISNA(MATCH(282,'Transfer Engine'!$C$2:$C$679,0)),"",INDEX('Compliance Database'!$K$2:$K$679,MATCH(282,'Transfer Engine'!$C$2:$C$679,0)))</f>
        <v/>
      </c>
      <c r="L291" s="8">
        <f>IF(ISNA(MATCH(282,'Transfer Engine'!$C$2:$C$679,0)),"",INDEX('Compliance Database'!$L$2:$L$679,MATCH(282,'Transfer Engine'!$C$2:$C$679,0)))</f>
        <v/>
      </c>
      <c r="M291" s="8">
        <f>IF(ISNA(MATCH(282,'Transfer Engine'!$C$2:$C$679,0)),"",INDEX('Compliance Database'!$M$2:$M$679,MATCH(282,'Transfer Engine'!$C$2:$C$679,0)))</f>
        <v/>
      </c>
      <c r="N291" s="8">
        <f>IF(ISNA(MATCH(282,'Transfer Engine'!$C$2:$C$679,0)),"",INDEX('Compliance Database'!$N$2:$N$679,MATCH(282,'Transfer Engine'!$C$2:$C$679,0)))</f>
        <v/>
      </c>
      <c r="O291" s="8">
        <f>IF(ISNA(MATCH(282,'Transfer Engine'!$C$2:$C$679,0)),"",INDEX('Compliance Database'!$O$2:$O$679,MATCH(282,'Transfer Engine'!$C$2:$C$679,0)))</f>
        <v/>
      </c>
      <c r="P291">
        <f>IF(ISNA(MATCH(282,'Transfer Engine'!$C$2:$C$679,0)),"",HYPERLINK(INDEX('Compliance Database'!$P$2:$P$679,MATCH(282,'Transfer Engine'!$C$2:$C$679,0)),"Open PDF"))</f>
        <v/>
      </c>
    </row>
    <row r="292">
      <c r="A292">
        <f>IF(ISNA(MATCH(283,'Transfer Engine'!$C$2:$C$679,0)),"",INDEX('Compliance Database'!$A$2:$A$679,MATCH(283,'Transfer Engine'!$C$2:$C$679,0)))</f>
        <v/>
      </c>
      <c r="B292">
        <f>IF(ISNA(MATCH(283,'Transfer Engine'!$C$2:$C$679,0)),"",INDEX('Compliance Database'!$B$2:$B$679,MATCH(283,'Transfer Engine'!$C$2:$C$679,0)))</f>
        <v/>
      </c>
      <c r="C292">
        <f>IF(ISNA(MATCH(283,'Transfer Engine'!$C$2:$C$679,0)),"",INDEX('Compliance Database'!$C$2:$C$679,MATCH(283,'Transfer Engine'!$C$2:$C$679,0)))</f>
        <v/>
      </c>
      <c r="D292" s="8">
        <f>IF(ISNA(MATCH(283,'Transfer Engine'!$C$2:$C$679,0)),"",INDEX('Compliance Database'!$D$2:$D$679,MATCH(283,'Transfer Engine'!$C$2:$C$679,0)))</f>
        <v/>
      </c>
      <c r="E292">
        <f>IF(ISNA(MATCH(283,'Transfer Engine'!$C$2:$C$679,0)),"",INDEX('Compliance Database'!$E$2:$E$679,MATCH(283,'Transfer Engine'!$C$2:$C$679,0)))</f>
        <v/>
      </c>
      <c r="F292">
        <f>IF(ISNA(MATCH(283,'Transfer Engine'!$C$2:$C$679,0)),"",INDEX('Compliance Database'!$F$2:$F$679,MATCH(283,'Transfer Engine'!$C$2:$C$679,0)))</f>
        <v/>
      </c>
      <c r="G292">
        <f>IF(ISNA(MATCH(283,'Transfer Engine'!$C$2:$C$679,0)),"",INDEX('Compliance Database'!$G$2:$G$679,MATCH(283,'Transfer Engine'!$C$2:$C$679,0)))</f>
        <v/>
      </c>
      <c r="H292">
        <f>IF(ISNA(MATCH(283,'Transfer Engine'!$C$2:$C$679,0)),"",INDEX('Compliance Database'!$H$2:$H$679,MATCH(283,'Transfer Engine'!$C$2:$C$679,0)))</f>
        <v/>
      </c>
      <c r="I292" s="8">
        <f>IF(ISNA(MATCH(283,'Transfer Engine'!$C$2:$C$679,0)),"",INDEX('Compliance Database'!$I$2:$I$679,MATCH(283,'Transfer Engine'!$C$2:$C$679,0)))</f>
        <v/>
      </c>
      <c r="J292" s="8">
        <f>IF(ISNA(MATCH(283,'Transfer Engine'!$C$2:$C$679,0)),"",INDEX('Compliance Database'!$J$2:$J$679,MATCH(283,'Transfer Engine'!$C$2:$C$679,0)))</f>
        <v/>
      </c>
      <c r="K292">
        <f>IF(ISNA(MATCH(283,'Transfer Engine'!$C$2:$C$679,0)),"",INDEX('Compliance Database'!$K$2:$K$679,MATCH(283,'Transfer Engine'!$C$2:$C$679,0)))</f>
        <v/>
      </c>
      <c r="L292" s="8">
        <f>IF(ISNA(MATCH(283,'Transfer Engine'!$C$2:$C$679,0)),"",INDEX('Compliance Database'!$L$2:$L$679,MATCH(283,'Transfer Engine'!$C$2:$C$679,0)))</f>
        <v/>
      </c>
      <c r="M292" s="8">
        <f>IF(ISNA(MATCH(283,'Transfer Engine'!$C$2:$C$679,0)),"",INDEX('Compliance Database'!$M$2:$M$679,MATCH(283,'Transfer Engine'!$C$2:$C$679,0)))</f>
        <v/>
      </c>
      <c r="N292" s="8">
        <f>IF(ISNA(MATCH(283,'Transfer Engine'!$C$2:$C$679,0)),"",INDEX('Compliance Database'!$N$2:$N$679,MATCH(283,'Transfer Engine'!$C$2:$C$679,0)))</f>
        <v/>
      </c>
      <c r="O292" s="8">
        <f>IF(ISNA(MATCH(283,'Transfer Engine'!$C$2:$C$679,0)),"",INDEX('Compliance Database'!$O$2:$O$679,MATCH(283,'Transfer Engine'!$C$2:$C$679,0)))</f>
        <v/>
      </c>
      <c r="P292">
        <f>IF(ISNA(MATCH(283,'Transfer Engine'!$C$2:$C$679,0)),"",HYPERLINK(INDEX('Compliance Database'!$P$2:$P$679,MATCH(283,'Transfer Engine'!$C$2:$C$679,0)),"Open PDF"))</f>
        <v/>
      </c>
    </row>
    <row r="293">
      <c r="A293">
        <f>IF(ISNA(MATCH(284,'Transfer Engine'!$C$2:$C$679,0)),"",INDEX('Compliance Database'!$A$2:$A$679,MATCH(284,'Transfer Engine'!$C$2:$C$679,0)))</f>
        <v/>
      </c>
      <c r="B293">
        <f>IF(ISNA(MATCH(284,'Transfer Engine'!$C$2:$C$679,0)),"",INDEX('Compliance Database'!$B$2:$B$679,MATCH(284,'Transfer Engine'!$C$2:$C$679,0)))</f>
        <v/>
      </c>
      <c r="C293">
        <f>IF(ISNA(MATCH(284,'Transfer Engine'!$C$2:$C$679,0)),"",INDEX('Compliance Database'!$C$2:$C$679,MATCH(284,'Transfer Engine'!$C$2:$C$679,0)))</f>
        <v/>
      </c>
      <c r="D293" s="8">
        <f>IF(ISNA(MATCH(284,'Transfer Engine'!$C$2:$C$679,0)),"",INDEX('Compliance Database'!$D$2:$D$679,MATCH(284,'Transfer Engine'!$C$2:$C$679,0)))</f>
        <v/>
      </c>
      <c r="E293">
        <f>IF(ISNA(MATCH(284,'Transfer Engine'!$C$2:$C$679,0)),"",INDEX('Compliance Database'!$E$2:$E$679,MATCH(284,'Transfer Engine'!$C$2:$C$679,0)))</f>
        <v/>
      </c>
      <c r="F293">
        <f>IF(ISNA(MATCH(284,'Transfer Engine'!$C$2:$C$679,0)),"",INDEX('Compliance Database'!$F$2:$F$679,MATCH(284,'Transfer Engine'!$C$2:$C$679,0)))</f>
        <v/>
      </c>
      <c r="G293">
        <f>IF(ISNA(MATCH(284,'Transfer Engine'!$C$2:$C$679,0)),"",INDEX('Compliance Database'!$G$2:$G$679,MATCH(284,'Transfer Engine'!$C$2:$C$679,0)))</f>
        <v/>
      </c>
      <c r="H293">
        <f>IF(ISNA(MATCH(284,'Transfer Engine'!$C$2:$C$679,0)),"",INDEX('Compliance Database'!$H$2:$H$679,MATCH(284,'Transfer Engine'!$C$2:$C$679,0)))</f>
        <v/>
      </c>
      <c r="I293" s="8">
        <f>IF(ISNA(MATCH(284,'Transfer Engine'!$C$2:$C$679,0)),"",INDEX('Compliance Database'!$I$2:$I$679,MATCH(284,'Transfer Engine'!$C$2:$C$679,0)))</f>
        <v/>
      </c>
      <c r="J293" s="8">
        <f>IF(ISNA(MATCH(284,'Transfer Engine'!$C$2:$C$679,0)),"",INDEX('Compliance Database'!$J$2:$J$679,MATCH(284,'Transfer Engine'!$C$2:$C$679,0)))</f>
        <v/>
      </c>
      <c r="K293">
        <f>IF(ISNA(MATCH(284,'Transfer Engine'!$C$2:$C$679,0)),"",INDEX('Compliance Database'!$K$2:$K$679,MATCH(284,'Transfer Engine'!$C$2:$C$679,0)))</f>
        <v/>
      </c>
      <c r="L293" s="8">
        <f>IF(ISNA(MATCH(284,'Transfer Engine'!$C$2:$C$679,0)),"",INDEX('Compliance Database'!$L$2:$L$679,MATCH(284,'Transfer Engine'!$C$2:$C$679,0)))</f>
        <v/>
      </c>
      <c r="M293" s="8">
        <f>IF(ISNA(MATCH(284,'Transfer Engine'!$C$2:$C$679,0)),"",INDEX('Compliance Database'!$M$2:$M$679,MATCH(284,'Transfer Engine'!$C$2:$C$679,0)))</f>
        <v/>
      </c>
      <c r="N293" s="8">
        <f>IF(ISNA(MATCH(284,'Transfer Engine'!$C$2:$C$679,0)),"",INDEX('Compliance Database'!$N$2:$N$679,MATCH(284,'Transfer Engine'!$C$2:$C$679,0)))</f>
        <v/>
      </c>
      <c r="O293" s="8">
        <f>IF(ISNA(MATCH(284,'Transfer Engine'!$C$2:$C$679,0)),"",INDEX('Compliance Database'!$O$2:$O$679,MATCH(284,'Transfer Engine'!$C$2:$C$679,0)))</f>
        <v/>
      </c>
      <c r="P293">
        <f>IF(ISNA(MATCH(284,'Transfer Engine'!$C$2:$C$679,0)),"",HYPERLINK(INDEX('Compliance Database'!$P$2:$P$679,MATCH(284,'Transfer Engine'!$C$2:$C$679,0)),"Open PDF"))</f>
        <v/>
      </c>
    </row>
    <row r="294">
      <c r="A294">
        <f>IF(ISNA(MATCH(285,'Transfer Engine'!$C$2:$C$679,0)),"",INDEX('Compliance Database'!$A$2:$A$679,MATCH(285,'Transfer Engine'!$C$2:$C$679,0)))</f>
        <v/>
      </c>
      <c r="B294">
        <f>IF(ISNA(MATCH(285,'Transfer Engine'!$C$2:$C$679,0)),"",INDEX('Compliance Database'!$B$2:$B$679,MATCH(285,'Transfer Engine'!$C$2:$C$679,0)))</f>
        <v/>
      </c>
      <c r="C294">
        <f>IF(ISNA(MATCH(285,'Transfer Engine'!$C$2:$C$679,0)),"",INDEX('Compliance Database'!$C$2:$C$679,MATCH(285,'Transfer Engine'!$C$2:$C$679,0)))</f>
        <v/>
      </c>
      <c r="D294" s="8">
        <f>IF(ISNA(MATCH(285,'Transfer Engine'!$C$2:$C$679,0)),"",INDEX('Compliance Database'!$D$2:$D$679,MATCH(285,'Transfer Engine'!$C$2:$C$679,0)))</f>
        <v/>
      </c>
      <c r="E294">
        <f>IF(ISNA(MATCH(285,'Transfer Engine'!$C$2:$C$679,0)),"",INDEX('Compliance Database'!$E$2:$E$679,MATCH(285,'Transfer Engine'!$C$2:$C$679,0)))</f>
        <v/>
      </c>
      <c r="F294">
        <f>IF(ISNA(MATCH(285,'Transfer Engine'!$C$2:$C$679,0)),"",INDEX('Compliance Database'!$F$2:$F$679,MATCH(285,'Transfer Engine'!$C$2:$C$679,0)))</f>
        <v/>
      </c>
      <c r="G294">
        <f>IF(ISNA(MATCH(285,'Transfer Engine'!$C$2:$C$679,0)),"",INDEX('Compliance Database'!$G$2:$G$679,MATCH(285,'Transfer Engine'!$C$2:$C$679,0)))</f>
        <v/>
      </c>
      <c r="H294">
        <f>IF(ISNA(MATCH(285,'Transfer Engine'!$C$2:$C$679,0)),"",INDEX('Compliance Database'!$H$2:$H$679,MATCH(285,'Transfer Engine'!$C$2:$C$679,0)))</f>
        <v/>
      </c>
      <c r="I294" s="8">
        <f>IF(ISNA(MATCH(285,'Transfer Engine'!$C$2:$C$679,0)),"",INDEX('Compliance Database'!$I$2:$I$679,MATCH(285,'Transfer Engine'!$C$2:$C$679,0)))</f>
        <v/>
      </c>
      <c r="J294" s="8">
        <f>IF(ISNA(MATCH(285,'Transfer Engine'!$C$2:$C$679,0)),"",INDEX('Compliance Database'!$J$2:$J$679,MATCH(285,'Transfer Engine'!$C$2:$C$679,0)))</f>
        <v/>
      </c>
      <c r="K294">
        <f>IF(ISNA(MATCH(285,'Transfer Engine'!$C$2:$C$679,0)),"",INDEX('Compliance Database'!$K$2:$K$679,MATCH(285,'Transfer Engine'!$C$2:$C$679,0)))</f>
        <v/>
      </c>
      <c r="L294" s="8">
        <f>IF(ISNA(MATCH(285,'Transfer Engine'!$C$2:$C$679,0)),"",INDEX('Compliance Database'!$L$2:$L$679,MATCH(285,'Transfer Engine'!$C$2:$C$679,0)))</f>
        <v/>
      </c>
      <c r="M294" s="8">
        <f>IF(ISNA(MATCH(285,'Transfer Engine'!$C$2:$C$679,0)),"",INDEX('Compliance Database'!$M$2:$M$679,MATCH(285,'Transfer Engine'!$C$2:$C$679,0)))</f>
        <v/>
      </c>
      <c r="N294" s="8">
        <f>IF(ISNA(MATCH(285,'Transfer Engine'!$C$2:$C$679,0)),"",INDEX('Compliance Database'!$N$2:$N$679,MATCH(285,'Transfer Engine'!$C$2:$C$679,0)))</f>
        <v/>
      </c>
      <c r="O294" s="8">
        <f>IF(ISNA(MATCH(285,'Transfer Engine'!$C$2:$C$679,0)),"",INDEX('Compliance Database'!$O$2:$O$679,MATCH(285,'Transfer Engine'!$C$2:$C$679,0)))</f>
        <v/>
      </c>
      <c r="P294">
        <f>IF(ISNA(MATCH(285,'Transfer Engine'!$C$2:$C$679,0)),"",HYPERLINK(INDEX('Compliance Database'!$P$2:$P$679,MATCH(285,'Transfer Engine'!$C$2:$C$679,0)),"Open PDF"))</f>
        <v/>
      </c>
    </row>
    <row r="295">
      <c r="A295">
        <f>IF(ISNA(MATCH(286,'Transfer Engine'!$C$2:$C$679,0)),"",INDEX('Compliance Database'!$A$2:$A$679,MATCH(286,'Transfer Engine'!$C$2:$C$679,0)))</f>
        <v/>
      </c>
      <c r="B295">
        <f>IF(ISNA(MATCH(286,'Transfer Engine'!$C$2:$C$679,0)),"",INDEX('Compliance Database'!$B$2:$B$679,MATCH(286,'Transfer Engine'!$C$2:$C$679,0)))</f>
        <v/>
      </c>
      <c r="C295">
        <f>IF(ISNA(MATCH(286,'Transfer Engine'!$C$2:$C$679,0)),"",INDEX('Compliance Database'!$C$2:$C$679,MATCH(286,'Transfer Engine'!$C$2:$C$679,0)))</f>
        <v/>
      </c>
      <c r="D295" s="8">
        <f>IF(ISNA(MATCH(286,'Transfer Engine'!$C$2:$C$679,0)),"",INDEX('Compliance Database'!$D$2:$D$679,MATCH(286,'Transfer Engine'!$C$2:$C$679,0)))</f>
        <v/>
      </c>
      <c r="E295">
        <f>IF(ISNA(MATCH(286,'Transfer Engine'!$C$2:$C$679,0)),"",INDEX('Compliance Database'!$E$2:$E$679,MATCH(286,'Transfer Engine'!$C$2:$C$679,0)))</f>
        <v/>
      </c>
      <c r="F295">
        <f>IF(ISNA(MATCH(286,'Transfer Engine'!$C$2:$C$679,0)),"",INDEX('Compliance Database'!$F$2:$F$679,MATCH(286,'Transfer Engine'!$C$2:$C$679,0)))</f>
        <v/>
      </c>
      <c r="G295">
        <f>IF(ISNA(MATCH(286,'Transfer Engine'!$C$2:$C$679,0)),"",INDEX('Compliance Database'!$G$2:$G$679,MATCH(286,'Transfer Engine'!$C$2:$C$679,0)))</f>
        <v/>
      </c>
      <c r="H295">
        <f>IF(ISNA(MATCH(286,'Transfer Engine'!$C$2:$C$679,0)),"",INDEX('Compliance Database'!$H$2:$H$679,MATCH(286,'Transfer Engine'!$C$2:$C$679,0)))</f>
        <v/>
      </c>
      <c r="I295" s="8">
        <f>IF(ISNA(MATCH(286,'Transfer Engine'!$C$2:$C$679,0)),"",INDEX('Compliance Database'!$I$2:$I$679,MATCH(286,'Transfer Engine'!$C$2:$C$679,0)))</f>
        <v/>
      </c>
      <c r="J295" s="8">
        <f>IF(ISNA(MATCH(286,'Transfer Engine'!$C$2:$C$679,0)),"",INDEX('Compliance Database'!$J$2:$J$679,MATCH(286,'Transfer Engine'!$C$2:$C$679,0)))</f>
        <v/>
      </c>
      <c r="K295">
        <f>IF(ISNA(MATCH(286,'Transfer Engine'!$C$2:$C$679,0)),"",INDEX('Compliance Database'!$K$2:$K$679,MATCH(286,'Transfer Engine'!$C$2:$C$679,0)))</f>
        <v/>
      </c>
      <c r="L295" s="8">
        <f>IF(ISNA(MATCH(286,'Transfer Engine'!$C$2:$C$679,0)),"",INDEX('Compliance Database'!$L$2:$L$679,MATCH(286,'Transfer Engine'!$C$2:$C$679,0)))</f>
        <v/>
      </c>
      <c r="M295" s="8">
        <f>IF(ISNA(MATCH(286,'Transfer Engine'!$C$2:$C$679,0)),"",INDEX('Compliance Database'!$M$2:$M$679,MATCH(286,'Transfer Engine'!$C$2:$C$679,0)))</f>
        <v/>
      </c>
      <c r="N295" s="8">
        <f>IF(ISNA(MATCH(286,'Transfer Engine'!$C$2:$C$679,0)),"",INDEX('Compliance Database'!$N$2:$N$679,MATCH(286,'Transfer Engine'!$C$2:$C$679,0)))</f>
        <v/>
      </c>
      <c r="O295" s="8">
        <f>IF(ISNA(MATCH(286,'Transfer Engine'!$C$2:$C$679,0)),"",INDEX('Compliance Database'!$O$2:$O$679,MATCH(286,'Transfer Engine'!$C$2:$C$679,0)))</f>
        <v/>
      </c>
      <c r="P295">
        <f>IF(ISNA(MATCH(286,'Transfer Engine'!$C$2:$C$679,0)),"",HYPERLINK(INDEX('Compliance Database'!$P$2:$P$679,MATCH(286,'Transfer Engine'!$C$2:$C$679,0)),"Open PDF"))</f>
        <v/>
      </c>
    </row>
    <row r="296">
      <c r="A296">
        <f>IF(ISNA(MATCH(287,'Transfer Engine'!$C$2:$C$679,0)),"",INDEX('Compliance Database'!$A$2:$A$679,MATCH(287,'Transfer Engine'!$C$2:$C$679,0)))</f>
        <v/>
      </c>
      <c r="B296">
        <f>IF(ISNA(MATCH(287,'Transfer Engine'!$C$2:$C$679,0)),"",INDEX('Compliance Database'!$B$2:$B$679,MATCH(287,'Transfer Engine'!$C$2:$C$679,0)))</f>
        <v/>
      </c>
      <c r="C296">
        <f>IF(ISNA(MATCH(287,'Transfer Engine'!$C$2:$C$679,0)),"",INDEX('Compliance Database'!$C$2:$C$679,MATCH(287,'Transfer Engine'!$C$2:$C$679,0)))</f>
        <v/>
      </c>
      <c r="D296" s="8">
        <f>IF(ISNA(MATCH(287,'Transfer Engine'!$C$2:$C$679,0)),"",INDEX('Compliance Database'!$D$2:$D$679,MATCH(287,'Transfer Engine'!$C$2:$C$679,0)))</f>
        <v/>
      </c>
      <c r="E296">
        <f>IF(ISNA(MATCH(287,'Transfer Engine'!$C$2:$C$679,0)),"",INDEX('Compliance Database'!$E$2:$E$679,MATCH(287,'Transfer Engine'!$C$2:$C$679,0)))</f>
        <v/>
      </c>
      <c r="F296">
        <f>IF(ISNA(MATCH(287,'Transfer Engine'!$C$2:$C$679,0)),"",INDEX('Compliance Database'!$F$2:$F$679,MATCH(287,'Transfer Engine'!$C$2:$C$679,0)))</f>
        <v/>
      </c>
      <c r="G296">
        <f>IF(ISNA(MATCH(287,'Transfer Engine'!$C$2:$C$679,0)),"",INDEX('Compliance Database'!$G$2:$G$679,MATCH(287,'Transfer Engine'!$C$2:$C$679,0)))</f>
        <v/>
      </c>
      <c r="H296">
        <f>IF(ISNA(MATCH(287,'Transfer Engine'!$C$2:$C$679,0)),"",INDEX('Compliance Database'!$H$2:$H$679,MATCH(287,'Transfer Engine'!$C$2:$C$679,0)))</f>
        <v/>
      </c>
      <c r="I296" s="8">
        <f>IF(ISNA(MATCH(287,'Transfer Engine'!$C$2:$C$679,0)),"",INDEX('Compliance Database'!$I$2:$I$679,MATCH(287,'Transfer Engine'!$C$2:$C$679,0)))</f>
        <v/>
      </c>
      <c r="J296" s="8">
        <f>IF(ISNA(MATCH(287,'Transfer Engine'!$C$2:$C$679,0)),"",INDEX('Compliance Database'!$J$2:$J$679,MATCH(287,'Transfer Engine'!$C$2:$C$679,0)))</f>
        <v/>
      </c>
      <c r="K296">
        <f>IF(ISNA(MATCH(287,'Transfer Engine'!$C$2:$C$679,0)),"",INDEX('Compliance Database'!$K$2:$K$679,MATCH(287,'Transfer Engine'!$C$2:$C$679,0)))</f>
        <v/>
      </c>
      <c r="L296" s="8">
        <f>IF(ISNA(MATCH(287,'Transfer Engine'!$C$2:$C$679,0)),"",INDEX('Compliance Database'!$L$2:$L$679,MATCH(287,'Transfer Engine'!$C$2:$C$679,0)))</f>
        <v/>
      </c>
      <c r="M296" s="8">
        <f>IF(ISNA(MATCH(287,'Transfer Engine'!$C$2:$C$679,0)),"",INDEX('Compliance Database'!$M$2:$M$679,MATCH(287,'Transfer Engine'!$C$2:$C$679,0)))</f>
        <v/>
      </c>
      <c r="N296" s="8">
        <f>IF(ISNA(MATCH(287,'Transfer Engine'!$C$2:$C$679,0)),"",INDEX('Compliance Database'!$N$2:$N$679,MATCH(287,'Transfer Engine'!$C$2:$C$679,0)))</f>
        <v/>
      </c>
      <c r="O296" s="8">
        <f>IF(ISNA(MATCH(287,'Transfer Engine'!$C$2:$C$679,0)),"",INDEX('Compliance Database'!$O$2:$O$679,MATCH(287,'Transfer Engine'!$C$2:$C$679,0)))</f>
        <v/>
      </c>
      <c r="P296">
        <f>IF(ISNA(MATCH(287,'Transfer Engine'!$C$2:$C$679,0)),"",HYPERLINK(INDEX('Compliance Database'!$P$2:$P$679,MATCH(287,'Transfer Engine'!$C$2:$C$679,0)),"Open PDF"))</f>
        <v/>
      </c>
    </row>
    <row r="297">
      <c r="A297">
        <f>IF(ISNA(MATCH(288,'Transfer Engine'!$C$2:$C$679,0)),"",INDEX('Compliance Database'!$A$2:$A$679,MATCH(288,'Transfer Engine'!$C$2:$C$679,0)))</f>
        <v/>
      </c>
      <c r="B297">
        <f>IF(ISNA(MATCH(288,'Transfer Engine'!$C$2:$C$679,0)),"",INDEX('Compliance Database'!$B$2:$B$679,MATCH(288,'Transfer Engine'!$C$2:$C$679,0)))</f>
        <v/>
      </c>
      <c r="C297">
        <f>IF(ISNA(MATCH(288,'Transfer Engine'!$C$2:$C$679,0)),"",INDEX('Compliance Database'!$C$2:$C$679,MATCH(288,'Transfer Engine'!$C$2:$C$679,0)))</f>
        <v/>
      </c>
      <c r="D297" s="8">
        <f>IF(ISNA(MATCH(288,'Transfer Engine'!$C$2:$C$679,0)),"",INDEX('Compliance Database'!$D$2:$D$679,MATCH(288,'Transfer Engine'!$C$2:$C$679,0)))</f>
        <v/>
      </c>
      <c r="E297">
        <f>IF(ISNA(MATCH(288,'Transfer Engine'!$C$2:$C$679,0)),"",INDEX('Compliance Database'!$E$2:$E$679,MATCH(288,'Transfer Engine'!$C$2:$C$679,0)))</f>
        <v/>
      </c>
      <c r="F297">
        <f>IF(ISNA(MATCH(288,'Transfer Engine'!$C$2:$C$679,0)),"",INDEX('Compliance Database'!$F$2:$F$679,MATCH(288,'Transfer Engine'!$C$2:$C$679,0)))</f>
        <v/>
      </c>
      <c r="G297">
        <f>IF(ISNA(MATCH(288,'Transfer Engine'!$C$2:$C$679,0)),"",INDEX('Compliance Database'!$G$2:$G$679,MATCH(288,'Transfer Engine'!$C$2:$C$679,0)))</f>
        <v/>
      </c>
      <c r="H297">
        <f>IF(ISNA(MATCH(288,'Transfer Engine'!$C$2:$C$679,0)),"",INDEX('Compliance Database'!$H$2:$H$679,MATCH(288,'Transfer Engine'!$C$2:$C$679,0)))</f>
        <v/>
      </c>
      <c r="I297" s="8">
        <f>IF(ISNA(MATCH(288,'Transfer Engine'!$C$2:$C$679,0)),"",INDEX('Compliance Database'!$I$2:$I$679,MATCH(288,'Transfer Engine'!$C$2:$C$679,0)))</f>
        <v/>
      </c>
      <c r="J297" s="8">
        <f>IF(ISNA(MATCH(288,'Transfer Engine'!$C$2:$C$679,0)),"",INDEX('Compliance Database'!$J$2:$J$679,MATCH(288,'Transfer Engine'!$C$2:$C$679,0)))</f>
        <v/>
      </c>
      <c r="K297">
        <f>IF(ISNA(MATCH(288,'Transfer Engine'!$C$2:$C$679,0)),"",INDEX('Compliance Database'!$K$2:$K$679,MATCH(288,'Transfer Engine'!$C$2:$C$679,0)))</f>
        <v/>
      </c>
      <c r="L297" s="8">
        <f>IF(ISNA(MATCH(288,'Transfer Engine'!$C$2:$C$679,0)),"",INDEX('Compliance Database'!$L$2:$L$679,MATCH(288,'Transfer Engine'!$C$2:$C$679,0)))</f>
        <v/>
      </c>
      <c r="M297" s="8">
        <f>IF(ISNA(MATCH(288,'Transfer Engine'!$C$2:$C$679,0)),"",INDEX('Compliance Database'!$M$2:$M$679,MATCH(288,'Transfer Engine'!$C$2:$C$679,0)))</f>
        <v/>
      </c>
      <c r="N297" s="8">
        <f>IF(ISNA(MATCH(288,'Transfer Engine'!$C$2:$C$679,0)),"",INDEX('Compliance Database'!$N$2:$N$679,MATCH(288,'Transfer Engine'!$C$2:$C$679,0)))</f>
        <v/>
      </c>
      <c r="O297" s="8">
        <f>IF(ISNA(MATCH(288,'Transfer Engine'!$C$2:$C$679,0)),"",INDEX('Compliance Database'!$O$2:$O$679,MATCH(288,'Transfer Engine'!$C$2:$C$679,0)))</f>
        <v/>
      </c>
      <c r="P297">
        <f>IF(ISNA(MATCH(288,'Transfer Engine'!$C$2:$C$679,0)),"",HYPERLINK(INDEX('Compliance Database'!$P$2:$P$679,MATCH(288,'Transfer Engine'!$C$2:$C$679,0)),"Open PDF"))</f>
        <v/>
      </c>
    </row>
    <row r="298">
      <c r="A298">
        <f>IF(ISNA(MATCH(289,'Transfer Engine'!$C$2:$C$679,0)),"",INDEX('Compliance Database'!$A$2:$A$679,MATCH(289,'Transfer Engine'!$C$2:$C$679,0)))</f>
        <v/>
      </c>
      <c r="B298">
        <f>IF(ISNA(MATCH(289,'Transfer Engine'!$C$2:$C$679,0)),"",INDEX('Compliance Database'!$B$2:$B$679,MATCH(289,'Transfer Engine'!$C$2:$C$679,0)))</f>
        <v/>
      </c>
      <c r="C298">
        <f>IF(ISNA(MATCH(289,'Transfer Engine'!$C$2:$C$679,0)),"",INDEX('Compliance Database'!$C$2:$C$679,MATCH(289,'Transfer Engine'!$C$2:$C$679,0)))</f>
        <v/>
      </c>
      <c r="D298" s="8">
        <f>IF(ISNA(MATCH(289,'Transfer Engine'!$C$2:$C$679,0)),"",INDEX('Compliance Database'!$D$2:$D$679,MATCH(289,'Transfer Engine'!$C$2:$C$679,0)))</f>
        <v/>
      </c>
      <c r="E298">
        <f>IF(ISNA(MATCH(289,'Transfer Engine'!$C$2:$C$679,0)),"",INDEX('Compliance Database'!$E$2:$E$679,MATCH(289,'Transfer Engine'!$C$2:$C$679,0)))</f>
        <v/>
      </c>
      <c r="F298">
        <f>IF(ISNA(MATCH(289,'Transfer Engine'!$C$2:$C$679,0)),"",INDEX('Compliance Database'!$F$2:$F$679,MATCH(289,'Transfer Engine'!$C$2:$C$679,0)))</f>
        <v/>
      </c>
      <c r="G298">
        <f>IF(ISNA(MATCH(289,'Transfer Engine'!$C$2:$C$679,0)),"",INDEX('Compliance Database'!$G$2:$G$679,MATCH(289,'Transfer Engine'!$C$2:$C$679,0)))</f>
        <v/>
      </c>
      <c r="H298">
        <f>IF(ISNA(MATCH(289,'Transfer Engine'!$C$2:$C$679,0)),"",INDEX('Compliance Database'!$H$2:$H$679,MATCH(289,'Transfer Engine'!$C$2:$C$679,0)))</f>
        <v/>
      </c>
      <c r="I298" s="8">
        <f>IF(ISNA(MATCH(289,'Transfer Engine'!$C$2:$C$679,0)),"",INDEX('Compliance Database'!$I$2:$I$679,MATCH(289,'Transfer Engine'!$C$2:$C$679,0)))</f>
        <v/>
      </c>
      <c r="J298" s="8">
        <f>IF(ISNA(MATCH(289,'Transfer Engine'!$C$2:$C$679,0)),"",INDEX('Compliance Database'!$J$2:$J$679,MATCH(289,'Transfer Engine'!$C$2:$C$679,0)))</f>
        <v/>
      </c>
      <c r="K298">
        <f>IF(ISNA(MATCH(289,'Transfer Engine'!$C$2:$C$679,0)),"",INDEX('Compliance Database'!$K$2:$K$679,MATCH(289,'Transfer Engine'!$C$2:$C$679,0)))</f>
        <v/>
      </c>
      <c r="L298" s="8">
        <f>IF(ISNA(MATCH(289,'Transfer Engine'!$C$2:$C$679,0)),"",INDEX('Compliance Database'!$L$2:$L$679,MATCH(289,'Transfer Engine'!$C$2:$C$679,0)))</f>
        <v/>
      </c>
      <c r="M298" s="8">
        <f>IF(ISNA(MATCH(289,'Transfer Engine'!$C$2:$C$679,0)),"",INDEX('Compliance Database'!$M$2:$M$679,MATCH(289,'Transfer Engine'!$C$2:$C$679,0)))</f>
        <v/>
      </c>
      <c r="N298" s="8">
        <f>IF(ISNA(MATCH(289,'Transfer Engine'!$C$2:$C$679,0)),"",INDEX('Compliance Database'!$N$2:$N$679,MATCH(289,'Transfer Engine'!$C$2:$C$679,0)))</f>
        <v/>
      </c>
      <c r="O298" s="8">
        <f>IF(ISNA(MATCH(289,'Transfer Engine'!$C$2:$C$679,0)),"",INDEX('Compliance Database'!$O$2:$O$679,MATCH(289,'Transfer Engine'!$C$2:$C$679,0)))</f>
        <v/>
      </c>
      <c r="P298">
        <f>IF(ISNA(MATCH(289,'Transfer Engine'!$C$2:$C$679,0)),"",HYPERLINK(INDEX('Compliance Database'!$P$2:$P$679,MATCH(289,'Transfer Engine'!$C$2:$C$679,0)),"Open PDF"))</f>
        <v/>
      </c>
    </row>
    <row r="299">
      <c r="A299">
        <f>IF(ISNA(MATCH(290,'Transfer Engine'!$C$2:$C$679,0)),"",INDEX('Compliance Database'!$A$2:$A$679,MATCH(290,'Transfer Engine'!$C$2:$C$679,0)))</f>
        <v/>
      </c>
      <c r="B299">
        <f>IF(ISNA(MATCH(290,'Transfer Engine'!$C$2:$C$679,0)),"",INDEX('Compliance Database'!$B$2:$B$679,MATCH(290,'Transfer Engine'!$C$2:$C$679,0)))</f>
        <v/>
      </c>
      <c r="C299">
        <f>IF(ISNA(MATCH(290,'Transfer Engine'!$C$2:$C$679,0)),"",INDEX('Compliance Database'!$C$2:$C$679,MATCH(290,'Transfer Engine'!$C$2:$C$679,0)))</f>
        <v/>
      </c>
      <c r="D299" s="8">
        <f>IF(ISNA(MATCH(290,'Transfer Engine'!$C$2:$C$679,0)),"",INDEX('Compliance Database'!$D$2:$D$679,MATCH(290,'Transfer Engine'!$C$2:$C$679,0)))</f>
        <v/>
      </c>
      <c r="E299">
        <f>IF(ISNA(MATCH(290,'Transfer Engine'!$C$2:$C$679,0)),"",INDEX('Compliance Database'!$E$2:$E$679,MATCH(290,'Transfer Engine'!$C$2:$C$679,0)))</f>
        <v/>
      </c>
      <c r="F299">
        <f>IF(ISNA(MATCH(290,'Transfer Engine'!$C$2:$C$679,0)),"",INDEX('Compliance Database'!$F$2:$F$679,MATCH(290,'Transfer Engine'!$C$2:$C$679,0)))</f>
        <v/>
      </c>
      <c r="G299">
        <f>IF(ISNA(MATCH(290,'Transfer Engine'!$C$2:$C$679,0)),"",INDEX('Compliance Database'!$G$2:$G$679,MATCH(290,'Transfer Engine'!$C$2:$C$679,0)))</f>
        <v/>
      </c>
      <c r="H299">
        <f>IF(ISNA(MATCH(290,'Transfer Engine'!$C$2:$C$679,0)),"",INDEX('Compliance Database'!$H$2:$H$679,MATCH(290,'Transfer Engine'!$C$2:$C$679,0)))</f>
        <v/>
      </c>
      <c r="I299" s="8">
        <f>IF(ISNA(MATCH(290,'Transfer Engine'!$C$2:$C$679,0)),"",INDEX('Compliance Database'!$I$2:$I$679,MATCH(290,'Transfer Engine'!$C$2:$C$679,0)))</f>
        <v/>
      </c>
      <c r="J299" s="8">
        <f>IF(ISNA(MATCH(290,'Transfer Engine'!$C$2:$C$679,0)),"",INDEX('Compliance Database'!$J$2:$J$679,MATCH(290,'Transfer Engine'!$C$2:$C$679,0)))</f>
        <v/>
      </c>
      <c r="K299">
        <f>IF(ISNA(MATCH(290,'Transfer Engine'!$C$2:$C$679,0)),"",INDEX('Compliance Database'!$K$2:$K$679,MATCH(290,'Transfer Engine'!$C$2:$C$679,0)))</f>
        <v/>
      </c>
      <c r="L299" s="8">
        <f>IF(ISNA(MATCH(290,'Transfer Engine'!$C$2:$C$679,0)),"",INDEX('Compliance Database'!$L$2:$L$679,MATCH(290,'Transfer Engine'!$C$2:$C$679,0)))</f>
        <v/>
      </c>
      <c r="M299" s="8">
        <f>IF(ISNA(MATCH(290,'Transfer Engine'!$C$2:$C$679,0)),"",INDEX('Compliance Database'!$M$2:$M$679,MATCH(290,'Transfer Engine'!$C$2:$C$679,0)))</f>
        <v/>
      </c>
      <c r="N299" s="8">
        <f>IF(ISNA(MATCH(290,'Transfer Engine'!$C$2:$C$679,0)),"",INDEX('Compliance Database'!$N$2:$N$679,MATCH(290,'Transfer Engine'!$C$2:$C$679,0)))</f>
        <v/>
      </c>
      <c r="O299" s="8">
        <f>IF(ISNA(MATCH(290,'Transfer Engine'!$C$2:$C$679,0)),"",INDEX('Compliance Database'!$O$2:$O$679,MATCH(290,'Transfer Engine'!$C$2:$C$679,0)))</f>
        <v/>
      </c>
      <c r="P299">
        <f>IF(ISNA(MATCH(290,'Transfer Engine'!$C$2:$C$679,0)),"",HYPERLINK(INDEX('Compliance Database'!$P$2:$P$679,MATCH(290,'Transfer Engine'!$C$2:$C$679,0)),"Open PDF"))</f>
        <v/>
      </c>
    </row>
    <row r="300">
      <c r="A300">
        <f>IF(ISNA(MATCH(291,'Transfer Engine'!$C$2:$C$679,0)),"",INDEX('Compliance Database'!$A$2:$A$679,MATCH(291,'Transfer Engine'!$C$2:$C$679,0)))</f>
        <v/>
      </c>
      <c r="B300">
        <f>IF(ISNA(MATCH(291,'Transfer Engine'!$C$2:$C$679,0)),"",INDEX('Compliance Database'!$B$2:$B$679,MATCH(291,'Transfer Engine'!$C$2:$C$679,0)))</f>
        <v/>
      </c>
      <c r="C300">
        <f>IF(ISNA(MATCH(291,'Transfer Engine'!$C$2:$C$679,0)),"",INDEX('Compliance Database'!$C$2:$C$679,MATCH(291,'Transfer Engine'!$C$2:$C$679,0)))</f>
        <v/>
      </c>
      <c r="D300" s="8">
        <f>IF(ISNA(MATCH(291,'Transfer Engine'!$C$2:$C$679,0)),"",INDEX('Compliance Database'!$D$2:$D$679,MATCH(291,'Transfer Engine'!$C$2:$C$679,0)))</f>
        <v/>
      </c>
      <c r="E300">
        <f>IF(ISNA(MATCH(291,'Transfer Engine'!$C$2:$C$679,0)),"",INDEX('Compliance Database'!$E$2:$E$679,MATCH(291,'Transfer Engine'!$C$2:$C$679,0)))</f>
        <v/>
      </c>
      <c r="F300">
        <f>IF(ISNA(MATCH(291,'Transfer Engine'!$C$2:$C$679,0)),"",INDEX('Compliance Database'!$F$2:$F$679,MATCH(291,'Transfer Engine'!$C$2:$C$679,0)))</f>
        <v/>
      </c>
      <c r="G300">
        <f>IF(ISNA(MATCH(291,'Transfer Engine'!$C$2:$C$679,0)),"",INDEX('Compliance Database'!$G$2:$G$679,MATCH(291,'Transfer Engine'!$C$2:$C$679,0)))</f>
        <v/>
      </c>
      <c r="H300">
        <f>IF(ISNA(MATCH(291,'Transfer Engine'!$C$2:$C$679,0)),"",INDEX('Compliance Database'!$H$2:$H$679,MATCH(291,'Transfer Engine'!$C$2:$C$679,0)))</f>
        <v/>
      </c>
      <c r="I300" s="8">
        <f>IF(ISNA(MATCH(291,'Transfer Engine'!$C$2:$C$679,0)),"",INDEX('Compliance Database'!$I$2:$I$679,MATCH(291,'Transfer Engine'!$C$2:$C$679,0)))</f>
        <v/>
      </c>
      <c r="J300" s="8">
        <f>IF(ISNA(MATCH(291,'Transfer Engine'!$C$2:$C$679,0)),"",INDEX('Compliance Database'!$J$2:$J$679,MATCH(291,'Transfer Engine'!$C$2:$C$679,0)))</f>
        <v/>
      </c>
      <c r="K300">
        <f>IF(ISNA(MATCH(291,'Transfer Engine'!$C$2:$C$679,0)),"",INDEX('Compliance Database'!$K$2:$K$679,MATCH(291,'Transfer Engine'!$C$2:$C$679,0)))</f>
        <v/>
      </c>
      <c r="L300" s="8">
        <f>IF(ISNA(MATCH(291,'Transfer Engine'!$C$2:$C$679,0)),"",INDEX('Compliance Database'!$L$2:$L$679,MATCH(291,'Transfer Engine'!$C$2:$C$679,0)))</f>
        <v/>
      </c>
      <c r="M300" s="8">
        <f>IF(ISNA(MATCH(291,'Transfer Engine'!$C$2:$C$679,0)),"",INDEX('Compliance Database'!$M$2:$M$679,MATCH(291,'Transfer Engine'!$C$2:$C$679,0)))</f>
        <v/>
      </c>
      <c r="N300" s="8">
        <f>IF(ISNA(MATCH(291,'Transfer Engine'!$C$2:$C$679,0)),"",INDEX('Compliance Database'!$N$2:$N$679,MATCH(291,'Transfer Engine'!$C$2:$C$679,0)))</f>
        <v/>
      </c>
      <c r="O300" s="8">
        <f>IF(ISNA(MATCH(291,'Transfer Engine'!$C$2:$C$679,0)),"",INDEX('Compliance Database'!$O$2:$O$679,MATCH(291,'Transfer Engine'!$C$2:$C$679,0)))</f>
        <v/>
      </c>
      <c r="P300">
        <f>IF(ISNA(MATCH(291,'Transfer Engine'!$C$2:$C$679,0)),"",HYPERLINK(INDEX('Compliance Database'!$P$2:$P$679,MATCH(291,'Transfer Engine'!$C$2:$C$679,0)),"Open PDF"))</f>
        <v/>
      </c>
    </row>
    <row r="301">
      <c r="A301">
        <f>IF(ISNA(MATCH(292,'Transfer Engine'!$C$2:$C$679,0)),"",INDEX('Compliance Database'!$A$2:$A$679,MATCH(292,'Transfer Engine'!$C$2:$C$679,0)))</f>
        <v/>
      </c>
      <c r="B301">
        <f>IF(ISNA(MATCH(292,'Transfer Engine'!$C$2:$C$679,0)),"",INDEX('Compliance Database'!$B$2:$B$679,MATCH(292,'Transfer Engine'!$C$2:$C$679,0)))</f>
        <v/>
      </c>
      <c r="C301">
        <f>IF(ISNA(MATCH(292,'Transfer Engine'!$C$2:$C$679,0)),"",INDEX('Compliance Database'!$C$2:$C$679,MATCH(292,'Transfer Engine'!$C$2:$C$679,0)))</f>
        <v/>
      </c>
      <c r="D301" s="8">
        <f>IF(ISNA(MATCH(292,'Transfer Engine'!$C$2:$C$679,0)),"",INDEX('Compliance Database'!$D$2:$D$679,MATCH(292,'Transfer Engine'!$C$2:$C$679,0)))</f>
        <v/>
      </c>
      <c r="E301">
        <f>IF(ISNA(MATCH(292,'Transfer Engine'!$C$2:$C$679,0)),"",INDEX('Compliance Database'!$E$2:$E$679,MATCH(292,'Transfer Engine'!$C$2:$C$679,0)))</f>
        <v/>
      </c>
      <c r="F301">
        <f>IF(ISNA(MATCH(292,'Transfer Engine'!$C$2:$C$679,0)),"",INDEX('Compliance Database'!$F$2:$F$679,MATCH(292,'Transfer Engine'!$C$2:$C$679,0)))</f>
        <v/>
      </c>
      <c r="G301">
        <f>IF(ISNA(MATCH(292,'Transfer Engine'!$C$2:$C$679,0)),"",INDEX('Compliance Database'!$G$2:$G$679,MATCH(292,'Transfer Engine'!$C$2:$C$679,0)))</f>
        <v/>
      </c>
      <c r="H301">
        <f>IF(ISNA(MATCH(292,'Transfer Engine'!$C$2:$C$679,0)),"",INDEX('Compliance Database'!$H$2:$H$679,MATCH(292,'Transfer Engine'!$C$2:$C$679,0)))</f>
        <v/>
      </c>
      <c r="I301" s="8">
        <f>IF(ISNA(MATCH(292,'Transfer Engine'!$C$2:$C$679,0)),"",INDEX('Compliance Database'!$I$2:$I$679,MATCH(292,'Transfer Engine'!$C$2:$C$679,0)))</f>
        <v/>
      </c>
      <c r="J301" s="8">
        <f>IF(ISNA(MATCH(292,'Transfer Engine'!$C$2:$C$679,0)),"",INDEX('Compliance Database'!$J$2:$J$679,MATCH(292,'Transfer Engine'!$C$2:$C$679,0)))</f>
        <v/>
      </c>
      <c r="K301">
        <f>IF(ISNA(MATCH(292,'Transfer Engine'!$C$2:$C$679,0)),"",INDEX('Compliance Database'!$K$2:$K$679,MATCH(292,'Transfer Engine'!$C$2:$C$679,0)))</f>
        <v/>
      </c>
      <c r="L301" s="8">
        <f>IF(ISNA(MATCH(292,'Transfer Engine'!$C$2:$C$679,0)),"",INDEX('Compliance Database'!$L$2:$L$679,MATCH(292,'Transfer Engine'!$C$2:$C$679,0)))</f>
        <v/>
      </c>
      <c r="M301" s="8">
        <f>IF(ISNA(MATCH(292,'Transfer Engine'!$C$2:$C$679,0)),"",INDEX('Compliance Database'!$M$2:$M$679,MATCH(292,'Transfer Engine'!$C$2:$C$679,0)))</f>
        <v/>
      </c>
      <c r="N301" s="8">
        <f>IF(ISNA(MATCH(292,'Transfer Engine'!$C$2:$C$679,0)),"",INDEX('Compliance Database'!$N$2:$N$679,MATCH(292,'Transfer Engine'!$C$2:$C$679,0)))</f>
        <v/>
      </c>
      <c r="O301" s="8">
        <f>IF(ISNA(MATCH(292,'Transfer Engine'!$C$2:$C$679,0)),"",INDEX('Compliance Database'!$O$2:$O$679,MATCH(292,'Transfer Engine'!$C$2:$C$679,0)))</f>
        <v/>
      </c>
      <c r="P301">
        <f>IF(ISNA(MATCH(292,'Transfer Engine'!$C$2:$C$679,0)),"",HYPERLINK(INDEX('Compliance Database'!$P$2:$P$679,MATCH(292,'Transfer Engine'!$C$2:$C$679,0)),"Open PDF"))</f>
        <v/>
      </c>
    </row>
    <row r="302">
      <c r="A302">
        <f>IF(ISNA(MATCH(293,'Transfer Engine'!$C$2:$C$679,0)),"",INDEX('Compliance Database'!$A$2:$A$679,MATCH(293,'Transfer Engine'!$C$2:$C$679,0)))</f>
        <v/>
      </c>
      <c r="B302">
        <f>IF(ISNA(MATCH(293,'Transfer Engine'!$C$2:$C$679,0)),"",INDEX('Compliance Database'!$B$2:$B$679,MATCH(293,'Transfer Engine'!$C$2:$C$679,0)))</f>
        <v/>
      </c>
      <c r="C302">
        <f>IF(ISNA(MATCH(293,'Transfer Engine'!$C$2:$C$679,0)),"",INDEX('Compliance Database'!$C$2:$C$679,MATCH(293,'Transfer Engine'!$C$2:$C$679,0)))</f>
        <v/>
      </c>
      <c r="D302" s="8">
        <f>IF(ISNA(MATCH(293,'Transfer Engine'!$C$2:$C$679,0)),"",INDEX('Compliance Database'!$D$2:$D$679,MATCH(293,'Transfer Engine'!$C$2:$C$679,0)))</f>
        <v/>
      </c>
      <c r="E302">
        <f>IF(ISNA(MATCH(293,'Transfer Engine'!$C$2:$C$679,0)),"",INDEX('Compliance Database'!$E$2:$E$679,MATCH(293,'Transfer Engine'!$C$2:$C$679,0)))</f>
        <v/>
      </c>
      <c r="F302">
        <f>IF(ISNA(MATCH(293,'Transfer Engine'!$C$2:$C$679,0)),"",INDEX('Compliance Database'!$F$2:$F$679,MATCH(293,'Transfer Engine'!$C$2:$C$679,0)))</f>
        <v/>
      </c>
      <c r="G302">
        <f>IF(ISNA(MATCH(293,'Transfer Engine'!$C$2:$C$679,0)),"",INDEX('Compliance Database'!$G$2:$G$679,MATCH(293,'Transfer Engine'!$C$2:$C$679,0)))</f>
        <v/>
      </c>
      <c r="H302">
        <f>IF(ISNA(MATCH(293,'Transfer Engine'!$C$2:$C$679,0)),"",INDEX('Compliance Database'!$H$2:$H$679,MATCH(293,'Transfer Engine'!$C$2:$C$679,0)))</f>
        <v/>
      </c>
      <c r="I302" s="8">
        <f>IF(ISNA(MATCH(293,'Transfer Engine'!$C$2:$C$679,0)),"",INDEX('Compliance Database'!$I$2:$I$679,MATCH(293,'Transfer Engine'!$C$2:$C$679,0)))</f>
        <v/>
      </c>
      <c r="J302" s="8">
        <f>IF(ISNA(MATCH(293,'Transfer Engine'!$C$2:$C$679,0)),"",INDEX('Compliance Database'!$J$2:$J$679,MATCH(293,'Transfer Engine'!$C$2:$C$679,0)))</f>
        <v/>
      </c>
      <c r="K302">
        <f>IF(ISNA(MATCH(293,'Transfer Engine'!$C$2:$C$679,0)),"",INDEX('Compliance Database'!$K$2:$K$679,MATCH(293,'Transfer Engine'!$C$2:$C$679,0)))</f>
        <v/>
      </c>
      <c r="L302" s="8">
        <f>IF(ISNA(MATCH(293,'Transfer Engine'!$C$2:$C$679,0)),"",INDEX('Compliance Database'!$L$2:$L$679,MATCH(293,'Transfer Engine'!$C$2:$C$679,0)))</f>
        <v/>
      </c>
      <c r="M302" s="8">
        <f>IF(ISNA(MATCH(293,'Transfer Engine'!$C$2:$C$679,0)),"",INDEX('Compliance Database'!$M$2:$M$679,MATCH(293,'Transfer Engine'!$C$2:$C$679,0)))</f>
        <v/>
      </c>
      <c r="N302" s="8">
        <f>IF(ISNA(MATCH(293,'Transfer Engine'!$C$2:$C$679,0)),"",INDEX('Compliance Database'!$N$2:$N$679,MATCH(293,'Transfer Engine'!$C$2:$C$679,0)))</f>
        <v/>
      </c>
      <c r="O302" s="8">
        <f>IF(ISNA(MATCH(293,'Transfer Engine'!$C$2:$C$679,0)),"",INDEX('Compliance Database'!$O$2:$O$679,MATCH(293,'Transfer Engine'!$C$2:$C$679,0)))</f>
        <v/>
      </c>
      <c r="P302">
        <f>IF(ISNA(MATCH(293,'Transfer Engine'!$C$2:$C$679,0)),"",HYPERLINK(INDEX('Compliance Database'!$P$2:$P$679,MATCH(293,'Transfer Engine'!$C$2:$C$679,0)),"Open PDF"))</f>
        <v/>
      </c>
    </row>
    <row r="303">
      <c r="A303">
        <f>IF(ISNA(MATCH(294,'Transfer Engine'!$C$2:$C$679,0)),"",INDEX('Compliance Database'!$A$2:$A$679,MATCH(294,'Transfer Engine'!$C$2:$C$679,0)))</f>
        <v/>
      </c>
      <c r="B303">
        <f>IF(ISNA(MATCH(294,'Transfer Engine'!$C$2:$C$679,0)),"",INDEX('Compliance Database'!$B$2:$B$679,MATCH(294,'Transfer Engine'!$C$2:$C$679,0)))</f>
        <v/>
      </c>
      <c r="C303">
        <f>IF(ISNA(MATCH(294,'Transfer Engine'!$C$2:$C$679,0)),"",INDEX('Compliance Database'!$C$2:$C$679,MATCH(294,'Transfer Engine'!$C$2:$C$679,0)))</f>
        <v/>
      </c>
      <c r="D303" s="8">
        <f>IF(ISNA(MATCH(294,'Transfer Engine'!$C$2:$C$679,0)),"",INDEX('Compliance Database'!$D$2:$D$679,MATCH(294,'Transfer Engine'!$C$2:$C$679,0)))</f>
        <v/>
      </c>
      <c r="E303">
        <f>IF(ISNA(MATCH(294,'Transfer Engine'!$C$2:$C$679,0)),"",INDEX('Compliance Database'!$E$2:$E$679,MATCH(294,'Transfer Engine'!$C$2:$C$679,0)))</f>
        <v/>
      </c>
      <c r="F303">
        <f>IF(ISNA(MATCH(294,'Transfer Engine'!$C$2:$C$679,0)),"",INDEX('Compliance Database'!$F$2:$F$679,MATCH(294,'Transfer Engine'!$C$2:$C$679,0)))</f>
        <v/>
      </c>
      <c r="G303">
        <f>IF(ISNA(MATCH(294,'Transfer Engine'!$C$2:$C$679,0)),"",INDEX('Compliance Database'!$G$2:$G$679,MATCH(294,'Transfer Engine'!$C$2:$C$679,0)))</f>
        <v/>
      </c>
      <c r="H303">
        <f>IF(ISNA(MATCH(294,'Transfer Engine'!$C$2:$C$679,0)),"",INDEX('Compliance Database'!$H$2:$H$679,MATCH(294,'Transfer Engine'!$C$2:$C$679,0)))</f>
        <v/>
      </c>
      <c r="I303" s="8">
        <f>IF(ISNA(MATCH(294,'Transfer Engine'!$C$2:$C$679,0)),"",INDEX('Compliance Database'!$I$2:$I$679,MATCH(294,'Transfer Engine'!$C$2:$C$679,0)))</f>
        <v/>
      </c>
      <c r="J303" s="8">
        <f>IF(ISNA(MATCH(294,'Transfer Engine'!$C$2:$C$679,0)),"",INDEX('Compliance Database'!$J$2:$J$679,MATCH(294,'Transfer Engine'!$C$2:$C$679,0)))</f>
        <v/>
      </c>
      <c r="K303">
        <f>IF(ISNA(MATCH(294,'Transfer Engine'!$C$2:$C$679,0)),"",INDEX('Compliance Database'!$K$2:$K$679,MATCH(294,'Transfer Engine'!$C$2:$C$679,0)))</f>
        <v/>
      </c>
      <c r="L303" s="8">
        <f>IF(ISNA(MATCH(294,'Transfer Engine'!$C$2:$C$679,0)),"",INDEX('Compliance Database'!$L$2:$L$679,MATCH(294,'Transfer Engine'!$C$2:$C$679,0)))</f>
        <v/>
      </c>
      <c r="M303" s="8">
        <f>IF(ISNA(MATCH(294,'Transfer Engine'!$C$2:$C$679,0)),"",INDEX('Compliance Database'!$M$2:$M$679,MATCH(294,'Transfer Engine'!$C$2:$C$679,0)))</f>
        <v/>
      </c>
      <c r="N303" s="8">
        <f>IF(ISNA(MATCH(294,'Transfer Engine'!$C$2:$C$679,0)),"",INDEX('Compliance Database'!$N$2:$N$679,MATCH(294,'Transfer Engine'!$C$2:$C$679,0)))</f>
        <v/>
      </c>
      <c r="O303" s="8">
        <f>IF(ISNA(MATCH(294,'Transfer Engine'!$C$2:$C$679,0)),"",INDEX('Compliance Database'!$O$2:$O$679,MATCH(294,'Transfer Engine'!$C$2:$C$679,0)))</f>
        <v/>
      </c>
      <c r="P303">
        <f>IF(ISNA(MATCH(294,'Transfer Engine'!$C$2:$C$679,0)),"",HYPERLINK(INDEX('Compliance Database'!$P$2:$P$679,MATCH(294,'Transfer Engine'!$C$2:$C$679,0)),"Open PDF"))</f>
        <v/>
      </c>
    </row>
    <row r="304">
      <c r="A304">
        <f>IF(ISNA(MATCH(295,'Transfer Engine'!$C$2:$C$679,0)),"",INDEX('Compliance Database'!$A$2:$A$679,MATCH(295,'Transfer Engine'!$C$2:$C$679,0)))</f>
        <v/>
      </c>
      <c r="B304">
        <f>IF(ISNA(MATCH(295,'Transfer Engine'!$C$2:$C$679,0)),"",INDEX('Compliance Database'!$B$2:$B$679,MATCH(295,'Transfer Engine'!$C$2:$C$679,0)))</f>
        <v/>
      </c>
      <c r="C304">
        <f>IF(ISNA(MATCH(295,'Transfer Engine'!$C$2:$C$679,0)),"",INDEX('Compliance Database'!$C$2:$C$679,MATCH(295,'Transfer Engine'!$C$2:$C$679,0)))</f>
        <v/>
      </c>
      <c r="D304" s="8">
        <f>IF(ISNA(MATCH(295,'Transfer Engine'!$C$2:$C$679,0)),"",INDEX('Compliance Database'!$D$2:$D$679,MATCH(295,'Transfer Engine'!$C$2:$C$679,0)))</f>
        <v/>
      </c>
      <c r="E304">
        <f>IF(ISNA(MATCH(295,'Transfer Engine'!$C$2:$C$679,0)),"",INDEX('Compliance Database'!$E$2:$E$679,MATCH(295,'Transfer Engine'!$C$2:$C$679,0)))</f>
        <v/>
      </c>
      <c r="F304">
        <f>IF(ISNA(MATCH(295,'Transfer Engine'!$C$2:$C$679,0)),"",INDEX('Compliance Database'!$F$2:$F$679,MATCH(295,'Transfer Engine'!$C$2:$C$679,0)))</f>
        <v/>
      </c>
      <c r="G304">
        <f>IF(ISNA(MATCH(295,'Transfer Engine'!$C$2:$C$679,0)),"",INDEX('Compliance Database'!$G$2:$G$679,MATCH(295,'Transfer Engine'!$C$2:$C$679,0)))</f>
        <v/>
      </c>
      <c r="H304">
        <f>IF(ISNA(MATCH(295,'Transfer Engine'!$C$2:$C$679,0)),"",INDEX('Compliance Database'!$H$2:$H$679,MATCH(295,'Transfer Engine'!$C$2:$C$679,0)))</f>
        <v/>
      </c>
      <c r="I304" s="8">
        <f>IF(ISNA(MATCH(295,'Transfer Engine'!$C$2:$C$679,0)),"",INDEX('Compliance Database'!$I$2:$I$679,MATCH(295,'Transfer Engine'!$C$2:$C$679,0)))</f>
        <v/>
      </c>
      <c r="J304" s="8">
        <f>IF(ISNA(MATCH(295,'Transfer Engine'!$C$2:$C$679,0)),"",INDEX('Compliance Database'!$J$2:$J$679,MATCH(295,'Transfer Engine'!$C$2:$C$679,0)))</f>
        <v/>
      </c>
      <c r="K304">
        <f>IF(ISNA(MATCH(295,'Transfer Engine'!$C$2:$C$679,0)),"",INDEX('Compliance Database'!$K$2:$K$679,MATCH(295,'Transfer Engine'!$C$2:$C$679,0)))</f>
        <v/>
      </c>
      <c r="L304" s="8">
        <f>IF(ISNA(MATCH(295,'Transfer Engine'!$C$2:$C$679,0)),"",INDEX('Compliance Database'!$L$2:$L$679,MATCH(295,'Transfer Engine'!$C$2:$C$679,0)))</f>
        <v/>
      </c>
      <c r="M304" s="8">
        <f>IF(ISNA(MATCH(295,'Transfer Engine'!$C$2:$C$679,0)),"",INDEX('Compliance Database'!$M$2:$M$679,MATCH(295,'Transfer Engine'!$C$2:$C$679,0)))</f>
        <v/>
      </c>
      <c r="N304" s="8">
        <f>IF(ISNA(MATCH(295,'Transfer Engine'!$C$2:$C$679,0)),"",INDEX('Compliance Database'!$N$2:$N$679,MATCH(295,'Transfer Engine'!$C$2:$C$679,0)))</f>
        <v/>
      </c>
      <c r="O304" s="8">
        <f>IF(ISNA(MATCH(295,'Transfer Engine'!$C$2:$C$679,0)),"",INDEX('Compliance Database'!$O$2:$O$679,MATCH(295,'Transfer Engine'!$C$2:$C$679,0)))</f>
        <v/>
      </c>
      <c r="P304">
        <f>IF(ISNA(MATCH(295,'Transfer Engine'!$C$2:$C$679,0)),"",HYPERLINK(INDEX('Compliance Database'!$P$2:$P$679,MATCH(295,'Transfer Engine'!$C$2:$C$679,0)),"Open PDF"))</f>
        <v/>
      </c>
    </row>
    <row r="305">
      <c r="A305">
        <f>IF(ISNA(MATCH(296,'Transfer Engine'!$C$2:$C$679,0)),"",INDEX('Compliance Database'!$A$2:$A$679,MATCH(296,'Transfer Engine'!$C$2:$C$679,0)))</f>
        <v/>
      </c>
      <c r="B305">
        <f>IF(ISNA(MATCH(296,'Transfer Engine'!$C$2:$C$679,0)),"",INDEX('Compliance Database'!$B$2:$B$679,MATCH(296,'Transfer Engine'!$C$2:$C$679,0)))</f>
        <v/>
      </c>
      <c r="C305">
        <f>IF(ISNA(MATCH(296,'Transfer Engine'!$C$2:$C$679,0)),"",INDEX('Compliance Database'!$C$2:$C$679,MATCH(296,'Transfer Engine'!$C$2:$C$679,0)))</f>
        <v/>
      </c>
      <c r="D305" s="8">
        <f>IF(ISNA(MATCH(296,'Transfer Engine'!$C$2:$C$679,0)),"",INDEX('Compliance Database'!$D$2:$D$679,MATCH(296,'Transfer Engine'!$C$2:$C$679,0)))</f>
        <v/>
      </c>
      <c r="E305">
        <f>IF(ISNA(MATCH(296,'Transfer Engine'!$C$2:$C$679,0)),"",INDEX('Compliance Database'!$E$2:$E$679,MATCH(296,'Transfer Engine'!$C$2:$C$679,0)))</f>
        <v/>
      </c>
      <c r="F305">
        <f>IF(ISNA(MATCH(296,'Transfer Engine'!$C$2:$C$679,0)),"",INDEX('Compliance Database'!$F$2:$F$679,MATCH(296,'Transfer Engine'!$C$2:$C$679,0)))</f>
        <v/>
      </c>
      <c r="G305">
        <f>IF(ISNA(MATCH(296,'Transfer Engine'!$C$2:$C$679,0)),"",INDEX('Compliance Database'!$G$2:$G$679,MATCH(296,'Transfer Engine'!$C$2:$C$679,0)))</f>
        <v/>
      </c>
      <c r="H305">
        <f>IF(ISNA(MATCH(296,'Transfer Engine'!$C$2:$C$679,0)),"",INDEX('Compliance Database'!$H$2:$H$679,MATCH(296,'Transfer Engine'!$C$2:$C$679,0)))</f>
        <v/>
      </c>
      <c r="I305" s="8">
        <f>IF(ISNA(MATCH(296,'Transfer Engine'!$C$2:$C$679,0)),"",INDEX('Compliance Database'!$I$2:$I$679,MATCH(296,'Transfer Engine'!$C$2:$C$679,0)))</f>
        <v/>
      </c>
      <c r="J305" s="8">
        <f>IF(ISNA(MATCH(296,'Transfer Engine'!$C$2:$C$679,0)),"",INDEX('Compliance Database'!$J$2:$J$679,MATCH(296,'Transfer Engine'!$C$2:$C$679,0)))</f>
        <v/>
      </c>
      <c r="K305">
        <f>IF(ISNA(MATCH(296,'Transfer Engine'!$C$2:$C$679,0)),"",INDEX('Compliance Database'!$K$2:$K$679,MATCH(296,'Transfer Engine'!$C$2:$C$679,0)))</f>
        <v/>
      </c>
      <c r="L305" s="8">
        <f>IF(ISNA(MATCH(296,'Transfer Engine'!$C$2:$C$679,0)),"",INDEX('Compliance Database'!$L$2:$L$679,MATCH(296,'Transfer Engine'!$C$2:$C$679,0)))</f>
        <v/>
      </c>
      <c r="M305" s="8">
        <f>IF(ISNA(MATCH(296,'Transfer Engine'!$C$2:$C$679,0)),"",INDEX('Compliance Database'!$M$2:$M$679,MATCH(296,'Transfer Engine'!$C$2:$C$679,0)))</f>
        <v/>
      </c>
      <c r="N305" s="8">
        <f>IF(ISNA(MATCH(296,'Transfer Engine'!$C$2:$C$679,0)),"",INDEX('Compliance Database'!$N$2:$N$679,MATCH(296,'Transfer Engine'!$C$2:$C$679,0)))</f>
        <v/>
      </c>
      <c r="O305" s="8">
        <f>IF(ISNA(MATCH(296,'Transfer Engine'!$C$2:$C$679,0)),"",INDEX('Compliance Database'!$O$2:$O$679,MATCH(296,'Transfer Engine'!$C$2:$C$679,0)))</f>
        <v/>
      </c>
      <c r="P305">
        <f>IF(ISNA(MATCH(296,'Transfer Engine'!$C$2:$C$679,0)),"",HYPERLINK(INDEX('Compliance Database'!$P$2:$P$679,MATCH(296,'Transfer Engine'!$C$2:$C$679,0)),"Open PDF"))</f>
        <v/>
      </c>
    </row>
    <row r="306">
      <c r="A306">
        <f>IF(ISNA(MATCH(297,'Transfer Engine'!$C$2:$C$679,0)),"",INDEX('Compliance Database'!$A$2:$A$679,MATCH(297,'Transfer Engine'!$C$2:$C$679,0)))</f>
        <v/>
      </c>
      <c r="B306">
        <f>IF(ISNA(MATCH(297,'Transfer Engine'!$C$2:$C$679,0)),"",INDEX('Compliance Database'!$B$2:$B$679,MATCH(297,'Transfer Engine'!$C$2:$C$679,0)))</f>
        <v/>
      </c>
      <c r="C306">
        <f>IF(ISNA(MATCH(297,'Transfer Engine'!$C$2:$C$679,0)),"",INDEX('Compliance Database'!$C$2:$C$679,MATCH(297,'Transfer Engine'!$C$2:$C$679,0)))</f>
        <v/>
      </c>
      <c r="D306" s="8">
        <f>IF(ISNA(MATCH(297,'Transfer Engine'!$C$2:$C$679,0)),"",INDEX('Compliance Database'!$D$2:$D$679,MATCH(297,'Transfer Engine'!$C$2:$C$679,0)))</f>
        <v/>
      </c>
      <c r="E306">
        <f>IF(ISNA(MATCH(297,'Transfer Engine'!$C$2:$C$679,0)),"",INDEX('Compliance Database'!$E$2:$E$679,MATCH(297,'Transfer Engine'!$C$2:$C$679,0)))</f>
        <v/>
      </c>
      <c r="F306">
        <f>IF(ISNA(MATCH(297,'Transfer Engine'!$C$2:$C$679,0)),"",INDEX('Compliance Database'!$F$2:$F$679,MATCH(297,'Transfer Engine'!$C$2:$C$679,0)))</f>
        <v/>
      </c>
      <c r="G306">
        <f>IF(ISNA(MATCH(297,'Transfer Engine'!$C$2:$C$679,0)),"",INDEX('Compliance Database'!$G$2:$G$679,MATCH(297,'Transfer Engine'!$C$2:$C$679,0)))</f>
        <v/>
      </c>
      <c r="H306">
        <f>IF(ISNA(MATCH(297,'Transfer Engine'!$C$2:$C$679,0)),"",INDEX('Compliance Database'!$H$2:$H$679,MATCH(297,'Transfer Engine'!$C$2:$C$679,0)))</f>
        <v/>
      </c>
      <c r="I306" s="8">
        <f>IF(ISNA(MATCH(297,'Transfer Engine'!$C$2:$C$679,0)),"",INDEX('Compliance Database'!$I$2:$I$679,MATCH(297,'Transfer Engine'!$C$2:$C$679,0)))</f>
        <v/>
      </c>
      <c r="J306" s="8">
        <f>IF(ISNA(MATCH(297,'Transfer Engine'!$C$2:$C$679,0)),"",INDEX('Compliance Database'!$J$2:$J$679,MATCH(297,'Transfer Engine'!$C$2:$C$679,0)))</f>
        <v/>
      </c>
      <c r="K306">
        <f>IF(ISNA(MATCH(297,'Transfer Engine'!$C$2:$C$679,0)),"",INDEX('Compliance Database'!$K$2:$K$679,MATCH(297,'Transfer Engine'!$C$2:$C$679,0)))</f>
        <v/>
      </c>
      <c r="L306" s="8">
        <f>IF(ISNA(MATCH(297,'Transfer Engine'!$C$2:$C$679,0)),"",INDEX('Compliance Database'!$L$2:$L$679,MATCH(297,'Transfer Engine'!$C$2:$C$679,0)))</f>
        <v/>
      </c>
      <c r="M306" s="8">
        <f>IF(ISNA(MATCH(297,'Transfer Engine'!$C$2:$C$679,0)),"",INDEX('Compliance Database'!$M$2:$M$679,MATCH(297,'Transfer Engine'!$C$2:$C$679,0)))</f>
        <v/>
      </c>
      <c r="N306" s="8">
        <f>IF(ISNA(MATCH(297,'Transfer Engine'!$C$2:$C$679,0)),"",INDEX('Compliance Database'!$N$2:$N$679,MATCH(297,'Transfer Engine'!$C$2:$C$679,0)))</f>
        <v/>
      </c>
      <c r="O306" s="8">
        <f>IF(ISNA(MATCH(297,'Transfer Engine'!$C$2:$C$679,0)),"",INDEX('Compliance Database'!$O$2:$O$679,MATCH(297,'Transfer Engine'!$C$2:$C$679,0)))</f>
        <v/>
      </c>
      <c r="P306">
        <f>IF(ISNA(MATCH(297,'Transfer Engine'!$C$2:$C$679,0)),"",HYPERLINK(INDEX('Compliance Database'!$P$2:$P$679,MATCH(297,'Transfer Engine'!$C$2:$C$679,0)),"Open PDF"))</f>
        <v/>
      </c>
    </row>
    <row r="307">
      <c r="A307">
        <f>IF(ISNA(MATCH(298,'Transfer Engine'!$C$2:$C$679,0)),"",INDEX('Compliance Database'!$A$2:$A$679,MATCH(298,'Transfer Engine'!$C$2:$C$679,0)))</f>
        <v/>
      </c>
      <c r="B307">
        <f>IF(ISNA(MATCH(298,'Transfer Engine'!$C$2:$C$679,0)),"",INDEX('Compliance Database'!$B$2:$B$679,MATCH(298,'Transfer Engine'!$C$2:$C$679,0)))</f>
        <v/>
      </c>
      <c r="C307">
        <f>IF(ISNA(MATCH(298,'Transfer Engine'!$C$2:$C$679,0)),"",INDEX('Compliance Database'!$C$2:$C$679,MATCH(298,'Transfer Engine'!$C$2:$C$679,0)))</f>
        <v/>
      </c>
      <c r="D307" s="8">
        <f>IF(ISNA(MATCH(298,'Transfer Engine'!$C$2:$C$679,0)),"",INDEX('Compliance Database'!$D$2:$D$679,MATCH(298,'Transfer Engine'!$C$2:$C$679,0)))</f>
        <v/>
      </c>
      <c r="E307">
        <f>IF(ISNA(MATCH(298,'Transfer Engine'!$C$2:$C$679,0)),"",INDEX('Compliance Database'!$E$2:$E$679,MATCH(298,'Transfer Engine'!$C$2:$C$679,0)))</f>
        <v/>
      </c>
      <c r="F307">
        <f>IF(ISNA(MATCH(298,'Transfer Engine'!$C$2:$C$679,0)),"",INDEX('Compliance Database'!$F$2:$F$679,MATCH(298,'Transfer Engine'!$C$2:$C$679,0)))</f>
        <v/>
      </c>
      <c r="G307">
        <f>IF(ISNA(MATCH(298,'Transfer Engine'!$C$2:$C$679,0)),"",INDEX('Compliance Database'!$G$2:$G$679,MATCH(298,'Transfer Engine'!$C$2:$C$679,0)))</f>
        <v/>
      </c>
      <c r="H307">
        <f>IF(ISNA(MATCH(298,'Transfer Engine'!$C$2:$C$679,0)),"",INDEX('Compliance Database'!$H$2:$H$679,MATCH(298,'Transfer Engine'!$C$2:$C$679,0)))</f>
        <v/>
      </c>
      <c r="I307" s="8">
        <f>IF(ISNA(MATCH(298,'Transfer Engine'!$C$2:$C$679,0)),"",INDEX('Compliance Database'!$I$2:$I$679,MATCH(298,'Transfer Engine'!$C$2:$C$679,0)))</f>
        <v/>
      </c>
      <c r="J307" s="8">
        <f>IF(ISNA(MATCH(298,'Transfer Engine'!$C$2:$C$679,0)),"",INDEX('Compliance Database'!$J$2:$J$679,MATCH(298,'Transfer Engine'!$C$2:$C$679,0)))</f>
        <v/>
      </c>
      <c r="K307">
        <f>IF(ISNA(MATCH(298,'Transfer Engine'!$C$2:$C$679,0)),"",INDEX('Compliance Database'!$K$2:$K$679,MATCH(298,'Transfer Engine'!$C$2:$C$679,0)))</f>
        <v/>
      </c>
      <c r="L307" s="8">
        <f>IF(ISNA(MATCH(298,'Transfer Engine'!$C$2:$C$679,0)),"",INDEX('Compliance Database'!$L$2:$L$679,MATCH(298,'Transfer Engine'!$C$2:$C$679,0)))</f>
        <v/>
      </c>
      <c r="M307" s="8">
        <f>IF(ISNA(MATCH(298,'Transfer Engine'!$C$2:$C$679,0)),"",INDEX('Compliance Database'!$M$2:$M$679,MATCH(298,'Transfer Engine'!$C$2:$C$679,0)))</f>
        <v/>
      </c>
      <c r="N307" s="8">
        <f>IF(ISNA(MATCH(298,'Transfer Engine'!$C$2:$C$679,0)),"",INDEX('Compliance Database'!$N$2:$N$679,MATCH(298,'Transfer Engine'!$C$2:$C$679,0)))</f>
        <v/>
      </c>
      <c r="O307" s="8">
        <f>IF(ISNA(MATCH(298,'Transfer Engine'!$C$2:$C$679,0)),"",INDEX('Compliance Database'!$O$2:$O$679,MATCH(298,'Transfer Engine'!$C$2:$C$679,0)))</f>
        <v/>
      </c>
      <c r="P307">
        <f>IF(ISNA(MATCH(298,'Transfer Engine'!$C$2:$C$679,0)),"",HYPERLINK(INDEX('Compliance Database'!$P$2:$P$679,MATCH(298,'Transfer Engine'!$C$2:$C$679,0)),"Open PDF"))</f>
        <v/>
      </c>
    </row>
    <row r="308">
      <c r="A308">
        <f>IF(ISNA(MATCH(299,'Transfer Engine'!$C$2:$C$679,0)),"",INDEX('Compliance Database'!$A$2:$A$679,MATCH(299,'Transfer Engine'!$C$2:$C$679,0)))</f>
        <v/>
      </c>
      <c r="B308">
        <f>IF(ISNA(MATCH(299,'Transfer Engine'!$C$2:$C$679,0)),"",INDEX('Compliance Database'!$B$2:$B$679,MATCH(299,'Transfer Engine'!$C$2:$C$679,0)))</f>
        <v/>
      </c>
      <c r="C308">
        <f>IF(ISNA(MATCH(299,'Transfer Engine'!$C$2:$C$679,0)),"",INDEX('Compliance Database'!$C$2:$C$679,MATCH(299,'Transfer Engine'!$C$2:$C$679,0)))</f>
        <v/>
      </c>
      <c r="D308" s="8">
        <f>IF(ISNA(MATCH(299,'Transfer Engine'!$C$2:$C$679,0)),"",INDEX('Compliance Database'!$D$2:$D$679,MATCH(299,'Transfer Engine'!$C$2:$C$679,0)))</f>
        <v/>
      </c>
      <c r="E308">
        <f>IF(ISNA(MATCH(299,'Transfer Engine'!$C$2:$C$679,0)),"",INDEX('Compliance Database'!$E$2:$E$679,MATCH(299,'Transfer Engine'!$C$2:$C$679,0)))</f>
        <v/>
      </c>
      <c r="F308">
        <f>IF(ISNA(MATCH(299,'Transfer Engine'!$C$2:$C$679,0)),"",INDEX('Compliance Database'!$F$2:$F$679,MATCH(299,'Transfer Engine'!$C$2:$C$679,0)))</f>
        <v/>
      </c>
      <c r="G308">
        <f>IF(ISNA(MATCH(299,'Transfer Engine'!$C$2:$C$679,0)),"",INDEX('Compliance Database'!$G$2:$G$679,MATCH(299,'Transfer Engine'!$C$2:$C$679,0)))</f>
        <v/>
      </c>
      <c r="H308">
        <f>IF(ISNA(MATCH(299,'Transfer Engine'!$C$2:$C$679,0)),"",INDEX('Compliance Database'!$H$2:$H$679,MATCH(299,'Transfer Engine'!$C$2:$C$679,0)))</f>
        <v/>
      </c>
      <c r="I308" s="8">
        <f>IF(ISNA(MATCH(299,'Transfer Engine'!$C$2:$C$679,0)),"",INDEX('Compliance Database'!$I$2:$I$679,MATCH(299,'Transfer Engine'!$C$2:$C$679,0)))</f>
        <v/>
      </c>
      <c r="J308" s="8">
        <f>IF(ISNA(MATCH(299,'Transfer Engine'!$C$2:$C$679,0)),"",INDEX('Compliance Database'!$J$2:$J$679,MATCH(299,'Transfer Engine'!$C$2:$C$679,0)))</f>
        <v/>
      </c>
      <c r="K308">
        <f>IF(ISNA(MATCH(299,'Transfer Engine'!$C$2:$C$679,0)),"",INDEX('Compliance Database'!$K$2:$K$679,MATCH(299,'Transfer Engine'!$C$2:$C$679,0)))</f>
        <v/>
      </c>
      <c r="L308" s="8">
        <f>IF(ISNA(MATCH(299,'Transfer Engine'!$C$2:$C$679,0)),"",INDEX('Compliance Database'!$L$2:$L$679,MATCH(299,'Transfer Engine'!$C$2:$C$679,0)))</f>
        <v/>
      </c>
      <c r="M308" s="8">
        <f>IF(ISNA(MATCH(299,'Transfer Engine'!$C$2:$C$679,0)),"",INDEX('Compliance Database'!$M$2:$M$679,MATCH(299,'Transfer Engine'!$C$2:$C$679,0)))</f>
        <v/>
      </c>
      <c r="N308" s="8">
        <f>IF(ISNA(MATCH(299,'Transfer Engine'!$C$2:$C$679,0)),"",INDEX('Compliance Database'!$N$2:$N$679,MATCH(299,'Transfer Engine'!$C$2:$C$679,0)))</f>
        <v/>
      </c>
      <c r="O308" s="8">
        <f>IF(ISNA(MATCH(299,'Transfer Engine'!$C$2:$C$679,0)),"",INDEX('Compliance Database'!$O$2:$O$679,MATCH(299,'Transfer Engine'!$C$2:$C$679,0)))</f>
        <v/>
      </c>
      <c r="P308">
        <f>IF(ISNA(MATCH(299,'Transfer Engine'!$C$2:$C$679,0)),"",HYPERLINK(INDEX('Compliance Database'!$P$2:$P$679,MATCH(299,'Transfer Engine'!$C$2:$C$679,0)),"Open PDF"))</f>
        <v/>
      </c>
    </row>
    <row r="309">
      <c r="A309">
        <f>IF(ISNA(MATCH(300,'Transfer Engine'!$C$2:$C$679,0)),"",INDEX('Compliance Database'!$A$2:$A$679,MATCH(300,'Transfer Engine'!$C$2:$C$679,0)))</f>
        <v/>
      </c>
      <c r="B309">
        <f>IF(ISNA(MATCH(300,'Transfer Engine'!$C$2:$C$679,0)),"",INDEX('Compliance Database'!$B$2:$B$679,MATCH(300,'Transfer Engine'!$C$2:$C$679,0)))</f>
        <v/>
      </c>
      <c r="C309">
        <f>IF(ISNA(MATCH(300,'Transfer Engine'!$C$2:$C$679,0)),"",INDEX('Compliance Database'!$C$2:$C$679,MATCH(300,'Transfer Engine'!$C$2:$C$679,0)))</f>
        <v/>
      </c>
      <c r="D309" s="8">
        <f>IF(ISNA(MATCH(300,'Transfer Engine'!$C$2:$C$679,0)),"",INDEX('Compliance Database'!$D$2:$D$679,MATCH(300,'Transfer Engine'!$C$2:$C$679,0)))</f>
        <v/>
      </c>
      <c r="E309">
        <f>IF(ISNA(MATCH(300,'Transfer Engine'!$C$2:$C$679,0)),"",INDEX('Compliance Database'!$E$2:$E$679,MATCH(300,'Transfer Engine'!$C$2:$C$679,0)))</f>
        <v/>
      </c>
      <c r="F309">
        <f>IF(ISNA(MATCH(300,'Transfer Engine'!$C$2:$C$679,0)),"",INDEX('Compliance Database'!$F$2:$F$679,MATCH(300,'Transfer Engine'!$C$2:$C$679,0)))</f>
        <v/>
      </c>
      <c r="G309">
        <f>IF(ISNA(MATCH(300,'Transfer Engine'!$C$2:$C$679,0)),"",INDEX('Compliance Database'!$G$2:$G$679,MATCH(300,'Transfer Engine'!$C$2:$C$679,0)))</f>
        <v/>
      </c>
      <c r="H309">
        <f>IF(ISNA(MATCH(300,'Transfer Engine'!$C$2:$C$679,0)),"",INDEX('Compliance Database'!$H$2:$H$679,MATCH(300,'Transfer Engine'!$C$2:$C$679,0)))</f>
        <v/>
      </c>
      <c r="I309" s="8">
        <f>IF(ISNA(MATCH(300,'Transfer Engine'!$C$2:$C$679,0)),"",INDEX('Compliance Database'!$I$2:$I$679,MATCH(300,'Transfer Engine'!$C$2:$C$679,0)))</f>
        <v/>
      </c>
      <c r="J309" s="8">
        <f>IF(ISNA(MATCH(300,'Transfer Engine'!$C$2:$C$679,0)),"",INDEX('Compliance Database'!$J$2:$J$679,MATCH(300,'Transfer Engine'!$C$2:$C$679,0)))</f>
        <v/>
      </c>
      <c r="K309">
        <f>IF(ISNA(MATCH(300,'Transfer Engine'!$C$2:$C$679,0)),"",INDEX('Compliance Database'!$K$2:$K$679,MATCH(300,'Transfer Engine'!$C$2:$C$679,0)))</f>
        <v/>
      </c>
      <c r="L309" s="8">
        <f>IF(ISNA(MATCH(300,'Transfer Engine'!$C$2:$C$679,0)),"",INDEX('Compliance Database'!$L$2:$L$679,MATCH(300,'Transfer Engine'!$C$2:$C$679,0)))</f>
        <v/>
      </c>
      <c r="M309" s="8">
        <f>IF(ISNA(MATCH(300,'Transfer Engine'!$C$2:$C$679,0)),"",INDEX('Compliance Database'!$M$2:$M$679,MATCH(300,'Transfer Engine'!$C$2:$C$679,0)))</f>
        <v/>
      </c>
      <c r="N309" s="8">
        <f>IF(ISNA(MATCH(300,'Transfer Engine'!$C$2:$C$679,0)),"",INDEX('Compliance Database'!$N$2:$N$679,MATCH(300,'Transfer Engine'!$C$2:$C$679,0)))</f>
        <v/>
      </c>
      <c r="O309" s="8">
        <f>IF(ISNA(MATCH(300,'Transfer Engine'!$C$2:$C$679,0)),"",INDEX('Compliance Database'!$O$2:$O$679,MATCH(300,'Transfer Engine'!$C$2:$C$679,0)))</f>
        <v/>
      </c>
      <c r="P309">
        <f>IF(ISNA(MATCH(300,'Transfer Engine'!$C$2:$C$679,0)),"",HYPERLINK(INDEX('Compliance Database'!$P$2:$P$679,MATCH(300,'Transfer Engine'!$C$2:$C$679,0)),"Open PDF"))</f>
        <v/>
      </c>
    </row>
    <row r="310">
      <c r="A310">
        <f>IF(ISNA(MATCH(301,'Transfer Engine'!$C$2:$C$679,0)),"",INDEX('Compliance Database'!$A$2:$A$679,MATCH(301,'Transfer Engine'!$C$2:$C$679,0)))</f>
        <v/>
      </c>
      <c r="B310">
        <f>IF(ISNA(MATCH(301,'Transfer Engine'!$C$2:$C$679,0)),"",INDEX('Compliance Database'!$B$2:$B$679,MATCH(301,'Transfer Engine'!$C$2:$C$679,0)))</f>
        <v/>
      </c>
      <c r="C310">
        <f>IF(ISNA(MATCH(301,'Transfer Engine'!$C$2:$C$679,0)),"",INDEX('Compliance Database'!$C$2:$C$679,MATCH(301,'Transfer Engine'!$C$2:$C$679,0)))</f>
        <v/>
      </c>
      <c r="D310" s="8">
        <f>IF(ISNA(MATCH(301,'Transfer Engine'!$C$2:$C$679,0)),"",INDEX('Compliance Database'!$D$2:$D$679,MATCH(301,'Transfer Engine'!$C$2:$C$679,0)))</f>
        <v/>
      </c>
      <c r="E310">
        <f>IF(ISNA(MATCH(301,'Transfer Engine'!$C$2:$C$679,0)),"",INDEX('Compliance Database'!$E$2:$E$679,MATCH(301,'Transfer Engine'!$C$2:$C$679,0)))</f>
        <v/>
      </c>
      <c r="F310">
        <f>IF(ISNA(MATCH(301,'Transfer Engine'!$C$2:$C$679,0)),"",INDEX('Compliance Database'!$F$2:$F$679,MATCH(301,'Transfer Engine'!$C$2:$C$679,0)))</f>
        <v/>
      </c>
      <c r="G310">
        <f>IF(ISNA(MATCH(301,'Transfer Engine'!$C$2:$C$679,0)),"",INDEX('Compliance Database'!$G$2:$G$679,MATCH(301,'Transfer Engine'!$C$2:$C$679,0)))</f>
        <v/>
      </c>
      <c r="H310">
        <f>IF(ISNA(MATCH(301,'Transfer Engine'!$C$2:$C$679,0)),"",INDEX('Compliance Database'!$H$2:$H$679,MATCH(301,'Transfer Engine'!$C$2:$C$679,0)))</f>
        <v/>
      </c>
      <c r="I310" s="8">
        <f>IF(ISNA(MATCH(301,'Transfer Engine'!$C$2:$C$679,0)),"",INDEX('Compliance Database'!$I$2:$I$679,MATCH(301,'Transfer Engine'!$C$2:$C$679,0)))</f>
        <v/>
      </c>
      <c r="J310" s="8">
        <f>IF(ISNA(MATCH(301,'Transfer Engine'!$C$2:$C$679,0)),"",INDEX('Compliance Database'!$J$2:$J$679,MATCH(301,'Transfer Engine'!$C$2:$C$679,0)))</f>
        <v/>
      </c>
      <c r="K310">
        <f>IF(ISNA(MATCH(301,'Transfer Engine'!$C$2:$C$679,0)),"",INDEX('Compliance Database'!$K$2:$K$679,MATCH(301,'Transfer Engine'!$C$2:$C$679,0)))</f>
        <v/>
      </c>
      <c r="L310" s="8">
        <f>IF(ISNA(MATCH(301,'Transfer Engine'!$C$2:$C$679,0)),"",INDEX('Compliance Database'!$L$2:$L$679,MATCH(301,'Transfer Engine'!$C$2:$C$679,0)))</f>
        <v/>
      </c>
      <c r="M310" s="8">
        <f>IF(ISNA(MATCH(301,'Transfer Engine'!$C$2:$C$679,0)),"",INDEX('Compliance Database'!$M$2:$M$679,MATCH(301,'Transfer Engine'!$C$2:$C$679,0)))</f>
        <v/>
      </c>
      <c r="N310" s="8">
        <f>IF(ISNA(MATCH(301,'Transfer Engine'!$C$2:$C$679,0)),"",INDEX('Compliance Database'!$N$2:$N$679,MATCH(301,'Transfer Engine'!$C$2:$C$679,0)))</f>
        <v/>
      </c>
      <c r="O310" s="8">
        <f>IF(ISNA(MATCH(301,'Transfer Engine'!$C$2:$C$679,0)),"",INDEX('Compliance Database'!$O$2:$O$679,MATCH(301,'Transfer Engine'!$C$2:$C$679,0)))</f>
        <v/>
      </c>
      <c r="P310">
        <f>IF(ISNA(MATCH(301,'Transfer Engine'!$C$2:$C$679,0)),"",HYPERLINK(INDEX('Compliance Database'!$P$2:$P$679,MATCH(301,'Transfer Engine'!$C$2:$C$679,0)),"Open PDF"))</f>
        <v/>
      </c>
    </row>
    <row r="311">
      <c r="A311">
        <f>IF(ISNA(MATCH(302,'Transfer Engine'!$C$2:$C$679,0)),"",INDEX('Compliance Database'!$A$2:$A$679,MATCH(302,'Transfer Engine'!$C$2:$C$679,0)))</f>
        <v/>
      </c>
      <c r="B311">
        <f>IF(ISNA(MATCH(302,'Transfer Engine'!$C$2:$C$679,0)),"",INDEX('Compliance Database'!$B$2:$B$679,MATCH(302,'Transfer Engine'!$C$2:$C$679,0)))</f>
        <v/>
      </c>
      <c r="C311">
        <f>IF(ISNA(MATCH(302,'Transfer Engine'!$C$2:$C$679,0)),"",INDEX('Compliance Database'!$C$2:$C$679,MATCH(302,'Transfer Engine'!$C$2:$C$679,0)))</f>
        <v/>
      </c>
      <c r="D311" s="8">
        <f>IF(ISNA(MATCH(302,'Transfer Engine'!$C$2:$C$679,0)),"",INDEX('Compliance Database'!$D$2:$D$679,MATCH(302,'Transfer Engine'!$C$2:$C$679,0)))</f>
        <v/>
      </c>
      <c r="E311">
        <f>IF(ISNA(MATCH(302,'Transfer Engine'!$C$2:$C$679,0)),"",INDEX('Compliance Database'!$E$2:$E$679,MATCH(302,'Transfer Engine'!$C$2:$C$679,0)))</f>
        <v/>
      </c>
      <c r="F311">
        <f>IF(ISNA(MATCH(302,'Transfer Engine'!$C$2:$C$679,0)),"",INDEX('Compliance Database'!$F$2:$F$679,MATCH(302,'Transfer Engine'!$C$2:$C$679,0)))</f>
        <v/>
      </c>
      <c r="G311">
        <f>IF(ISNA(MATCH(302,'Transfer Engine'!$C$2:$C$679,0)),"",INDEX('Compliance Database'!$G$2:$G$679,MATCH(302,'Transfer Engine'!$C$2:$C$679,0)))</f>
        <v/>
      </c>
      <c r="H311">
        <f>IF(ISNA(MATCH(302,'Transfer Engine'!$C$2:$C$679,0)),"",INDEX('Compliance Database'!$H$2:$H$679,MATCH(302,'Transfer Engine'!$C$2:$C$679,0)))</f>
        <v/>
      </c>
      <c r="I311" s="8">
        <f>IF(ISNA(MATCH(302,'Transfer Engine'!$C$2:$C$679,0)),"",INDEX('Compliance Database'!$I$2:$I$679,MATCH(302,'Transfer Engine'!$C$2:$C$679,0)))</f>
        <v/>
      </c>
      <c r="J311" s="8">
        <f>IF(ISNA(MATCH(302,'Transfer Engine'!$C$2:$C$679,0)),"",INDEX('Compliance Database'!$J$2:$J$679,MATCH(302,'Transfer Engine'!$C$2:$C$679,0)))</f>
        <v/>
      </c>
      <c r="K311">
        <f>IF(ISNA(MATCH(302,'Transfer Engine'!$C$2:$C$679,0)),"",INDEX('Compliance Database'!$K$2:$K$679,MATCH(302,'Transfer Engine'!$C$2:$C$679,0)))</f>
        <v/>
      </c>
      <c r="L311" s="8">
        <f>IF(ISNA(MATCH(302,'Transfer Engine'!$C$2:$C$679,0)),"",INDEX('Compliance Database'!$L$2:$L$679,MATCH(302,'Transfer Engine'!$C$2:$C$679,0)))</f>
        <v/>
      </c>
      <c r="M311" s="8">
        <f>IF(ISNA(MATCH(302,'Transfer Engine'!$C$2:$C$679,0)),"",INDEX('Compliance Database'!$M$2:$M$679,MATCH(302,'Transfer Engine'!$C$2:$C$679,0)))</f>
        <v/>
      </c>
      <c r="N311" s="8">
        <f>IF(ISNA(MATCH(302,'Transfer Engine'!$C$2:$C$679,0)),"",INDEX('Compliance Database'!$N$2:$N$679,MATCH(302,'Transfer Engine'!$C$2:$C$679,0)))</f>
        <v/>
      </c>
      <c r="O311" s="8">
        <f>IF(ISNA(MATCH(302,'Transfer Engine'!$C$2:$C$679,0)),"",INDEX('Compliance Database'!$O$2:$O$679,MATCH(302,'Transfer Engine'!$C$2:$C$679,0)))</f>
        <v/>
      </c>
      <c r="P311">
        <f>IF(ISNA(MATCH(302,'Transfer Engine'!$C$2:$C$679,0)),"",HYPERLINK(INDEX('Compliance Database'!$P$2:$P$679,MATCH(302,'Transfer Engine'!$C$2:$C$679,0)),"Open PDF"))</f>
        <v/>
      </c>
    </row>
    <row r="312">
      <c r="A312">
        <f>IF(ISNA(MATCH(303,'Transfer Engine'!$C$2:$C$679,0)),"",INDEX('Compliance Database'!$A$2:$A$679,MATCH(303,'Transfer Engine'!$C$2:$C$679,0)))</f>
        <v/>
      </c>
      <c r="B312">
        <f>IF(ISNA(MATCH(303,'Transfer Engine'!$C$2:$C$679,0)),"",INDEX('Compliance Database'!$B$2:$B$679,MATCH(303,'Transfer Engine'!$C$2:$C$679,0)))</f>
        <v/>
      </c>
      <c r="C312">
        <f>IF(ISNA(MATCH(303,'Transfer Engine'!$C$2:$C$679,0)),"",INDEX('Compliance Database'!$C$2:$C$679,MATCH(303,'Transfer Engine'!$C$2:$C$679,0)))</f>
        <v/>
      </c>
      <c r="D312" s="8">
        <f>IF(ISNA(MATCH(303,'Transfer Engine'!$C$2:$C$679,0)),"",INDEX('Compliance Database'!$D$2:$D$679,MATCH(303,'Transfer Engine'!$C$2:$C$679,0)))</f>
        <v/>
      </c>
      <c r="E312">
        <f>IF(ISNA(MATCH(303,'Transfer Engine'!$C$2:$C$679,0)),"",INDEX('Compliance Database'!$E$2:$E$679,MATCH(303,'Transfer Engine'!$C$2:$C$679,0)))</f>
        <v/>
      </c>
      <c r="F312">
        <f>IF(ISNA(MATCH(303,'Transfer Engine'!$C$2:$C$679,0)),"",INDEX('Compliance Database'!$F$2:$F$679,MATCH(303,'Transfer Engine'!$C$2:$C$679,0)))</f>
        <v/>
      </c>
      <c r="G312">
        <f>IF(ISNA(MATCH(303,'Transfer Engine'!$C$2:$C$679,0)),"",INDEX('Compliance Database'!$G$2:$G$679,MATCH(303,'Transfer Engine'!$C$2:$C$679,0)))</f>
        <v/>
      </c>
      <c r="H312">
        <f>IF(ISNA(MATCH(303,'Transfer Engine'!$C$2:$C$679,0)),"",INDEX('Compliance Database'!$H$2:$H$679,MATCH(303,'Transfer Engine'!$C$2:$C$679,0)))</f>
        <v/>
      </c>
      <c r="I312" s="8">
        <f>IF(ISNA(MATCH(303,'Transfer Engine'!$C$2:$C$679,0)),"",INDEX('Compliance Database'!$I$2:$I$679,MATCH(303,'Transfer Engine'!$C$2:$C$679,0)))</f>
        <v/>
      </c>
      <c r="J312" s="8">
        <f>IF(ISNA(MATCH(303,'Transfer Engine'!$C$2:$C$679,0)),"",INDEX('Compliance Database'!$J$2:$J$679,MATCH(303,'Transfer Engine'!$C$2:$C$679,0)))</f>
        <v/>
      </c>
      <c r="K312">
        <f>IF(ISNA(MATCH(303,'Transfer Engine'!$C$2:$C$679,0)),"",INDEX('Compliance Database'!$K$2:$K$679,MATCH(303,'Transfer Engine'!$C$2:$C$679,0)))</f>
        <v/>
      </c>
      <c r="L312" s="8">
        <f>IF(ISNA(MATCH(303,'Transfer Engine'!$C$2:$C$679,0)),"",INDEX('Compliance Database'!$L$2:$L$679,MATCH(303,'Transfer Engine'!$C$2:$C$679,0)))</f>
        <v/>
      </c>
      <c r="M312" s="8">
        <f>IF(ISNA(MATCH(303,'Transfer Engine'!$C$2:$C$679,0)),"",INDEX('Compliance Database'!$M$2:$M$679,MATCH(303,'Transfer Engine'!$C$2:$C$679,0)))</f>
        <v/>
      </c>
      <c r="N312" s="8">
        <f>IF(ISNA(MATCH(303,'Transfer Engine'!$C$2:$C$679,0)),"",INDEX('Compliance Database'!$N$2:$N$679,MATCH(303,'Transfer Engine'!$C$2:$C$679,0)))</f>
        <v/>
      </c>
      <c r="O312" s="8">
        <f>IF(ISNA(MATCH(303,'Transfer Engine'!$C$2:$C$679,0)),"",INDEX('Compliance Database'!$O$2:$O$679,MATCH(303,'Transfer Engine'!$C$2:$C$679,0)))</f>
        <v/>
      </c>
      <c r="P312">
        <f>IF(ISNA(MATCH(303,'Transfer Engine'!$C$2:$C$679,0)),"",HYPERLINK(INDEX('Compliance Database'!$P$2:$P$679,MATCH(303,'Transfer Engine'!$C$2:$C$679,0)),"Open PDF"))</f>
        <v/>
      </c>
    </row>
    <row r="313">
      <c r="A313">
        <f>IF(ISNA(MATCH(304,'Transfer Engine'!$C$2:$C$679,0)),"",INDEX('Compliance Database'!$A$2:$A$679,MATCH(304,'Transfer Engine'!$C$2:$C$679,0)))</f>
        <v/>
      </c>
      <c r="B313">
        <f>IF(ISNA(MATCH(304,'Transfer Engine'!$C$2:$C$679,0)),"",INDEX('Compliance Database'!$B$2:$B$679,MATCH(304,'Transfer Engine'!$C$2:$C$679,0)))</f>
        <v/>
      </c>
      <c r="C313">
        <f>IF(ISNA(MATCH(304,'Transfer Engine'!$C$2:$C$679,0)),"",INDEX('Compliance Database'!$C$2:$C$679,MATCH(304,'Transfer Engine'!$C$2:$C$679,0)))</f>
        <v/>
      </c>
      <c r="D313" s="8">
        <f>IF(ISNA(MATCH(304,'Transfer Engine'!$C$2:$C$679,0)),"",INDEX('Compliance Database'!$D$2:$D$679,MATCH(304,'Transfer Engine'!$C$2:$C$679,0)))</f>
        <v/>
      </c>
      <c r="E313">
        <f>IF(ISNA(MATCH(304,'Transfer Engine'!$C$2:$C$679,0)),"",INDEX('Compliance Database'!$E$2:$E$679,MATCH(304,'Transfer Engine'!$C$2:$C$679,0)))</f>
        <v/>
      </c>
      <c r="F313">
        <f>IF(ISNA(MATCH(304,'Transfer Engine'!$C$2:$C$679,0)),"",INDEX('Compliance Database'!$F$2:$F$679,MATCH(304,'Transfer Engine'!$C$2:$C$679,0)))</f>
        <v/>
      </c>
      <c r="G313">
        <f>IF(ISNA(MATCH(304,'Transfer Engine'!$C$2:$C$679,0)),"",INDEX('Compliance Database'!$G$2:$G$679,MATCH(304,'Transfer Engine'!$C$2:$C$679,0)))</f>
        <v/>
      </c>
      <c r="H313">
        <f>IF(ISNA(MATCH(304,'Transfer Engine'!$C$2:$C$679,0)),"",INDEX('Compliance Database'!$H$2:$H$679,MATCH(304,'Transfer Engine'!$C$2:$C$679,0)))</f>
        <v/>
      </c>
      <c r="I313" s="8">
        <f>IF(ISNA(MATCH(304,'Transfer Engine'!$C$2:$C$679,0)),"",INDEX('Compliance Database'!$I$2:$I$679,MATCH(304,'Transfer Engine'!$C$2:$C$679,0)))</f>
        <v/>
      </c>
      <c r="J313" s="8">
        <f>IF(ISNA(MATCH(304,'Transfer Engine'!$C$2:$C$679,0)),"",INDEX('Compliance Database'!$J$2:$J$679,MATCH(304,'Transfer Engine'!$C$2:$C$679,0)))</f>
        <v/>
      </c>
      <c r="K313">
        <f>IF(ISNA(MATCH(304,'Transfer Engine'!$C$2:$C$679,0)),"",INDEX('Compliance Database'!$K$2:$K$679,MATCH(304,'Transfer Engine'!$C$2:$C$679,0)))</f>
        <v/>
      </c>
      <c r="L313" s="8">
        <f>IF(ISNA(MATCH(304,'Transfer Engine'!$C$2:$C$679,0)),"",INDEX('Compliance Database'!$L$2:$L$679,MATCH(304,'Transfer Engine'!$C$2:$C$679,0)))</f>
        <v/>
      </c>
      <c r="M313" s="8">
        <f>IF(ISNA(MATCH(304,'Transfer Engine'!$C$2:$C$679,0)),"",INDEX('Compliance Database'!$M$2:$M$679,MATCH(304,'Transfer Engine'!$C$2:$C$679,0)))</f>
        <v/>
      </c>
      <c r="N313" s="8">
        <f>IF(ISNA(MATCH(304,'Transfer Engine'!$C$2:$C$679,0)),"",INDEX('Compliance Database'!$N$2:$N$679,MATCH(304,'Transfer Engine'!$C$2:$C$679,0)))</f>
        <v/>
      </c>
      <c r="O313" s="8">
        <f>IF(ISNA(MATCH(304,'Transfer Engine'!$C$2:$C$679,0)),"",INDEX('Compliance Database'!$O$2:$O$679,MATCH(304,'Transfer Engine'!$C$2:$C$679,0)))</f>
        <v/>
      </c>
      <c r="P313">
        <f>IF(ISNA(MATCH(304,'Transfer Engine'!$C$2:$C$679,0)),"",HYPERLINK(INDEX('Compliance Database'!$P$2:$P$679,MATCH(304,'Transfer Engine'!$C$2:$C$679,0)),"Open PDF"))</f>
        <v/>
      </c>
    </row>
    <row r="314">
      <c r="A314">
        <f>IF(ISNA(MATCH(305,'Transfer Engine'!$C$2:$C$679,0)),"",INDEX('Compliance Database'!$A$2:$A$679,MATCH(305,'Transfer Engine'!$C$2:$C$679,0)))</f>
        <v/>
      </c>
      <c r="B314">
        <f>IF(ISNA(MATCH(305,'Transfer Engine'!$C$2:$C$679,0)),"",INDEX('Compliance Database'!$B$2:$B$679,MATCH(305,'Transfer Engine'!$C$2:$C$679,0)))</f>
        <v/>
      </c>
      <c r="C314">
        <f>IF(ISNA(MATCH(305,'Transfer Engine'!$C$2:$C$679,0)),"",INDEX('Compliance Database'!$C$2:$C$679,MATCH(305,'Transfer Engine'!$C$2:$C$679,0)))</f>
        <v/>
      </c>
      <c r="D314" s="8">
        <f>IF(ISNA(MATCH(305,'Transfer Engine'!$C$2:$C$679,0)),"",INDEX('Compliance Database'!$D$2:$D$679,MATCH(305,'Transfer Engine'!$C$2:$C$679,0)))</f>
        <v/>
      </c>
      <c r="E314">
        <f>IF(ISNA(MATCH(305,'Transfer Engine'!$C$2:$C$679,0)),"",INDEX('Compliance Database'!$E$2:$E$679,MATCH(305,'Transfer Engine'!$C$2:$C$679,0)))</f>
        <v/>
      </c>
      <c r="F314">
        <f>IF(ISNA(MATCH(305,'Transfer Engine'!$C$2:$C$679,0)),"",INDEX('Compliance Database'!$F$2:$F$679,MATCH(305,'Transfer Engine'!$C$2:$C$679,0)))</f>
        <v/>
      </c>
      <c r="G314">
        <f>IF(ISNA(MATCH(305,'Transfer Engine'!$C$2:$C$679,0)),"",INDEX('Compliance Database'!$G$2:$G$679,MATCH(305,'Transfer Engine'!$C$2:$C$679,0)))</f>
        <v/>
      </c>
      <c r="H314">
        <f>IF(ISNA(MATCH(305,'Transfer Engine'!$C$2:$C$679,0)),"",INDEX('Compliance Database'!$H$2:$H$679,MATCH(305,'Transfer Engine'!$C$2:$C$679,0)))</f>
        <v/>
      </c>
      <c r="I314" s="8">
        <f>IF(ISNA(MATCH(305,'Transfer Engine'!$C$2:$C$679,0)),"",INDEX('Compliance Database'!$I$2:$I$679,MATCH(305,'Transfer Engine'!$C$2:$C$679,0)))</f>
        <v/>
      </c>
      <c r="J314" s="8">
        <f>IF(ISNA(MATCH(305,'Transfer Engine'!$C$2:$C$679,0)),"",INDEX('Compliance Database'!$J$2:$J$679,MATCH(305,'Transfer Engine'!$C$2:$C$679,0)))</f>
        <v/>
      </c>
      <c r="K314">
        <f>IF(ISNA(MATCH(305,'Transfer Engine'!$C$2:$C$679,0)),"",INDEX('Compliance Database'!$K$2:$K$679,MATCH(305,'Transfer Engine'!$C$2:$C$679,0)))</f>
        <v/>
      </c>
      <c r="L314" s="8">
        <f>IF(ISNA(MATCH(305,'Transfer Engine'!$C$2:$C$679,0)),"",INDEX('Compliance Database'!$L$2:$L$679,MATCH(305,'Transfer Engine'!$C$2:$C$679,0)))</f>
        <v/>
      </c>
      <c r="M314" s="8">
        <f>IF(ISNA(MATCH(305,'Transfer Engine'!$C$2:$C$679,0)),"",INDEX('Compliance Database'!$M$2:$M$679,MATCH(305,'Transfer Engine'!$C$2:$C$679,0)))</f>
        <v/>
      </c>
      <c r="N314" s="8">
        <f>IF(ISNA(MATCH(305,'Transfer Engine'!$C$2:$C$679,0)),"",INDEX('Compliance Database'!$N$2:$N$679,MATCH(305,'Transfer Engine'!$C$2:$C$679,0)))</f>
        <v/>
      </c>
      <c r="O314" s="8">
        <f>IF(ISNA(MATCH(305,'Transfer Engine'!$C$2:$C$679,0)),"",INDEX('Compliance Database'!$O$2:$O$679,MATCH(305,'Transfer Engine'!$C$2:$C$679,0)))</f>
        <v/>
      </c>
      <c r="P314">
        <f>IF(ISNA(MATCH(305,'Transfer Engine'!$C$2:$C$679,0)),"",HYPERLINK(INDEX('Compliance Database'!$P$2:$P$679,MATCH(305,'Transfer Engine'!$C$2:$C$679,0)),"Open PDF"))</f>
        <v/>
      </c>
    </row>
    <row r="315">
      <c r="A315">
        <f>IF(ISNA(MATCH(306,'Transfer Engine'!$C$2:$C$679,0)),"",INDEX('Compliance Database'!$A$2:$A$679,MATCH(306,'Transfer Engine'!$C$2:$C$679,0)))</f>
        <v/>
      </c>
      <c r="B315">
        <f>IF(ISNA(MATCH(306,'Transfer Engine'!$C$2:$C$679,0)),"",INDEX('Compliance Database'!$B$2:$B$679,MATCH(306,'Transfer Engine'!$C$2:$C$679,0)))</f>
        <v/>
      </c>
      <c r="C315">
        <f>IF(ISNA(MATCH(306,'Transfer Engine'!$C$2:$C$679,0)),"",INDEX('Compliance Database'!$C$2:$C$679,MATCH(306,'Transfer Engine'!$C$2:$C$679,0)))</f>
        <v/>
      </c>
      <c r="D315" s="8">
        <f>IF(ISNA(MATCH(306,'Transfer Engine'!$C$2:$C$679,0)),"",INDEX('Compliance Database'!$D$2:$D$679,MATCH(306,'Transfer Engine'!$C$2:$C$679,0)))</f>
        <v/>
      </c>
      <c r="E315">
        <f>IF(ISNA(MATCH(306,'Transfer Engine'!$C$2:$C$679,0)),"",INDEX('Compliance Database'!$E$2:$E$679,MATCH(306,'Transfer Engine'!$C$2:$C$679,0)))</f>
        <v/>
      </c>
      <c r="F315">
        <f>IF(ISNA(MATCH(306,'Transfer Engine'!$C$2:$C$679,0)),"",INDEX('Compliance Database'!$F$2:$F$679,MATCH(306,'Transfer Engine'!$C$2:$C$679,0)))</f>
        <v/>
      </c>
      <c r="G315">
        <f>IF(ISNA(MATCH(306,'Transfer Engine'!$C$2:$C$679,0)),"",INDEX('Compliance Database'!$G$2:$G$679,MATCH(306,'Transfer Engine'!$C$2:$C$679,0)))</f>
        <v/>
      </c>
      <c r="H315">
        <f>IF(ISNA(MATCH(306,'Transfer Engine'!$C$2:$C$679,0)),"",INDEX('Compliance Database'!$H$2:$H$679,MATCH(306,'Transfer Engine'!$C$2:$C$679,0)))</f>
        <v/>
      </c>
      <c r="I315" s="8">
        <f>IF(ISNA(MATCH(306,'Transfer Engine'!$C$2:$C$679,0)),"",INDEX('Compliance Database'!$I$2:$I$679,MATCH(306,'Transfer Engine'!$C$2:$C$679,0)))</f>
        <v/>
      </c>
      <c r="J315" s="8">
        <f>IF(ISNA(MATCH(306,'Transfer Engine'!$C$2:$C$679,0)),"",INDEX('Compliance Database'!$J$2:$J$679,MATCH(306,'Transfer Engine'!$C$2:$C$679,0)))</f>
        <v/>
      </c>
      <c r="K315">
        <f>IF(ISNA(MATCH(306,'Transfer Engine'!$C$2:$C$679,0)),"",INDEX('Compliance Database'!$K$2:$K$679,MATCH(306,'Transfer Engine'!$C$2:$C$679,0)))</f>
        <v/>
      </c>
      <c r="L315" s="8">
        <f>IF(ISNA(MATCH(306,'Transfer Engine'!$C$2:$C$679,0)),"",INDEX('Compliance Database'!$L$2:$L$679,MATCH(306,'Transfer Engine'!$C$2:$C$679,0)))</f>
        <v/>
      </c>
      <c r="M315" s="8">
        <f>IF(ISNA(MATCH(306,'Transfer Engine'!$C$2:$C$679,0)),"",INDEX('Compliance Database'!$M$2:$M$679,MATCH(306,'Transfer Engine'!$C$2:$C$679,0)))</f>
        <v/>
      </c>
      <c r="N315" s="8">
        <f>IF(ISNA(MATCH(306,'Transfer Engine'!$C$2:$C$679,0)),"",INDEX('Compliance Database'!$N$2:$N$679,MATCH(306,'Transfer Engine'!$C$2:$C$679,0)))</f>
        <v/>
      </c>
      <c r="O315" s="8">
        <f>IF(ISNA(MATCH(306,'Transfer Engine'!$C$2:$C$679,0)),"",INDEX('Compliance Database'!$O$2:$O$679,MATCH(306,'Transfer Engine'!$C$2:$C$679,0)))</f>
        <v/>
      </c>
      <c r="P315">
        <f>IF(ISNA(MATCH(306,'Transfer Engine'!$C$2:$C$679,0)),"",HYPERLINK(INDEX('Compliance Database'!$P$2:$P$679,MATCH(306,'Transfer Engine'!$C$2:$C$679,0)),"Open PDF"))</f>
        <v/>
      </c>
    </row>
    <row r="316">
      <c r="A316">
        <f>IF(ISNA(MATCH(307,'Transfer Engine'!$C$2:$C$679,0)),"",INDEX('Compliance Database'!$A$2:$A$679,MATCH(307,'Transfer Engine'!$C$2:$C$679,0)))</f>
        <v/>
      </c>
      <c r="B316">
        <f>IF(ISNA(MATCH(307,'Transfer Engine'!$C$2:$C$679,0)),"",INDEX('Compliance Database'!$B$2:$B$679,MATCH(307,'Transfer Engine'!$C$2:$C$679,0)))</f>
        <v/>
      </c>
      <c r="C316">
        <f>IF(ISNA(MATCH(307,'Transfer Engine'!$C$2:$C$679,0)),"",INDEX('Compliance Database'!$C$2:$C$679,MATCH(307,'Transfer Engine'!$C$2:$C$679,0)))</f>
        <v/>
      </c>
      <c r="D316" s="8">
        <f>IF(ISNA(MATCH(307,'Transfer Engine'!$C$2:$C$679,0)),"",INDEX('Compliance Database'!$D$2:$D$679,MATCH(307,'Transfer Engine'!$C$2:$C$679,0)))</f>
        <v/>
      </c>
      <c r="E316">
        <f>IF(ISNA(MATCH(307,'Transfer Engine'!$C$2:$C$679,0)),"",INDEX('Compliance Database'!$E$2:$E$679,MATCH(307,'Transfer Engine'!$C$2:$C$679,0)))</f>
        <v/>
      </c>
      <c r="F316">
        <f>IF(ISNA(MATCH(307,'Transfer Engine'!$C$2:$C$679,0)),"",INDEX('Compliance Database'!$F$2:$F$679,MATCH(307,'Transfer Engine'!$C$2:$C$679,0)))</f>
        <v/>
      </c>
      <c r="G316">
        <f>IF(ISNA(MATCH(307,'Transfer Engine'!$C$2:$C$679,0)),"",INDEX('Compliance Database'!$G$2:$G$679,MATCH(307,'Transfer Engine'!$C$2:$C$679,0)))</f>
        <v/>
      </c>
      <c r="H316">
        <f>IF(ISNA(MATCH(307,'Transfer Engine'!$C$2:$C$679,0)),"",INDEX('Compliance Database'!$H$2:$H$679,MATCH(307,'Transfer Engine'!$C$2:$C$679,0)))</f>
        <v/>
      </c>
      <c r="I316" s="8">
        <f>IF(ISNA(MATCH(307,'Transfer Engine'!$C$2:$C$679,0)),"",INDEX('Compliance Database'!$I$2:$I$679,MATCH(307,'Transfer Engine'!$C$2:$C$679,0)))</f>
        <v/>
      </c>
      <c r="J316" s="8">
        <f>IF(ISNA(MATCH(307,'Transfer Engine'!$C$2:$C$679,0)),"",INDEX('Compliance Database'!$J$2:$J$679,MATCH(307,'Transfer Engine'!$C$2:$C$679,0)))</f>
        <v/>
      </c>
      <c r="K316">
        <f>IF(ISNA(MATCH(307,'Transfer Engine'!$C$2:$C$679,0)),"",INDEX('Compliance Database'!$K$2:$K$679,MATCH(307,'Transfer Engine'!$C$2:$C$679,0)))</f>
        <v/>
      </c>
      <c r="L316" s="8">
        <f>IF(ISNA(MATCH(307,'Transfer Engine'!$C$2:$C$679,0)),"",INDEX('Compliance Database'!$L$2:$L$679,MATCH(307,'Transfer Engine'!$C$2:$C$679,0)))</f>
        <v/>
      </c>
      <c r="M316" s="8">
        <f>IF(ISNA(MATCH(307,'Transfer Engine'!$C$2:$C$679,0)),"",INDEX('Compliance Database'!$M$2:$M$679,MATCH(307,'Transfer Engine'!$C$2:$C$679,0)))</f>
        <v/>
      </c>
      <c r="N316" s="8">
        <f>IF(ISNA(MATCH(307,'Transfer Engine'!$C$2:$C$679,0)),"",INDEX('Compliance Database'!$N$2:$N$679,MATCH(307,'Transfer Engine'!$C$2:$C$679,0)))</f>
        <v/>
      </c>
      <c r="O316" s="8">
        <f>IF(ISNA(MATCH(307,'Transfer Engine'!$C$2:$C$679,0)),"",INDEX('Compliance Database'!$O$2:$O$679,MATCH(307,'Transfer Engine'!$C$2:$C$679,0)))</f>
        <v/>
      </c>
      <c r="P316">
        <f>IF(ISNA(MATCH(307,'Transfer Engine'!$C$2:$C$679,0)),"",HYPERLINK(INDEX('Compliance Database'!$P$2:$P$679,MATCH(307,'Transfer Engine'!$C$2:$C$679,0)),"Open PDF"))</f>
        <v/>
      </c>
    </row>
    <row r="317">
      <c r="A317">
        <f>IF(ISNA(MATCH(308,'Transfer Engine'!$C$2:$C$679,0)),"",INDEX('Compliance Database'!$A$2:$A$679,MATCH(308,'Transfer Engine'!$C$2:$C$679,0)))</f>
        <v/>
      </c>
      <c r="B317">
        <f>IF(ISNA(MATCH(308,'Transfer Engine'!$C$2:$C$679,0)),"",INDEX('Compliance Database'!$B$2:$B$679,MATCH(308,'Transfer Engine'!$C$2:$C$679,0)))</f>
        <v/>
      </c>
      <c r="C317">
        <f>IF(ISNA(MATCH(308,'Transfer Engine'!$C$2:$C$679,0)),"",INDEX('Compliance Database'!$C$2:$C$679,MATCH(308,'Transfer Engine'!$C$2:$C$679,0)))</f>
        <v/>
      </c>
      <c r="D317" s="8">
        <f>IF(ISNA(MATCH(308,'Transfer Engine'!$C$2:$C$679,0)),"",INDEX('Compliance Database'!$D$2:$D$679,MATCH(308,'Transfer Engine'!$C$2:$C$679,0)))</f>
        <v/>
      </c>
      <c r="E317">
        <f>IF(ISNA(MATCH(308,'Transfer Engine'!$C$2:$C$679,0)),"",INDEX('Compliance Database'!$E$2:$E$679,MATCH(308,'Transfer Engine'!$C$2:$C$679,0)))</f>
        <v/>
      </c>
      <c r="F317">
        <f>IF(ISNA(MATCH(308,'Transfer Engine'!$C$2:$C$679,0)),"",INDEX('Compliance Database'!$F$2:$F$679,MATCH(308,'Transfer Engine'!$C$2:$C$679,0)))</f>
        <v/>
      </c>
      <c r="G317">
        <f>IF(ISNA(MATCH(308,'Transfer Engine'!$C$2:$C$679,0)),"",INDEX('Compliance Database'!$G$2:$G$679,MATCH(308,'Transfer Engine'!$C$2:$C$679,0)))</f>
        <v/>
      </c>
      <c r="H317">
        <f>IF(ISNA(MATCH(308,'Transfer Engine'!$C$2:$C$679,0)),"",INDEX('Compliance Database'!$H$2:$H$679,MATCH(308,'Transfer Engine'!$C$2:$C$679,0)))</f>
        <v/>
      </c>
      <c r="I317" s="8">
        <f>IF(ISNA(MATCH(308,'Transfer Engine'!$C$2:$C$679,0)),"",INDEX('Compliance Database'!$I$2:$I$679,MATCH(308,'Transfer Engine'!$C$2:$C$679,0)))</f>
        <v/>
      </c>
      <c r="J317" s="8">
        <f>IF(ISNA(MATCH(308,'Transfer Engine'!$C$2:$C$679,0)),"",INDEX('Compliance Database'!$J$2:$J$679,MATCH(308,'Transfer Engine'!$C$2:$C$679,0)))</f>
        <v/>
      </c>
      <c r="K317">
        <f>IF(ISNA(MATCH(308,'Transfer Engine'!$C$2:$C$679,0)),"",INDEX('Compliance Database'!$K$2:$K$679,MATCH(308,'Transfer Engine'!$C$2:$C$679,0)))</f>
        <v/>
      </c>
      <c r="L317" s="8">
        <f>IF(ISNA(MATCH(308,'Transfer Engine'!$C$2:$C$679,0)),"",INDEX('Compliance Database'!$L$2:$L$679,MATCH(308,'Transfer Engine'!$C$2:$C$679,0)))</f>
        <v/>
      </c>
      <c r="M317" s="8">
        <f>IF(ISNA(MATCH(308,'Transfer Engine'!$C$2:$C$679,0)),"",INDEX('Compliance Database'!$M$2:$M$679,MATCH(308,'Transfer Engine'!$C$2:$C$679,0)))</f>
        <v/>
      </c>
      <c r="N317" s="8">
        <f>IF(ISNA(MATCH(308,'Transfer Engine'!$C$2:$C$679,0)),"",INDEX('Compliance Database'!$N$2:$N$679,MATCH(308,'Transfer Engine'!$C$2:$C$679,0)))</f>
        <v/>
      </c>
      <c r="O317" s="8">
        <f>IF(ISNA(MATCH(308,'Transfer Engine'!$C$2:$C$679,0)),"",INDEX('Compliance Database'!$O$2:$O$679,MATCH(308,'Transfer Engine'!$C$2:$C$679,0)))</f>
        <v/>
      </c>
      <c r="P317">
        <f>IF(ISNA(MATCH(308,'Transfer Engine'!$C$2:$C$679,0)),"",HYPERLINK(INDEX('Compliance Database'!$P$2:$P$679,MATCH(308,'Transfer Engine'!$C$2:$C$679,0)),"Open PDF"))</f>
        <v/>
      </c>
    </row>
    <row r="318">
      <c r="A318">
        <f>IF(ISNA(MATCH(309,'Transfer Engine'!$C$2:$C$679,0)),"",INDEX('Compliance Database'!$A$2:$A$679,MATCH(309,'Transfer Engine'!$C$2:$C$679,0)))</f>
        <v/>
      </c>
      <c r="B318">
        <f>IF(ISNA(MATCH(309,'Transfer Engine'!$C$2:$C$679,0)),"",INDEX('Compliance Database'!$B$2:$B$679,MATCH(309,'Transfer Engine'!$C$2:$C$679,0)))</f>
        <v/>
      </c>
      <c r="C318">
        <f>IF(ISNA(MATCH(309,'Transfer Engine'!$C$2:$C$679,0)),"",INDEX('Compliance Database'!$C$2:$C$679,MATCH(309,'Transfer Engine'!$C$2:$C$679,0)))</f>
        <v/>
      </c>
      <c r="D318" s="8">
        <f>IF(ISNA(MATCH(309,'Transfer Engine'!$C$2:$C$679,0)),"",INDEX('Compliance Database'!$D$2:$D$679,MATCH(309,'Transfer Engine'!$C$2:$C$679,0)))</f>
        <v/>
      </c>
      <c r="E318">
        <f>IF(ISNA(MATCH(309,'Transfer Engine'!$C$2:$C$679,0)),"",INDEX('Compliance Database'!$E$2:$E$679,MATCH(309,'Transfer Engine'!$C$2:$C$679,0)))</f>
        <v/>
      </c>
      <c r="F318">
        <f>IF(ISNA(MATCH(309,'Transfer Engine'!$C$2:$C$679,0)),"",INDEX('Compliance Database'!$F$2:$F$679,MATCH(309,'Transfer Engine'!$C$2:$C$679,0)))</f>
        <v/>
      </c>
      <c r="G318">
        <f>IF(ISNA(MATCH(309,'Transfer Engine'!$C$2:$C$679,0)),"",INDEX('Compliance Database'!$G$2:$G$679,MATCH(309,'Transfer Engine'!$C$2:$C$679,0)))</f>
        <v/>
      </c>
      <c r="H318">
        <f>IF(ISNA(MATCH(309,'Transfer Engine'!$C$2:$C$679,0)),"",INDEX('Compliance Database'!$H$2:$H$679,MATCH(309,'Transfer Engine'!$C$2:$C$679,0)))</f>
        <v/>
      </c>
      <c r="I318" s="8">
        <f>IF(ISNA(MATCH(309,'Transfer Engine'!$C$2:$C$679,0)),"",INDEX('Compliance Database'!$I$2:$I$679,MATCH(309,'Transfer Engine'!$C$2:$C$679,0)))</f>
        <v/>
      </c>
      <c r="J318" s="8">
        <f>IF(ISNA(MATCH(309,'Transfer Engine'!$C$2:$C$679,0)),"",INDEX('Compliance Database'!$J$2:$J$679,MATCH(309,'Transfer Engine'!$C$2:$C$679,0)))</f>
        <v/>
      </c>
      <c r="K318">
        <f>IF(ISNA(MATCH(309,'Transfer Engine'!$C$2:$C$679,0)),"",INDEX('Compliance Database'!$K$2:$K$679,MATCH(309,'Transfer Engine'!$C$2:$C$679,0)))</f>
        <v/>
      </c>
      <c r="L318" s="8">
        <f>IF(ISNA(MATCH(309,'Transfer Engine'!$C$2:$C$679,0)),"",INDEX('Compliance Database'!$L$2:$L$679,MATCH(309,'Transfer Engine'!$C$2:$C$679,0)))</f>
        <v/>
      </c>
      <c r="M318" s="8">
        <f>IF(ISNA(MATCH(309,'Transfer Engine'!$C$2:$C$679,0)),"",INDEX('Compliance Database'!$M$2:$M$679,MATCH(309,'Transfer Engine'!$C$2:$C$679,0)))</f>
        <v/>
      </c>
      <c r="N318" s="8">
        <f>IF(ISNA(MATCH(309,'Transfer Engine'!$C$2:$C$679,0)),"",INDEX('Compliance Database'!$N$2:$N$679,MATCH(309,'Transfer Engine'!$C$2:$C$679,0)))</f>
        <v/>
      </c>
      <c r="O318" s="8">
        <f>IF(ISNA(MATCH(309,'Transfer Engine'!$C$2:$C$679,0)),"",INDEX('Compliance Database'!$O$2:$O$679,MATCH(309,'Transfer Engine'!$C$2:$C$679,0)))</f>
        <v/>
      </c>
      <c r="P318">
        <f>IF(ISNA(MATCH(309,'Transfer Engine'!$C$2:$C$679,0)),"",HYPERLINK(INDEX('Compliance Database'!$P$2:$P$679,MATCH(309,'Transfer Engine'!$C$2:$C$679,0)),"Open PDF"))</f>
        <v/>
      </c>
    </row>
    <row r="319">
      <c r="A319">
        <f>IF(ISNA(MATCH(310,'Transfer Engine'!$C$2:$C$679,0)),"",INDEX('Compliance Database'!$A$2:$A$679,MATCH(310,'Transfer Engine'!$C$2:$C$679,0)))</f>
        <v/>
      </c>
      <c r="B319">
        <f>IF(ISNA(MATCH(310,'Transfer Engine'!$C$2:$C$679,0)),"",INDEX('Compliance Database'!$B$2:$B$679,MATCH(310,'Transfer Engine'!$C$2:$C$679,0)))</f>
        <v/>
      </c>
      <c r="C319">
        <f>IF(ISNA(MATCH(310,'Transfer Engine'!$C$2:$C$679,0)),"",INDEX('Compliance Database'!$C$2:$C$679,MATCH(310,'Transfer Engine'!$C$2:$C$679,0)))</f>
        <v/>
      </c>
      <c r="D319" s="8">
        <f>IF(ISNA(MATCH(310,'Transfer Engine'!$C$2:$C$679,0)),"",INDEX('Compliance Database'!$D$2:$D$679,MATCH(310,'Transfer Engine'!$C$2:$C$679,0)))</f>
        <v/>
      </c>
      <c r="E319">
        <f>IF(ISNA(MATCH(310,'Transfer Engine'!$C$2:$C$679,0)),"",INDEX('Compliance Database'!$E$2:$E$679,MATCH(310,'Transfer Engine'!$C$2:$C$679,0)))</f>
        <v/>
      </c>
      <c r="F319">
        <f>IF(ISNA(MATCH(310,'Transfer Engine'!$C$2:$C$679,0)),"",INDEX('Compliance Database'!$F$2:$F$679,MATCH(310,'Transfer Engine'!$C$2:$C$679,0)))</f>
        <v/>
      </c>
      <c r="G319">
        <f>IF(ISNA(MATCH(310,'Transfer Engine'!$C$2:$C$679,0)),"",INDEX('Compliance Database'!$G$2:$G$679,MATCH(310,'Transfer Engine'!$C$2:$C$679,0)))</f>
        <v/>
      </c>
      <c r="H319">
        <f>IF(ISNA(MATCH(310,'Transfer Engine'!$C$2:$C$679,0)),"",INDEX('Compliance Database'!$H$2:$H$679,MATCH(310,'Transfer Engine'!$C$2:$C$679,0)))</f>
        <v/>
      </c>
      <c r="I319" s="8">
        <f>IF(ISNA(MATCH(310,'Transfer Engine'!$C$2:$C$679,0)),"",INDEX('Compliance Database'!$I$2:$I$679,MATCH(310,'Transfer Engine'!$C$2:$C$679,0)))</f>
        <v/>
      </c>
      <c r="J319" s="8">
        <f>IF(ISNA(MATCH(310,'Transfer Engine'!$C$2:$C$679,0)),"",INDEX('Compliance Database'!$J$2:$J$679,MATCH(310,'Transfer Engine'!$C$2:$C$679,0)))</f>
        <v/>
      </c>
      <c r="K319">
        <f>IF(ISNA(MATCH(310,'Transfer Engine'!$C$2:$C$679,0)),"",INDEX('Compliance Database'!$K$2:$K$679,MATCH(310,'Transfer Engine'!$C$2:$C$679,0)))</f>
        <v/>
      </c>
      <c r="L319" s="8">
        <f>IF(ISNA(MATCH(310,'Transfer Engine'!$C$2:$C$679,0)),"",INDEX('Compliance Database'!$L$2:$L$679,MATCH(310,'Transfer Engine'!$C$2:$C$679,0)))</f>
        <v/>
      </c>
      <c r="M319" s="8">
        <f>IF(ISNA(MATCH(310,'Transfer Engine'!$C$2:$C$679,0)),"",INDEX('Compliance Database'!$M$2:$M$679,MATCH(310,'Transfer Engine'!$C$2:$C$679,0)))</f>
        <v/>
      </c>
      <c r="N319" s="8">
        <f>IF(ISNA(MATCH(310,'Transfer Engine'!$C$2:$C$679,0)),"",INDEX('Compliance Database'!$N$2:$N$679,MATCH(310,'Transfer Engine'!$C$2:$C$679,0)))</f>
        <v/>
      </c>
      <c r="O319" s="8">
        <f>IF(ISNA(MATCH(310,'Transfer Engine'!$C$2:$C$679,0)),"",INDEX('Compliance Database'!$O$2:$O$679,MATCH(310,'Transfer Engine'!$C$2:$C$679,0)))</f>
        <v/>
      </c>
      <c r="P319">
        <f>IF(ISNA(MATCH(310,'Transfer Engine'!$C$2:$C$679,0)),"",HYPERLINK(INDEX('Compliance Database'!$P$2:$P$679,MATCH(310,'Transfer Engine'!$C$2:$C$679,0)),"Open PDF"))</f>
        <v/>
      </c>
    </row>
    <row r="320">
      <c r="A320">
        <f>IF(ISNA(MATCH(311,'Transfer Engine'!$C$2:$C$679,0)),"",INDEX('Compliance Database'!$A$2:$A$679,MATCH(311,'Transfer Engine'!$C$2:$C$679,0)))</f>
        <v/>
      </c>
      <c r="B320">
        <f>IF(ISNA(MATCH(311,'Transfer Engine'!$C$2:$C$679,0)),"",INDEX('Compliance Database'!$B$2:$B$679,MATCH(311,'Transfer Engine'!$C$2:$C$679,0)))</f>
        <v/>
      </c>
      <c r="C320">
        <f>IF(ISNA(MATCH(311,'Transfer Engine'!$C$2:$C$679,0)),"",INDEX('Compliance Database'!$C$2:$C$679,MATCH(311,'Transfer Engine'!$C$2:$C$679,0)))</f>
        <v/>
      </c>
      <c r="D320" s="8">
        <f>IF(ISNA(MATCH(311,'Transfer Engine'!$C$2:$C$679,0)),"",INDEX('Compliance Database'!$D$2:$D$679,MATCH(311,'Transfer Engine'!$C$2:$C$679,0)))</f>
        <v/>
      </c>
      <c r="E320">
        <f>IF(ISNA(MATCH(311,'Transfer Engine'!$C$2:$C$679,0)),"",INDEX('Compliance Database'!$E$2:$E$679,MATCH(311,'Transfer Engine'!$C$2:$C$679,0)))</f>
        <v/>
      </c>
      <c r="F320">
        <f>IF(ISNA(MATCH(311,'Transfer Engine'!$C$2:$C$679,0)),"",INDEX('Compliance Database'!$F$2:$F$679,MATCH(311,'Transfer Engine'!$C$2:$C$679,0)))</f>
        <v/>
      </c>
      <c r="G320">
        <f>IF(ISNA(MATCH(311,'Transfer Engine'!$C$2:$C$679,0)),"",INDEX('Compliance Database'!$G$2:$G$679,MATCH(311,'Transfer Engine'!$C$2:$C$679,0)))</f>
        <v/>
      </c>
      <c r="H320">
        <f>IF(ISNA(MATCH(311,'Transfer Engine'!$C$2:$C$679,0)),"",INDEX('Compliance Database'!$H$2:$H$679,MATCH(311,'Transfer Engine'!$C$2:$C$679,0)))</f>
        <v/>
      </c>
      <c r="I320" s="8">
        <f>IF(ISNA(MATCH(311,'Transfer Engine'!$C$2:$C$679,0)),"",INDEX('Compliance Database'!$I$2:$I$679,MATCH(311,'Transfer Engine'!$C$2:$C$679,0)))</f>
        <v/>
      </c>
      <c r="J320" s="8">
        <f>IF(ISNA(MATCH(311,'Transfer Engine'!$C$2:$C$679,0)),"",INDEX('Compliance Database'!$J$2:$J$679,MATCH(311,'Transfer Engine'!$C$2:$C$679,0)))</f>
        <v/>
      </c>
      <c r="K320">
        <f>IF(ISNA(MATCH(311,'Transfer Engine'!$C$2:$C$679,0)),"",INDEX('Compliance Database'!$K$2:$K$679,MATCH(311,'Transfer Engine'!$C$2:$C$679,0)))</f>
        <v/>
      </c>
      <c r="L320" s="8">
        <f>IF(ISNA(MATCH(311,'Transfer Engine'!$C$2:$C$679,0)),"",INDEX('Compliance Database'!$L$2:$L$679,MATCH(311,'Transfer Engine'!$C$2:$C$679,0)))</f>
        <v/>
      </c>
      <c r="M320" s="8">
        <f>IF(ISNA(MATCH(311,'Transfer Engine'!$C$2:$C$679,0)),"",INDEX('Compliance Database'!$M$2:$M$679,MATCH(311,'Transfer Engine'!$C$2:$C$679,0)))</f>
        <v/>
      </c>
      <c r="N320" s="8">
        <f>IF(ISNA(MATCH(311,'Transfer Engine'!$C$2:$C$679,0)),"",INDEX('Compliance Database'!$N$2:$N$679,MATCH(311,'Transfer Engine'!$C$2:$C$679,0)))</f>
        <v/>
      </c>
      <c r="O320" s="8">
        <f>IF(ISNA(MATCH(311,'Transfer Engine'!$C$2:$C$679,0)),"",INDEX('Compliance Database'!$O$2:$O$679,MATCH(311,'Transfer Engine'!$C$2:$C$679,0)))</f>
        <v/>
      </c>
      <c r="P320">
        <f>IF(ISNA(MATCH(311,'Transfer Engine'!$C$2:$C$679,0)),"",HYPERLINK(INDEX('Compliance Database'!$P$2:$P$679,MATCH(311,'Transfer Engine'!$C$2:$C$679,0)),"Open PDF"))</f>
        <v/>
      </c>
    </row>
    <row r="321">
      <c r="A321">
        <f>IF(ISNA(MATCH(312,'Transfer Engine'!$C$2:$C$679,0)),"",INDEX('Compliance Database'!$A$2:$A$679,MATCH(312,'Transfer Engine'!$C$2:$C$679,0)))</f>
        <v/>
      </c>
      <c r="B321">
        <f>IF(ISNA(MATCH(312,'Transfer Engine'!$C$2:$C$679,0)),"",INDEX('Compliance Database'!$B$2:$B$679,MATCH(312,'Transfer Engine'!$C$2:$C$679,0)))</f>
        <v/>
      </c>
      <c r="C321">
        <f>IF(ISNA(MATCH(312,'Transfer Engine'!$C$2:$C$679,0)),"",INDEX('Compliance Database'!$C$2:$C$679,MATCH(312,'Transfer Engine'!$C$2:$C$679,0)))</f>
        <v/>
      </c>
      <c r="D321" s="8">
        <f>IF(ISNA(MATCH(312,'Transfer Engine'!$C$2:$C$679,0)),"",INDEX('Compliance Database'!$D$2:$D$679,MATCH(312,'Transfer Engine'!$C$2:$C$679,0)))</f>
        <v/>
      </c>
      <c r="E321">
        <f>IF(ISNA(MATCH(312,'Transfer Engine'!$C$2:$C$679,0)),"",INDEX('Compliance Database'!$E$2:$E$679,MATCH(312,'Transfer Engine'!$C$2:$C$679,0)))</f>
        <v/>
      </c>
      <c r="F321">
        <f>IF(ISNA(MATCH(312,'Transfer Engine'!$C$2:$C$679,0)),"",INDEX('Compliance Database'!$F$2:$F$679,MATCH(312,'Transfer Engine'!$C$2:$C$679,0)))</f>
        <v/>
      </c>
      <c r="G321">
        <f>IF(ISNA(MATCH(312,'Transfer Engine'!$C$2:$C$679,0)),"",INDEX('Compliance Database'!$G$2:$G$679,MATCH(312,'Transfer Engine'!$C$2:$C$679,0)))</f>
        <v/>
      </c>
      <c r="H321">
        <f>IF(ISNA(MATCH(312,'Transfer Engine'!$C$2:$C$679,0)),"",INDEX('Compliance Database'!$H$2:$H$679,MATCH(312,'Transfer Engine'!$C$2:$C$679,0)))</f>
        <v/>
      </c>
      <c r="I321" s="8">
        <f>IF(ISNA(MATCH(312,'Transfer Engine'!$C$2:$C$679,0)),"",INDEX('Compliance Database'!$I$2:$I$679,MATCH(312,'Transfer Engine'!$C$2:$C$679,0)))</f>
        <v/>
      </c>
      <c r="J321" s="8">
        <f>IF(ISNA(MATCH(312,'Transfer Engine'!$C$2:$C$679,0)),"",INDEX('Compliance Database'!$J$2:$J$679,MATCH(312,'Transfer Engine'!$C$2:$C$679,0)))</f>
        <v/>
      </c>
      <c r="K321">
        <f>IF(ISNA(MATCH(312,'Transfer Engine'!$C$2:$C$679,0)),"",INDEX('Compliance Database'!$K$2:$K$679,MATCH(312,'Transfer Engine'!$C$2:$C$679,0)))</f>
        <v/>
      </c>
      <c r="L321" s="8">
        <f>IF(ISNA(MATCH(312,'Transfer Engine'!$C$2:$C$679,0)),"",INDEX('Compliance Database'!$L$2:$L$679,MATCH(312,'Transfer Engine'!$C$2:$C$679,0)))</f>
        <v/>
      </c>
      <c r="M321" s="8">
        <f>IF(ISNA(MATCH(312,'Transfer Engine'!$C$2:$C$679,0)),"",INDEX('Compliance Database'!$M$2:$M$679,MATCH(312,'Transfer Engine'!$C$2:$C$679,0)))</f>
        <v/>
      </c>
      <c r="N321" s="8">
        <f>IF(ISNA(MATCH(312,'Transfer Engine'!$C$2:$C$679,0)),"",INDEX('Compliance Database'!$N$2:$N$679,MATCH(312,'Transfer Engine'!$C$2:$C$679,0)))</f>
        <v/>
      </c>
      <c r="O321" s="8">
        <f>IF(ISNA(MATCH(312,'Transfer Engine'!$C$2:$C$679,0)),"",INDEX('Compliance Database'!$O$2:$O$679,MATCH(312,'Transfer Engine'!$C$2:$C$679,0)))</f>
        <v/>
      </c>
      <c r="P321">
        <f>IF(ISNA(MATCH(312,'Transfer Engine'!$C$2:$C$679,0)),"",HYPERLINK(INDEX('Compliance Database'!$P$2:$P$679,MATCH(312,'Transfer Engine'!$C$2:$C$679,0)),"Open PDF"))</f>
        <v/>
      </c>
    </row>
    <row r="322">
      <c r="A322">
        <f>IF(ISNA(MATCH(313,'Transfer Engine'!$C$2:$C$679,0)),"",INDEX('Compliance Database'!$A$2:$A$679,MATCH(313,'Transfer Engine'!$C$2:$C$679,0)))</f>
        <v/>
      </c>
      <c r="B322">
        <f>IF(ISNA(MATCH(313,'Transfer Engine'!$C$2:$C$679,0)),"",INDEX('Compliance Database'!$B$2:$B$679,MATCH(313,'Transfer Engine'!$C$2:$C$679,0)))</f>
        <v/>
      </c>
      <c r="C322">
        <f>IF(ISNA(MATCH(313,'Transfer Engine'!$C$2:$C$679,0)),"",INDEX('Compliance Database'!$C$2:$C$679,MATCH(313,'Transfer Engine'!$C$2:$C$679,0)))</f>
        <v/>
      </c>
      <c r="D322" s="8">
        <f>IF(ISNA(MATCH(313,'Transfer Engine'!$C$2:$C$679,0)),"",INDEX('Compliance Database'!$D$2:$D$679,MATCH(313,'Transfer Engine'!$C$2:$C$679,0)))</f>
        <v/>
      </c>
      <c r="E322">
        <f>IF(ISNA(MATCH(313,'Transfer Engine'!$C$2:$C$679,0)),"",INDEX('Compliance Database'!$E$2:$E$679,MATCH(313,'Transfer Engine'!$C$2:$C$679,0)))</f>
        <v/>
      </c>
      <c r="F322">
        <f>IF(ISNA(MATCH(313,'Transfer Engine'!$C$2:$C$679,0)),"",INDEX('Compliance Database'!$F$2:$F$679,MATCH(313,'Transfer Engine'!$C$2:$C$679,0)))</f>
        <v/>
      </c>
      <c r="G322">
        <f>IF(ISNA(MATCH(313,'Transfer Engine'!$C$2:$C$679,0)),"",INDEX('Compliance Database'!$G$2:$G$679,MATCH(313,'Transfer Engine'!$C$2:$C$679,0)))</f>
        <v/>
      </c>
      <c r="H322">
        <f>IF(ISNA(MATCH(313,'Transfer Engine'!$C$2:$C$679,0)),"",INDEX('Compliance Database'!$H$2:$H$679,MATCH(313,'Transfer Engine'!$C$2:$C$679,0)))</f>
        <v/>
      </c>
      <c r="I322" s="8">
        <f>IF(ISNA(MATCH(313,'Transfer Engine'!$C$2:$C$679,0)),"",INDEX('Compliance Database'!$I$2:$I$679,MATCH(313,'Transfer Engine'!$C$2:$C$679,0)))</f>
        <v/>
      </c>
      <c r="J322" s="8">
        <f>IF(ISNA(MATCH(313,'Transfer Engine'!$C$2:$C$679,0)),"",INDEX('Compliance Database'!$J$2:$J$679,MATCH(313,'Transfer Engine'!$C$2:$C$679,0)))</f>
        <v/>
      </c>
      <c r="K322">
        <f>IF(ISNA(MATCH(313,'Transfer Engine'!$C$2:$C$679,0)),"",INDEX('Compliance Database'!$K$2:$K$679,MATCH(313,'Transfer Engine'!$C$2:$C$679,0)))</f>
        <v/>
      </c>
      <c r="L322" s="8">
        <f>IF(ISNA(MATCH(313,'Transfer Engine'!$C$2:$C$679,0)),"",INDEX('Compliance Database'!$L$2:$L$679,MATCH(313,'Transfer Engine'!$C$2:$C$679,0)))</f>
        <v/>
      </c>
      <c r="M322" s="8">
        <f>IF(ISNA(MATCH(313,'Transfer Engine'!$C$2:$C$679,0)),"",INDEX('Compliance Database'!$M$2:$M$679,MATCH(313,'Transfer Engine'!$C$2:$C$679,0)))</f>
        <v/>
      </c>
      <c r="N322" s="8">
        <f>IF(ISNA(MATCH(313,'Transfer Engine'!$C$2:$C$679,0)),"",INDEX('Compliance Database'!$N$2:$N$679,MATCH(313,'Transfer Engine'!$C$2:$C$679,0)))</f>
        <v/>
      </c>
      <c r="O322" s="8">
        <f>IF(ISNA(MATCH(313,'Transfer Engine'!$C$2:$C$679,0)),"",INDEX('Compliance Database'!$O$2:$O$679,MATCH(313,'Transfer Engine'!$C$2:$C$679,0)))</f>
        <v/>
      </c>
      <c r="P322">
        <f>IF(ISNA(MATCH(313,'Transfer Engine'!$C$2:$C$679,0)),"",HYPERLINK(INDEX('Compliance Database'!$P$2:$P$679,MATCH(313,'Transfer Engine'!$C$2:$C$679,0)),"Open PDF"))</f>
        <v/>
      </c>
    </row>
    <row r="323">
      <c r="A323">
        <f>IF(ISNA(MATCH(314,'Transfer Engine'!$C$2:$C$679,0)),"",INDEX('Compliance Database'!$A$2:$A$679,MATCH(314,'Transfer Engine'!$C$2:$C$679,0)))</f>
        <v/>
      </c>
      <c r="B323">
        <f>IF(ISNA(MATCH(314,'Transfer Engine'!$C$2:$C$679,0)),"",INDEX('Compliance Database'!$B$2:$B$679,MATCH(314,'Transfer Engine'!$C$2:$C$679,0)))</f>
        <v/>
      </c>
      <c r="C323">
        <f>IF(ISNA(MATCH(314,'Transfer Engine'!$C$2:$C$679,0)),"",INDEX('Compliance Database'!$C$2:$C$679,MATCH(314,'Transfer Engine'!$C$2:$C$679,0)))</f>
        <v/>
      </c>
      <c r="D323" s="8">
        <f>IF(ISNA(MATCH(314,'Transfer Engine'!$C$2:$C$679,0)),"",INDEX('Compliance Database'!$D$2:$D$679,MATCH(314,'Transfer Engine'!$C$2:$C$679,0)))</f>
        <v/>
      </c>
      <c r="E323">
        <f>IF(ISNA(MATCH(314,'Transfer Engine'!$C$2:$C$679,0)),"",INDEX('Compliance Database'!$E$2:$E$679,MATCH(314,'Transfer Engine'!$C$2:$C$679,0)))</f>
        <v/>
      </c>
      <c r="F323">
        <f>IF(ISNA(MATCH(314,'Transfer Engine'!$C$2:$C$679,0)),"",INDEX('Compliance Database'!$F$2:$F$679,MATCH(314,'Transfer Engine'!$C$2:$C$679,0)))</f>
        <v/>
      </c>
      <c r="G323">
        <f>IF(ISNA(MATCH(314,'Transfer Engine'!$C$2:$C$679,0)),"",INDEX('Compliance Database'!$G$2:$G$679,MATCH(314,'Transfer Engine'!$C$2:$C$679,0)))</f>
        <v/>
      </c>
      <c r="H323">
        <f>IF(ISNA(MATCH(314,'Transfer Engine'!$C$2:$C$679,0)),"",INDEX('Compliance Database'!$H$2:$H$679,MATCH(314,'Transfer Engine'!$C$2:$C$679,0)))</f>
        <v/>
      </c>
      <c r="I323" s="8">
        <f>IF(ISNA(MATCH(314,'Transfer Engine'!$C$2:$C$679,0)),"",INDEX('Compliance Database'!$I$2:$I$679,MATCH(314,'Transfer Engine'!$C$2:$C$679,0)))</f>
        <v/>
      </c>
      <c r="J323" s="8">
        <f>IF(ISNA(MATCH(314,'Transfer Engine'!$C$2:$C$679,0)),"",INDEX('Compliance Database'!$J$2:$J$679,MATCH(314,'Transfer Engine'!$C$2:$C$679,0)))</f>
        <v/>
      </c>
      <c r="K323">
        <f>IF(ISNA(MATCH(314,'Transfer Engine'!$C$2:$C$679,0)),"",INDEX('Compliance Database'!$K$2:$K$679,MATCH(314,'Transfer Engine'!$C$2:$C$679,0)))</f>
        <v/>
      </c>
      <c r="L323" s="8">
        <f>IF(ISNA(MATCH(314,'Transfer Engine'!$C$2:$C$679,0)),"",INDEX('Compliance Database'!$L$2:$L$679,MATCH(314,'Transfer Engine'!$C$2:$C$679,0)))</f>
        <v/>
      </c>
      <c r="M323" s="8">
        <f>IF(ISNA(MATCH(314,'Transfer Engine'!$C$2:$C$679,0)),"",INDEX('Compliance Database'!$M$2:$M$679,MATCH(314,'Transfer Engine'!$C$2:$C$679,0)))</f>
        <v/>
      </c>
      <c r="N323" s="8">
        <f>IF(ISNA(MATCH(314,'Transfer Engine'!$C$2:$C$679,0)),"",INDEX('Compliance Database'!$N$2:$N$679,MATCH(314,'Transfer Engine'!$C$2:$C$679,0)))</f>
        <v/>
      </c>
      <c r="O323" s="8">
        <f>IF(ISNA(MATCH(314,'Transfer Engine'!$C$2:$C$679,0)),"",INDEX('Compliance Database'!$O$2:$O$679,MATCH(314,'Transfer Engine'!$C$2:$C$679,0)))</f>
        <v/>
      </c>
      <c r="P323">
        <f>IF(ISNA(MATCH(314,'Transfer Engine'!$C$2:$C$679,0)),"",HYPERLINK(INDEX('Compliance Database'!$P$2:$P$679,MATCH(314,'Transfer Engine'!$C$2:$C$679,0)),"Open PDF"))</f>
        <v/>
      </c>
    </row>
    <row r="324">
      <c r="A324">
        <f>IF(ISNA(MATCH(315,'Transfer Engine'!$C$2:$C$679,0)),"",INDEX('Compliance Database'!$A$2:$A$679,MATCH(315,'Transfer Engine'!$C$2:$C$679,0)))</f>
        <v/>
      </c>
      <c r="B324">
        <f>IF(ISNA(MATCH(315,'Transfer Engine'!$C$2:$C$679,0)),"",INDEX('Compliance Database'!$B$2:$B$679,MATCH(315,'Transfer Engine'!$C$2:$C$679,0)))</f>
        <v/>
      </c>
      <c r="C324">
        <f>IF(ISNA(MATCH(315,'Transfer Engine'!$C$2:$C$679,0)),"",INDEX('Compliance Database'!$C$2:$C$679,MATCH(315,'Transfer Engine'!$C$2:$C$679,0)))</f>
        <v/>
      </c>
      <c r="D324" s="8">
        <f>IF(ISNA(MATCH(315,'Transfer Engine'!$C$2:$C$679,0)),"",INDEX('Compliance Database'!$D$2:$D$679,MATCH(315,'Transfer Engine'!$C$2:$C$679,0)))</f>
        <v/>
      </c>
      <c r="E324">
        <f>IF(ISNA(MATCH(315,'Transfer Engine'!$C$2:$C$679,0)),"",INDEX('Compliance Database'!$E$2:$E$679,MATCH(315,'Transfer Engine'!$C$2:$C$679,0)))</f>
        <v/>
      </c>
      <c r="F324">
        <f>IF(ISNA(MATCH(315,'Transfer Engine'!$C$2:$C$679,0)),"",INDEX('Compliance Database'!$F$2:$F$679,MATCH(315,'Transfer Engine'!$C$2:$C$679,0)))</f>
        <v/>
      </c>
      <c r="G324">
        <f>IF(ISNA(MATCH(315,'Transfer Engine'!$C$2:$C$679,0)),"",INDEX('Compliance Database'!$G$2:$G$679,MATCH(315,'Transfer Engine'!$C$2:$C$679,0)))</f>
        <v/>
      </c>
      <c r="H324">
        <f>IF(ISNA(MATCH(315,'Transfer Engine'!$C$2:$C$679,0)),"",INDEX('Compliance Database'!$H$2:$H$679,MATCH(315,'Transfer Engine'!$C$2:$C$679,0)))</f>
        <v/>
      </c>
      <c r="I324" s="8">
        <f>IF(ISNA(MATCH(315,'Transfer Engine'!$C$2:$C$679,0)),"",INDEX('Compliance Database'!$I$2:$I$679,MATCH(315,'Transfer Engine'!$C$2:$C$679,0)))</f>
        <v/>
      </c>
      <c r="J324" s="8">
        <f>IF(ISNA(MATCH(315,'Transfer Engine'!$C$2:$C$679,0)),"",INDEX('Compliance Database'!$J$2:$J$679,MATCH(315,'Transfer Engine'!$C$2:$C$679,0)))</f>
        <v/>
      </c>
      <c r="K324">
        <f>IF(ISNA(MATCH(315,'Transfer Engine'!$C$2:$C$679,0)),"",INDEX('Compliance Database'!$K$2:$K$679,MATCH(315,'Transfer Engine'!$C$2:$C$679,0)))</f>
        <v/>
      </c>
      <c r="L324" s="8">
        <f>IF(ISNA(MATCH(315,'Transfer Engine'!$C$2:$C$679,0)),"",INDEX('Compliance Database'!$L$2:$L$679,MATCH(315,'Transfer Engine'!$C$2:$C$679,0)))</f>
        <v/>
      </c>
      <c r="M324" s="8">
        <f>IF(ISNA(MATCH(315,'Transfer Engine'!$C$2:$C$679,0)),"",INDEX('Compliance Database'!$M$2:$M$679,MATCH(315,'Transfer Engine'!$C$2:$C$679,0)))</f>
        <v/>
      </c>
      <c r="N324" s="8">
        <f>IF(ISNA(MATCH(315,'Transfer Engine'!$C$2:$C$679,0)),"",INDEX('Compliance Database'!$N$2:$N$679,MATCH(315,'Transfer Engine'!$C$2:$C$679,0)))</f>
        <v/>
      </c>
      <c r="O324" s="8">
        <f>IF(ISNA(MATCH(315,'Transfer Engine'!$C$2:$C$679,0)),"",INDEX('Compliance Database'!$O$2:$O$679,MATCH(315,'Transfer Engine'!$C$2:$C$679,0)))</f>
        <v/>
      </c>
      <c r="P324">
        <f>IF(ISNA(MATCH(315,'Transfer Engine'!$C$2:$C$679,0)),"",HYPERLINK(INDEX('Compliance Database'!$P$2:$P$679,MATCH(315,'Transfer Engine'!$C$2:$C$679,0)),"Open PDF"))</f>
        <v/>
      </c>
    </row>
    <row r="325">
      <c r="A325">
        <f>IF(ISNA(MATCH(316,'Transfer Engine'!$C$2:$C$679,0)),"",INDEX('Compliance Database'!$A$2:$A$679,MATCH(316,'Transfer Engine'!$C$2:$C$679,0)))</f>
        <v/>
      </c>
      <c r="B325">
        <f>IF(ISNA(MATCH(316,'Transfer Engine'!$C$2:$C$679,0)),"",INDEX('Compliance Database'!$B$2:$B$679,MATCH(316,'Transfer Engine'!$C$2:$C$679,0)))</f>
        <v/>
      </c>
      <c r="C325">
        <f>IF(ISNA(MATCH(316,'Transfer Engine'!$C$2:$C$679,0)),"",INDEX('Compliance Database'!$C$2:$C$679,MATCH(316,'Transfer Engine'!$C$2:$C$679,0)))</f>
        <v/>
      </c>
      <c r="D325" s="8">
        <f>IF(ISNA(MATCH(316,'Transfer Engine'!$C$2:$C$679,0)),"",INDEX('Compliance Database'!$D$2:$D$679,MATCH(316,'Transfer Engine'!$C$2:$C$679,0)))</f>
        <v/>
      </c>
      <c r="E325">
        <f>IF(ISNA(MATCH(316,'Transfer Engine'!$C$2:$C$679,0)),"",INDEX('Compliance Database'!$E$2:$E$679,MATCH(316,'Transfer Engine'!$C$2:$C$679,0)))</f>
        <v/>
      </c>
      <c r="F325">
        <f>IF(ISNA(MATCH(316,'Transfer Engine'!$C$2:$C$679,0)),"",INDEX('Compliance Database'!$F$2:$F$679,MATCH(316,'Transfer Engine'!$C$2:$C$679,0)))</f>
        <v/>
      </c>
      <c r="G325">
        <f>IF(ISNA(MATCH(316,'Transfer Engine'!$C$2:$C$679,0)),"",INDEX('Compliance Database'!$G$2:$G$679,MATCH(316,'Transfer Engine'!$C$2:$C$679,0)))</f>
        <v/>
      </c>
      <c r="H325">
        <f>IF(ISNA(MATCH(316,'Transfer Engine'!$C$2:$C$679,0)),"",INDEX('Compliance Database'!$H$2:$H$679,MATCH(316,'Transfer Engine'!$C$2:$C$679,0)))</f>
        <v/>
      </c>
      <c r="I325" s="8">
        <f>IF(ISNA(MATCH(316,'Transfer Engine'!$C$2:$C$679,0)),"",INDEX('Compliance Database'!$I$2:$I$679,MATCH(316,'Transfer Engine'!$C$2:$C$679,0)))</f>
        <v/>
      </c>
      <c r="J325" s="8">
        <f>IF(ISNA(MATCH(316,'Transfer Engine'!$C$2:$C$679,0)),"",INDEX('Compliance Database'!$J$2:$J$679,MATCH(316,'Transfer Engine'!$C$2:$C$679,0)))</f>
        <v/>
      </c>
      <c r="K325">
        <f>IF(ISNA(MATCH(316,'Transfer Engine'!$C$2:$C$679,0)),"",INDEX('Compliance Database'!$K$2:$K$679,MATCH(316,'Transfer Engine'!$C$2:$C$679,0)))</f>
        <v/>
      </c>
      <c r="L325" s="8">
        <f>IF(ISNA(MATCH(316,'Transfer Engine'!$C$2:$C$679,0)),"",INDEX('Compliance Database'!$L$2:$L$679,MATCH(316,'Transfer Engine'!$C$2:$C$679,0)))</f>
        <v/>
      </c>
      <c r="M325" s="8">
        <f>IF(ISNA(MATCH(316,'Transfer Engine'!$C$2:$C$679,0)),"",INDEX('Compliance Database'!$M$2:$M$679,MATCH(316,'Transfer Engine'!$C$2:$C$679,0)))</f>
        <v/>
      </c>
      <c r="N325" s="8">
        <f>IF(ISNA(MATCH(316,'Transfer Engine'!$C$2:$C$679,0)),"",INDEX('Compliance Database'!$N$2:$N$679,MATCH(316,'Transfer Engine'!$C$2:$C$679,0)))</f>
        <v/>
      </c>
      <c r="O325" s="8">
        <f>IF(ISNA(MATCH(316,'Transfer Engine'!$C$2:$C$679,0)),"",INDEX('Compliance Database'!$O$2:$O$679,MATCH(316,'Transfer Engine'!$C$2:$C$679,0)))</f>
        <v/>
      </c>
      <c r="P325">
        <f>IF(ISNA(MATCH(316,'Transfer Engine'!$C$2:$C$679,0)),"",HYPERLINK(INDEX('Compliance Database'!$P$2:$P$679,MATCH(316,'Transfer Engine'!$C$2:$C$679,0)),"Open PDF"))</f>
        <v/>
      </c>
    </row>
    <row r="326">
      <c r="A326">
        <f>IF(ISNA(MATCH(317,'Transfer Engine'!$C$2:$C$679,0)),"",INDEX('Compliance Database'!$A$2:$A$679,MATCH(317,'Transfer Engine'!$C$2:$C$679,0)))</f>
        <v/>
      </c>
      <c r="B326">
        <f>IF(ISNA(MATCH(317,'Transfer Engine'!$C$2:$C$679,0)),"",INDEX('Compliance Database'!$B$2:$B$679,MATCH(317,'Transfer Engine'!$C$2:$C$679,0)))</f>
        <v/>
      </c>
      <c r="C326">
        <f>IF(ISNA(MATCH(317,'Transfer Engine'!$C$2:$C$679,0)),"",INDEX('Compliance Database'!$C$2:$C$679,MATCH(317,'Transfer Engine'!$C$2:$C$679,0)))</f>
        <v/>
      </c>
      <c r="D326" s="8">
        <f>IF(ISNA(MATCH(317,'Transfer Engine'!$C$2:$C$679,0)),"",INDEX('Compliance Database'!$D$2:$D$679,MATCH(317,'Transfer Engine'!$C$2:$C$679,0)))</f>
        <v/>
      </c>
      <c r="E326">
        <f>IF(ISNA(MATCH(317,'Transfer Engine'!$C$2:$C$679,0)),"",INDEX('Compliance Database'!$E$2:$E$679,MATCH(317,'Transfer Engine'!$C$2:$C$679,0)))</f>
        <v/>
      </c>
      <c r="F326">
        <f>IF(ISNA(MATCH(317,'Transfer Engine'!$C$2:$C$679,0)),"",INDEX('Compliance Database'!$F$2:$F$679,MATCH(317,'Transfer Engine'!$C$2:$C$679,0)))</f>
        <v/>
      </c>
      <c r="G326">
        <f>IF(ISNA(MATCH(317,'Transfer Engine'!$C$2:$C$679,0)),"",INDEX('Compliance Database'!$G$2:$G$679,MATCH(317,'Transfer Engine'!$C$2:$C$679,0)))</f>
        <v/>
      </c>
      <c r="H326">
        <f>IF(ISNA(MATCH(317,'Transfer Engine'!$C$2:$C$679,0)),"",INDEX('Compliance Database'!$H$2:$H$679,MATCH(317,'Transfer Engine'!$C$2:$C$679,0)))</f>
        <v/>
      </c>
      <c r="I326" s="8">
        <f>IF(ISNA(MATCH(317,'Transfer Engine'!$C$2:$C$679,0)),"",INDEX('Compliance Database'!$I$2:$I$679,MATCH(317,'Transfer Engine'!$C$2:$C$679,0)))</f>
        <v/>
      </c>
      <c r="J326" s="8">
        <f>IF(ISNA(MATCH(317,'Transfer Engine'!$C$2:$C$679,0)),"",INDEX('Compliance Database'!$J$2:$J$679,MATCH(317,'Transfer Engine'!$C$2:$C$679,0)))</f>
        <v/>
      </c>
      <c r="K326">
        <f>IF(ISNA(MATCH(317,'Transfer Engine'!$C$2:$C$679,0)),"",INDEX('Compliance Database'!$K$2:$K$679,MATCH(317,'Transfer Engine'!$C$2:$C$679,0)))</f>
        <v/>
      </c>
      <c r="L326" s="8">
        <f>IF(ISNA(MATCH(317,'Transfer Engine'!$C$2:$C$679,0)),"",INDEX('Compliance Database'!$L$2:$L$679,MATCH(317,'Transfer Engine'!$C$2:$C$679,0)))</f>
        <v/>
      </c>
      <c r="M326" s="8">
        <f>IF(ISNA(MATCH(317,'Transfer Engine'!$C$2:$C$679,0)),"",INDEX('Compliance Database'!$M$2:$M$679,MATCH(317,'Transfer Engine'!$C$2:$C$679,0)))</f>
        <v/>
      </c>
      <c r="N326" s="8">
        <f>IF(ISNA(MATCH(317,'Transfer Engine'!$C$2:$C$679,0)),"",INDEX('Compliance Database'!$N$2:$N$679,MATCH(317,'Transfer Engine'!$C$2:$C$679,0)))</f>
        <v/>
      </c>
      <c r="O326" s="8">
        <f>IF(ISNA(MATCH(317,'Transfer Engine'!$C$2:$C$679,0)),"",INDEX('Compliance Database'!$O$2:$O$679,MATCH(317,'Transfer Engine'!$C$2:$C$679,0)))</f>
        <v/>
      </c>
      <c r="P326">
        <f>IF(ISNA(MATCH(317,'Transfer Engine'!$C$2:$C$679,0)),"",HYPERLINK(INDEX('Compliance Database'!$P$2:$P$679,MATCH(317,'Transfer Engine'!$C$2:$C$679,0)),"Open PDF"))</f>
        <v/>
      </c>
    </row>
    <row r="327">
      <c r="A327">
        <f>IF(ISNA(MATCH(318,'Transfer Engine'!$C$2:$C$679,0)),"",INDEX('Compliance Database'!$A$2:$A$679,MATCH(318,'Transfer Engine'!$C$2:$C$679,0)))</f>
        <v/>
      </c>
      <c r="B327">
        <f>IF(ISNA(MATCH(318,'Transfer Engine'!$C$2:$C$679,0)),"",INDEX('Compliance Database'!$B$2:$B$679,MATCH(318,'Transfer Engine'!$C$2:$C$679,0)))</f>
        <v/>
      </c>
      <c r="C327">
        <f>IF(ISNA(MATCH(318,'Transfer Engine'!$C$2:$C$679,0)),"",INDEX('Compliance Database'!$C$2:$C$679,MATCH(318,'Transfer Engine'!$C$2:$C$679,0)))</f>
        <v/>
      </c>
      <c r="D327" s="8">
        <f>IF(ISNA(MATCH(318,'Transfer Engine'!$C$2:$C$679,0)),"",INDEX('Compliance Database'!$D$2:$D$679,MATCH(318,'Transfer Engine'!$C$2:$C$679,0)))</f>
        <v/>
      </c>
      <c r="E327">
        <f>IF(ISNA(MATCH(318,'Transfer Engine'!$C$2:$C$679,0)),"",INDEX('Compliance Database'!$E$2:$E$679,MATCH(318,'Transfer Engine'!$C$2:$C$679,0)))</f>
        <v/>
      </c>
      <c r="F327">
        <f>IF(ISNA(MATCH(318,'Transfer Engine'!$C$2:$C$679,0)),"",INDEX('Compliance Database'!$F$2:$F$679,MATCH(318,'Transfer Engine'!$C$2:$C$679,0)))</f>
        <v/>
      </c>
      <c r="G327">
        <f>IF(ISNA(MATCH(318,'Transfer Engine'!$C$2:$C$679,0)),"",INDEX('Compliance Database'!$G$2:$G$679,MATCH(318,'Transfer Engine'!$C$2:$C$679,0)))</f>
        <v/>
      </c>
      <c r="H327">
        <f>IF(ISNA(MATCH(318,'Transfer Engine'!$C$2:$C$679,0)),"",INDEX('Compliance Database'!$H$2:$H$679,MATCH(318,'Transfer Engine'!$C$2:$C$679,0)))</f>
        <v/>
      </c>
      <c r="I327" s="8">
        <f>IF(ISNA(MATCH(318,'Transfer Engine'!$C$2:$C$679,0)),"",INDEX('Compliance Database'!$I$2:$I$679,MATCH(318,'Transfer Engine'!$C$2:$C$679,0)))</f>
        <v/>
      </c>
      <c r="J327" s="8">
        <f>IF(ISNA(MATCH(318,'Transfer Engine'!$C$2:$C$679,0)),"",INDEX('Compliance Database'!$J$2:$J$679,MATCH(318,'Transfer Engine'!$C$2:$C$679,0)))</f>
        <v/>
      </c>
      <c r="K327">
        <f>IF(ISNA(MATCH(318,'Transfer Engine'!$C$2:$C$679,0)),"",INDEX('Compliance Database'!$K$2:$K$679,MATCH(318,'Transfer Engine'!$C$2:$C$679,0)))</f>
        <v/>
      </c>
      <c r="L327" s="8">
        <f>IF(ISNA(MATCH(318,'Transfer Engine'!$C$2:$C$679,0)),"",INDEX('Compliance Database'!$L$2:$L$679,MATCH(318,'Transfer Engine'!$C$2:$C$679,0)))</f>
        <v/>
      </c>
      <c r="M327" s="8">
        <f>IF(ISNA(MATCH(318,'Transfer Engine'!$C$2:$C$679,0)),"",INDEX('Compliance Database'!$M$2:$M$679,MATCH(318,'Transfer Engine'!$C$2:$C$679,0)))</f>
        <v/>
      </c>
      <c r="N327" s="8">
        <f>IF(ISNA(MATCH(318,'Transfer Engine'!$C$2:$C$679,0)),"",INDEX('Compliance Database'!$N$2:$N$679,MATCH(318,'Transfer Engine'!$C$2:$C$679,0)))</f>
        <v/>
      </c>
      <c r="O327" s="8">
        <f>IF(ISNA(MATCH(318,'Transfer Engine'!$C$2:$C$679,0)),"",INDEX('Compliance Database'!$O$2:$O$679,MATCH(318,'Transfer Engine'!$C$2:$C$679,0)))</f>
        <v/>
      </c>
      <c r="P327">
        <f>IF(ISNA(MATCH(318,'Transfer Engine'!$C$2:$C$679,0)),"",HYPERLINK(INDEX('Compliance Database'!$P$2:$P$679,MATCH(318,'Transfer Engine'!$C$2:$C$679,0)),"Open PDF"))</f>
        <v/>
      </c>
    </row>
    <row r="328">
      <c r="A328">
        <f>IF(ISNA(MATCH(319,'Transfer Engine'!$C$2:$C$679,0)),"",INDEX('Compliance Database'!$A$2:$A$679,MATCH(319,'Transfer Engine'!$C$2:$C$679,0)))</f>
        <v/>
      </c>
      <c r="B328">
        <f>IF(ISNA(MATCH(319,'Transfer Engine'!$C$2:$C$679,0)),"",INDEX('Compliance Database'!$B$2:$B$679,MATCH(319,'Transfer Engine'!$C$2:$C$679,0)))</f>
        <v/>
      </c>
      <c r="C328">
        <f>IF(ISNA(MATCH(319,'Transfer Engine'!$C$2:$C$679,0)),"",INDEX('Compliance Database'!$C$2:$C$679,MATCH(319,'Transfer Engine'!$C$2:$C$679,0)))</f>
        <v/>
      </c>
      <c r="D328" s="8">
        <f>IF(ISNA(MATCH(319,'Transfer Engine'!$C$2:$C$679,0)),"",INDEX('Compliance Database'!$D$2:$D$679,MATCH(319,'Transfer Engine'!$C$2:$C$679,0)))</f>
        <v/>
      </c>
      <c r="E328">
        <f>IF(ISNA(MATCH(319,'Transfer Engine'!$C$2:$C$679,0)),"",INDEX('Compliance Database'!$E$2:$E$679,MATCH(319,'Transfer Engine'!$C$2:$C$679,0)))</f>
        <v/>
      </c>
      <c r="F328">
        <f>IF(ISNA(MATCH(319,'Transfer Engine'!$C$2:$C$679,0)),"",INDEX('Compliance Database'!$F$2:$F$679,MATCH(319,'Transfer Engine'!$C$2:$C$679,0)))</f>
        <v/>
      </c>
      <c r="G328">
        <f>IF(ISNA(MATCH(319,'Transfer Engine'!$C$2:$C$679,0)),"",INDEX('Compliance Database'!$G$2:$G$679,MATCH(319,'Transfer Engine'!$C$2:$C$679,0)))</f>
        <v/>
      </c>
      <c r="H328">
        <f>IF(ISNA(MATCH(319,'Transfer Engine'!$C$2:$C$679,0)),"",INDEX('Compliance Database'!$H$2:$H$679,MATCH(319,'Transfer Engine'!$C$2:$C$679,0)))</f>
        <v/>
      </c>
      <c r="I328" s="8">
        <f>IF(ISNA(MATCH(319,'Transfer Engine'!$C$2:$C$679,0)),"",INDEX('Compliance Database'!$I$2:$I$679,MATCH(319,'Transfer Engine'!$C$2:$C$679,0)))</f>
        <v/>
      </c>
      <c r="J328" s="8">
        <f>IF(ISNA(MATCH(319,'Transfer Engine'!$C$2:$C$679,0)),"",INDEX('Compliance Database'!$J$2:$J$679,MATCH(319,'Transfer Engine'!$C$2:$C$679,0)))</f>
        <v/>
      </c>
      <c r="K328">
        <f>IF(ISNA(MATCH(319,'Transfer Engine'!$C$2:$C$679,0)),"",INDEX('Compliance Database'!$K$2:$K$679,MATCH(319,'Transfer Engine'!$C$2:$C$679,0)))</f>
        <v/>
      </c>
      <c r="L328" s="8">
        <f>IF(ISNA(MATCH(319,'Transfer Engine'!$C$2:$C$679,0)),"",INDEX('Compliance Database'!$L$2:$L$679,MATCH(319,'Transfer Engine'!$C$2:$C$679,0)))</f>
        <v/>
      </c>
      <c r="M328" s="8">
        <f>IF(ISNA(MATCH(319,'Transfer Engine'!$C$2:$C$679,0)),"",INDEX('Compliance Database'!$M$2:$M$679,MATCH(319,'Transfer Engine'!$C$2:$C$679,0)))</f>
        <v/>
      </c>
      <c r="N328" s="8">
        <f>IF(ISNA(MATCH(319,'Transfer Engine'!$C$2:$C$679,0)),"",INDEX('Compliance Database'!$N$2:$N$679,MATCH(319,'Transfer Engine'!$C$2:$C$679,0)))</f>
        <v/>
      </c>
      <c r="O328" s="8">
        <f>IF(ISNA(MATCH(319,'Transfer Engine'!$C$2:$C$679,0)),"",INDEX('Compliance Database'!$O$2:$O$679,MATCH(319,'Transfer Engine'!$C$2:$C$679,0)))</f>
        <v/>
      </c>
      <c r="P328">
        <f>IF(ISNA(MATCH(319,'Transfer Engine'!$C$2:$C$679,0)),"",HYPERLINK(INDEX('Compliance Database'!$P$2:$P$679,MATCH(319,'Transfer Engine'!$C$2:$C$679,0)),"Open PDF"))</f>
        <v/>
      </c>
    </row>
    <row r="329">
      <c r="A329">
        <f>IF(ISNA(MATCH(320,'Transfer Engine'!$C$2:$C$679,0)),"",INDEX('Compliance Database'!$A$2:$A$679,MATCH(320,'Transfer Engine'!$C$2:$C$679,0)))</f>
        <v/>
      </c>
      <c r="B329">
        <f>IF(ISNA(MATCH(320,'Transfer Engine'!$C$2:$C$679,0)),"",INDEX('Compliance Database'!$B$2:$B$679,MATCH(320,'Transfer Engine'!$C$2:$C$679,0)))</f>
        <v/>
      </c>
      <c r="C329">
        <f>IF(ISNA(MATCH(320,'Transfer Engine'!$C$2:$C$679,0)),"",INDEX('Compliance Database'!$C$2:$C$679,MATCH(320,'Transfer Engine'!$C$2:$C$679,0)))</f>
        <v/>
      </c>
      <c r="D329" s="8">
        <f>IF(ISNA(MATCH(320,'Transfer Engine'!$C$2:$C$679,0)),"",INDEX('Compliance Database'!$D$2:$D$679,MATCH(320,'Transfer Engine'!$C$2:$C$679,0)))</f>
        <v/>
      </c>
      <c r="E329">
        <f>IF(ISNA(MATCH(320,'Transfer Engine'!$C$2:$C$679,0)),"",INDEX('Compliance Database'!$E$2:$E$679,MATCH(320,'Transfer Engine'!$C$2:$C$679,0)))</f>
        <v/>
      </c>
      <c r="F329">
        <f>IF(ISNA(MATCH(320,'Transfer Engine'!$C$2:$C$679,0)),"",INDEX('Compliance Database'!$F$2:$F$679,MATCH(320,'Transfer Engine'!$C$2:$C$679,0)))</f>
        <v/>
      </c>
      <c r="G329">
        <f>IF(ISNA(MATCH(320,'Transfer Engine'!$C$2:$C$679,0)),"",INDEX('Compliance Database'!$G$2:$G$679,MATCH(320,'Transfer Engine'!$C$2:$C$679,0)))</f>
        <v/>
      </c>
      <c r="H329">
        <f>IF(ISNA(MATCH(320,'Transfer Engine'!$C$2:$C$679,0)),"",INDEX('Compliance Database'!$H$2:$H$679,MATCH(320,'Transfer Engine'!$C$2:$C$679,0)))</f>
        <v/>
      </c>
      <c r="I329" s="8">
        <f>IF(ISNA(MATCH(320,'Transfer Engine'!$C$2:$C$679,0)),"",INDEX('Compliance Database'!$I$2:$I$679,MATCH(320,'Transfer Engine'!$C$2:$C$679,0)))</f>
        <v/>
      </c>
      <c r="J329" s="8">
        <f>IF(ISNA(MATCH(320,'Transfer Engine'!$C$2:$C$679,0)),"",INDEX('Compliance Database'!$J$2:$J$679,MATCH(320,'Transfer Engine'!$C$2:$C$679,0)))</f>
        <v/>
      </c>
      <c r="K329">
        <f>IF(ISNA(MATCH(320,'Transfer Engine'!$C$2:$C$679,0)),"",INDEX('Compliance Database'!$K$2:$K$679,MATCH(320,'Transfer Engine'!$C$2:$C$679,0)))</f>
        <v/>
      </c>
      <c r="L329" s="8">
        <f>IF(ISNA(MATCH(320,'Transfer Engine'!$C$2:$C$679,0)),"",INDEX('Compliance Database'!$L$2:$L$679,MATCH(320,'Transfer Engine'!$C$2:$C$679,0)))</f>
        <v/>
      </c>
      <c r="M329" s="8">
        <f>IF(ISNA(MATCH(320,'Transfer Engine'!$C$2:$C$679,0)),"",INDEX('Compliance Database'!$M$2:$M$679,MATCH(320,'Transfer Engine'!$C$2:$C$679,0)))</f>
        <v/>
      </c>
      <c r="N329" s="8">
        <f>IF(ISNA(MATCH(320,'Transfer Engine'!$C$2:$C$679,0)),"",INDEX('Compliance Database'!$N$2:$N$679,MATCH(320,'Transfer Engine'!$C$2:$C$679,0)))</f>
        <v/>
      </c>
      <c r="O329" s="8">
        <f>IF(ISNA(MATCH(320,'Transfer Engine'!$C$2:$C$679,0)),"",INDEX('Compliance Database'!$O$2:$O$679,MATCH(320,'Transfer Engine'!$C$2:$C$679,0)))</f>
        <v/>
      </c>
      <c r="P329">
        <f>IF(ISNA(MATCH(320,'Transfer Engine'!$C$2:$C$679,0)),"",HYPERLINK(INDEX('Compliance Database'!$P$2:$P$679,MATCH(320,'Transfer Engine'!$C$2:$C$679,0)),"Open PDF"))</f>
        <v/>
      </c>
    </row>
    <row r="330">
      <c r="A330">
        <f>IF(ISNA(MATCH(321,'Transfer Engine'!$C$2:$C$679,0)),"",INDEX('Compliance Database'!$A$2:$A$679,MATCH(321,'Transfer Engine'!$C$2:$C$679,0)))</f>
        <v/>
      </c>
      <c r="B330">
        <f>IF(ISNA(MATCH(321,'Transfer Engine'!$C$2:$C$679,0)),"",INDEX('Compliance Database'!$B$2:$B$679,MATCH(321,'Transfer Engine'!$C$2:$C$679,0)))</f>
        <v/>
      </c>
      <c r="C330">
        <f>IF(ISNA(MATCH(321,'Transfer Engine'!$C$2:$C$679,0)),"",INDEX('Compliance Database'!$C$2:$C$679,MATCH(321,'Transfer Engine'!$C$2:$C$679,0)))</f>
        <v/>
      </c>
      <c r="D330" s="8">
        <f>IF(ISNA(MATCH(321,'Transfer Engine'!$C$2:$C$679,0)),"",INDEX('Compliance Database'!$D$2:$D$679,MATCH(321,'Transfer Engine'!$C$2:$C$679,0)))</f>
        <v/>
      </c>
      <c r="E330">
        <f>IF(ISNA(MATCH(321,'Transfer Engine'!$C$2:$C$679,0)),"",INDEX('Compliance Database'!$E$2:$E$679,MATCH(321,'Transfer Engine'!$C$2:$C$679,0)))</f>
        <v/>
      </c>
      <c r="F330">
        <f>IF(ISNA(MATCH(321,'Transfer Engine'!$C$2:$C$679,0)),"",INDEX('Compliance Database'!$F$2:$F$679,MATCH(321,'Transfer Engine'!$C$2:$C$679,0)))</f>
        <v/>
      </c>
      <c r="G330">
        <f>IF(ISNA(MATCH(321,'Transfer Engine'!$C$2:$C$679,0)),"",INDEX('Compliance Database'!$G$2:$G$679,MATCH(321,'Transfer Engine'!$C$2:$C$679,0)))</f>
        <v/>
      </c>
      <c r="H330">
        <f>IF(ISNA(MATCH(321,'Transfer Engine'!$C$2:$C$679,0)),"",INDEX('Compliance Database'!$H$2:$H$679,MATCH(321,'Transfer Engine'!$C$2:$C$679,0)))</f>
        <v/>
      </c>
      <c r="I330" s="8">
        <f>IF(ISNA(MATCH(321,'Transfer Engine'!$C$2:$C$679,0)),"",INDEX('Compliance Database'!$I$2:$I$679,MATCH(321,'Transfer Engine'!$C$2:$C$679,0)))</f>
        <v/>
      </c>
      <c r="J330" s="8">
        <f>IF(ISNA(MATCH(321,'Transfer Engine'!$C$2:$C$679,0)),"",INDEX('Compliance Database'!$J$2:$J$679,MATCH(321,'Transfer Engine'!$C$2:$C$679,0)))</f>
        <v/>
      </c>
      <c r="K330">
        <f>IF(ISNA(MATCH(321,'Transfer Engine'!$C$2:$C$679,0)),"",INDEX('Compliance Database'!$K$2:$K$679,MATCH(321,'Transfer Engine'!$C$2:$C$679,0)))</f>
        <v/>
      </c>
      <c r="L330" s="8">
        <f>IF(ISNA(MATCH(321,'Transfer Engine'!$C$2:$C$679,0)),"",INDEX('Compliance Database'!$L$2:$L$679,MATCH(321,'Transfer Engine'!$C$2:$C$679,0)))</f>
        <v/>
      </c>
      <c r="M330" s="8">
        <f>IF(ISNA(MATCH(321,'Transfer Engine'!$C$2:$C$679,0)),"",INDEX('Compliance Database'!$M$2:$M$679,MATCH(321,'Transfer Engine'!$C$2:$C$679,0)))</f>
        <v/>
      </c>
      <c r="N330" s="8">
        <f>IF(ISNA(MATCH(321,'Transfer Engine'!$C$2:$C$679,0)),"",INDEX('Compliance Database'!$N$2:$N$679,MATCH(321,'Transfer Engine'!$C$2:$C$679,0)))</f>
        <v/>
      </c>
      <c r="O330" s="8">
        <f>IF(ISNA(MATCH(321,'Transfer Engine'!$C$2:$C$679,0)),"",INDEX('Compliance Database'!$O$2:$O$679,MATCH(321,'Transfer Engine'!$C$2:$C$679,0)))</f>
        <v/>
      </c>
      <c r="P330">
        <f>IF(ISNA(MATCH(321,'Transfer Engine'!$C$2:$C$679,0)),"",HYPERLINK(INDEX('Compliance Database'!$P$2:$P$679,MATCH(321,'Transfer Engine'!$C$2:$C$679,0)),"Open PDF"))</f>
        <v/>
      </c>
    </row>
    <row r="331">
      <c r="A331">
        <f>IF(ISNA(MATCH(322,'Transfer Engine'!$C$2:$C$679,0)),"",INDEX('Compliance Database'!$A$2:$A$679,MATCH(322,'Transfer Engine'!$C$2:$C$679,0)))</f>
        <v/>
      </c>
      <c r="B331">
        <f>IF(ISNA(MATCH(322,'Transfer Engine'!$C$2:$C$679,0)),"",INDEX('Compliance Database'!$B$2:$B$679,MATCH(322,'Transfer Engine'!$C$2:$C$679,0)))</f>
        <v/>
      </c>
      <c r="C331">
        <f>IF(ISNA(MATCH(322,'Transfer Engine'!$C$2:$C$679,0)),"",INDEX('Compliance Database'!$C$2:$C$679,MATCH(322,'Transfer Engine'!$C$2:$C$679,0)))</f>
        <v/>
      </c>
      <c r="D331" s="8">
        <f>IF(ISNA(MATCH(322,'Transfer Engine'!$C$2:$C$679,0)),"",INDEX('Compliance Database'!$D$2:$D$679,MATCH(322,'Transfer Engine'!$C$2:$C$679,0)))</f>
        <v/>
      </c>
      <c r="E331">
        <f>IF(ISNA(MATCH(322,'Transfer Engine'!$C$2:$C$679,0)),"",INDEX('Compliance Database'!$E$2:$E$679,MATCH(322,'Transfer Engine'!$C$2:$C$679,0)))</f>
        <v/>
      </c>
      <c r="F331">
        <f>IF(ISNA(MATCH(322,'Transfer Engine'!$C$2:$C$679,0)),"",INDEX('Compliance Database'!$F$2:$F$679,MATCH(322,'Transfer Engine'!$C$2:$C$679,0)))</f>
        <v/>
      </c>
      <c r="G331">
        <f>IF(ISNA(MATCH(322,'Transfer Engine'!$C$2:$C$679,0)),"",INDEX('Compliance Database'!$G$2:$G$679,MATCH(322,'Transfer Engine'!$C$2:$C$679,0)))</f>
        <v/>
      </c>
      <c r="H331">
        <f>IF(ISNA(MATCH(322,'Transfer Engine'!$C$2:$C$679,0)),"",INDEX('Compliance Database'!$H$2:$H$679,MATCH(322,'Transfer Engine'!$C$2:$C$679,0)))</f>
        <v/>
      </c>
      <c r="I331" s="8">
        <f>IF(ISNA(MATCH(322,'Transfer Engine'!$C$2:$C$679,0)),"",INDEX('Compliance Database'!$I$2:$I$679,MATCH(322,'Transfer Engine'!$C$2:$C$679,0)))</f>
        <v/>
      </c>
      <c r="J331" s="8">
        <f>IF(ISNA(MATCH(322,'Transfer Engine'!$C$2:$C$679,0)),"",INDEX('Compliance Database'!$J$2:$J$679,MATCH(322,'Transfer Engine'!$C$2:$C$679,0)))</f>
        <v/>
      </c>
      <c r="K331">
        <f>IF(ISNA(MATCH(322,'Transfer Engine'!$C$2:$C$679,0)),"",INDEX('Compliance Database'!$K$2:$K$679,MATCH(322,'Transfer Engine'!$C$2:$C$679,0)))</f>
        <v/>
      </c>
      <c r="L331" s="8">
        <f>IF(ISNA(MATCH(322,'Transfer Engine'!$C$2:$C$679,0)),"",INDEX('Compliance Database'!$L$2:$L$679,MATCH(322,'Transfer Engine'!$C$2:$C$679,0)))</f>
        <v/>
      </c>
      <c r="M331" s="8">
        <f>IF(ISNA(MATCH(322,'Transfer Engine'!$C$2:$C$679,0)),"",INDEX('Compliance Database'!$M$2:$M$679,MATCH(322,'Transfer Engine'!$C$2:$C$679,0)))</f>
        <v/>
      </c>
      <c r="N331" s="8">
        <f>IF(ISNA(MATCH(322,'Transfer Engine'!$C$2:$C$679,0)),"",INDEX('Compliance Database'!$N$2:$N$679,MATCH(322,'Transfer Engine'!$C$2:$C$679,0)))</f>
        <v/>
      </c>
      <c r="O331" s="8">
        <f>IF(ISNA(MATCH(322,'Transfer Engine'!$C$2:$C$679,0)),"",INDEX('Compliance Database'!$O$2:$O$679,MATCH(322,'Transfer Engine'!$C$2:$C$679,0)))</f>
        <v/>
      </c>
      <c r="P331">
        <f>IF(ISNA(MATCH(322,'Transfer Engine'!$C$2:$C$679,0)),"",HYPERLINK(INDEX('Compliance Database'!$P$2:$P$679,MATCH(322,'Transfer Engine'!$C$2:$C$679,0)),"Open PDF"))</f>
        <v/>
      </c>
    </row>
    <row r="332">
      <c r="A332">
        <f>IF(ISNA(MATCH(323,'Transfer Engine'!$C$2:$C$679,0)),"",INDEX('Compliance Database'!$A$2:$A$679,MATCH(323,'Transfer Engine'!$C$2:$C$679,0)))</f>
        <v/>
      </c>
      <c r="B332">
        <f>IF(ISNA(MATCH(323,'Transfer Engine'!$C$2:$C$679,0)),"",INDEX('Compliance Database'!$B$2:$B$679,MATCH(323,'Transfer Engine'!$C$2:$C$679,0)))</f>
        <v/>
      </c>
      <c r="C332">
        <f>IF(ISNA(MATCH(323,'Transfer Engine'!$C$2:$C$679,0)),"",INDEX('Compliance Database'!$C$2:$C$679,MATCH(323,'Transfer Engine'!$C$2:$C$679,0)))</f>
        <v/>
      </c>
      <c r="D332" s="8">
        <f>IF(ISNA(MATCH(323,'Transfer Engine'!$C$2:$C$679,0)),"",INDEX('Compliance Database'!$D$2:$D$679,MATCH(323,'Transfer Engine'!$C$2:$C$679,0)))</f>
        <v/>
      </c>
      <c r="E332">
        <f>IF(ISNA(MATCH(323,'Transfer Engine'!$C$2:$C$679,0)),"",INDEX('Compliance Database'!$E$2:$E$679,MATCH(323,'Transfer Engine'!$C$2:$C$679,0)))</f>
        <v/>
      </c>
      <c r="F332">
        <f>IF(ISNA(MATCH(323,'Transfer Engine'!$C$2:$C$679,0)),"",INDEX('Compliance Database'!$F$2:$F$679,MATCH(323,'Transfer Engine'!$C$2:$C$679,0)))</f>
        <v/>
      </c>
      <c r="G332">
        <f>IF(ISNA(MATCH(323,'Transfer Engine'!$C$2:$C$679,0)),"",INDEX('Compliance Database'!$G$2:$G$679,MATCH(323,'Transfer Engine'!$C$2:$C$679,0)))</f>
        <v/>
      </c>
      <c r="H332">
        <f>IF(ISNA(MATCH(323,'Transfer Engine'!$C$2:$C$679,0)),"",INDEX('Compliance Database'!$H$2:$H$679,MATCH(323,'Transfer Engine'!$C$2:$C$679,0)))</f>
        <v/>
      </c>
      <c r="I332" s="8">
        <f>IF(ISNA(MATCH(323,'Transfer Engine'!$C$2:$C$679,0)),"",INDEX('Compliance Database'!$I$2:$I$679,MATCH(323,'Transfer Engine'!$C$2:$C$679,0)))</f>
        <v/>
      </c>
      <c r="J332" s="8">
        <f>IF(ISNA(MATCH(323,'Transfer Engine'!$C$2:$C$679,0)),"",INDEX('Compliance Database'!$J$2:$J$679,MATCH(323,'Transfer Engine'!$C$2:$C$679,0)))</f>
        <v/>
      </c>
      <c r="K332">
        <f>IF(ISNA(MATCH(323,'Transfer Engine'!$C$2:$C$679,0)),"",INDEX('Compliance Database'!$K$2:$K$679,MATCH(323,'Transfer Engine'!$C$2:$C$679,0)))</f>
        <v/>
      </c>
      <c r="L332" s="8">
        <f>IF(ISNA(MATCH(323,'Transfer Engine'!$C$2:$C$679,0)),"",INDEX('Compliance Database'!$L$2:$L$679,MATCH(323,'Transfer Engine'!$C$2:$C$679,0)))</f>
        <v/>
      </c>
      <c r="M332" s="8">
        <f>IF(ISNA(MATCH(323,'Transfer Engine'!$C$2:$C$679,0)),"",INDEX('Compliance Database'!$M$2:$M$679,MATCH(323,'Transfer Engine'!$C$2:$C$679,0)))</f>
        <v/>
      </c>
      <c r="N332" s="8">
        <f>IF(ISNA(MATCH(323,'Transfer Engine'!$C$2:$C$679,0)),"",INDEX('Compliance Database'!$N$2:$N$679,MATCH(323,'Transfer Engine'!$C$2:$C$679,0)))</f>
        <v/>
      </c>
      <c r="O332" s="8">
        <f>IF(ISNA(MATCH(323,'Transfer Engine'!$C$2:$C$679,0)),"",INDEX('Compliance Database'!$O$2:$O$679,MATCH(323,'Transfer Engine'!$C$2:$C$679,0)))</f>
        <v/>
      </c>
      <c r="P332">
        <f>IF(ISNA(MATCH(323,'Transfer Engine'!$C$2:$C$679,0)),"",HYPERLINK(INDEX('Compliance Database'!$P$2:$P$679,MATCH(323,'Transfer Engine'!$C$2:$C$679,0)),"Open PDF"))</f>
        <v/>
      </c>
    </row>
    <row r="333">
      <c r="A333">
        <f>IF(ISNA(MATCH(324,'Transfer Engine'!$C$2:$C$679,0)),"",INDEX('Compliance Database'!$A$2:$A$679,MATCH(324,'Transfer Engine'!$C$2:$C$679,0)))</f>
        <v/>
      </c>
      <c r="B333">
        <f>IF(ISNA(MATCH(324,'Transfer Engine'!$C$2:$C$679,0)),"",INDEX('Compliance Database'!$B$2:$B$679,MATCH(324,'Transfer Engine'!$C$2:$C$679,0)))</f>
        <v/>
      </c>
      <c r="C333">
        <f>IF(ISNA(MATCH(324,'Transfer Engine'!$C$2:$C$679,0)),"",INDEX('Compliance Database'!$C$2:$C$679,MATCH(324,'Transfer Engine'!$C$2:$C$679,0)))</f>
        <v/>
      </c>
      <c r="D333" s="8">
        <f>IF(ISNA(MATCH(324,'Transfer Engine'!$C$2:$C$679,0)),"",INDEX('Compliance Database'!$D$2:$D$679,MATCH(324,'Transfer Engine'!$C$2:$C$679,0)))</f>
        <v/>
      </c>
      <c r="E333">
        <f>IF(ISNA(MATCH(324,'Transfer Engine'!$C$2:$C$679,0)),"",INDEX('Compliance Database'!$E$2:$E$679,MATCH(324,'Transfer Engine'!$C$2:$C$679,0)))</f>
        <v/>
      </c>
      <c r="F333">
        <f>IF(ISNA(MATCH(324,'Transfer Engine'!$C$2:$C$679,0)),"",INDEX('Compliance Database'!$F$2:$F$679,MATCH(324,'Transfer Engine'!$C$2:$C$679,0)))</f>
        <v/>
      </c>
      <c r="G333">
        <f>IF(ISNA(MATCH(324,'Transfer Engine'!$C$2:$C$679,0)),"",INDEX('Compliance Database'!$G$2:$G$679,MATCH(324,'Transfer Engine'!$C$2:$C$679,0)))</f>
        <v/>
      </c>
      <c r="H333">
        <f>IF(ISNA(MATCH(324,'Transfer Engine'!$C$2:$C$679,0)),"",INDEX('Compliance Database'!$H$2:$H$679,MATCH(324,'Transfer Engine'!$C$2:$C$679,0)))</f>
        <v/>
      </c>
      <c r="I333" s="8">
        <f>IF(ISNA(MATCH(324,'Transfer Engine'!$C$2:$C$679,0)),"",INDEX('Compliance Database'!$I$2:$I$679,MATCH(324,'Transfer Engine'!$C$2:$C$679,0)))</f>
        <v/>
      </c>
      <c r="J333" s="8">
        <f>IF(ISNA(MATCH(324,'Transfer Engine'!$C$2:$C$679,0)),"",INDEX('Compliance Database'!$J$2:$J$679,MATCH(324,'Transfer Engine'!$C$2:$C$679,0)))</f>
        <v/>
      </c>
      <c r="K333">
        <f>IF(ISNA(MATCH(324,'Transfer Engine'!$C$2:$C$679,0)),"",INDEX('Compliance Database'!$K$2:$K$679,MATCH(324,'Transfer Engine'!$C$2:$C$679,0)))</f>
        <v/>
      </c>
      <c r="L333" s="8">
        <f>IF(ISNA(MATCH(324,'Transfer Engine'!$C$2:$C$679,0)),"",INDEX('Compliance Database'!$L$2:$L$679,MATCH(324,'Transfer Engine'!$C$2:$C$679,0)))</f>
        <v/>
      </c>
      <c r="M333" s="8">
        <f>IF(ISNA(MATCH(324,'Transfer Engine'!$C$2:$C$679,0)),"",INDEX('Compliance Database'!$M$2:$M$679,MATCH(324,'Transfer Engine'!$C$2:$C$679,0)))</f>
        <v/>
      </c>
      <c r="N333" s="8">
        <f>IF(ISNA(MATCH(324,'Transfer Engine'!$C$2:$C$679,0)),"",INDEX('Compliance Database'!$N$2:$N$679,MATCH(324,'Transfer Engine'!$C$2:$C$679,0)))</f>
        <v/>
      </c>
      <c r="O333" s="8">
        <f>IF(ISNA(MATCH(324,'Transfer Engine'!$C$2:$C$679,0)),"",INDEX('Compliance Database'!$O$2:$O$679,MATCH(324,'Transfer Engine'!$C$2:$C$679,0)))</f>
        <v/>
      </c>
      <c r="P333">
        <f>IF(ISNA(MATCH(324,'Transfer Engine'!$C$2:$C$679,0)),"",HYPERLINK(INDEX('Compliance Database'!$P$2:$P$679,MATCH(324,'Transfer Engine'!$C$2:$C$679,0)),"Open PDF"))</f>
        <v/>
      </c>
    </row>
    <row r="334">
      <c r="A334">
        <f>IF(ISNA(MATCH(325,'Transfer Engine'!$C$2:$C$679,0)),"",INDEX('Compliance Database'!$A$2:$A$679,MATCH(325,'Transfer Engine'!$C$2:$C$679,0)))</f>
        <v/>
      </c>
      <c r="B334">
        <f>IF(ISNA(MATCH(325,'Transfer Engine'!$C$2:$C$679,0)),"",INDEX('Compliance Database'!$B$2:$B$679,MATCH(325,'Transfer Engine'!$C$2:$C$679,0)))</f>
        <v/>
      </c>
      <c r="C334">
        <f>IF(ISNA(MATCH(325,'Transfer Engine'!$C$2:$C$679,0)),"",INDEX('Compliance Database'!$C$2:$C$679,MATCH(325,'Transfer Engine'!$C$2:$C$679,0)))</f>
        <v/>
      </c>
      <c r="D334" s="8">
        <f>IF(ISNA(MATCH(325,'Transfer Engine'!$C$2:$C$679,0)),"",INDEX('Compliance Database'!$D$2:$D$679,MATCH(325,'Transfer Engine'!$C$2:$C$679,0)))</f>
        <v/>
      </c>
      <c r="E334">
        <f>IF(ISNA(MATCH(325,'Transfer Engine'!$C$2:$C$679,0)),"",INDEX('Compliance Database'!$E$2:$E$679,MATCH(325,'Transfer Engine'!$C$2:$C$679,0)))</f>
        <v/>
      </c>
      <c r="F334">
        <f>IF(ISNA(MATCH(325,'Transfer Engine'!$C$2:$C$679,0)),"",INDEX('Compliance Database'!$F$2:$F$679,MATCH(325,'Transfer Engine'!$C$2:$C$679,0)))</f>
        <v/>
      </c>
      <c r="G334">
        <f>IF(ISNA(MATCH(325,'Transfer Engine'!$C$2:$C$679,0)),"",INDEX('Compliance Database'!$G$2:$G$679,MATCH(325,'Transfer Engine'!$C$2:$C$679,0)))</f>
        <v/>
      </c>
      <c r="H334">
        <f>IF(ISNA(MATCH(325,'Transfer Engine'!$C$2:$C$679,0)),"",INDEX('Compliance Database'!$H$2:$H$679,MATCH(325,'Transfer Engine'!$C$2:$C$679,0)))</f>
        <v/>
      </c>
      <c r="I334" s="8">
        <f>IF(ISNA(MATCH(325,'Transfer Engine'!$C$2:$C$679,0)),"",INDEX('Compliance Database'!$I$2:$I$679,MATCH(325,'Transfer Engine'!$C$2:$C$679,0)))</f>
        <v/>
      </c>
      <c r="J334" s="8">
        <f>IF(ISNA(MATCH(325,'Transfer Engine'!$C$2:$C$679,0)),"",INDEX('Compliance Database'!$J$2:$J$679,MATCH(325,'Transfer Engine'!$C$2:$C$679,0)))</f>
        <v/>
      </c>
      <c r="K334">
        <f>IF(ISNA(MATCH(325,'Transfer Engine'!$C$2:$C$679,0)),"",INDEX('Compliance Database'!$K$2:$K$679,MATCH(325,'Transfer Engine'!$C$2:$C$679,0)))</f>
        <v/>
      </c>
      <c r="L334" s="8">
        <f>IF(ISNA(MATCH(325,'Transfer Engine'!$C$2:$C$679,0)),"",INDEX('Compliance Database'!$L$2:$L$679,MATCH(325,'Transfer Engine'!$C$2:$C$679,0)))</f>
        <v/>
      </c>
      <c r="M334" s="8">
        <f>IF(ISNA(MATCH(325,'Transfer Engine'!$C$2:$C$679,0)),"",INDEX('Compliance Database'!$M$2:$M$679,MATCH(325,'Transfer Engine'!$C$2:$C$679,0)))</f>
        <v/>
      </c>
      <c r="N334" s="8">
        <f>IF(ISNA(MATCH(325,'Transfer Engine'!$C$2:$C$679,0)),"",INDEX('Compliance Database'!$N$2:$N$679,MATCH(325,'Transfer Engine'!$C$2:$C$679,0)))</f>
        <v/>
      </c>
      <c r="O334" s="8">
        <f>IF(ISNA(MATCH(325,'Transfer Engine'!$C$2:$C$679,0)),"",INDEX('Compliance Database'!$O$2:$O$679,MATCH(325,'Transfer Engine'!$C$2:$C$679,0)))</f>
        <v/>
      </c>
      <c r="P334">
        <f>IF(ISNA(MATCH(325,'Transfer Engine'!$C$2:$C$679,0)),"",HYPERLINK(INDEX('Compliance Database'!$P$2:$P$679,MATCH(325,'Transfer Engine'!$C$2:$C$679,0)),"Open PDF"))</f>
        <v/>
      </c>
    </row>
    <row r="335">
      <c r="A335">
        <f>IF(ISNA(MATCH(326,'Transfer Engine'!$C$2:$C$679,0)),"",INDEX('Compliance Database'!$A$2:$A$679,MATCH(326,'Transfer Engine'!$C$2:$C$679,0)))</f>
        <v/>
      </c>
      <c r="B335">
        <f>IF(ISNA(MATCH(326,'Transfer Engine'!$C$2:$C$679,0)),"",INDEX('Compliance Database'!$B$2:$B$679,MATCH(326,'Transfer Engine'!$C$2:$C$679,0)))</f>
        <v/>
      </c>
      <c r="C335">
        <f>IF(ISNA(MATCH(326,'Transfer Engine'!$C$2:$C$679,0)),"",INDEX('Compliance Database'!$C$2:$C$679,MATCH(326,'Transfer Engine'!$C$2:$C$679,0)))</f>
        <v/>
      </c>
      <c r="D335" s="8">
        <f>IF(ISNA(MATCH(326,'Transfer Engine'!$C$2:$C$679,0)),"",INDEX('Compliance Database'!$D$2:$D$679,MATCH(326,'Transfer Engine'!$C$2:$C$679,0)))</f>
        <v/>
      </c>
      <c r="E335">
        <f>IF(ISNA(MATCH(326,'Transfer Engine'!$C$2:$C$679,0)),"",INDEX('Compliance Database'!$E$2:$E$679,MATCH(326,'Transfer Engine'!$C$2:$C$679,0)))</f>
        <v/>
      </c>
      <c r="F335">
        <f>IF(ISNA(MATCH(326,'Transfer Engine'!$C$2:$C$679,0)),"",INDEX('Compliance Database'!$F$2:$F$679,MATCH(326,'Transfer Engine'!$C$2:$C$679,0)))</f>
        <v/>
      </c>
      <c r="G335">
        <f>IF(ISNA(MATCH(326,'Transfer Engine'!$C$2:$C$679,0)),"",INDEX('Compliance Database'!$G$2:$G$679,MATCH(326,'Transfer Engine'!$C$2:$C$679,0)))</f>
        <v/>
      </c>
      <c r="H335">
        <f>IF(ISNA(MATCH(326,'Transfer Engine'!$C$2:$C$679,0)),"",INDEX('Compliance Database'!$H$2:$H$679,MATCH(326,'Transfer Engine'!$C$2:$C$679,0)))</f>
        <v/>
      </c>
      <c r="I335" s="8">
        <f>IF(ISNA(MATCH(326,'Transfer Engine'!$C$2:$C$679,0)),"",INDEX('Compliance Database'!$I$2:$I$679,MATCH(326,'Transfer Engine'!$C$2:$C$679,0)))</f>
        <v/>
      </c>
      <c r="J335" s="8">
        <f>IF(ISNA(MATCH(326,'Transfer Engine'!$C$2:$C$679,0)),"",INDEX('Compliance Database'!$J$2:$J$679,MATCH(326,'Transfer Engine'!$C$2:$C$679,0)))</f>
        <v/>
      </c>
      <c r="K335">
        <f>IF(ISNA(MATCH(326,'Transfer Engine'!$C$2:$C$679,0)),"",INDEX('Compliance Database'!$K$2:$K$679,MATCH(326,'Transfer Engine'!$C$2:$C$679,0)))</f>
        <v/>
      </c>
      <c r="L335" s="8">
        <f>IF(ISNA(MATCH(326,'Transfer Engine'!$C$2:$C$679,0)),"",INDEX('Compliance Database'!$L$2:$L$679,MATCH(326,'Transfer Engine'!$C$2:$C$679,0)))</f>
        <v/>
      </c>
      <c r="M335" s="8">
        <f>IF(ISNA(MATCH(326,'Transfer Engine'!$C$2:$C$679,0)),"",INDEX('Compliance Database'!$M$2:$M$679,MATCH(326,'Transfer Engine'!$C$2:$C$679,0)))</f>
        <v/>
      </c>
      <c r="N335" s="8">
        <f>IF(ISNA(MATCH(326,'Transfer Engine'!$C$2:$C$679,0)),"",INDEX('Compliance Database'!$N$2:$N$679,MATCH(326,'Transfer Engine'!$C$2:$C$679,0)))</f>
        <v/>
      </c>
      <c r="O335" s="8">
        <f>IF(ISNA(MATCH(326,'Transfer Engine'!$C$2:$C$679,0)),"",INDEX('Compliance Database'!$O$2:$O$679,MATCH(326,'Transfer Engine'!$C$2:$C$679,0)))</f>
        <v/>
      </c>
      <c r="P335">
        <f>IF(ISNA(MATCH(326,'Transfer Engine'!$C$2:$C$679,0)),"",HYPERLINK(INDEX('Compliance Database'!$P$2:$P$679,MATCH(326,'Transfer Engine'!$C$2:$C$679,0)),"Open PDF"))</f>
        <v/>
      </c>
    </row>
    <row r="336">
      <c r="A336">
        <f>IF(ISNA(MATCH(327,'Transfer Engine'!$C$2:$C$679,0)),"",INDEX('Compliance Database'!$A$2:$A$679,MATCH(327,'Transfer Engine'!$C$2:$C$679,0)))</f>
        <v/>
      </c>
      <c r="B336">
        <f>IF(ISNA(MATCH(327,'Transfer Engine'!$C$2:$C$679,0)),"",INDEX('Compliance Database'!$B$2:$B$679,MATCH(327,'Transfer Engine'!$C$2:$C$679,0)))</f>
        <v/>
      </c>
      <c r="C336">
        <f>IF(ISNA(MATCH(327,'Transfer Engine'!$C$2:$C$679,0)),"",INDEX('Compliance Database'!$C$2:$C$679,MATCH(327,'Transfer Engine'!$C$2:$C$679,0)))</f>
        <v/>
      </c>
      <c r="D336" s="8">
        <f>IF(ISNA(MATCH(327,'Transfer Engine'!$C$2:$C$679,0)),"",INDEX('Compliance Database'!$D$2:$D$679,MATCH(327,'Transfer Engine'!$C$2:$C$679,0)))</f>
        <v/>
      </c>
      <c r="E336">
        <f>IF(ISNA(MATCH(327,'Transfer Engine'!$C$2:$C$679,0)),"",INDEX('Compliance Database'!$E$2:$E$679,MATCH(327,'Transfer Engine'!$C$2:$C$679,0)))</f>
        <v/>
      </c>
      <c r="F336">
        <f>IF(ISNA(MATCH(327,'Transfer Engine'!$C$2:$C$679,0)),"",INDEX('Compliance Database'!$F$2:$F$679,MATCH(327,'Transfer Engine'!$C$2:$C$679,0)))</f>
        <v/>
      </c>
      <c r="G336">
        <f>IF(ISNA(MATCH(327,'Transfer Engine'!$C$2:$C$679,0)),"",INDEX('Compliance Database'!$G$2:$G$679,MATCH(327,'Transfer Engine'!$C$2:$C$679,0)))</f>
        <v/>
      </c>
      <c r="H336">
        <f>IF(ISNA(MATCH(327,'Transfer Engine'!$C$2:$C$679,0)),"",INDEX('Compliance Database'!$H$2:$H$679,MATCH(327,'Transfer Engine'!$C$2:$C$679,0)))</f>
        <v/>
      </c>
      <c r="I336" s="8">
        <f>IF(ISNA(MATCH(327,'Transfer Engine'!$C$2:$C$679,0)),"",INDEX('Compliance Database'!$I$2:$I$679,MATCH(327,'Transfer Engine'!$C$2:$C$679,0)))</f>
        <v/>
      </c>
      <c r="J336" s="8">
        <f>IF(ISNA(MATCH(327,'Transfer Engine'!$C$2:$C$679,0)),"",INDEX('Compliance Database'!$J$2:$J$679,MATCH(327,'Transfer Engine'!$C$2:$C$679,0)))</f>
        <v/>
      </c>
      <c r="K336">
        <f>IF(ISNA(MATCH(327,'Transfer Engine'!$C$2:$C$679,0)),"",INDEX('Compliance Database'!$K$2:$K$679,MATCH(327,'Transfer Engine'!$C$2:$C$679,0)))</f>
        <v/>
      </c>
      <c r="L336" s="8">
        <f>IF(ISNA(MATCH(327,'Transfer Engine'!$C$2:$C$679,0)),"",INDEX('Compliance Database'!$L$2:$L$679,MATCH(327,'Transfer Engine'!$C$2:$C$679,0)))</f>
        <v/>
      </c>
      <c r="M336" s="8">
        <f>IF(ISNA(MATCH(327,'Transfer Engine'!$C$2:$C$679,0)),"",INDEX('Compliance Database'!$M$2:$M$679,MATCH(327,'Transfer Engine'!$C$2:$C$679,0)))</f>
        <v/>
      </c>
      <c r="N336" s="8">
        <f>IF(ISNA(MATCH(327,'Transfer Engine'!$C$2:$C$679,0)),"",INDEX('Compliance Database'!$N$2:$N$679,MATCH(327,'Transfer Engine'!$C$2:$C$679,0)))</f>
        <v/>
      </c>
      <c r="O336" s="8">
        <f>IF(ISNA(MATCH(327,'Transfer Engine'!$C$2:$C$679,0)),"",INDEX('Compliance Database'!$O$2:$O$679,MATCH(327,'Transfer Engine'!$C$2:$C$679,0)))</f>
        <v/>
      </c>
      <c r="P336">
        <f>IF(ISNA(MATCH(327,'Transfer Engine'!$C$2:$C$679,0)),"",HYPERLINK(INDEX('Compliance Database'!$P$2:$P$679,MATCH(327,'Transfer Engine'!$C$2:$C$679,0)),"Open PDF"))</f>
        <v/>
      </c>
    </row>
    <row r="337">
      <c r="A337">
        <f>IF(ISNA(MATCH(328,'Transfer Engine'!$C$2:$C$679,0)),"",INDEX('Compliance Database'!$A$2:$A$679,MATCH(328,'Transfer Engine'!$C$2:$C$679,0)))</f>
        <v/>
      </c>
      <c r="B337">
        <f>IF(ISNA(MATCH(328,'Transfer Engine'!$C$2:$C$679,0)),"",INDEX('Compliance Database'!$B$2:$B$679,MATCH(328,'Transfer Engine'!$C$2:$C$679,0)))</f>
        <v/>
      </c>
      <c r="C337">
        <f>IF(ISNA(MATCH(328,'Transfer Engine'!$C$2:$C$679,0)),"",INDEX('Compliance Database'!$C$2:$C$679,MATCH(328,'Transfer Engine'!$C$2:$C$679,0)))</f>
        <v/>
      </c>
      <c r="D337" s="8">
        <f>IF(ISNA(MATCH(328,'Transfer Engine'!$C$2:$C$679,0)),"",INDEX('Compliance Database'!$D$2:$D$679,MATCH(328,'Transfer Engine'!$C$2:$C$679,0)))</f>
        <v/>
      </c>
      <c r="E337">
        <f>IF(ISNA(MATCH(328,'Transfer Engine'!$C$2:$C$679,0)),"",INDEX('Compliance Database'!$E$2:$E$679,MATCH(328,'Transfer Engine'!$C$2:$C$679,0)))</f>
        <v/>
      </c>
      <c r="F337">
        <f>IF(ISNA(MATCH(328,'Transfer Engine'!$C$2:$C$679,0)),"",INDEX('Compliance Database'!$F$2:$F$679,MATCH(328,'Transfer Engine'!$C$2:$C$679,0)))</f>
        <v/>
      </c>
      <c r="G337">
        <f>IF(ISNA(MATCH(328,'Transfer Engine'!$C$2:$C$679,0)),"",INDEX('Compliance Database'!$G$2:$G$679,MATCH(328,'Transfer Engine'!$C$2:$C$679,0)))</f>
        <v/>
      </c>
      <c r="H337">
        <f>IF(ISNA(MATCH(328,'Transfer Engine'!$C$2:$C$679,0)),"",INDEX('Compliance Database'!$H$2:$H$679,MATCH(328,'Transfer Engine'!$C$2:$C$679,0)))</f>
        <v/>
      </c>
      <c r="I337" s="8">
        <f>IF(ISNA(MATCH(328,'Transfer Engine'!$C$2:$C$679,0)),"",INDEX('Compliance Database'!$I$2:$I$679,MATCH(328,'Transfer Engine'!$C$2:$C$679,0)))</f>
        <v/>
      </c>
      <c r="J337" s="8">
        <f>IF(ISNA(MATCH(328,'Transfer Engine'!$C$2:$C$679,0)),"",INDEX('Compliance Database'!$J$2:$J$679,MATCH(328,'Transfer Engine'!$C$2:$C$679,0)))</f>
        <v/>
      </c>
      <c r="K337">
        <f>IF(ISNA(MATCH(328,'Transfer Engine'!$C$2:$C$679,0)),"",INDEX('Compliance Database'!$K$2:$K$679,MATCH(328,'Transfer Engine'!$C$2:$C$679,0)))</f>
        <v/>
      </c>
      <c r="L337" s="8">
        <f>IF(ISNA(MATCH(328,'Transfer Engine'!$C$2:$C$679,0)),"",INDEX('Compliance Database'!$L$2:$L$679,MATCH(328,'Transfer Engine'!$C$2:$C$679,0)))</f>
        <v/>
      </c>
      <c r="M337" s="8">
        <f>IF(ISNA(MATCH(328,'Transfer Engine'!$C$2:$C$679,0)),"",INDEX('Compliance Database'!$M$2:$M$679,MATCH(328,'Transfer Engine'!$C$2:$C$679,0)))</f>
        <v/>
      </c>
      <c r="N337" s="8">
        <f>IF(ISNA(MATCH(328,'Transfer Engine'!$C$2:$C$679,0)),"",INDEX('Compliance Database'!$N$2:$N$679,MATCH(328,'Transfer Engine'!$C$2:$C$679,0)))</f>
        <v/>
      </c>
      <c r="O337" s="8">
        <f>IF(ISNA(MATCH(328,'Transfer Engine'!$C$2:$C$679,0)),"",INDEX('Compliance Database'!$O$2:$O$679,MATCH(328,'Transfer Engine'!$C$2:$C$679,0)))</f>
        <v/>
      </c>
      <c r="P337">
        <f>IF(ISNA(MATCH(328,'Transfer Engine'!$C$2:$C$679,0)),"",HYPERLINK(INDEX('Compliance Database'!$P$2:$P$679,MATCH(328,'Transfer Engine'!$C$2:$C$679,0)),"Open PDF"))</f>
        <v/>
      </c>
    </row>
    <row r="338">
      <c r="A338">
        <f>IF(ISNA(MATCH(329,'Transfer Engine'!$C$2:$C$679,0)),"",INDEX('Compliance Database'!$A$2:$A$679,MATCH(329,'Transfer Engine'!$C$2:$C$679,0)))</f>
        <v/>
      </c>
      <c r="B338">
        <f>IF(ISNA(MATCH(329,'Transfer Engine'!$C$2:$C$679,0)),"",INDEX('Compliance Database'!$B$2:$B$679,MATCH(329,'Transfer Engine'!$C$2:$C$679,0)))</f>
        <v/>
      </c>
      <c r="C338">
        <f>IF(ISNA(MATCH(329,'Transfer Engine'!$C$2:$C$679,0)),"",INDEX('Compliance Database'!$C$2:$C$679,MATCH(329,'Transfer Engine'!$C$2:$C$679,0)))</f>
        <v/>
      </c>
      <c r="D338" s="8">
        <f>IF(ISNA(MATCH(329,'Transfer Engine'!$C$2:$C$679,0)),"",INDEX('Compliance Database'!$D$2:$D$679,MATCH(329,'Transfer Engine'!$C$2:$C$679,0)))</f>
        <v/>
      </c>
      <c r="E338">
        <f>IF(ISNA(MATCH(329,'Transfer Engine'!$C$2:$C$679,0)),"",INDEX('Compliance Database'!$E$2:$E$679,MATCH(329,'Transfer Engine'!$C$2:$C$679,0)))</f>
        <v/>
      </c>
      <c r="F338">
        <f>IF(ISNA(MATCH(329,'Transfer Engine'!$C$2:$C$679,0)),"",INDEX('Compliance Database'!$F$2:$F$679,MATCH(329,'Transfer Engine'!$C$2:$C$679,0)))</f>
        <v/>
      </c>
      <c r="G338">
        <f>IF(ISNA(MATCH(329,'Transfer Engine'!$C$2:$C$679,0)),"",INDEX('Compliance Database'!$G$2:$G$679,MATCH(329,'Transfer Engine'!$C$2:$C$679,0)))</f>
        <v/>
      </c>
      <c r="H338">
        <f>IF(ISNA(MATCH(329,'Transfer Engine'!$C$2:$C$679,0)),"",INDEX('Compliance Database'!$H$2:$H$679,MATCH(329,'Transfer Engine'!$C$2:$C$679,0)))</f>
        <v/>
      </c>
      <c r="I338" s="8">
        <f>IF(ISNA(MATCH(329,'Transfer Engine'!$C$2:$C$679,0)),"",INDEX('Compliance Database'!$I$2:$I$679,MATCH(329,'Transfer Engine'!$C$2:$C$679,0)))</f>
        <v/>
      </c>
      <c r="J338" s="8">
        <f>IF(ISNA(MATCH(329,'Transfer Engine'!$C$2:$C$679,0)),"",INDEX('Compliance Database'!$J$2:$J$679,MATCH(329,'Transfer Engine'!$C$2:$C$679,0)))</f>
        <v/>
      </c>
      <c r="K338">
        <f>IF(ISNA(MATCH(329,'Transfer Engine'!$C$2:$C$679,0)),"",INDEX('Compliance Database'!$K$2:$K$679,MATCH(329,'Transfer Engine'!$C$2:$C$679,0)))</f>
        <v/>
      </c>
      <c r="L338" s="8">
        <f>IF(ISNA(MATCH(329,'Transfer Engine'!$C$2:$C$679,0)),"",INDEX('Compliance Database'!$L$2:$L$679,MATCH(329,'Transfer Engine'!$C$2:$C$679,0)))</f>
        <v/>
      </c>
      <c r="M338" s="8">
        <f>IF(ISNA(MATCH(329,'Transfer Engine'!$C$2:$C$679,0)),"",INDEX('Compliance Database'!$M$2:$M$679,MATCH(329,'Transfer Engine'!$C$2:$C$679,0)))</f>
        <v/>
      </c>
      <c r="N338" s="8">
        <f>IF(ISNA(MATCH(329,'Transfer Engine'!$C$2:$C$679,0)),"",INDEX('Compliance Database'!$N$2:$N$679,MATCH(329,'Transfer Engine'!$C$2:$C$679,0)))</f>
        <v/>
      </c>
      <c r="O338" s="8">
        <f>IF(ISNA(MATCH(329,'Transfer Engine'!$C$2:$C$679,0)),"",INDEX('Compliance Database'!$O$2:$O$679,MATCH(329,'Transfer Engine'!$C$2:$C$679,0)))</f>
        <v/>
      </c>
      <c r="P338">
        <f>IF(ISNA(MATCH(329,'Transfer Engine'!$C$2:$C$679,0)),"",HYPERLINK(INDEX('Compliance Database'!$P$2:$P$679,MATCH(329,'Transfer Engine'!$C$2:$C$679,0)),"Open PDF"))</f>
        <v/>
      </c>
    </row>
    <row r="339">
      <c r="A339">
        <f>IF(ISNA(MATCH(330,'Transfer Engine'!$C$2:$C$679,0)),"",INDEX('Compliance Database'!$A$2:$A$679,MATCH(330,'Transfer Engine'!$C$2:$C$679,0)))</f>
        <v/>
      </c>
      <c r="B339">
        <f>IF(ISNA(MATCH(330,'Transfer Engine'!$C$2:$C$679,0)),"",INDEX('Compliance Database'!$B$2:$B$679,MATCH(330,'Transfer Engine'!$C$2:$C$679,0)))</f>
        <v/>
      </c>
      <c r="C339">
        <f>IF(ISNA(MATCH(330,'Transfer Engine'!$C$2:$C$679,0)),"",INDEX('Compliance Database'!$C$2:$C$679,MATCH(330,'Transfer Engine'!$C$2:$C$679,0)))</f>
        <v/>
      </c>
      <c r="D339" s="8">
        <f>IF(ISNA(MATCH(330,'Transfer Engine'!$C$2:$C$679,0)),"",INDEX('Compliance Database'!$D$2:$D$679,MATCH(330,'Transfer Engine'!$C$2:$C$679,0)))</f>
        <v/>
      </c>
      <c r="E339">
        <f>IF(ISNA(MATCH(330,'Transfer Engine'!$C$2:$C$679,0)),"",INDEX('Compliance Database'!$E$2:$E$679,MATCH(330,'Transfer Engine'!$C$2:$C$679,0)))</f>
        <v/>
      </c>
      <c r="F339">
        <f>IF(ISNA(MATCH(330,'Transfer Engine'!$C$2:$C$679,0)),"",INDEX('Compliance Database'!$F$2:$F$679,MATCH(330,'Transfer Engine'!$C$2:$C$679,0)))</f>
        <v/>
      </c>
      <c r="G339">
        <f>IF(ISNA(MATCH(330,'Transfer Engine'!$C$2:$C$679,0)),"",INDEX('Compliance Database'!$G$2:$G$679,MATCH(330,'Transfer Engine'!$C$2:$C$679,0)))</f>
        <v/>
      </c>
      <c r="H339">
        <f>IF(ISNA(MATCH(330,'Transfer Engine'!$C$2:$C$679,0)),"",INDEX('Compliance Database'!$H$2:$H$679,MATCH(330,'Transfer Engine'!$C$2:$C$679,0)))</f>
        <v/>
      </c>
      <c r="I339" s="8">
        <f>IF(ISNA(MATCH(330,'Transfer Engine'!$C$2:$C$679,0)),"",INDEX('Compliance Database'!$I$2:$I$679,MATCH(330,'Transfer Engine'!$C$2:$C$679,0)))</f>
        <v/>
      </c>
      <c r="J339" s="8">
        <f>IF(ISNA(MATCH(330,'Transfer Engine'!$C$2:$C$679,0)),"",INDEX('Compliance Database'!$J$2:$J$679,MATCH(330,'Transfer Engine'!$C$2:$C$679,0)))</f>
        <v/>
      </c>
      <c r="K339">
        <f>IF(ISNA(MATCH(330,'Transfer Engine'!$C$2:$C$679,0)),"",INDEX('Compliance Database'!$K$2:$K$679,MATCH(330,'Transfer Engine'!$C$2:$C$679,0)))</f>
        <v/>
      </c>
      <c r="L339" s="8">
        <f>IF(ISNA(MATCH(330,'Transfer Engine'!$C$2:$C$679,0)),"",INDEX('Compliance Database'!$L$2:$L$679,MATCH(330,'Transfer Engine'!$C$2:$C$679,0)))</f>
        <v/>
      </c>
      <c r="M339" s="8">
        <f>IF(ISNA(MATCH(330,'Transfer Engine'!$C$2:$C$679,0)),"",INDEX('Compliance Database'!$M$2:$M$679,MATCH(330,'Transfer Engine'!$C$2:$C$679,0)))</f>
        <v/>
      </c>
      <c r="N339" s="8">
        <f>IF(ISNA(MATCH(330,'Transfer Engine'!$C$2:$C$679,0)),"",INDEX('Compliance Database'!$N$2:$N$679,MATCH(330,'Transfer Engine'!$C$2:$C$679,0)))</f>
        <v/>
      </c>
      <c r="O339" s="8">
        <f>IF(ISNA(MATCH(330,'Transfer Engine'!$C$2:$C$679,0)),"",INDEX('Compliance Database'!$O$2:$O$679,MATCH(330,'Transfer Engine'!$C$2:$C$679,0)))</f>
        <v/>
      </c>
      <c r="P339">
        <f>IF(ISNA(MATCH(330,'Transfer Engine'!$C$2:$C$679,0)),"",HYPERLINK(INDEX('Compliance Database'!$P$2:$P$679,MATCH(330,'Transfer Engine'!$C$2:$C$679,0)),"Open PDF"))</f>
        <v/>
      </c>
    </row>
    <row r="340">
      <c r="A340">
        <f>IF(ISNA(MATCH(331,'Transfer Engine'!$C$2:$C$679,0)),"",INDEX('Compliance Database'!$A$2:$A$679,MATCH(331,'Transfer Engine'!$C$2:$C$679,0)))</f>
        <v/>
      </c>
      <c r="B340">
        <f>IF(ISNA(MATCH(331,'Transfer Engine'!$C$2:$C$679,0)),"",INDEX('Compliance Database'!$B$2:$B$679,MATCH(331,'Transfer Engine'!$C$2:$C$679,0)))</f>
        <v/>
      </c>
      <c r="C340">
        <f>IF(ISNA(MATCH(331,'Transfer Engine'!$C$2:$C$679,0)),"",INDEX('Compliance Database'!$C$2:$C$679,MATCH(331,'Transfer Engine'!$C$2:$C$679,0)))</f>
        <v/>
      </c>
      <c r="D340" s="8">
        <f>IF(ISNA(MATCH(331,'Transfer Engine'!$C$2:$C$679,0)),"",INDEX('Compliance Database'!$D$2:$D$679,MATCH(331,'Transfer Engine'!$C$2:$C$679,0)))</f>
        <v/>
      </c>
      <c r="E340">
        <f>IF(ISNA(MATCH(331,'Transfer Engine'!$C$2:$C$679,0)),"",INDEX('Compliance Database'!$E$2:$E$679,MATCH(331,'Transfer Engine'!$C$2:$C$679,0)))</f>
        <v/>
      </c>
      <c r="F340">
        <f>IF(ISNA(MATCH(331,'Transfer Engine'!$C$2:$C$679,0)),"",INDEX('Compliance Database'!$F$2:$F$679,MATCH(331,'Transfer Engine'!$C$2:$C$679,0)))</f>
        <v/>
      </c>
      <c r="G340">
        <f>IF(ISNA(MATCH(331,'Transfer Engine'!$C$2:$C$679,0)),"",INDEX('Compliance Database'!$G$2:$G$679,MATCH(331,'Transfer Engine'!$C$2:$C$679,0)))</f>
        <v/>
      </c>
      <c r="H340">
        <f>IF(ISNA(MATCH(331,'Transfer Engine'!$C$2:$C$679,0)),"",INDEX('Compliance Database'!$H$2:$H$679,MATCH(331,'Transfer Engine'!$C$2:$C$679,0)))</f>
        <v/>
      </c>
      <c r="I340" s="8">
        <f>IF(ISNA(MATCH(331,'Transfer Engine'!$C$2:$C$679,0)),"",INDEX('Compliance Database'!$I$2:$I$679,MATCH(331,'Transfer Engine'!$C$2:$C$679,0)))</f>
        <v/>
      </c>
      <c r="J340" s="8">
        <f>IF(ISNA(MATCH(331,'Transfer Engine'!$C$2:$C$679,0)),"",INDEX('Compliance Database'!$J$2:$J$679,MATCH(331,'Transfer Engine'!$C$2:$C$679,0)))</f>
        <v/>
      </c>
      <c r="K340">
        <f>IF(ISNA(MATCH(331,'Transfer Engine'!$C$2:$C$679,0)),"",INDEX('Compliance Database'!$K$2:$K$679,MATCH(331,'Transfer Engine'!$C$2:$C$679,0)))</f>
        <v/>
      </c>
      <c r="L340" s="8">
        <f>IF(ISNA(MATCH(331,'Transfer Engine'!$C$2:$C$679,0)),"",INDEX('Compliance Database'!$L$2:$L$679,MATCH(331,'Transfer Engine'!$C$2:$C$679,0)))</f>
        <v/>
      </c>
      <c r="M340" s="8">
        <f>IF(ISNA(MATCH(331,'Transfer Engine'!$C$2:$C$679,0)),"",INDEX('Compliance Database'!$M$2:$M$679,MATCH(331,'Transfer Engine'!$C$2:$C$679,0)))</f>
        <v/>
      </c>
      <c r="N340" s="8">
        <f>IF(ISNA(MATCH(331,'Transfer Engine'!$C$2:$C$679,0)),"",INDEX('Compliance Database'!$N$2:$N$679,MATCH(331,'Transfer Engine'!$C$2:$C$679,0)))</f>
        <v/>
      </c>
      <c r="O340" s="8">
        <f>IF(ISNA(MATCH(331,'Transfer Engine'!$C$2:$C$679,0)),"",INDEX('Compliance Database'!$O$2:$O$679,MATCH(331,'Transfer Engine'!$C$2:$C$679,0)))</f>
        <v/>
      </c>
      <c r="P340">
        <f>IF(ISNA(MATCH(331,'Transfer Engine'!$C$2:$C$679,0)),"",HYPERLINK(INDEX('Compliance Database'!$P$2:$P$679,MATCH(331,'Transfer Engine'!$C$2:$C$679,0)),"Open PDF"))</f>
        <v/>
      </c>
    </row>
    <row r="341">
      <c r="A341">
        <f>IF(ISNA(MATCH(332,'Transfer Engine'!$C$2:$C$679,0)),"",INDEX('Compliance Database'!$A$2:$A$679,MATCH(332,'Transfer Engine'!$C$2:$C$679,0)))</f>
        <v/>
      </c>
      <c r="B341">
        <f>IF(ISNA(MATCH(332,'Transfer Engine'!$C$2:$C$679,0)),"",INDEX('Compliance Database'!$B$2:$B$679,MATCH(332,'Transfer Engine'!$C$2:$C$679,0)))</f>
        <v/>
      </c>
      <c r="C341">
        <f>IF(ISNA(MATCH(332,'Transfer Engine'!$C$2:$C$679,0)),"",INDEX('Compliance Database'!$C$2:$C$679,MATCH(332,'Transfer Engine'!$C$2:$C$679,0)))</f>
        <v/>
      </c>
      <c r="D341" s="8">
        <f>IF(ISNA(MATCH(332,'Transfer Engine'!$C$2:$C$679,0)),"",INDEX('Compliance Database'!$D$2:$D$679,MATCH(332,'Transfer Engine'!$C$2:$C$679,0)))</f>
        <v/>
      </c>
      <c r="E341">
        <f>IF(ISNA(MATCH(332,'Transfer Engine'!$C$2:$C$679,0)),"",INDEX('Compliance Database'!$E$2:$E$679,MATCH(332,'Transfer Engine'!$C$2:$C$679,0)))</f>
        <v/>
      </c>
      <c r="F341">
        <f>IF(ISNA(MATCH(332,'Transfer Engine'!$C$2:$C$679,0)),"",INDEX('Compliance Database'!$F$2:$F$679,MATCH(332,'Transfer Engine'!$C$2:$C$679,0)))</f>
        <v/>
      </c>
      <c r="G341">
        <f>IF(ISNA(MATCH(332,'Transfer Engine'!$C$2:$C$679,0)),"",INDEX('Compliance Database'!$G$2:$G$679,MATCH(332,'Transfer Engine'!$C$2:$C$679,0)))</f>
        <v/>
      </c>
      <c r="H341">
        <f>IF(ISNA(MATCH(332,'Transfer Engine'!$C$2:$C$679,0)),"",INDEX('Compliance Database'!$H$2:$H$679,MATCH(332,'Transfer Engine'!$C$2:$C$679,0)))</f>
        <v/>
      </c>
      <c r="I341" s="8">
        <f>IF(ISNA(MATCH(332,'Transfer Engine'!$C$2:$C$679,0)),"",INDEX('Compliance Database'!$I$2:$I$679,MATCH(332,'Transfer Engine'!$C$2:$C$679,0)))</f>
        <v/>
      </c>
      <c r="J341" s="8">
        <f>IF(ISNA(MATCH(332,'Transfer Engine'!$C$2:$C$679,0)),"",INDEX('Compliance Database'!$J$2:$J$679,MATCH(332,'Transfer Engine'!$C$2:$C$679,0)))</f>
        <v/>
      </c>
      <c r="K341">
        <f>IF(ISNA(MATCH(332,'Transfer Engine'!$C$2:$C$679,0)),"",INDEX('Compliance Database'!$K$2:$K$679,MATCH(332,'Transfer Engine'!$C$2:$C$679,0)))</f>
        <v/>
      </c>
      <c r="L341" s="8">
        <f>IF(ISNA(MATCH(332,'Transfer Engine'!$C$2:$C$679,0)),"",INDEX('Compliance Database'!$L$2:$L$679,MATCH(332,'Transfer Engine'!$C$2:$C$679,0)))</f>
        <v/>
      </c>
      <c r="M341" s="8">
        <f>IF(ISNA(MATCH(332,'Transfer Engine'!$C$2:$C$679,0)),"",INDEX('Compliance Database'!$M$2:$M$679,MATCH(332,'Transfer Engine'!$C$2:$C$679,0)))</f>
        <v/>
      </c>
      <c r="N341" s="8">
        <f>IF(ISNA(MATCH(332,'Transfer Engine'!$C$2:$C$679,0)),"",INDEX('Compliance Database'!$N$2:$N$679,MATCH(332,'Transfer Engine'!$C$2:$C$679,0)))</f>
        <v/>
      </c>
      <c r="O341" s="8">
        <f>IF(ISNA(MATCH(332,'Transfer Engine'!$C$2:$C$679,0)),"",INDEX('Compliance Database'!$O$2:$O$679,MATCH(332,'Transfer Engine'!$C$2:$C$679,0)))</f>
        <v/>
      </c>
      <c r="P341">
        <f>IF(ISNA(MATCH(332,'Transfer Engine'!$C$2:$C$679,0)),"",HYPERLINK(INDEX('Compliance Database'!$P$2:$P$679,MATCH(332,'Transfer Engine'!$C$2:$C$679,0)),"Open PDF"))</f>
        <v/>
      </c>
    </row>
    <row r="342">
      <c r="A342">
        <f>IF(ISNA(MATCH(333,'Transfer Engine'!$C$2:$C$679,0)),"",INDEX('Compliance Database'!$A$2:$A$679,MATCH(333,'Transfer Engine'!$C$2:$C$679,0)))</f>
        <v/>
      </c>
      <c r="B342">
        <f>IF(ISNA(MATCH(333,'Transfer Engine'!$C$2:$C$679,0)),"",INDEX('Compliance Database'!$B$2:$B$679,MATCH(333,'Transfer Engine'!$C$2:$C$679,0)))</f>
        <v/>
      </c>
      <c r="C342">
        <f>IF(ISNA(MATCH(333,'Transfer Engine'!$C$2:$C$679,0)),"",INDEX('Compliance Database'!$C$2:$C$679,MATCH(333,'Transfer Engine'!$C$2:$C$679,0)))</f>
        <v/>
      </c>
      <c r="D342" s="8">
        <f>IF(ISNA(MATCH(333,'Transfer Engine'!$C$2:$C$679,0)),"",INDEX('Compliance Database'!$D$2:$D$679,MATCH(333,'Transfer Engine'!$C$2:$C$679,0)))</f>
        <v/>
      </c>
      <c r="E342">
        <f>IF(ISNA(MATCH(333,'Transfer Engine'!$C$2:$C$679,0)),"",INDEX('Compliance Database'!$E$2:$E$679,MATCH(333,'Transfer Engine'!$C$2:$C$679,0)))</f>
        <v/>
      </c>
      <c r="F342">
        <f>IF(ISNA(MATCH(333,'Transfer Engine'!$C$2:$C$679,0)),"",INDEX('Compliance Database'!$F$2:$F$679,MATCH(333,'Transfer Engine'!$C$2:$C$679,0)))</f>
        <v/>
      </c>
      <c r="G342">
        <f>IF(ISNA(MATCH(333,'Transfer Engine'!$C$2:$C$679,0)),"",INDEX('Compliance Database'!$G$2:$G$679,MATCH(333,'Transfer Engine'!$C$2:$C$679,0)))</f>
        <v/>
      </c>
      <c r="H342">
        <f>IF(ISNA(MATCH(333,'Transfer Engine'!$C$2:$C$679,0)),"",INDEX('Compliance Database'!$H$2:$H$679,MATCH(333,'Transfer Engine'!$C$2:$C$679,0)))</f>
        <v/>
      </c>
      <c r="I342" s="8">
        <f>IF(ISNA(MATCH(333,'Transfer Engine'!$C$2:$C$679,0)),"",INDEX('Compliance Database'!$I$2:$I$679,MATCH(333,'Transfer Engine'!$C$2:$C$679,0)))</f>
        <v/>
      </c>
      <c r="J342" s="8">
        <f>IF(ISNA(MATCH(333,'Transfer Engine'!$C$2:$C$679,0)),"",INDEX('Compliance Database'!$J$2:$J$679,MATCH(333,'Transfer Engine'!$C$2:$C$679,0)))</f>
        <v/>
      </c>
      <c r="K342">
        <f>IF(ISNA(MATCH(333,'Transfer Engine'!$C$2:$C$679,0)),"",INDEX('Compliance Database'!$K$2:$K$679,MATCH(333,'Transfer Engine'!$C$2:$C$679,0)))</f>
        <v/>
      </c>
      <c r="L342" s="8">
        <f>IF(ISNA(MATCH(333,'Transfer Engine'!$C$2:$C$679,0)),"",INDEX('Compliance Database'!$L$2:$L$679,MATCH(333,'Transfer Engine'!$C$2:$C$679,0)))</f>
        <v/>
      </c>
      <c r="M342" s="8">
        <f>IF(ISNA(MATCH(333,'Transfer Engine'!$C$2:$C$679,0)),"",INDEX('Compliance Database'!$M$2:$M$679,MATCH(333,'Transfer Engine'!$C$2:$C$679,0)))</f>
        <v/>
      </c>
      <c r="N342" s="8">
        <f>IF(ISNA(MATCH(333,'Transfer Engine'!$C$2:$C$679,0)),"",INDEX('Compliance Database'!$N$2:$N$679,MATCH(333,'Transfer Engine'!$C$2:$C$679,0)))</f>
        <v/>
      </c>
      <c r="O342" s="8">
        <f>IF(ISNA(MATCH(333,'Transfer Engine'!$C$2:$C$679,0)),"",INDEX('Compliance Database'!$O$2:$O$679,MATCH(333,'Transfer Engine'!$C$2:$C$679,0)))</f>
        <v/>
      </c>
      <c r="P342">
        <f>IF(ISNA(MATCH(333,'Transfer Engine'!$C$2:$C$679,0)),"",HYPERLINK(INDEX('Compliance Database'!$P$2:$P$679,MATCH(333,'Transfer Engine'!$C$2:$C$679,0)),"Open PDF"))</f>
        <v/>
      </c>
    </row>
    <row r="343">
      <c r="A343">
        <f>IF(ISNA(MATCH(334,'Transfer Engine'!$C$2:$C$679,0)),"",INDEX('Compliance Database'!$A$2:$A$679,MATCH(334,'Transfer Engine'!$C$2:$C$679,0)))</f>
        <v/>
      </c>
      <c r="B343">
        <f>IF(ISNA(MATCH(334,'Transfer Engine'!$C$2:$C$679,0)),"",INDEX('Compliance Database'!$B$2:$B$679,MATCH(334,'Transfer Engine'!$C$2:$C$679,0)))</f>
        <v/>
      </c>
      <c r="C343">
        <f>IF(ISNA(MATCH(334,'Transfer Engine'!$C$2:$C$679,0)),"",INDEX('Compliance Database'!$C$2:$C$679,MATCH(334,'Transfer Engine'!$C$2:$C$679,0)))</f>
        <v/>
      </c>
      <c r="D343" s="8">
        <f>IF(ISNA(MATCH(334,'Transfer Engine'!$C$2:$C$679,0)),"",INDEX('Compliance Database'!$D$2:$D$679,MATCH(334,'Transfer Engine'!$C$2:$C$679,0)))</f>
        <v/>
      </c>
      <c r="E343">
        <f>IF(ISNA(MATCH(334,'Transfer Engine'!$C$2:$C$679,0)),"",INDEX('Compliance Database'!$E$2:$E$679,MATCH(334,'Transfer Engine'!$C$2:$C$679,0)))</f>
        <v/>
      </c>
      <c r="F343">
        <f>IF(ISNA(MATCH(334,'Transfer Engine'!$C$2:$C$679,0)),"",INDEX('Compliance Database'!$F$2:$F$679,MATCH(334,'Transfer Engine'!$C$2:$C$679,0)))</f>
        <v/>
      </c>
      <c r="G343">
        <f>IF(ISNA(MATCH(334,'Transfer Engine'!$C$2:$C$679,0)),"",INDEX('Compliance Database'!$G$2:$G$679,MATCH(334,'Transfer Engine'!$C$2:$C$679,0)))</f>
        <v/>
      </c>
      <c r="H343">
        <f>IF(ISNA(MATCH(334,'Transfer Engine'!$C$2:$C$679,0)),"",INDEX('Compliance Database'!$H$2:$H$679,MATCH(334,'Transfer Engine'!$C$2:$C$679,0)))</f>
        <v/>
      </c>
      <c r="I343" s="8">
        <f>IF(ISNA(MATCH(334,'Transfer Engine'!$C$2:$C$679,0)),"",INDEX('Compliance Database'!$I$2:$I$679,MATCH(334,'Transfer Engine'!$C$2:$C$679,0)))</f>
        <v/>
      </c>
      <c r="J343" s="8">
        <f>IF(ISNA(MATCH(334,'Transfer Engine'!$C$2:$C$679,0)),"",INDEX('Compliance Database'!$J$2:$J$679,MATCH(334,'Transfer Engine'!$C$2:$C$679,0)))</f>
        <v/>
      </c>
      <c r="K343">
        <f>IF(ISNA(MATCH(334,'Transfer Engine'!$C$2:$C$679,0)),"",INDEX('Compliance Database'!$K$2:$K$679,MATCH(334,'Transfer Engine'!$C$2:$C$679,0)))</f>
        <v/>
      </c>
      <c r="L343" s="8">
        <f>IF(ISNA(MATCH(334,'Transfer Engine'!$C$2:$C$679,0)),"",INDEX('Compliance Database'!$L$2:$L$679,MATCH(334,'Transfer Engine'!$C$2:$C$679,0)))</f>
        <v/>
      </c>
      <c r="M343" s="8">
        <f>IF(ISNA(MATCH(334,'Transfer Engine'!$C$2:$C$679,0)),"",INDEX('Compliance Database'!$M$2:$M$679,MATCH(334,'Transfer Engine'!$C$2:$C$679,0)))</f>
        <v/>
      </c>
      <c r="N343" s="8">
        <f>IF(ISNA(MATCH(334,'Transfer Engine'!$C$2:$C$679,0)),"",INDEX('Compliance Database'!$N$2:$N$679,MATCH(334,'Transfer Engine'!$C$2:$C$679,0)))</f>
        <v/>
      </c>
      <c r="O343" s="8">
        <f>IF(ISNA(MATCH(334,'Transfer Engine'!$C$2:$C$679,0)),"",INDEX('Compliance Database'!$O$2:$O$679,MATCH(334,'Transfer Engine'!$C$2:$C$679,0)))</f>
        <v/>
      </c>
      <c r="P343">
        <f>IF(ISNA(MATCH(334,'Transfer Engine'!$C$2:$C$679,0)),"",HYPERLINK(INDEX('Compliance Database'!$P$2:$P$679,MATCH(334,'Transfer Engine'!$C$2:$C$679,0)),"Open PDF"))</f>
        <v/>
      </c>
    </row>
    <row r="344">
      <c r="A344">
        <f>IF(ISNA(MATCH(335,'Transfer Engine'!$C$2:$C$679,0)),"",INDEX('Compliance Database'!$A$2:$A$679,MATCH(335,'Transfer Engine'!$C$2:$C$679,0)))</f>
        <v/>
      </c>
      <c r="B344">
        <f>IF(ISNA(MATCH(335,'Transfer Engine'!$C$2:$C$679,0)),"",INDEX('Compliance Database'!$B$2:$B$679,MATCH(335,'Transfer Engine'!$C$2:$C$679,0)))</f>
        <v/>
      </c>
      <c r="C344">
        <f>IF(ISNA(MATCH(335,'Transfer Engine'!$C$2:$C$679,0)),"",INDEX('Compliance Database'!$C$2:$C$679,MATCH(335,'Transfer Engine'!$C$2:$C$679,0)))</f>
        <v/>
      </c>
      <c r="D344" s="8">
        <f>IF(ISNA(MATCH(335,'Transfer Engine'!$C$2:$C$679,0)),"",INDEX('Compliance Database'!$D$2:$D$679,MATCH(335,'Transfer Engine'!$C$2:$C$679,0)))</f>
        <v/>
      </c>
      <c r="E344">
        <f>IF(ISNA(MATCH(335,'Transfer Engine'!$C$2:$C$679,0)),"",INDEX('Compliance Database'!$E$2:$E$679,MATCH(335,'Transfer Engine'!$C$2:$C$679,0)))</f>
        <v/>
      </c>
      <c r="F344">
        <f>IF(ISNA(MATCH(335,'Transfer Engine'!$C$2:$C$679,0)),"",INDEX('Compliance Database'!$F$2:$F$679,MATCH(335,'Transfer Engine'!$C$2:$C$679,0)))</f>
        <v/>
      </c>
      <c r="G344">
        <f>IF(ISNA(MATCH(335,'Transfer Engine'!$C$2:$C$679,0)),"",INDEX('Compliance Database'!$G$2:$G$679,MATCH(335,'Transfer Engine'!$C$2:$C$679,0)))</f>
        <v/>
      </c>
      <c r="H344">
        <f>IF(ISNA(MATCH(335,'Transfer Engine'!$C$2:$C$679,0)),"",INDEX('Compliance Database'!$H$2:$H$679,MATCH(335,'Transfer Engine'!$C$2:$C$679,0)))</f>
        <v/>
      </c>
      <c r="I344" s="8">
        <f>IF(ISNA(MATCH(335,'Transfer Engine'!$C$2:$C$679,0)),"",INDEX('Compliance Database'!$I$2:$I$679,MATCH(335,'Transfer Engine'!$C$2:$C$679,0)))</f>
        <v/>
      </c>
      <c r="J344" s="8">
        <f>IF(ISNA(MATCH(335,'Transfer Engine'!$C$2:$C$679,0)),"",INDEX('Compliance Database'!$J$2:$J$679,MATCH(335,'Transfer Engine'!$C$2:$C$679,0)))</f>
        <v/>
      </c>
      <c r="K344">
        <f>IF(ISNA(MATCH(335,'Transfer Engine'!$C$2:$C$679,0)),"",INDEX('Compliance Database'!$K$2:$K$679,MATCH(335,'Transfer Engine'!$C$2:$C$679,0)))</f>
        <v/>
      </c>
      <c r="L344" s="8">
        <f>IF(ISNA(MATCH(335,'Transfer Engine'!$C$2:$C$679,0)),"",INDEX('Compliance Database'!$L$2:$L$679,MATCH(335,'Transfer Engine'!$C$2:$C$679,0)))</f>
        <v/>
      </c>
      <c r="M344" s="8">
        <f>IF(ISNA(MATCH(335,'Transfer Engine'!$C$2:$C$679,0)),"",INDEX('Compliance Database'!$M$2:$M$679,MATCH(335,'Transfer Engine'!$C$2:$C$679,0)))</f>
        <v/>
      </c>
      <c r="N344" s="8">
        <f>IF(ISNA(MATCH(335,'Transfer Engine'!$C$2:$C$679,0)),"",INDEX('Compliance Database'!$N$2:$N$679,MATCH(335,'Transfer Engine'!$C$2:$C$679,0)))</f>
        <v/>
      </c>
      <c r="O344" s="8">
        <f>IF(ISNA(MATCH(335,'Transfer Engine'!$C$2:$C$679,0)),"",INDEX('Compliance Database'!$O$2:$O$679,MATCH(335,'Transfer Engine'!$C$2:$C$679,0)))</f>
        <v/>
      </c>
      <c r="P344">
        <f>IF(ISNA(MATCH(335,'Transfer Engine'!$C$2:$C$679,0)),"",HYPERLINK(INDEX('Compliance Database'!$P$2:$P$679,MATCH(335,'Transfer Engine'!$C$2:$C$679,0)),"Open PDF"))</f>
        <v/>
      </c>
    </row>
    <row r="345">
      <c r="A345">
        <f>IF(ISNA(MATCH(336,'Transfer Engine'!$C$2:$C$679,0)),"",INDEX('Compliance Database'!$A$2:$A$679,MATCH(336,'Transfer Engine'!$C$2:$C$679,0)))</f>
        <v/>
      </c>
      <c r="B345">
        <f>IF(ISNA(MATCH(336,'Transfer Engine'!$C$2:$C$679,0)),"",INDEX('Compliance Database'!$B$2:$B$679,MATCH(336,'Transfer Engine'!$C$2:$C$679,0)))</f>
        <v/>
      </c>
      <c r="C345">
        <f>IF(ISNA(MATCH(336,'Transfer Engine'!$C$2:$C$679,0)),"",INDEX('Compliance Database'!$C$2:$C$679,MATCH(336,'Transfer Engine'!$C$2:$C$679,0)))</f>
        <v/>
      </c>
      <c r="D345" s="8">
        <f>IF(ISNA(MATCH(336,'Transfer Engine'!$C$2:$C$679,0)),"",INDEX('Compliance Database'!$D$2:$D$679,MATCH(336,'Transfer Engine'!$C$2:$C$679,0)))</f>
        <v/>
      </c>
      <c r="E345">
        <f>IF(ISNA(MATCH(336,'Transfer Engine'!$C$2:$C$679,0)),"",INDEX('Compliance Database'!$E$2:$E$679,MATCH(336,'Transfer Engine'!$C$2:$C$679,0)))</f>
        <v/>
      </c>
      <c r="F345">
        <f>IF(ISNA(MATCH(336,'Transfer Engine'!$C$2:$C$679,0)),"",INDEX('Compliance Database'!$F$2:$F$679,MATCH(336,'Transfer Engine'!$C$2:$C$679,0)))</f>
        <v/>
      </c>
      <c r="G345">
        <f>IF(ISNA(MATCH(336,'Transfer Engine'!$C$2:$C$679,0)),"",INDEX('Compliance Database'!$G$2:$G$679,MATCH(336,'Transfer Engine'!$C$2:$C$679,0)))</f>
        <v/>
      </c>
      <c r="H345">
        <f>IF(ISNA(MATCH(336,'Transfer Engine'!$C$2:$C$679,0)),"",INDEX('Compliance Database'!$H$2:$H$679,MATCH(336,'Transfer Engine'!$C$2:$C$679,0)))</f>
        <v/>
      </c>
      <c r="I345" s="8">
        <f>IF(ISNA(MATCH(336,'Transfer Engine'!$C$2:$C$679,0)),"",INDEX('Compliance Database'!$I$2:$I$679,MATCH(336,'Transfer Engine'!$C$2:$C$679,0)))</f>
        <v/>
      </c>
      <c r="J345" s="8">
        <f>IF(ISNA(MATCH(336,'Transfer Engine'!$C$2:$C$679,0)),"",INDEX('Compliance Database'!$J$2:$J$679,MATCH(336,'Transfer Engine'!$C$2:$C$679,0)))</f>
        <v/>
      </c>
      <c r="K345">
        <f>IF(ISNA(MATCH(336,'Transfer Engine'!$C$2:$C$679,0)),"",INDEX('Compliance Database'!$K$2:$K$679,MATCH(336,'Transfer Engine'!$C$2:$C$679,0)))</f>
        <v/>
      </c>
      <c r="L345" s="8">
        <f>IF(ISNA(MATCH(336,'Transfer Engine'!$C$2:$C$679,0)),"",INDEX('Compliance Database'!$L$2:$L$679,MATCH(336,'Transfer Engine'!$C$2:$C$679,0)))</f>
        <v/>
      </c>
      <c r="M345" s="8">
        <f>IF(ISNA(MATCH(336,'Transfer Engine'!$C$2:$C$679,0)),"",INDEX('Compliance Database'!$M$2:$M$679,MATCH(336,'Transfer Engine'!$C$2:$C$679,0)))</f>
        <v/>
      </c>
      <c r="N345" s="8">
        <f>IF(ISNA(MATCH(336,'Transfer Engine'!$C$2:$C$679,0)),"",INDEX('Compliance Database'!$N$2:$N$679,MATCH(336,'Transfer Engine'!$C$2:$C$679,0)))</f>
        <v/>
      </c>
      <c r="O345" s="8">
        <f>IF(ISNA(MATCH(336,'Transfer Engine'!$C$2:$C$679,0)),"",INDEX('Compliance Database'!$O$2:$O$679,MATCH(336,'Transfer Engine'!$C$2:$C$679,0)))</f>
        <v/>
      </c>
      <c r="P345">
        <f>IF(ISNA(MATCH(336,'Transfer Engine'!$C$2:$C$679,0)),"",HYPERLINK(INDEX('Compliance Database'!$P$2:$P$679,MATCH(336,'Transfer Engine'!$C$2:$C$679,0)),"Open PDF"))</f>
        <v/>
      </c>
    </row>
    <row r="346">
      <c r="A346">
        <f>IF(ISNA(MATCH(337,'Transfer Engine'!$C$2:$C$679,0)),"",INDEX('Compliance Database'!$A$2:$A$679,MATCH(337,'Transfer Engine'!$C$2:$C$679,0)))</f>
        <v/>
      </c>
      <c r="B346">
        <f>IF(ISNA(MATCH(337,'Transfer Engine'!$C$2:$C$679,0)),"",INDEX('Compliance Database'!$B$2:$B$679,MATCH(337,'Transfer Engine'!$C$2:$C$679,0)))</f>
        <v/>
      </c>
      <c r="C346">
        <f>IF(ISNA(MATCH(337,'Transfer Engine'!$C$2:$C$679,0)),"",INDEX('Compliance Database'!$C$2:$C$679,MATCH(337,'Transfer Engine'!$C$2:$C$679,0)))</f>
        <v/>
      </c>
      <c r="D346" s="8">
        <f>IF(ISNA(MATCH(337,'Transfer Engine'!$C$2:$C$679,0)),"",INDEX('Compliance Database'!$D$2:$D$679,MATCH(337,'Transfer Engine'!$C$2:$C$679,0)))</f>
        <v/>
      </c>
      <c r="E346">
        <f>IF(ISNA(MATCH(337,'Transfer Engine'!$C$2:$C$679,0)),"",INDEX('Compliance Database'!$E$2:$E$679,MATCH(337,'Transfer Engine'!$C$2:$C$679,0)))</f>
        <v/>
      </c>
      <c r="F346">
        <f>IF(ISNA(MATCH(337,'Transfer Engine'!$C$2:$C$679,0)),"",INDEX('Compliance Database'!$F$2:$F$679,MATCH(337,'Transfer Engine'!$C$2:$C$679,0)))</f>
        <v/>
      </c>
      <c r="G346">
        <f>IF(ISNA(MATCH(337,'Transfer Engine'!$C$2:$C$679,0)),"",INDEX('Compliance Database'!$G$2:$G$679,MATCH(337,'Transfer Engine'!$C$2:$C$679,0)))</f>
        <v/>
      </c>
      <c r="H346">
        <f>IF(ISNA(MATCH(337,'Transfer Engine'!$C$2:$C$679,0)),"",INDEX('Compliance Database'!$H$2:$H$679,MATCH(337,'Transfer Engine'!$C$2:$C$679,0)))</f>
        <v/>
      </c>
      <c r="I346" s="8">
        <f>IF(ISNA(MATCH(337,'Transfer Engine'!$C$2:$C$679,0)),"",INDEX('Compliance Database'!$I$2:$I$679,MATCH(337,'Transfer Engine'!$C$2:$C$679,0)))</f>
        <v/>
      </c>
      <c r="J346" s="8">
        <f>IF(ISNA(MATCH(337,'Transfer Engine'!$C$2:$C$679,0)),"",INDEX('Compliance Database'!$J$2:$J$679,MATCH(337,'Transfer Engine'!$C$2:$C$679,0)))</f>
        <v/>
      </c>
      <c r="K346">
        <f>IF(ISNA(MATCH(337,'Transfer Engine'!$C$2:$C$679,0)),"",INDEX('Compliance Database'!$K$2:$K$679,MATCH(337,'Transfer Engine'!$C$2:$C$679,0)))</f>
        <v/>
      </c>
      <c r="L346" s="8">
        <f>IF(ISNA(MATCH(337,'Transfer Engine'!$C$2:$C$679,0)),"",INDEX('Compliance Database'!$L$2:$L$679,MATCH(337,'Transfer Engine'!$C$2:$C$679,0)))</f>
        <v/>
      </c>
      <c r="M346" s="8">
        <f>IF(ISNA(MATCH(337,'Transfer Engine'!$C$2:$C$679,0)),"",INDEX('Compliance Database'!$M$2:$M$679,MATCH(337,'Transfer Engine'!$C$2:$C$679,0)))</f>
        <v/>
      </c>
      <c r="N346" s="8">
        <f>IF(ISNA(MATCH(337,'Transfer Engine'!$C$2:$C$679,0)),"",INDEX('Compliance Database'!$N$2:$N$679,MATCH(337,'Transfer Engine'!$C$2:$C$679,0)))</f>
        <v/>
      </c>
      <c r="O346" s="8">
        <f>IF(ISNA(MATCH(337,'Transfer Engine'!$C$2:$C$679,0)),"",INDEX('Compliance Database'!$O$2:$O$679,MATCH(337,'Transfer Engine'!$C$2:$C$679,0)))</f>
        <v/>
      </c>
      <c r="P346">
        <f>IF(ISNA(MATCH(337,'Transfer Engine'!$C$2:$C$679,0)),"",HYPERLINK(INDEX('Compliance Database'!$P$2:$P$679,MATCH(337,'Transfer Engine'!$C$2:$C$679,0)),"Open PDF"))</f>
        <v/>
      </c>
    </row>
    <row r="347">
      <c r="A347">
        <f>IF(ISNA(MATCH(338,'Transfer Engine'!$C$2:$C$679,0)),"",INDEX('Compliance Database'!$A$2:$A$679,MATCH(338,'Transfer Engine'!$C$2:$C$679,0)))</f>
        <v/>
      </c>
      <c r="B347">
        <f>IF(ISNA(MATCH(338,'Transfer Engine'!$C$2:$C$679,0)),"",INDEX('Compliance Database'!$B$2:$B$679,MATCH(338,'Transfer Engine'!$C$2:$C$679,0)))</f>
        <v/>
      </c>
      <c r="C347">
        <f>IF(ISNA(MATCH(338,'Transfer Engine'!$C$2:$C$679,0)),"",INDEX('Compliance Database'!$C$2:$C$679,MATCH(338,'Transfer Engine'!$C$2:$C$679,0)))</f>
        <v/>
      </c>
      <c r="D347" s="8">
        <f>IF(ISNA(MATCH(338,'Transfer Engine'!$C$2:$C$679,0)),"",INDEX('Compliance Database'!$D$2:$D$679,MATCH(338,'Transfer Engine'!$C$2:$C$679,0)))</f>
        <v/>
      </c>
      <c r="E347">
        <f>IF(ISNA(MATCH(338,'Transfer Engine'!$C$2:$C$679,0)),"",INDEX('Compliance Database'!$E$2:$E$679,MATCH(338,'Transfer Engine'!$C$2:$C$679,0)))</f>
        <v/>
      </c>
      <c r="F347">
        <f>IF(ISNA(MATCH(338,'Transfer Engine'!$C$2:$C$679,0)),"",INDEX('Compliance Database'!$F$2:$F$679,MATCH(338,'Transfer Engine'!$C$2:$C$679,0)))</f>
        <v/>
      </c>
      <c r="G347">
        <f>IF(ISNA(MATCH(338,'Transfer Engine'!$C$2:$C$679,0)),"",INDEX('Compliance Database'!$G$2:$G$679,MATCH(338,'Transfer Engine'!$C$2:$C$679,0)))</f>
        <v/>
      </c>
      <c r="H347">
        <f>IF(ISNA(MATCH(338,'Transfer Engine'!$C$2:$C$679,0)),"",INDEX('Compliance Database'!$H$2:$H$679,MATCH(338,'Transfer Engine'!$C$2:$C$679,0)))</f>
        <v/>
      </c>
      <c r="I347" s="8">
        <f>IF(ISNA(MATCH(338,'Transfer Engine'!$C$2:$C$679,0)),"",INDEX('Compliance Database'!$I$2:$I$679,MATCH(338,'Transfer Engine'!$C$2:$C$679,0)))</f>
        <v/>
      </c>
      <c r="J347" s="8">
        <f>IF(ISNA(MATCH(338,'Transfer Engine'!$C$2:$C$679,0)),"",INDEX('Compliance Database'!$J$2:$J$679,MATCH(338,'Transfer Engine'!$C$2:$C$679,0)))</f>
        <v/>
      </c>
      <c r="K347">
        <f>IF(ISNA(MATCH(338,'Transfer Engine'!$C$2:$C$679,0)),"",INDEX('Compliance Database'!$K$2:$K$679,MATCH(338,'Transfer Engine'!$C$2:$C$679,0)))</f>
        <v/>
      </c>
      <c r="L347" s="8">
        <f>IF(ISNA(MATCH(338,'Transfer Engine'!$C$2:$C$679,0)),"",INDEX('Compliance Database'!$L$2:$L$679,MATCH(338,'Transfer Engine'!$C$2:$C$679,0)))</f>
        <v/>
      </c>
      <c r="M347" s="8">
        <f>IF(ISNA(MATCH(338,'Transfer Engine'!$C$2:$C$679,0)),"",INDEX('Compliance Database'!$M$2:$M$679,MATCH(338,'Transfer Engine'!$C$2:$C$679,0)))</f>
        <v/>
      </c>
      <c r="N347" s="8">
        <f>IF(ISNA(MATCH(338,'Transfer Engine'!$C$2:$C$679,0)),"",INDEX('Compliance Database'!$N$2:$N$679,MATCH(338,'Transfer Engine'!$C$2:$C$679,0)))</f>
        <v/>
      </c>
      <c r="O347" s="8">
        <f>IF(ISNA(MATCH(338,'Transfer Engine'!$C$2:$C$679,0)),"",INDEX('Compliance Database'!$O$2:$O$679,MATCH(338,'Transfer Engine'!$C$2:$C$679,0)))</f>
        <v/>
      </c>
      <c r="P347">
        <f>IF(ISNA(MATCH(338,'Transfer Engine'!$C$2:$C$679,0)),"",HYPERLINK(INDEX('Compliance Database'!$P$2:$P$679,MATCH(338,'Transfer Engine'!$C$2:$C$679,0)),"Open PDF"))</f>
        <v/>
      </c>
    </row>
    <row r="348">
      <c r="A348">
        <f>IF(ISNA(MATCH(339,'Transfer Engine'!$C$2:$C$679,0)),"",INDEX('Compliance Database'!$A$2:$A$679,MATCH(339,'Transfer Engine'!$C$2:$C$679,0)))</f>
        <v/>
      </c>
      <c r="B348">
        <f>IF(ISNA(MATCH(339,'Transfer Engine'!$C$2:$C$679,0)),"",INDEX('Compliance Database'!$B$2:$B$679,MATCH(339,'Transfer Engine'!$C$2:$C$679,0)))</f>
        <v/>
      </c>
      <c r="C348">
        <f>IF(ISNA(MATCH(339,'Transfer Engine'!$C$2:$C$679,0)),"",INDEX('Compliance Database'!$C$2:$C$679,MATCH(339,'Transfer Engine'!$C$2:$C$679,0)))</f>
        <v/>
      </c>
      <c r="D348" s="8">
        <f>IF(ISNA(MATCH(339,'Transfer Engine'!$C$2:$C$679,0)),"",INDEX('Compliance Database'!$D$2:$D$679,MATCH(339,'Transfer Engine'!$C$2:$C$679,0)))</f>
        <v/>
      </c>
      <c r="E348">
        <f>IF(ISNA(MATCH(339,'Transfer Engine'!$C$2:$C$679,0)),"",INDEX('Compliance Database'!$E$2:$E$679,MATCH(339,'Transfer Engine'!$C$2:$C$679,0)))</f>
        <v/>
      </c>
      <c r="F348">
        <f>IF(ISNA(MATCH(339,'Transfer Engine'!$C$2:$C$679,0)),"",INDEX('Compliance Database'!$F$2:$F$679,MATCH(339,'Transfer Engine'!$C$2:$C$679,0)))</f>
        <v/>
      </c>
      <c r="G348">
        <f>IF(ISNA(MATCH(339,'Transfer Engine'!$C$2:$C$679,0)),"",INDEX('Compliance Database'!$G$2:$G$679,MATCH(339,'Transfer Engine'!$C$2:$C$679,0)))</f>
        <v/>
      </c>
      <c r="H348">
        <f>IF(ISNA(MATCH(339,'Transfer Engine'!$C$2:$C$679,0)),"",INDEX('Compliance Database'!$H$2:$H$679,MATCH(339,'Transfer Engine'!$C$2:$C$679,0)))</f>
        <v/>
      </c>
      <c r="I348" s="8">
        <f>IF(ISNA(MATCH(339,'Transfer Engine'!$C$2:$C$679,0)),"",INDEX('Compliance Database'!$I$2:$I$679,MATCH(339,'Transfer Engine'!$C$2:$C$679,0)))</f>
        <v/>
      </c>
      <c r="J348" s="8">
        <f>IF(ISNA(MATCH(339,'Transfer Engine'!$C$2:$C$679,0)),"",INDEX('Compliance Database'!$J$2:$J$679,MATCH(339,'Transfer Engine'!$C$2:$C$679,0)))</f>
        <v/>
      </c>
      <c r="K348">
        <f>IF(ISNA(MATCH(339,'Transfer Engine'!$C$2:$C$679,0)),"",INDEX('Compliance Database'!$K$2:$K$679,MATCH(339,'Transfer Engine'!$C$2:$C$679,0)))</f>
        <v/>
      </c>
      <c r="L348" s="8">
        <f>IF(ISNA(MATCH(339,'Transfer Engine'!$C$2:$C$679,0)),"",INDEX('Compliance Database'!$L$2:$L$679,MATCH(339,'Transfer Engine'!$C$2:$C$679,0)))</f>
        <v/>
      </c>
      <c r="M348" s="8">
        <f>IF(ISNA(MATCH(339,'Transfer Engine'!$C$2:$C$679,0)),"",INDEX('Compliance Database'!$M$2:$M$679,MATCH(339,'Transfer Engine'!$C$2:$C$679,0)))</f>
        <v/>
      </c>
      <c r="N348" s="8">
        <f>IF(ISNA(MATCH(339,'Transfer Engine'!$C$2:$C$679,0)),"",INDEX('Compliance Database'!$N$2:$N$679,MATCH(339,'Transfer Engine'!$C$2:$C$679,0)))</f>
        <v/>
      </c>
      <c r="O348" s="8">
        <f>IF(ISNA(MATCH(339,'Transfer Engine'!$C$2:$C$679,0)),"",INDEX('Compliance Database'!$O$2:$O$679,MATCH(339,'Transfer Engine'!$C$2:$C$679,0)))</f>
        <v/>
      </c>
      <c r="P348">
        <f>IF(ISNA(MATCH(339,'Transfer Engine'!$C$2:$C$679,0)),"",HYPERLINK(INDEX('Compliance Database'!$P$2:$P$679,MATCH(339,'Transfer Engine'!$C$2:$C$679,0)),"Open PDF"))</f>
        <v/>
      </c>
    </row>
    <row r="349">
      <c r="A349">
        <f>IF(ISNA(MATCH(340,'Transfer Engine'!$C$2:$C$679,0)),"",INDEX('Compliance Database'!$A$2:$A$679,MATCH(340,'Transfer Engine'!$C$2:$C$679,0)))</f>
        <v/>
      </c>
      <c r="B349">
        <f>IF(ISNA(MATCH(340,'Transfer Engine'!$C$2:$C$679,0)),"",INDEX('Compliance Database'!$B$2:$B$679,MATCH(340,'Transfer Engine'!$C$2:$C$679,0)))</f>
        <v/>
      </c>
      <c r="C349">
        <f>IF(ISNA(MATCH(340,'Transfer Engine'!$C$2:$C$679,0)),"",INDEX('Compliance Database'!$C$2:$C$679,MATCH(340,'Transfer Engine'!$C$2:$C$679,0)))</f>
        <v/>
      </c>
      <c r="D349" s="8">
        <f>IF(ISNA(MATCH(340,'Transfer Engine'!$C$2:$C$679,0)),"",INDEX('Compliance Database'!$D$2:$D$679,MATCH(340,'Transfer Engine'!$C$2:$C$679,0)))</f>
        <v/>
      </c>
      <c r="E349">
        <f>IF(ISNA(MATCH(340,'Transfer Engine'!$C$2:$C$679,0)),"",INDEX('Compliance Database'!$E$2:$E$679,MATCH(340,'Transfer Engine'!$C$2:$C$679,0)))</f>
        <v/>
      </c>
      <c r="F349">
        <f>IF(ISNA(MATCH(340,'Transfer Engine'!$C$2:$C$679,0)),"",INDEX('Compliance Database'!$F$2:$F$679,MATCH(340,'Transfer Engine'!$C$2:$C$679,0)))</f>
        <v/>
      </c>
      <c r="G349">
        <f>IF(ISNA(MATCH(340,'Transfer Engine'!$C$2:$C$679,0)),"",INDEX('Compliance Database'!$G$2:$G$679,MATCH(340,'Transfer Engine'!$C$2:$C$679,0)))</f>
        <v/>
      </c>
      <c r="H349">
        <f>IF(ISNA(MATCH(340,'Transfer Engine'!$C$2:$C$679,0)),"",INDEX('Compliance Database'!$H$2:$H$679,MATCH(340,'Transfer Engine'!$C$2:$C$679,0)))</f>
        <v/>
      </c>
      <c r="I349" s="8">
        <f>IF(ISNA(MATCH(340,'Transfer Engine'!$C$2:$C$679,0)),"",INDEX('Compliance Database'!$I$2:$I$679,MATCH(340,'Transfer Engine'!$C$2:$C$679,0)))</f>
        <v/>
      </c>
      <c r="J349" s="8">
        <f>IF(ISNA(MATCH(340,'Transfer Engine'!$C$2:$C$679,0)),"",INDEX('Compliance Database'!$J$2:$J$679,MATCH(340,'Transfer Engine'!$C$2:$C$679,0)))</f>
        <v/>
      </c>
      <c r="K349">
        <f>IF(ISNA(MATCH(340,'Transfer Engine'!$C$2:$C$679,0)),"",INDEX('Compliance Database'!$K$2:$K$679,MATCH(340,'Transfer Engine'!$C$2:$C$679,0)))</f>
        <v/>
      </c>
      <c r="L349" s="8">
        <f>IF(ISNA(MATCH(340,'Transfer Engine'!$C$2:$C$679,0)),"",INDEX('Compliance Database'!$L$2:$L$679,MATCH(340,'Transfer Engine'!$C$2:$C$679,0)))</f>
        <v/>
      </c>
      <c r="M349" s="8">
        <f>IF(ISNA(MATCH(340,'Transfer Engine'!$C$2:$C$679,0)),"",INDEX('Compliance Database'!$M$2:$M$679,MATCH(340,'Transfer Engine'!$C$2:$C$679,0)))</f>
        <v/>
      </c>
      <c r="N349" s="8">
        <f>IF(ISNA(MATCH(340,'Transfer Engine'!$C$2:$C$679,0)),"",INDEX('Compliance Database'!$N$2:$N$679,MATCH(340,'Transfer Engine'!$C$2:$C$679,0)))</f>
        <v/>
      </c>
      <c r="O349" s="8">
        <f>IF(ISNA(MATCH(340,'Transfer Engine'!$C$2:$C$679,0)),"",INDEX('Compliance Database'!$O$2:$O$679,MATCH(340,'Transfer Engine'!$C$2:$C$679,0)))</f>
        <v/>
      </c>
      <c r="P349">
        <f>IF(ISNA(MATCH(340,'Transfer Engine'!$C$2:$C$679,0)),"",HYPERLINK(INDEX('Compliance Database'!$P$2:$P$679,MATCH(340,'Transfer Engine'!$C$2:$C$679,0)),"Open PDF"))</f>
        <v/>
      </c>
    </row>
    <row r="350">
      <c r="A350">
        <f>IF(ISNA(MATCH(341,'Transfer Engine'!$C$2:$C$679,0)),"",INDEX('Compliance Database'!$A$2:$A$679,MATCH(341,'Transfer Engine'!$C$2:$C$679,0)))</f>
        <v/>
      </c>
      <c r="B350">
        <f>IF(ISNA(MATCH(341,'Transfer Engine'!$C$2:$C$679,0)),"",INDEX('Compliance Database'!$B$2:$B$679,MATCH(341,'Transfer Engine'!$C$2:$C$679,0)))</f>
        <v/>
      </c>
      <c r="C350">
        <f>IF(ISNA(MATCH(341,'Transfer Engine'!$C$2:$C$679,0)),"",INDEX('Compliance Database'!$C$2:$C$679,MATCH(341,'Transfer Engine'!$C$2:$C$679,0)))</f>
        <v/>
      </c>
      <c r="D350" s="8">
        <f>IF(ISNA(MATCH(341,'Transfer Engine'!$C$2:$C$679,0)),"",INDEX('Compliance Database'!$D$2:$D$679,MATCH(341,'Transfer Engine'!$C$2:$C$679,0)))</f>
        <v/>
      </c>
      <c r="E350">
        <f>IF(ISNA(MATCH(341,'Transfer Engine'!$C$2:$C$679,0)),"",INDEX('Compliance Database'!$E$2:$E$679,MATCH(341,'Transfer Engine'!$C$2:$C$679,0)))</f>
        <v/>
      </c>
      <c r="F350">
        <f>IF(ISNA(MATCH(341,'Transfer Engine'!$C$2:$C$679,0)),"",INDEX('Compliance Database'!$F$2:$F$679,MATCH(341,'Transfer Engine'!$C$2:$C$679,0)))</f>
        <v/>
      </c>
      <c r="G350">
        <f>IF(ISNA(MATCH(341,'Transfer Engine'!$C$2:$C$679,0)),"",INDEX('Compliance Database'!$G$2:$G$679,MATCH(341,'Transfer Engine'!$C$2:$C$679,0)))</f>
        <v/>
      </c>
      <c r="H350">
        <f>IF(ISNA(MATCH(341,'Transfer Engine'!$C$2:$C$679,0)),"",INDEX('Compliance Database'!$H$2:$H$679,MATCH(341,'Transfer Engine'!$C$2:$C$679,0)))</f>
        <v/>
      </c>
      <c r="I350" s="8">
        <f>IF(ISNA(MATCH(341,'Transfer Engine'!$C$2:$C$679,0)),"",INDEX('Compliance Database'!$I$2:$I$679,MATCH(341,'Transfer Engine'!$C$2:$C$679,0)))</f>
        <v/>
      </c>
      <c r="J350" s="8">
        <f>IF(ISNA(MATCH(341,'Transfer Engine'!$C$2:$C$679,0)),"",INDEX('Compliance Database'!$J$2:$J$679,MATCH(341,'Transfer Engine'!$C$2:$C$679,0)))</f>
        <v/>
      </c>
      <c r="K350">
        <f>IF(ISNA(MATCH(341,'Transfer Engine'!$C$2:$C$679,0)),"",INDEX('Compliance Database'!$K$2:$K$679,MATCH(341,'Transfer Engine'!$C$2:$C$679,0)))</f>
        <v/>
      </c>
      <c r="L350" s="8">
        <f>IF(ISNA(MATCH(341,'Transfer Engine'!$C$2:$C$679,0)),"",INDEX('Compliance Database'!$L$2:$L$679,MATCH(341,'Transfer Engine'!$C$2:$C$679,0)))</f>
        <v/>
      </c>
      <c r="M350" s="8">
        <f>IF(ISNA(MATCH(341,'Transfer Engine'!$C$2:$C$679,0)),"",INDEX('Compliance Database'!$M$2:$M$679,MATCH(341,'Transfer Engine'!$C$2:$C$679,0)))</f>
        <v/>
      </c>
      <c r="N350" s="8">
        <f>IF(ISNA(MATCH(341,'Transfer Engine'!$C$2:$C$679,0)),"",INDEX('Compliance Database'!$N$2:$N$679,MATCH(341,'Transfer Engine'!$C$2:$C$679,0)))</f>
        <v/>
      </c>
      <c r="O350" s="8">
        <f>IF(ISNA(MATCH(341,'Transfer Engine'!$C$2:$C$679,0)),"",INDEX('Compliance Database'!$O$2:$O$679,MATCH(341,'Transfer Engine'!$C$2:$C$679,0)))</f>
        <v/>
      </c>
      <c r="P350">
        <f>IF(ISNA(MATCH(341,'Transfer Engine'!$C$2:$C$679,0)),"",HYPERLINK(INDEX('Compliance Database'!$P$2:$P$679,MATCH(341,'Transfer Engine'!$C$2:$C$679,0)),"Open PDF"))</f>
        <v/>
      </c>
    </row>
    <row r="351">
      <c r="A351">
        <f>IF(ISNA(MATCH(342,'Transfer Engine'!$C$2:$C$679,0)),"",INDEX('Compliance Database'!$A$2:$A$679,MATCH(342,'Transfer Engine'!$C$2:$C$679,0)))</f>
        <v/>
      </c>
      <c r="B351">
        <f>IF(ISNA(MATCH(342,'Transfer Engine'!$C$2:$C$679,0)),"",INDEX('Compliance Database'!$B$2:$B$679,MATCH(342,'Transfer Engine'!$C$2:$C$679,0)))</f>
        <v/>
      </c>
      <c r="C351">
        <f>IF(ISNA(MATCH(342,'Transfer Engine'!$C$2:$C$679,0)),"",INDEX('Compliance Database'!$C$2:$C$679,MATCH(342,'Transfer Engine'!$C$2:$C$679,0)))</f>
        <v/>
      </c>
      <c r="D351" s="8">
        <f>IF(ISNA(MATCH(342,'Transfer Engine'!$C$2:$C$679,0)),"",INDEX('Compliance Database'!$D$2:$D$679,MATCH(342,'Transfer Engine'!$C$2:$C$679,0)))</f>
        <v/>
      </c>
      <c r="E351">
        <f>IF(ISNA(MATCH(342,'Transfer Engine'!$C$2:$C$679,0)),"",INDEX('Compliance Database'!$E$2:$E$679,MATCH(342,'Transfer Engine'!$C$2:$C$679,0)))</f>
        <v/>
      </c>
      <c r="F351">
        <f>IF(ISNA(MATCH(342,'Transfer Engine'!$C$2:$C$679,0)),"",INDEX('Compliance Database'!$F$2:$F$679,MATCH(342,'Transfer Engine'!$C$2:$C$679,0)))</f>
        <v/>
      </c>
      <c r="G351">
        <f>IF(ISNA(MATCH(342,'Transfer Engine'!$C$2:$C$679,0)),"",INDEX('Compliance Database'!$G$2:$G$679,MATCH(342,'Transfer Engine'!$C$2:$C$679,0)))</f>
        <v/>
      </c>
      <c r="H351">
        <f>IF(ISNA(MATCH(342,'Transfer Engine'!$C$2:$C$679,0)),"",INDEX('Compliance Database'!$H$2:$H$679,MATCH(342,'Transfer Engine'!$C$2:$C$679,0)))</f>
        <v/>
      </c>
      <c r="I351" s="8">
        <f>IF(ISNA(MATCH(342,'Transfer Engine'!$C$2:$C$679,0)),"",INDEX('Compliance Database'!$I$2:$I$679,MATCH(342,'Transfer Engine'!$C$2:$C$679,0)))</f>
        <v/>
      </c>
      <c r="J351" s="8">
        <f>IF(ISNA(MATCH(342,'Transfer Engine'!$C$2:$C$679,0)),"",INDEX('Compliance Database'!$J$2:$J$679,MATCH(342,'Transfer Engine'!$C$2:$C$679,0)))</f>
        <v/>
      </c>
      <c r="K351">
        <f>IF(ISNA(MATCH(342,'Transfer Engine'!$C$2:$C$679,0)),"",INDEX('Compliance Database'!$K$2:$K$679,MATCH(342,'Transfer Engine'!$C$2:$C$679,0)))</f>
        <v/>
      </c>
      <c r="L351" s="8">
        <f>IF(ISNA(MATCH(342,'Transfer Engine'!$C$2:$C$679,0)),"",INDEX('Compliance Database'!$L$2:$L$679,MATCH(342,'Transfer Engine'!$C$2:$C$679,0)))</f>
        <v/>
      </c>
      <c r="M351" s="8">
        <f>IF(ISNA(MATCH(342,'Transfer Engine'!$C$2:$C$679,0)),"",INDEX('Compliance Database'!$M$2:$M$679,MATCH(342,'Transfer Engine'!$C$2:$C$679,0)))</f>
        <v/>
      </c>
      <c r="N351" s="8">
        <f>IF(ISNA(MATCH(342,'Transfer Engine'!$C$2:$C$679,0)),"",INDEX('Compliance Database'!$N$2:$N$679,MATCH(342,'Transfer Engine'!$C$2:$C$679,0)))</f>
        <v/>
      </c>
      <c r="O351" s="8">
        <f>IF(ISNA(MATCH(342,'Transfer Engine'!$C$2:$C$679,0)),"",INDEX('Compliance Database'!$O$2:$O$679,MATCH(342,'Transfer Engine'!$C$2:$C$679,0)))</f>
        <v/>
      </c>
      <c r="P351">
        <f>IF(ISNA(MATCH(342,'Transfer Engine'!$C$2:$C$679,0)),"",HYPERLINK(INDEX('Compliance Database'!$P$2:$P$679,MATCH(342,'Transfer Engine'!$C$2:$C$679,0)),"Open PDF"))</f>
        <v/>
      </c>
    </row>
    <row r="352">
      <c r="A352">
        <f>IF(ISNA(MATCH(343,'Transfer Engine'!$C$2:$C$679,0)),"",INDEX('Compliance Database'!$A$2:$A$679,MATCH(343,'Transfer Engine'!$C$2:$C$679,0)))</f>
        <v/>
      </c>
      <c r="B352">
        <f>IF(ISNA(MATCH(343,'Transfer Engine'!$C$2:$C$679,0)),"",INDEX('Compliance Database'!$B$2:$B$679,MATCH(343,'Transfer Engine'!$C$2:$C$679,0)))</f>
        <v/>
      </c>
      <c r="C352">
        <f>IF(ISNA(MATCH(343,'Transfer Engine'!$C$2:$C$679,0)),"",INDEX('Compliance Database'!$C$2:$C$679,MATCH(343,'Transfer Engine'!$C$2:$C$679,0)))</f>
        <v/>
      </c>
      <c r="D352" s="8">
        <f>IF(ISNA(MATCH(343,'Transfer Engine'!$C$2:$C$679,0)),"",INDEX('Compliance Database'!$D$2:$D$679,MATCH(343,'Transfer Engine'!$C$2:$C$679,0)))</f>
        <v/>
      </c>
      <c r="E352">
        <f>IF(ISNA(MATCH(343,'Transfer Engine'!$C$2:$C$679,0)),"",INDEX('Compliance Database'!$E$2:$E$679,MATCH(343,'Transfer Engine'!$C$2:$C$679,0)))</f>
        <v/>
      </c>
      <c r="F352">
        <f>IF(ISNA(MATCH(343,'Transfer Engine'!$C$2:$C$679,0)),"",INDEX('Compliance Database'!$F$2:$F$679,MATCH(343,'Transfer Engine'!$C$2:$C$679,0)))</f>
        <v/>
      </c>
      <c r="G352">
        <f>IF(ISNA(MATCH(343,'Transfer Engine'!$C$2:$C$679,0)),"",INDEX('Compliance Database'!$G$2:$G$679,MATCH(343,'Transfer Engine'!$C$2:$C$679,0)))</f>
        <v/>
      </c>
      <c r="H352">
        <f>IF(ISNA(MATCH(343,'Transfer Engine'!$C$2:$C$679,0)),"",INDEX('Compliance Database'!$H$2:$H$679,MATCH(343,'Transfer Engine'!$C$2:$C$679,0)))</f>
        <v/>
      </c>
      <c r="I352" s="8">
        <f>IF(ISNA(MATCH(343,'Transfer Engine'!$C$2:$C$679,0)),"",INDEX('Compliance Database'!$I$2:$I$679,MATCH(343,'Transfer Engine'!$C$2:$C$679,0)))</f>
        <v/>
      </c>
      <c r="J352" s="8">
        <f>IF(ISNA(MATCH(343,'Transfer Engine'!$C$2:$C$679,0)),"",INDEX('Compliance Database'!$J$2:$J$679,MATCH(343,'Transfer Engine'!$C$2:$C$679,0)))</f>
        <v/>
      </c>
      <c r="K352">
        <f>IF(ISNA(MATCH(343,'Transfer Engine'!$C$2:$C$679,0)),"",INDEX('Compliance Database'!$K$2:$K$679,MATCH(343,'Transfer Engine'!$C$2:$C$679,0)))</f>
        <v/>
      </c>
      <c r="L352" s="8">
        <f>IF(ISNA(MATCH(343,'Transfer Engine'!$C$2:$C$679,0)),"",INDEX('Compliance Database'!$L$2:$L$679,MATCH(343,'Transfer Engine'!$C$2:$C$679,0)))</f>
        <v/>
      </c>
      <c r="M352" s="8">
        <f>IF(ISNA(MATCH(343,'Transfer Engine'!$C$2:$C$679,0)),"",INDEX('Compliance Database'!$M$2:$M$679,MATCH(343,'Transfer Engine'!$C$2:$C$679,0)))</f>
        <v/>
      </c>
      <c r="N352" s="8">
        <f>IF(ISNA(MATCH(343,'Transfer Engine'!$C$2:$C$679,0)),"",INDEX('Compliance Database'!$N$2:$N$679,MATCH(343,'Transfer Engine'!$C$2:$C$679,0)))</f>
        <v/>
      </c>
      <c r="O352" s="8">
        <f>IF(ISNA(MATCH(343,'Transfer Engine'!$C$2:$C$679,0)),"",INDEX('Compliance Database'!$O$2:$O$679,MATCH(343,'Transfer Engine'!$C$2:$C$679,0)))</f>
        <v/>
      </c>
      <c r="P352">
        <f>IF(ISNA(MATCH(343,'Transfer Engine'!$C$2:$C$679,0)),"",HYPERLINK(INDEX('Compliance Database'!$P$2:$P$679,MATCH(343,'Transfer Engine'!$C$2:$C$679,0)),"Open PDF"))</f>
        <v/>
      </c>
    </row>
    <row r="353">
      <c r="A353">
        <f>IF(ISNA(MATCH(344,'Transfer Engine'!$C$2:$C$679,0)),"",INDEX('Compliance Database'!$A$2:$A$679,MATCH(344,'Transfer Engine'!$C$2:$C$679,0)))</f>
        <v/>
      </c>
      <c r="B353">
        <f>IF(ISNA(MATCH(344,'Transfer Engine'!$C$2:$C$679,0)),"",INDEX('Compliance Database'!$B$2:$B$679,MATCH(344,'Transfer Engine'!$C$2:$C$679,0)))</f>
        <v/>
      </c>
      <c r="C353">
        <f>IF(ISNA(MATCH(344,'Transfer Engine'!$C$2:$C$679,0)),"",INDEX('Compliance Database'!$C$2:$C$679,MATCH(344,'Transfer Engine'!$C$2:$C$679,0)))</f>
        <v/>
      </c>
      <c r="D353" s="8">
        <f>IF(ISNA(MATCH(344,'Transfer Engine'!$C$2:$C$679,0)),"",INDEX('Compliance Database'!$D$2:$D$679,MATCH(344,'Transfer Engine'!$C$2:$C$679,0)))</f>
        <v/>
      </c>
      <c r="E353">
        <f>IF(ISNA(MATCH(344,'Transfer Engine'!$C$2:$C$679,0)),"",INDEX('Compliance Database'!$E$2:$E$679,MATCH(344,'Transfer Engine'!$C$2:$C$679,0)))</f>
        <v/>
      </c>
      <c r="F353">
        <f>IF(ISNA(MATCH(344,'Transfer Engine'!$C$2:$C$679,0)),"",INDEX('Compliance Database'!$F$2:$F$679,MATCH(344,'Transfer Engine'!$C$2:$C$679,0)))</f>
        <v/>
      </c>
      <c r="G353">
        <f>IF(ISNA(MATCH(344,'Transfer Engine'!$C$2:$C$679,0)),"",INDEX('Compliance Database'!$G$2:$G$679,MATCH(344,'Transfer Engine'!$C$2:$C$679,0)))</f>
        <v/>
      </c>
      <c r="H353">
        <f>IF(ISNA(MATCH(344,'Transfer Engine'!$C$2:$C$679,0)),"",INDEX('Compliance Database'!$H$2:$H$679,MATCH(344,'Transfer Engine'!$C$2:$C$679,0)))</f>
        <v/>
      </c>
      <c r="I353" s="8">
        <f>IF(ISNA(MATCH(344,'Transfer Engine'!$C$2:$C$679,0)),"",INDEX('Compliance Database'!$I$2:$I$679,MATCH(344,'Transfer Engine'!$C$2:$C$679,0)))</f>
        <v/>
      </c>
      <c r="J353" s="8">
        <f>IF(ISNA(MATCH(344,'Transfer Engine'!$C$2:$C$679,0)),"",INDEX('Compliance Database'!$J$2:$J$679,MATCH(344,'Transfer Engine'!$C$2:$C$679,0)))</f>
        <v/>
      </c>
      <c r="K353">
        <f>IF(ISNA(MATCH(344,'Transfer Engine'!$C$2:$C$679,0)),"",INDEX('Compliance Database'!$K$2:$K$679,MATCH(344,'Transfer Engine'!$C$2:$C$679,0)))</f>
        <v/>
      </c>
      <c r="L353" s="8">
        <f>IF(ISNA(MATCH(344,'Transfer Engine'!$C$2:$C$679,0)),"",INDEX('Compliance Database'!$L$2:$L$679,MATCH(344,'Transfer Engine'!$C$2:$C$679,0)))</f>
        <v/>
      </c>
      <c r="M353" s="8">
        <f>IF(ISNA(MATCH(344,'Transfer Engine'!$C$2:$C$679,0)),"",INDEX('Compliance Database'!$M$2:$M$679,MATCH(344,'Transfer Engine'!$C$2:$C$679,0)))</f>
        <v/>
      </c>
      <c r="N353" s="8">
        <f>IF(ISNA(MATCH(344,'Transfer Engine'!$C$2:$C$679,0)),"",INDEX('Compliance Database'!$N$2:$N$679,MATCH(344,'Transfer Engine'!$C$2:$C$679,0)))</f>
        <v/>
      </c>
      <c r="O353" s="8">
        <f>IF(ISNA(MATCH(344,'Transfer Engine'!$C$2:$C$679,0)),"",INDEX('Compliance Database'!$O$2:$O$679,MATCH(344,'Transfer Engine'!$C$2:$C$679,0)))</f>
        <v/>
      </c>
      <c r="P353">
        <f>IF(ISNA(MATCH(344,'Transfer Engine'!$C$2:$C$679,0)),"",HYPERLINK(INDEX('Compliance Database'!$P$2:$P$679,MATCH(344,'Transfer Engine'!$C$2:$C$679,0)),"Open PDF"))</f>
        <v/>
      </c>
    </row>
    <row r="354">
      <c r="A354">
        <f>IF(ISNA(MATCH(345,'Transfer Engine'!$C$2:$C$679,0)),"",INDEX('Compliance Database'!$A$2:$A$679,MATCH(345,'Transfer Engine'!$C$2:$C$679,0)))</f>
        <v/>
      </c>
      <c r="B354">
        <f>IF(ISNA(MATCH(345,'Transfer Engine'!$C$2:$C$679,0)),"",INDEX('Compliance Database'!$B$2:$B$679,MATCH(345,'Transfer Engine'!$C$2:$C$679,0)))</f>
        <v/>
      </c>
      <c r="C354">
        <f>IF(ISNA(MATCH(345,'Transfer Engine'!$C$2:$C$679,0)),"",INDEX('Compliance Database'!$C$2:$C$679,MATCH(345,'Transfer Engine'!$C$2:$C$679,0)))</f>
        <v/>
      </c>
      <c r="D354" s="8">
        <f>IF(ISNA(MATCH(345,'Transfer Engine'!$C$2:$C$679,0)),"",INDEX('Compliance Database'!$D$2:$D$679,MATCH(345,'Transfer Engine'!$C$2:$C$679,0)))</f>
        <v/>
      </c>
      <c r="E354">
        <f>IF(ISNA(MATCH(345,'Transfer Engine'!$C$2:$C$679,0)),"",INDEX('Compliance Database'!$E$2:$E$679,MATCH(345,'Transfer Engine'!$C$2:$C$679,0)))</f>
        <v/>
      </c>
      <c r="F354">
        <f>IF(ISNA(MATCH(345,'Transfer Engine'!$C$2:$C$679,0)),"",INDEX('Compliance Database'!$F$2:$F$679,MATCH(345,'Transfer Engine'!$C$2:$C$679,0)))</f>
        <v/>
      </c>
      <c r="G354">
        <f>IF(ISNA(MATCH(345,'Transfer Engine'!$C$2:$C$679,0)),"",INDEX('Compliance Database'!$G$2:$G$679,MATCH(345,'Transfer Engine'!$C$2:$C$679,0)))</f>
        <v/>
      </c>
      <c r="H354">
        <f>IF(ISNA(MATCH(345,'Transfer Engine'!$C$2:$C$679,0)),"",INDEX('Compliance Database'!$H$2:$H$679,MATCH(345,'Transfer Engine'!$C$2:$C$679,0)))</f>
        <v/>
      </c>
      <c r="I354" s="8">
        <f>IF(ISNA(MATCH(345,'Transfer Engine'!$C$2:$C$679,0)),"",INDEX('Compliance Database'!$I$2:$I$679,MATCH(345,'Transfer Engine'!$C$2:$C$679,0)))</f>
        <v/>
      </c>
      <c r="J354" s="8">
        <f>IF(ISNA(MATCH(345,'Transfer Engine'!$C$2:$C$679,0)),"",INDEX('Compliance Database'!$J$2:$J$679,MATCH(345,'Transfer Engine'!$C$2:$C$679,0)))</f>
        <v/>
      </c>
      <c r="K354">
        <f>IF(ISNA(MATCH(345,'Transfer Engine'!$C$2:$C$679,0)),"",INDEX('Compliance Database'!$K$2:$K$679,MATCH(345,'Transfer Engine'!$C$2:$C$679,0)))</f>
        <v/>
      </c>
      <c r="L354" s="8">
        <f>IF(ISNA(MATCH(345,'Transfer Engine'!$C$2:$C$679,0)),"",INDEX('Compliance Database'!$L$2:$L$679,MATCH(345,'Transfer Engine'!$C$2:$C$679,0)))</f>
        <v/>
      </c>
      <c r="M354" s="8">
        <f>IF(ISNA(MATCH(345,'Transfer Engine'!$C$2:$C$679,0)),"",INDEX('Compliance Database'!$M$2:$M$679,MATCH(345,'Transfer Engine'!$C$2:$C$679,0)))</f>
        <v/>
      </c>
      <c r="N354" s="8">
        <f>IF(ISNA(MATCH(345,'Transfer Engine'!$C$2:$C$679,0)),"",INDEX('Compliance Database'!$N$2:$N$679,MATCH(345,'Transfer Engine'!$C$2:$C$679,0)))</f>
        <v/>
      </c>
      <c r="O354" s="8">
        <f>IF(ISNA(MATCH(345,'Transfer Engine'!$C$2:$C$679,0)),"",INDEX('Compliance Database'!$O$2:$O$679,MATCH(345,'Transfer Engine'!$C$2:$C$679,0)))</f>
        <v/>
      </c>
      <c r="P354">
        <f>IF(ISNA(MATCH(345,'Transfer Engine'!$C$2:$C$679,0)),"",HYPERLINK(INDEX('Compliance Database'!$P$2:$P$679,MATCH(345,'Transfer Engine'!$C$2:$C$679,0)),"Open PDF"))</f>
        <v/>
      </c>
    </row>
    <row r="355">
      <c r="A355">
        <f>IF(ISNA(MATCH(346,'Transfer Engine'!$C$2:$C$679,0)),"",INDEX('Compliance Database'!$A$2:$A$679,MATCH(346,'Transfer Engine'!$C$2:$C$679,0)))</f>
        <v/>
      </c>
      <c r="B355">
        <f>IF(ISNA(MATCH(346,'Transfer Engine'!$C$2:$C$679,0)),"",INDEX('Compliance Database'!$B$2:$B$679,MATCH(346,'Transfer Engine'!$C$2:$C$679,0)))</f>
        <v/>
      </c>
      <c r="C355">
        <f>IF(ISNA(MATCH(346,'Transfer Engine'!$C$2:$C$679,0)),"",INDEX('Compliance Database'!$C$2:$C$679,MATCH(346,'Transfer Engine'!$C$2:$C$679,0)))</f>
        <v/>
      </c>
      <c r="D355" s="8">
        <f>IF(ISNA(MATCH(346,'Transfer Engine'!$C$2:$C$679,0)),"",INDEX('Compliance Database'!$D$2:$D$679,MATCH(346,'Transfer Engine'!$C$2:$C$679,0)))</f>
        <v/>
      </c>
      <c r="E355">
        <f>IF(ISNA(MATCH(346,'Transfer Engine'!$C$2:$C$679,0)),"",INDEX('Compliance Database'!$E$2:$E$679,MATCH(346,'Transfer Engine'!$C$2:$C$679,0)))</f>
        <v/>
      </c>
      <c r="F355">
        <f>IF(ISNA(MATCH(346,'Transfer Engine'!$C$2:$C$679,0)),"",INDEX('Compliance Database'!$F$2:$F$679,MATCH(346,'Transfer Engine'!$C$2:$C$679,0)))</f>
        <v/>
      </c>
      <c r="G355">
        <f>IF(ISNA(MATCH(346,'Transfer Engine'!$C$2:$C$679,0)),"",INDEX('Compliance Database'!$G$2:$G$679,MATCH(346,'Transfer Engine'!$C$2:$C$679,0)))</f>
        <v/>
      </c>
      <c r="H355">
        <f>IF(ISNA(MATCH(346,'Transfer Engine'!$C$2:$C$679,0)),"",INDEX('Compliance Database'!$H$2:$H$679,MATCH(346,'Transfer Engine'!$C$2:$C$679,0)))</f>
        <v/>
      </c>
      <c r="I355" s="8">
        <f>IF(ISNA(MATCH(346,'Transfer Engine'!$C$2:$C$679,0)),"",INDEX('Compliance Database'!$I$2:$I$679,MATCH(346,'Transfer Engine'!$C$2:$C$679,0)))</f>
        <v/>
      </c>
      <c r="J355" s="8">
        <f>IF(ISNA(MATCH(346,'Transfer Engine'!$C$2:$C$679,0)),"",INDEX('Compliance Database'!$J$2:$J$679,MATCH(346,'Transfer Engine'!$C$2:$C$679,0)))</f>
        <v/>
      </c>
      <c r="K355">
        <f>IF(ISNA(MATCH(346,'Transfer Engine'!$C$2:$C$679,0)),"",INDEX('Compliance Database'!$K$2:$K$679,MATCH(346,'Transfer Engine'!$C$2:$C$679,0)))</f>
        <v/>
      </c>
      <c r="L355" s="8">
        <f>IF(ISNA(MATCH(346,'Transfer Engine'!$C$2:$C$679,0)),"",INDEX('Compliance Database'!$L$2:$L$679,MATCH(346,'Transfer Engine'!$C$2:$C$679,0)))</f>
        <v/>
      </c>
      <c r="M355" s="8">
        <f>IF(ISNA(MATCH(346,'Transfer Engine'!$C$2:$C$679,0)),"",INDEX('Compliance Database'!$M$2:$M$679,MATCH(346,'Transfer Engine'!$C$2:$C$679,0)))</f>
        <v/>
      </c>
      <c r="N355" s="8">
        <f>IF(ISNA(MATCH(346,'Transfer Engine'!$C$2:$C$679,0)),"",INDEX('Compliance Database'!$N$2:$N$679,MATCH(346,'Transfer Engine'!$C$2:$C$679,0)))</f>
        <v/>
      </c>
      <c r="O355" s="8">
        <f>IF(ISNA(MATCH(346,'Transfer Engine'!$C$2:$C$679,0)),"",INDEX('Compliance Database'!$O$2:$O$679,MATCH(346,'Transfer Engine'!$C$2:$C$679,0)))</f>
        <v/>
      </c>
      <c r="P355">
        <f>IF(ISNA(MATCH(346,'Transfer Engine'!$C$2:$C$679,0)),"",HYPERLINK(INDEX('Compliance Database'!$P$2:$P$679,MATCH(346,'Transfer Engine'!$C$2:$C$679,0)),"Open PDF"))</f>
        <v/>
      </c>
    </row>
    <row r="356">
      <c r="A356">
        <f>IF(ISNA(MATCH(347,'Transfer Engine'!$C$2:$C$679,0)),"",INDEX('Compliance Database'!$A$2:$A$679,MATCH(347,'Transfer Engine'!$C$2:$C$679,0)))</f>
        <v/>
      </c>
      <c r="B356">
        <f>IF(ISNA(MATCH(347,'Transfer Engine'!$C$2:$C$679,0)),"",INDEX('Compliance Database'!$B$2:$B$679,MATCH(347,'Transfer Engine'!$C$2:$C$679,0)))</f>
        <v/>
      </c>
      <c r="C356">
        <f>IF(ISNA(MATCH(347,'Transfer Engine'!$C$2:$C$679,0)),"",INDEX('Compliance Database'!$C$2:$C$679,MATCH(347,'Transfer Engine'!$C$2:$C$679,0)))</f>
        <v/>
      </c>
      <c r="D356" s="8">
        <f>IF(ISNA(MATCH(347,'Transfer Engine'!$C$2:$C$679,0)),"",INDEX('Compliance Database'!$D$2:$D$679,MATCH(347,'Transfer Engine'!$C$2:$C$679,0)))</f>
        <v/>
      </c>
      <c r="E356">
        <f>IF(ISNA(MATCH(347,'Transfer Engine'!$C$2:$C$679,0)),"",INDEX('Compliance Database'!$E$2:$E$679,MATCH(347,'Transfer Engine'!$C$2:$C$679,0)))</f>
        <v/>
      </c>
      <c r="F356">
        <f>IF(ISNA(MATCH(347,'Transfer Engine'!$C$2:$C$679,0)),"",INDEX('Compliance Database'!$F$2:$F$679,MATCH(347,'Transfer Engine'!$C$2:$C$679,0)))</f>
        <v/>
      </c>
      <c r="G356">
        <f>IF(ISNA(MATCH(347,'Transfer Engine'!$C$2:$C$679,0)),"",INDEX('Compliance Database'!$G$2:$G$679,MATCH(347,'Transfer Engine'!$C$2:$C$679,0)))</f>
        <v/>
      </c>
      <c r="H356">
        <f>IF(ISNA(MATCH(347,'Transfer Engine'!$C$2:$C$679,0)),"",INDEX('Compliance Database'!$H$2:$H$679,MATCH(347,'Transfer Engine'!$C$2:$C$679,0)))</f>
        <v/>
      </c>
      <c r="I356" s="8">
        <f>IF(ISNA(MATCH(347,'Transfer Engine'!$C$2:$C$679,0)),"",INDEX('Compliance Database'!$I$2:$I$679,MATCH(347,'Transfer Engine'!$C$2:$C$679,0)))</f>
        <v/>
      </c>
      <c r="J356" s="8">
        <f>IF(ISNA(MATCH(347,'Transfer Engine'!$C$2:$C$679,0)),"",INDEX('Compliance Database'!$J$2:$J$679,MATCH(347,'Transfer Engine'!$C$2:$C$679,0)))</f>
        <v/>
      </c>
      <c r="K356">
        <f>IF(ISNA(MATCH(347,'Transfer Engine'!$C$2:$C$679,0)),"",INDEX('Compliance Database'!$K$2:$K$679,MATCH(347,'Transfer Engine'!$C$2:$C$679,0)))</f>
        <v/>
      </c>
      <c r="L356" s="8">
        <f>IF(ISNA(MATCH(347,'Transfer Engine'!$C$2:$C$679,0)),"",INDEX('Compliance Database'!$L$2:$L$679,MATCH(347,'Transfer Engine'!$C$2:$C$679,0)))</f>
        <v/>
      </c>
      <c r="M356" s="8">
        <f>IF(ISNA(MATCH(347,'Transfer Engine'!$C$2:$C$679,0)),"",INDEX('Compliance Database'!$M$2:$M$679,MATCH(347,'Transfer Engine'!$C$2:$C$679,0)))</f>
        <v/>
      </c>
      <c r="N356" s="8">
        <f>IF(ISNA(MATCH(347,'Transfer Engine'!$C$2:$C$679,0)),"",INDEX('Compliance Database'!$N$2:$N$679,MATCH(347,'Transfer Engine'!$C$2:$C$679,0)))</f>
        <v/>
      </c>
      <c r="O356" s="8">
        <f>IF(ISNA(MATCH(347,'Transfer Engine'!$C$2:$C$679,0)),"",INDEX('Compliance Database'!$O$2:$O$679,MATCH(347,'Transfer Engine'!$C$2:$C$679,0)))</f>
        <v/>
      </c>
      <c r="P356">
        <f>IF(ISNA(MATCH(347,'Transfer Engine'!$C$2:$C$679,0)),"",HYPERLINK(INDEX('Compliance Database'!$P$2:$P$679,MATCH(347,'Transfer Engine'!$C$2:$C$679,0)),"Open PDF"))</f>
        <v/>
      </c>
    </row>
    <row r="357">
      <c r="A357">
        <f>IF(ISNA(MATCH(348,'Transfer Engine'!$C$2:$C$679,0)),"",INDEX('Compliance Database'!$A$2:$A$679,MATCH(348,'Transfer Engine'!$C$2:$C$679,0)))</f>
        <v/>
      </c>
      <c r="B357">
        <f>IF(ISNA(MATCH(348,'Transfer Engine'!$C$2:$C$679,0)),"",INDEX('Compliance Database'!$B$2:$B$679,MATCH(348,'Transfer Engine'!$C$2:$C$679,0)))</f>
        <v/>
      </c>
      <c r="C357">
        <f>IF(ISNA(MATCH(348,'Transfer Engine'!$C$2:$C$679,0)),"",INDEX('Compliance Database'!$C$2:$C$679,MATCH(348,'Transfer Engine'!$C$2:$C$679,0)))</f>
        <v/>
      </c>
      <c r="D357" s="8">
        <f>IF(ISNA(MATCH(348,'Transfer Engine'!$C$2:$C$679,0)),"",INDEX('Compliance Database'!$D$2:$D$679,MATCH(348,'Transfer Engine'!$C$2:$C$679,0)))</f>
        <v/>
      </c>
      <c r="E357">
        <f>IF(ISNA(MATCH(348,'Transfer Engine'!$C$2:$C$679,0)),"",INDEX('Compliance Database'!$E$2:$E$679,MATCH(348,'Transfer Engine'!$C$2:$C$679,0)))</f>
        <v/>
      </c>
      <c r="F357">
        <f>IF(ISNA(MATCH(348,'Transfer Engine'!$C$2:$C$679,0)),"",INDEX('Compliance Database'!$F$2:$F$679,MATCH(348,'Transfer Engine'!$C$2:$C$679,0)))</f>
        <v/>
      </c>
      <c r="G357">
        <f>IF(ISNA(MATCH(348,'Transfer Engine'!$C$2:$C$679,0)),"",INDEX('Compliance Database'!$G$2:$G$679,MATCH(348,'Transfer Engine'!$C$2:$C$679,0)))</f>
        <v/>
      </c>
      <c r="H357">
        <f>IF(ISNA(MATCH(348,'Transfer Engine'!$C$2:$C$679,0)),"",INDEX('Compliance Database'!$H$2:$H$679,MATCH(348,'Transfer Engine'!$C$2:$C$679,0)))</f>
        <v/>
      </c>
      <c r="I357" s="8">
        <f>IF(ISNA(MATCH(348,'Transfer Engine'!$C$2:$C$679,0)),"",INDEX('Compliance Database'!$I$2:$I$679,MATCH(348,'Transfer Engine'!$C$2:$C$679,0)))</f>
        <v/>
      </c>
      <c r="J357" s="8">
        <f>IF(ISNA(MATCH(348,'Transfer Engine'!$C$2:$C$679,0)),"",INDEX('Compliance Database'!$J$2:$J$679,MATCH(348,'Transfer Engine'!$C$2:$C$679,0)))</f>
        <v/>
      </c>
      <c r="K357">
        <f>IF(ISNA(MATCH(348,'Transfer Engine'!$C$2:$C$679,0)),"",INDEX('Compliance Database'!$K$2:$K$679,MATCH(348,'Transfer Engine'!$C$2:$C$679,0)))</f>
        <v/>
      </c>
      <c r="L357" s="8">
        <f>IF(ISNA(MATCH(348,'Transfer Engine'!$C$2:$C$679,0)),"",INDEX('Compliance Database'!$L$2:$L$679,MATCH(348,'Transfer Engine'!$C$2:$C$679,0)))</f>
        <v/>
      </c>
      <c r="M357" s="8">
        <f>IF(ISNA(MATCH(348,'Transfer Engine'!$C$2:$C$679,0)),"",INDEX('Compliance Database'!$M$2:$M$679,MATCH(348,'Transfer Engine'!$C$2:$C$679,0)))</f>
        <v/>
      </c>
      <c r="N357" s="8">
        <f>IF(ISNA(MATCH(348,'Transfer Engine'!$C$2:$C$679,0)),"",INDEX('Compliance Database'!$N$2:$N$679,MATCH(348,'Transfer Engine'!$C$2:$C$679,0)))</f>
        <v/>
      </c>
      <c r="O357" s="8">
        <f>IF(ISNA(MATCH(348,'Transfer Engine'!$C$2:$C$679,0)),"",INDEX('Compliance Database'!$O$2:$O$679,MATCH(348,'Transfer Engine'!$C$2:$C$679,0)))</f>
        <v/>
      </c>
      <c r="P357">
        <f>IF(ISNA(MATCH(348,'Transfer Engine'!$C$2:$C$679,0)),"",HYPERLINK(INDEX('Compliance Database'!$P$2:$P$679,MATCH(348,'Transfer Engine'!$C$2:$C$679,0)),"Open PDF"))</f>
        <v/>
      </c>
    </row>
    <row r="358">
      <c r="A358">
        <f>IF(ISNA(MATCH(349,'Transfer Engine'!$C$2:$C$679,0)),"",INDEX('Compliance Database'!$A$2:$A$679,MATCH(349,'Transfer Engine'!$C$2:$C$679,0)))</f>
        <v/>
      </c>
      <c r="B358">
        <f>IF(ISNA(MATCH(349,'Transfer Engine'!$C$2:$C$679,0)),"",INDEX('Compliance Database'!$B$2:$B$679,MATCH(349,'Transfer Engine'!$C$2:$C$679,0)))</f>
        <v/>
      </c>
      <c r="C358">
        <f>IF(ISNA(MATCH(349,'Transfer Engine'!$C$2:$C$679,0)),"",INDEX('Compliance Database'!$C$2:$C$679,MATCH(349,'Transfer Engine'!$C$2:$C$679,0)))</f>
        <v/>
      </c>
      <c r="D358" s="8">
        <f>IF(ISNA(MATCH(349,'Transfer Engine'!$C$2:$C$679,0)),"",INDEX('Compliance Database'!$D$2:$D$679,MATCH(349,'Transfer Engine'!$C$2:$C$679,0)))</f>
        <v/>
      </c>
      <c r="E358">
        <f>IF(ISNA(MATCH(349,'Transfer Engine'!$C$2:$C$679,0)),"",INDEX('Compliance Database'!$E$2:$E$679,MATCH(349,'Transfer Engine'!$C$2:$C$679,0)))</f>
        <v/>
      </c>
      <c r="F358">
        <f>IF(ISNA(MATCH(349,'Transfer Engine'!$C$2:$C$679,0)),"",INDEX('Compliance Database'!$F$2:$F$679,MATCH(349,'Transfer Engine'!$C$2:$C$679,0)))</f>
        <v/>
      </c>
      <c r="G358">
        <f>IF(ISNA(MATCH(349,'Transfer Engine'!$C$2:$C$679,0)),"",INDEX('Compliance Database'!$G$2:$G$679,MATCH(349,'Transfer Engine'!$C$2:$C$679,0)))</f>
        <v/>
      </c>
      <c r="H358">
        <f>IF(ISNA(MATCH(349,'Transfer Engine'!$C$2:$C$679,0)),"",INDEX('Compliance Database'!$H$2:$H$679,MATCH(349,'Transfer Engine'!$C$2:$C$679,0)))</f>
        <v/>
      </c>
      <c r="I358" s="8">
        <f>IF(ISNA(MATCH(349,'Transfer Engine'!$C$2:$C$679,0)),"",INDEX('Compliance Database'!$I$2:$I$679,MATCH(349,'Transfer Engine'!$C$2:$C$679,0)))</f>
        <v/>
      </c>
      <c r="J358" s="8">
        <f>IF(ISNA(MATCH(349,'Transfer Engine'!$C$2:$C$679,0)),"",INDEX('Compliance Database'!$J$2:$J$679,MATCH(349,'Transfer Engine'!$C$2:$C$679,0)))</f>
        <v/>
      </c>
      <c r="K358">
        <f>IF(ISNA(MATCH(349,'Transfer Engine'!$C$2:$C$679,0)),"",INDEX('Compliance Database'!$K$2:$K$679,MATCH(349,'Transfer Engine'!$C$2:$C$679,0)))</f>
        <v/>
      </c>
      <c r="L358" s="8">
        <f>IF(ISNA(MATCH(349,'Transfer Engine'!$C$2:$C$679,0)),"",INDEX('Compliance Database'!$L$2:$L$679,MATCH(349,'Transfer Engine'!$C$2:$C$679,0)))</f>
        <v/>
      </c>
      <c r="M358" s="8">
        <f>IF(ISNA(MATCH(349,'Transfer Engine'!$C$2:$C$679,0)),"",INDEX('Compliance Database'!$M$2:$M$679,MATCH(349,'Transfer Engine'!$C$2:$C$679,0)))</f>
        <v/>
      </c>
      <c r="N358" s="8">
        <f>IF(ISNA(MATCH(349,'Transfer Engine'!$C$2:$C$679,0)),"",INDEX('Compliance Database'!$N$2:$N$679,MATCH(349,'Transfer Engine'!$C$2:$C$679,0)))</f>
        <v/>
      </c>
      <c r="O358" s="8">
        <f>IF(ISNA(MATCH(349,'Transfer Engine'!$C$2:$C$679,0)),"",INDEX('Compliance Database'!$O$2:$O$679,MATCH(349,'Transfer Engine'!$C$2:$C$679,0)))</f>
        <v/>
      </c>
      <c r="P358">
        <f>IF(ISNA(MATCH(349,'Transfer Engine'!$C$2:$C$679,0)),"",HYPERLINK(INDEX('Compliance Database'!$P$2:$P$679,MATCH(349,'Transfer Engine'!$C$2:$C$679,0)),"Open PDF"))</f>
        <v/>
      </c>
    </row>
    <row r="359">
      <c r="A359">
        <f>IF(ISNA(MATCH(350,'Transfer Engine'!$C$2:$C$679,0)),"",INDEX('Compliance Database'!$A$2:$A$679,MATCH(350,'Transfer Engine'!$C$2:$C$679,0)))</f>
        <v/>
      </c>
      <c r="B359">
        <f>IF(ISNA(MATCH(350,'Transfer Engine'!$C$2:$C$679,0)),"",INDEX('Compliance Database'!$B$2:$B$679,MATCH(350,'Transfer Engine'!$C$2:$C$679,0)))</f>
        <v/>
      </c>
      <c r="C359">
        <f>IF(ISNA(MATCH(350,'Transfer Engine'!$C$2:$C$679,0)),"",INDEX('Compliance Database'!$C$2:$C$679,MATCH(350,'Transfer Engine'!$C$2:$C$679,0)))</f>
        <v/>
      </c>
      <c r="D359" s="8">
        <f>IF(ISNA(MATCH(350,'Transfer Engine'!$C$2:$C$679,0)),"",INDEX('Compliance Database'!$D$2:$D$679,MATCH(350,'Transfer Engine'!$C$2:$C$679,0)))</f>
        <v/>
      </c>
      <c r="E359">
        <f>IF(ISNA(MATCH(350,'Transfer Engine'!$C$2:$C$679,0)),"",INDEX('Compliance Database'!$E$2:$E$679,MATCH(350,'Transfer Engine'!$C$2:$C$679,0)))</f>
        <v/>
      </c>
      <c r="F359">
        <f>IF(ISNA(MATCH(350,'Transfer Engine'!$C$2:$C$679,0)),"",INDEX('Compliance Database'!$F$2:$F$679,MATCH(350,'Transfer Engine'!$C$2:$C$679,0)))</f>
        <v/>
      </c>
      <c r="G359">
        <f>IF(ISNA(MATCH(350,'Transfer Engine'!$C$2:$C$679,0)),"",INDEX('Compliance Database'!$G$2:$G$679,MATCH(350,'Transfer Engine'!$C$2:$C$679,0)))</f>
        <v/>
      </c>
      <c r="H359">
        <f>IF(ISNA(MATCH(350,'Transfer Engine'!$C$2:$C$679,0)),"",INDEX('Compliance Database'!$H$2:$H$679,MATCH(350,'Transfer Engine'!$C$2:$C$679,0)))</f>
        <v/>
      </c>
      <c r="I359" s="8">
        <f>IF(ISNA(MATCH(350,'Transfer Engine'!$C$2:$C$679,0)),"",INDEX('Compliance Database'!$I$2:$I$679,MATCH(350,'Transfer Engine'!$C$2:$C$679,0)))</f>
        <v/>
      </c>
      <c r="J359" s="8">
        <f>IF(ISNA(MATCH(350,'Transfer Engine'!$C$2:$C$679,0)),"",INDEX('Compliance Database'!$J$2:$J$679,MATCH(350,'Transfer Engine'!$C$2:$C$679,0)))</f>
        <v/>
      </c>
      <c r="K359">
        <f>IF(ISNA(MATCH(350,'Transfer Engine'!$C$2:$C$679,0)),"",INDEX('Compliance Database'!$K$2:$K$679,MATCH(350,'Transfer Engine'!$C$2:$C$679,0)))</f>
        <v/>
      </c>
      <c r="L359" s="8">
        <f>IF(ISNA(MATCH(350,'Transfer Engine'!$C$2:$C$679,0)),"",INDEX('Compliance Database'!$L$2:$L$679,MATCH(350,'Transfer Engine'!$C$2:$C$679,0)))</f>
        <v/>
      </c>
      <c r="M359" s="8">
        <f>IF(ISNA(MATCH(350,'Transfer Engine'!$C$2:$C$679,0)),"",INDEX('Compliance Database'!$M$2:$M$679,MATCH(350,'Transfer Engine'!$C$2:$C$679,0)))</f>
        <v/>
      </c>
      <c r="N359" s="8">
        <f>IF(ISNA(MATCH(350,'Transfer Engine'!$C$2:$C$679,0)),"",INDEX('Compliance Database'!$N$2:$N$679,MATCH(350,'Transfer Engine'!$C$2:$C$679,0)))</f>
        <v/>
      </c>
      <c r="O359" s="8">
        <f>IF(ISNA(MATCH(350,'Transfer Engine'!$C$2:$C$679,0)),"",INDEX('Compliance Database'!$O$2:$O$679,MATCH(350,'Transfer Engine'!$C$2:$C$679,0)))</f>
        <v/>
      </c>
      <c r="P359">
        <f>IF(ISNA(MATCH(350,'Transfer Engine'!$C$2:$C$679,0)),"",HYPERLINK(INDEX('Compliance Database'!$P$2:$P$679,MATCH(350,'Transfer Engine'!$C$2:$C$679,0)),"Open PDF"))</f>
        <v/>
      </c>
    </row>
    <row r="360">
      <c r="A360">
        <f>IF(ISNA(MATCH(351,'Transfer Engine'!$C$2:$C$679,0)),"",INDEX('Compliance Database'!$A$2:$A$679,MATCH(351,'Transfer Engine'!$C$2:$C$679,0)))</f>
        <v/>
      </c>
      <c r="B360">
        <f>IF(ISNA(MATCH(351,'Transfer Engine'!$C$2:$C$679,0)),"",INDEX('Compliance Database'!$B$2:$B$679,MATCH(351,'Transfer Engine'!$C$2:$C$679,0)))</f>
        <v/>
      </c>
      <c r="C360">
        <f>IF(ISNA(MATCH(351,'Transfer Engine'!$C$2:$C$679,0)),"",INDEX('Compliance Database'!$C$2:$C$679,MATCH(351,'Transfer Engine'!$C$2:$C$679,0)))</f>
        <v/>
      </c>
      <c r="D360" s="8">
        <f>IF(ISNA(MATCH(351,'Transfer Engine'!$C$2:$C$679,0)),"",INDEX('Compliance Database'!$D$2:$D$679,MATCH(351,'Transfer Engine'!$C$2:$C$679,0)))</f>
        <v/>
      </c>
      <c r="E360">
        <f>IF(ISNA(MATCH(351,'Transfer Engine'!$C$2:$C$679,0)),"",INDEX('Compliance Database'!$E$2:$E$679,MATCH(351,'Transfer Engine'!$C$2:$C$679,0)))</f>
        <v/>
      </c>
      <c r="F360">
        <f>IF(ISNA(MATCH(351,'Transfer Engine'!$C$2:$C$679,0)),"",INDEX('Compliance Database'!$F$2:$F$679,MATCH(351,'Transfer Engine'!$C$2:$C$679,0)))</f>
        <v/>
      </c>
      <c r="G360">
        <f>IF(ISNA(MATCH(351,'Transfer Engine'!$C$2:$C$679,0)),"",INDEX('Compliance Database'!$G$2:$G$679,MATCH(351,'Transfer Engine'!$C$2:$C$679,0)))</f>
        <v/>
      </c>
      <c r="H360">
        <f>IF(ISNA(MATCH(351,'Transfer Engine'!$C$2:$C$679,0)),"",INDEX('Compliance Database'!$H$2:$H$679,MATCH(351,'Transfer Engine'!$C$2:$C$679,0)))</f>
        <v/>
      </c>
      <c r="I360" s="8">
        <f>IF(ISNA(MATCH(351,'Transfer Engine'!$C$2:$C$679,0)),"",INDEX('Compliance Database'!$I$2:$I$679,MATCH(351,'Transfer Engine'!$C$2:$C$679,0)))</f>
        <v/>
      </c>
      <c r="J360" s="8">
        <f>IF(ISNA(MATCH(351,'Transfer Engine'!$C$2:$C$679,0)),"",INDEX('Compliance Database'!$J$2:$J$679,MATCH(351,'Transfer Engine'!$C$2:$C$679,0)))</f>
        <v/>
      </c>
      <c r="K360">
        <f>IF(ISNA(MATCH(351,'Transfer Engine'!$C$2:$C$679,0)),"",INDEX('Compliance Database'!$K$2:$K$679,MATCH(351,'Transfer Engine'!$C$2:$C$679,0)))</f>
        <v/>
      </c>
      <c r="L360" s="8">
        <f>IF(ISNA(MATCH(351,'Transfer Engine'!$C$2:$C$679,0)),"",INDEX('Compliance Database'!$L$2:$L$679,MATCH(351,'Transfer Engine'!$C$2:$C$679,0)))</f>
        <v/>
      </c>
      <c r="M360" s="8">
        <f>IF(ISNA(MATCH(351,'Transfer Engine'!$C$2:$C$679,0)),"",INDEX('Compliance Database'!$M$2:$M$679,MATCH(351,'Transfer Engine'!$C$2:$C$679,0)))</f>
        <v/>
      </c>
      <c r="N360" s="8">
        <f>IF(ISNA(MATCH(351,'Transfer Engine'!$C$2:$C$679,0)),"",INDEX('Compliance Database'!$N$2:$N$679,MATCH(351,'Transfer Engine'!$C$2:$C$679,0)))</f>
        <v/>
      </c>
      <c r="O360" s="8">
        <f>IF(ISNA(MATCH(351,'Transfer Engine'!$C$2:$C$679,0)),"",INDEX('Compliance Database'!$O$2:$O$679,MATCH(351,'Transfer Engine'!$C$2:$C$679,0)))</f>
        <v/>
      </c>
      <c r="P360">
        <f>IF(ISNA(MATCH(351,'Transfer Engine'!$C$2:$C$679,0)),"",HYPERLINK(INDEX('Compliance Database'!$P$2:$P$679,MATCH(351,'Transfer Engine'!$C$2:$C$679,0)),"Open PDF"))</f>
        <v/>
      </c>
    </row>
    <row r="361">
      <c r="A361">
        <f>IF(ISNA(MATCH(352,'Transfer Engine'!$C$2:$C$679,0)),"",INDEX('Compliance Database'!$A$2:$A$679,MATCH(352,'Transfer Engine'!$C$2:$C$679,0)))</f>
        <v/>
      </c>
      <c r="B361">
        <f>IF(ISNA(MATCH(352,'Transfer Engine'!$C$2:$C$679,0)),"",INDEX('Compliance Database'!$B$2:$B$679,MATCH(352,'Transfer Engine'!$C$2:$C$679,0)))</f>
        <v/>
      </c>
      <c r="C361">
        <f>IF(ISNA(MATCH(352,'Transfer Engine'!$C$2:$C$679,0)),"",INDEX('Compliance Database'!$C$2:$C$679,MATCH(352,'Transfer Engine'!$C$2:$C$679,0)))</f>
        <v/>
      </c>
      <c r="D361" s="8">
        <f>IF(ISNA(MATCH(352,'Transfer Engine'!$C$2:$C$679,0)),"",INDEX('Compliance Database'!$D$2:$D$679,MATCH(352,'Transfer Engine'!$C$2:$C$679,0)))</f>
        <v/>
      </c>
      <c r="E361">
        <f>IF(ISNA(MATCH(352,'Transfer Engine'!$C$2:$C$679,0)),"",INDEX('Compliance Database'!$E$2:$E$679,MATCH(352,'Transfer Engine'!$C$2:$C$679,0)))</f>
        <v/>
      </c>
      <c r="F361">
        <f>IF(ISNA(MATCH(352,'Transfer Engine'!$C$2:$C$679,0)),"",INDEX('Compliance Database'!$F$2:$F$679,MATCH(352,'Transfer Engine'!$C$2:$C$679,0)))</f>
        <v/>
      </c>
      <c r="G361">
        <f>IF(ISNA(MATCH(352,'Transfer Engine'!$C$2:$C$679,0)),"",INDEX('Compliance Database'!$G$2:$G$679,MATCH(352,'Transfer Engine'!$C$2:$C$679,0)))</f>
        <v/>
      </c>
      <c r="H361">
        <f>IF(ISNA(MATCH(352,'Transfer Engine'!$C$2:$C$679,0)),"",INDEX('Compliance Database'!$H$2:$H$679,MATCH(352,'Transfer Engine'!$C$2:$C$679,0)))</f>
        <v/>
      </c>
      <c r="I361" s="8">
        <f>IF(ISNA(MATCH(352,'Transfer Engine'!$C$2:$C$679,0)),"",INDEX('Compliance Database'!$I$2:$I$679,MATCH(352,'Transfer Engine'!$C$2:$C$679,0)))</f>
        <v/>
      </c>
      <c r="J361" s="8">
        <f>IF(ISNA(MATCH(352,'Transfer Engine'!$C$2:$C$679,0)),"",INDEX('Compliance Database'!$J$2:$J$679,MATCH(352,'Transfer Engine'!$C$2:$C$679,0)))</f>
        <v/>
      </c>
      <c r="K361">
        <f>IF(ISNA(MATCH(352,'Transfer Engine'!$C$2:$C$679,0)),"",INDEX('Compliance Database'!$K$2:$K$679,MATCH(352,'Transfer Engine'!$C$2:$C$679,0)))</f>
        <v/>
      </c>
      <c r="L361" s="8">
        <f>IF(ISNA(MATCH(352,'Transfer Engine'!$C$2:$C$679,0)),"",INDEX('Compliance Database'!$L$2:$L$679,MATCH(352,'Transfer Engine'!$C$2:$C$679,0)))</f>
        <v/>
      </c>
      <c r="M361" s="8">
        <f>IF(ISNA(MATCH(352,'Transfer Engine'!$C$2:$C$679,0)),"",INDEX('Compliance Database'!$M$2:$M$679,MATCH(352,'Transfer Engine'!$C$2:$C$679,0)))</f>
        <v/>
      </c>
      <c r="N361" s="8">
        <f>IF(ISNA(MATCH(352,'Transfer Engine'!$C$2:$C$679,0)),"",INDEX('Compliance Database'!$N$2:$N$679,MATCH(352,'Transfer Engine'!$C$2:$C$679,0)))</f>
        <v/>
      </c>
      <c r="O361" s="8">
        <f>IF(ISNA(MATCH(352,'Transfer Engine'!$C$2:$C$679,0)),"",INDEX('Compliance Database'!$O$2:$O$679,MATCH(352,'Transfer Engine'!$C$2:$C$679,0)))</f>
        <v/>
      </c>
      <c r="P361">
        <f>IF(ISNA(MATCH(352,'Transfer Engine'!$C$2:$C$679,0)),"",HYPERLINK(INDEX('Compliance Database'!$P$2:$P$679,MATCH(352,'Transfer Engine'!$C$2:$C$679,0)),"Open PDF"))</f>
        <v/>
      </c>
    </row>
    <row r="362">
      <c r="A362">
        <f>IF(ISNA(MATCH(353,'Transfer Engine'!$C$2:$C$679,0)),"",INDEX('Compliance Database'!$A$2:$A$679,MATCH(353,'Transfer Engine'!$C$2:$C$679,0)))</f>
        <v/>
      </c>
      <c r="B362">
        <f>IF(ISNA(MATCH(353,'Transfer Engine'!$C$2:$C$679,0)),"",INDEX('Compliance Database'!$B$2:$B$679,MATCH(353,'Transfer Engine'!$C$2:$C$679,0)))</f>
        <v/>
      </c>
      <c r="C362">
        <f>IF(ISNA(MATCH(353,'Transfer Engine'!$C$2:$C$679,0)),"",INDEX('Compliance Database'!$C$2:$C$679,MATCH(353,'Transfer Engine'!$C$2:$C$679,0)))</f>
        <v/>
      </c>
      <c r="D362" s="8">
        <f>IF(ISNA(MATCH(353,'Transfer Engine'!$C$2:$C$679,0)),"",INDEX('Compliance Database'!$D$2:$D$679,MATCH(353,'Transfer Engine'!$C$2:$C$679,0)))</f>
        <v/>
      </c>
      <c r="E362">
        <f>IF(ISNA(MATCH(353,'Transfer Engine'!$C$2:$C$679,0)),"",INDEX('Compliance Database'!$E$2:$E$679,MATCH(353,'Transfer Engine'!$C$2:$C$679,0)))</f>
        <v/>
      </c>
      <c r="F362">
        <f>IF(ISNA(MATCH(353,'Transfer Engine'!$C$2:$C$679,0)),"",INDEX('Compliance Database'!$F$2:$F$679,MATCH(353,'Transfer Engine'!$C$2:$C$679,0)))</f>
        <v/>
      </c>
      <c r="G362">
        <f>IF(ISNA(MATCH(353,'Transfer Engine'!$C$2:$C$679,0)),"",INDEX('Compliance Database'!$G$2:$G$679,MATCH(353,'Transfer Engine'!$C$2:$C$679,0)))</f>
        <v/>
      </c>
      <c r="H362">
        <f>IF(ISNA(MATCH(353,'Transfer Engine'!$C$2:$C$679,0)),"",INDEX('Compliance Database'!$H$2:$H$679,MATCH(353,'Transfer Engine'!$C$2:$C$679,0)))</f>
        <v/>
      </c>
      <c r="I362" s="8">
        <f>IF(ISNA(MATCH(353,'Transfer Engine'!$C$2:$C$679,0)),"",INDEX('Compliance Database'!$I$2:$I$679,MATCH(353,'Transfer Engine'!$C$2:$C$679,0)))</f>
        <v/>
      </c>
      <c r="J362" s="8">
        <f>IF(ISNA(MATCH(353,'Transfer Engine'!$C$2:$C$679,0)),"",INDEX('Compliance Database'!$J$2:$J$679,MATCH(353,'Transfer Engine'!$C$2:$C$679,0)))</f>
        <v/>
      </c>
      <c r="K362">
        <f>IF(ISNA(MATCH(353,'Transfer Engine'!$C$2:$C$679,0)),"",INDEX('Compliance Database'!$K$2:$K$679,MATCH(353,'Transfer Engine'!$C$2:$C$679,0)))</f>
        <v/>
      </c>
      <c r="L362" s="8">
        <f>IF(ISNA(MATCH(353,'Transfer Engine'!$C$2:$C$679,0)),"",INDEX('Compliance Database'!$L$2:$L$679,MATCH(353,'Transfer Engine'!$C$2:$C$679,0)))</f>
        <v/>
      </c>
      <c r="M362" s="8">
        <f>IF(ISNA(MATCH(353,'Transfer Engine'!$C$2:$C$679,0)),"",INDEX('Compliance Database'!$M$2:$M$679,MATCH(353,'Transfer Engine'!$C$2:$C$679,0)))</f>
        <v/>
      </c>
      <c r="N362" s="8">
        <f>IF(ISNA(MATCH(353,'Transfer Engine'!$C$2:$C$679,0)),"",INDEX('Compliance Database'!$N$2:$N$679,MATCH(353,'Transfer Engine'!$C$2:$C$679,0)))</f>
        <v/>
      </c>
      <c r="O362" s="8">
        <f>IF(ISNA(MATCH(353,'Transfer Engine'!$C$2:$C$679,0)),"",INDEX('Compliance Database'!$O$2:$O$679,MATCH(353,'Transfer Engine'!$C$2:$C$679,0)))</f>
        <v/>
      </c>
      <c r="P362">
        <f>IF(ISNA(MATCH(353,'Transfer Engine'!$C$2:$C$679,0)),"",HYPERLINK(INDEX('Compliance Database'!$P$2:$P$679,MATCH(353,'Transfer Engine'!$C$2:$C$679,0)),"Open PDF"))</f>
        <v/>
      </c>
    </row>
    <row r="363">
      <c r="A363">
        <f>IF(ISNA(MATCH(354,'Transfer Engine'!$C$2:$C$679,0)),"",INDEX('Compliance Database'!$A$2:$A$679,MATCH(354,'Transfer Engine'!$C$2:$C$679,0)))</f>
        <v/>
      </c>
      <c r="B363">
        <f>IF(ISNA(MATCH(354,'Transfer Engine'!$C$2:$C$679,0)),"",INDEX('Compliance Database'!$B$2:$B$679,MATCH(354,'Transfer Engine'!$C$2:$C$679,0)))</f>
        <v/>
      </c>
      <c r="C363">
        <f>IF(ISNA(MATCH(354,'Transfer Engine'!$C$2:$C$679,0)),"",INDEX('Compliance Database'!$C$2:$C$679,MATCH(354,'Transfer Engine'!$C$2:$C$679,0)))</f>
        <v/>
      </c>
      <c r="D363" s="8">
        <f>IF(ISNA(MATCH(354,'Transfer Engine'!$C$2:$C$679,0)),"",INDEX('Compliance Database'!$D$2:$D$679,MATCH(354,'Transfer Engine'!$C$2:$C$679,0)))</f>
        <v/>
      </c>
      <c r="E363">
        <f>IF(ISNA(MATCH(354,'Transfer Engine'!$C$2:$C$679,0)),"",INDEX('Compliance Database'!$E$2:$E$679,MATCH(354,'Transfer Engine'!$C$2:$C$679,0)))</f>
        <v/>
      </c>
      <c r="F363">
        <f>IF(ISNA(MATCH(354,'Transfer Engine'!$C$2:$C$679,0)),"",INDEX('Compliance Database'!$F$2:$F$679,MATCH(354,'Transfer Engine'!$C$2:$C$679,0)))</f>
        <v/>
      </c>
      <c r="G363">
        <f>IF(ISNA(MATCH(354,'Transfer Engine'!$C$2:$C$679,0)),"",INDEX('Compliance Database'!$G$2:$G$679,MATCH(354,'Transfer Engine'!$C$2:$C$679,0)))</f>
        <v/>
      </c>
      <c r="H363">
        <f>IF(ISNA(MATCH(354,'Transfer Engine'!$C$2:$C$679,0)),"",INDEX('Compliance Database'!$H$2:$H$679,MATCH(354,'Transfer Engine'!$C$2:$C$679,0)))</f>
        <v/>
      </c>
      <c r="I363" s="8">
        <f>IF(ISNA(MATCH(354,'Transfer Engine'!$C$2:$C$679,0)),"",INDEX('Compliance Database'!$I$2:$I$679,MATCH(354,'Transfer Engine'!$C$2:$C$679,0)))</f>
        <v/>
      </c>
      <c r="J363" s="8">
        <f>IF(ISNA(MATCH(354,'Transfer Engine'!$C$2:$C$679,0)),"",INDEX('Compliance Database'!$J$2:$J$679,MATCH(354,'Transfer Engine'!$C$2:$C$679,0)))</f>
        <v/>
      </c>
      <c r="K363">
        <f>IF(ISNA(MATCH(354,'Transfer Engine'!$C$2:$C$679,0)),"",INDEX('Compliance Database'!$K$2:$K$679,MATCH(354,'Transfer Engine'!$C$2:$C$679,0)))</f>
        <v/>
      </c>
      <c r="L363" s="8">
        <f>IF(ISNA(MATCH(354,'Transfer Engine'!$C$2:$C$679,0)),"",INDEX('Compliance Database'!$L$2:$L$679,MATCH(354,'Transfer Engine'!$C$2:$C$679,0)))</f>
        <v/>
      </c>
      <c r="M363" s="8">
        <f>IF(ISNA(MATCH(354,'Transfer Engine'!$C$2:$C$679,0)),"",INDEX('Compliance Database'!$M$2:$M$679,MATCH(354,'Transfer Engine'!$C$2:$C$679,0)))</f>
        <v/>
      </c>
      <c r="N363" s="8">
        <f>IF(ISNA(MATCH(354,'Transfer Engine'!$C$2:$C$679,0)),"",INDEX('Compliance Database'!$N$2:$N$679,MATCH(354,'Transfer Engine'!$C$2:$C$679,0)))</f>
        <v/>
      </c>
      <c r="O363" s="8">
        <f>IF(ISNA(MATCH(354,'Transfer Engine'!$C$2:$C$679,0)),"",INDEX('Compliance Database'!$O$2:$O$679,MATCH(354,'Transfer Engine'!$C$2:$C$679,0)))</f>
        <v/>
      </c>
      <c r="P363">
        <f>IF(ISNA(MATCH(354,'Transfer Engine'!$C$2:$C$679,0)),"",HYPERLINK(INDEX('Compliance Database'!$P$2:$P$679,MATCH(354,'Transfer Engine'!$C$2:$C$679,0)),"Open PDF"))</f>
        <v/>
      </c>
    </row>
    <row r="364">
      <c r="A364">
        <f>IF(ISNA(MATCH(355,'Transfer Engine'!$C$2:$C$679,0)),"",INDEX('Compliance Database'!$A$2:$A$679,MATCH(355,'Transfer Engine'!$C$2:$C$679,0)))</f>
        <v/>
      </c>
      <c r="B364">
        <f>IF(ISNA(MATCH(355,'Transfer Engine'!$C$2:$C$679,0)),"",INDEX('Compliance Database'!$B$2:$B$679,MATCH(355,'Transfer Engine'!$C$2:$C$679,0)))</f>
        <v/>
      </c>
      <c r="C364">
        <f>IF(ISNA(MATCH(355,'Transfer Engine'!$C$2:$C$679,0)),"",INDEX('Compliance Database'!$C$2:$C$679,MATCH(355,'Transfer Engine'!$C$2:$C$679,0)))</f>
        <v/>
      </c>
      <c r="D364" s="8">
        <f>IF(ISNA(MATCH(355,'Transfer Engine'!$C$2:$C$679,0)),"",INDEX('Compliance Database'!$D$2:$D$679,MATCH(355,'Transfer Engine'!$C$2:$C$679,0)))</f>
        <v/>
      </c>
      <c r="E364">
        <f>IF(ISNA(MATCH(355,'Transfer Engine'!$C$2:$C$679,0)),"",INDEX('Compliance Database'!$E$2:$E$679,MATCH(355,'Transfer Engine'!$C$2:$C$679,0)))</f>
        <v/>
      </c>
      <c r="F364">
        <f>IF(ISNA(MATCH(355,'Transfer Engine'!$C$2:$C$679,0)),"",INDEX('Compliance Database'!$F$2:$F$679,MATCH(355,'Transfer Engine'!$C$2:$C$679,0)))</f>
        <v/>
      </c>
      <c r="G364">
        <f>IF(ISNA(MATCH(355,'Transfer Engine'!$C$2:$C$679,0)),"",INDEX('Compliance Database'!$G$2:$G$679,MATCH(355,'Transfer Engine'!$C$2:$C$679,0)))</f>
        <v/>
      </c>
      <c r="H364">
        <f>IF(ISNA(MATCH(355,'Transfer Engine'!$C$2:$C$679,0)),"",INDEX('Compliance Database'!$H$2:$H$679,MATCH(355,'Transfer Engine'!$C$2:$C$679,0)))</f>
        <v/>
      </c>
      <c r="I364" s="8">
        <f>IF(ISNA(MATCH(355,'Transfer Engine'!$C$2:$C$679,0)),"",INDEX('Compliance Database'!$I$2:$I$679,MATCH(355,'Transfer Engine'!$C$2:$C$679,0)))</f>
        <v/>
      </c>
      <c r="J364" s="8">
        <f>IF(ISNA(MATCH(355,'Transfer Engine'!$C$2:$C$679,0)),"",INDEX('Compliance Database'!$J$2:$J$679,MATCH(355,'Transfer Engine'!$C$2:$C$679,0)))</f>
        <v/>
      </c>
      <c r="K364">
        <f>IF(ISNA(MATCH(355,'Transfer Engine'!$C$2:$C$679,0)),"",INDEX('Compliance Database'!$K$2:$K$679,MATCH(355,'Transfer Engine'!$C$2:$C$679,0)))</f>
        <v/>
      </c>
      <c r="L364" s="8">
        <f>IF(ISNA(MATCH(355,'Transfer Engine'!$C$2:$C$679,0)),"",INDEX('Compliance Database'!$L$2:$L$679,MATCH(355,'Transfer Engine'!$C$2:$C$679,0)))</f>
        <v/>
      </c>
      <c r="M364" s="8">
        <f>IF(ISNA(MATCH(355,'Transfer Engine'!$C$2:$C$679,0)),"",INDEX('Compliance Database'!$M$2:$M$679,MATCH(355,'Transfer Engine'!$C$2:$C$679,0)))</f>
        <v/>
      </c>
      <c r="N364" s="8">
        <f>IF(ISNA(MATCH(355,'Transfer Engine'!$C$2:$C$679,0)),"",INDEX('Compliance Database'!$N$2:$N$679,MATCH(355,'Transfer Engine'!$C$2:$C$679,0)))</f>
        <v/>
      </c>
      <c r="O364" s="8">
        <f>IF(ISNA(MATCH(355,'Transfer Engine'!$C$2:$C$679,0)),"",INDEX('Compliance Database'!$O$2:$O$679,MATCH(355,'Transfer Engine'!$C$2:$C$679,0)))</f>
        <v/>
      </c>
      <c r="P364">
        <f>IF(ISNA(MATCH(355,'Transfer Engine'!$C$2:$C$679,0)),"",HYPERLINK(INDEX('Compliance Database'!$P$2:$P$679,MATCH(355,'Transfer Engine'!$C$2:$C$679,0)),"Open PDF"))</f>
        <v/>
      </c>
    </row>
    <row r="365">
      <c r="A365">
        <f>IF(ISNA(MATCH(356,'Transfer Engine'!$C$2:$C$679,0)),"",INDEX('Compliance Database'!$A$2:$A$679,MATCH(356,'Transfer Engine'!$C$2:$C$679,0)))</f>
        <v/>
      </c>
      <c r="B365">
        <f>IF(ISNA(MATCH(356,'Transfer Engine'!$C$2:$C$679,0)),"",INDEX('Compliance Database'!$B$2:$B$679,MATCH(356,'Transfer Engine'!$C$2:$C$679,0)))</f>
        <v/>
      </c>
      <c r="C365">
        <f>IF(ISNA(MATCH(356,'Transfer Engine'!$C$2:$C$679,0)),"",INDEX('Compliance Database'!$C$2:$C$679,MATCH(356,'Transfer Engine'!$C$2:$C$679,0)))</f>
        <v/>
      </c>
      <c r="D365" s="8">
        <f>IF(ISNA(MATCH(356,'Transfer Engine'!$C$2:$C$679,0)),"",INDEX('Compliance Database'!$D$2:$D$679,MATCH(356,'Transfer Engine'!$C$2:$C$679,0)))</f>
        <v/>
      </c>
      <c r="E365">
        <f>IF(ISNA(MATCH(356,'Transfer Engine'!$C$2:$C$679,0)),"",INDEX('Compliance Database'!$E$2:$E$679,MATCH(356,'Transfer Engine'!$C$2:$C$679,0)))</f>
        <v/>
      </c>
      <c r="F365">
        <f>IF(ISNA(MATCH(356,'Transfer Engine'!$C$2:$C$679,0)),"",INDEX('Compliance Database'!$F$2:$F$679,MATCH(356,'Transfer Engine'!$C$2:$C$679,0)))</f>
        <v/>
      </c>
      <c r="G365">
        <f>IF(ISNA(MATCH(356,'Transfer Engine'!$C$2:$C$679,0)),"",INDEX('Compliance Database'!$G$2:$G$679,MATCH(356,'Transfer Engine'!$C$2:$C$679,0)))</f>
        <v/>
      </c>
      <c r="H365">
        <f>IF(ISNA(MATCH(356,'Transfer Engine'!$C$2:$C$679,0)),"",INDEX('Compliance Database'!$H$2:$H$679,MATCH(356,'Transfer Engine'!$C$2:$C$679,0)))</f>
        <v/>
      </c>
      <c r="I365" s="8">
        <f>IF(ISNA(MATCH(356,'Transfer Engine'!$C$2:$C$679,0)),"",INDEX('Compliance Database'!$I$2:$I$679,MATCH(356,'Transfer Engine'!$C$2:$C$679,0)))</f>
        <v/>
      </c>
      <c r="J365" s="8">
        <f>IF(ISNA(MATCH(356,'Transfer Engine'!$C$2:$C$679,0)),"",INDEX('Compliance Database'!$J$2:$J$679,MATCH(356,'Transfer Engine'!$C$2:$C$679,0)))</f>
        <v/>
      </c>
      <c r="K365">
        <f>IF(ISNA(MATCH(356,'Transfer Engine'!$C$2:$C$679,0)),"",INDEX('Compliance Database'!$K$2:$K$679,MATCH(356,'Transfer Engine'!$C$2:$C$679,0)))</f>
        <v/>
      </c>
      <c r="L365" s="8">
        <f>IF(ISNA(MATCH(356,'Transfer Engine'!$C$2:$C$679,0)),"",INDEX('Compliance Database'!$L$2:$L$679,MATCH(356,'Transfer Engine'!$C$2:$C$679,0)))</f>
        <v/>
      </c>
      <c r="M365" s="8">
        <f>IF(ISNA(MATCH(356,'Transfer Engine'!$C$2:$C$679,0)),"",INDEX('Compliance Database'!$M$2:$M$679,MATCH(356,'Transfer Engine'!$C$2:$C$679,0)))</f>
        <v/>
      </c>
      <c r="N365" s="8">
        <f>IF(ISNA(MATCH(356,'Transfer Engine'!$C$2:$C$679,0)),"",INDEX('Compliance Database'!$N$2:$N$679,MATCH(356,'Transfer Engine'!$C$2:$C$679,0)))</f>
        <v/>
      </c>
      <c r="O365" s="8">
        <f>IF(ISNA(MATCH(356,'Transfer Engine'!$C$2:$C$679,0)),"",INDEX('Compliance Database'!$O$2:$O$679,MATCH(356,'Transfer Engine'!$C$2:$C$679,0)))</f>
        <v/>
      </c>
      <c r="P365">
        <f>IF(ISNA(MATCH(356,'Transfer Engine'!$C$2:$C$679,0)),"",HYPERLINK(INDEX('Compliance Database'!$P$2:$P$679,MATCH(356,'Transfer Engine'!$C$2:$C$679,0)),"Open PDF"))</f>
        <v/>
      </c>
    </row>
    <row r="366">
      <c r="A366">
        <f>IF(ISNA(MATCH(357,'Transfer Engine'!$C$2:$C$679,0)),"",INDEX('Compliance Database'!$A$2:$A$679,MATCH(357,'Transfer Engine'!$C$2:$C$679,0)))</f>
        <v/>
      </c>
      <c r="B366">
        <f>IF(ISNA(MATCH(357,'Transfer Engine'!$C$2:$C$679,0)),"",INDEX('Compliance Database'!$B$2:$B$679,MATCH(357,'Transfer Engine'!$C$2:$C$679,0)))</f>
        <v/>
      </c>
      <c r="C366">
        <f>IF(ISNA(MATCH(357,'Transfer Engine'!$C$2:$C$679,0)),"",INDEX('Compliance Database'!$C$2:$C$679,MATCH(357,'Transfer Engine'!$C$2:$C$679,0)))</f>
        <v/>
      </c>
      <c r="D366" s="8">
        <f>IF(ISNA(MATCH(357,'Transfer Engine'!$C$2:$C$679,0)),"",INDEX('Compliance Database'!$D$2:$D$679,MATCH(357,'Transfer Engine'!$C$2:$C$679,0)))</f>
        <v/>
      </c>
      <c r="E366">
        <f>IF(ISNA(MATCH(357,'Transfer Engine'!$C$2:$C$679,0)),"",INDEX('Compliance Database'!$E$2:$E$679,MATCH(357,'Transfer Engine'!$C$2:$C$679,0)))</f>
        <v/>
      </c>
      <c r="F366">
        <f>IF(ISNA(MATCH(357,'Transfer Engine'!$C$2:$C$679,0)),"",INDEX('Compliance Database'!$F$2:$F$679,MATCH(357,'Transfer Engine'!$C$2:$C$679,0)))</f>
        <v/>
      </c>
      <c r="G366">
        <f>IF(ISNA(MATCH(357,'Transfer Engine'!$C$2:$C$679,0)),"",INDEX('Compliance Database'!$G$2:$G$679,MATCH(357,'Transfer Engine'!$C$2:$C$679,0)))</f>
        <v/>
      </c>
      <c r="H366">
        <f>IF(ISNA(MATCH(357,'Transfer Engine'!$C$2:$C$679,0)),"",INDEX('Compliance Database'!$H$2:$H$679,MATCH(357,'Transfer Engine'!$C$2:$C$679,0)))</f>
        <v/>
      </c>
      <c r="I366" s="8">
        <f>IF(ISNA(MATCH(357,'Transfer Engine'!$C$2:$C$679,0)),"",INDEX('Compliance Database'!$I$2:$I$679,MATCH(357,'Transfer Engine'!$C$2:$C$679,0)))</f>
        <v/>
      </c>
      <c r="J366" s="8">
        <f>IF(ISNA(MATCH(357,'Transfer Engine'!$C$2:$C$679,0)),"",INDEX('Compliance Database'!$J$2:$J$679,MATCH(357,'Transfer Engine'!$C$2:$C$679,0)))</f>
        <v/>
      </c>
      <c r="K366">
        <f>IF(ISNA(MATCH(357,'Transfer Engine'!$C$2:$C$679,0)),"",INDEX('Compliance Database'!$K$2:$K$679,MATCH(357,'Transfer Engine'!$C$2:$C$679,0)))</f>
        <v/>
      </c>
      <c r="L366" s="8">
        <f>IF(ISNA(MATCH(357,'Transfer Engine'!$C$2:$C$679,0)),"",INDEX('Compliance Database'!$L$2:$L$679,MATCH(357,'Transfer Engine'!$C$2:$C$679,0)))</f>
        <v/>
      </c>
      <c r="M366" s="8">
        <f>IF(ISNA(MATCH(357,'Transfer Engine'!$C$2:$C$679,0)),"",INDEX('Compliance Database'!$M$2:$M$679,MATCH(357,'Transfer Engine'!$C$2:$C$679,0)))</f>
        <v/>
      </c>
      <c r="N366" s="8">
        <f>IF(ISNA(MATCH(357,'Transfer Engine'!$C$2:$C$679,0)),"",INDEX('Compliance Database'!$N$2:$N$679,MATCH(357,'Transfer Engine'!$C$2:$C$679,0)))</f>
        <v/>
      </c>
      <c r="O366" s="8">
        <f>IF(ISNA(MATCH(357,'Transfer Engine'!$C$2:$C$679,0)),"",INDEX('Compliance Database'!$O$2:$O$679,MATCH(357,'Transfer Engine'!$C$2:$C$679,0)))</f>
        <v/>
      </c>
      <c r="P366">
        <f>IF(ISNA(MATCH(357,'Transfer Engine'!$C$2:$C$679,0)),"",HYPERLINK(INDEX('Compliance Database'!$P$2:$P$679,MATCH(357,'Transfer Engine'!$C$2:$C$679,0)),"Open PDF"))</f>
        <v/>
      </c>
    </row>
    <row r="367">
      <c r="A367">
        <f>IF(ISNA(MATCH(358,'Transfer Engine'!$C$2:$C$679,0)),"",INDEX('Compliance Database'!$A$2:$A$679,MATCH(358,'Transfer Engine'!$C$2:$C$679,0)))</f>
        <v/>
      </c>
      <c r="B367">
        <f>IF(ISNA(MATCH(358,'Transfer Engine'!$C$2:$C$679,0)),"",INDEX('Compliance Database'!$B$2:$B$679,MATCH(358,'Transfer Engine'!$C$2:$C$679,0)))</f>
        <v/>
      </c>
      <c r="C367">
        <f>IF(ISNA(MATCH(358,'Transfer Engine'!$C$2:$C$679,0)),"",INDEX('Compliance Database'!$C$2:$C$679,MATCH(358,'Transfer Engine'!$C$2:$C$679,0)))</f>
        <v/>
      </c>
      <c r="D367" s="8">
        <f>IF(ISNA(MATCH(358,'Transfer Engine'!$C$2:$C$679,0)),"",INDEX('Compliance Database'!$D$2:$D$679,MATCH(358,'Transfer Engine'!$C$2:$C$679,0)))</f>
        <v/>
      </c>
      <c r="E367">
        <f>IF(ISNA(MATCH(358,'Transfer Engine'!$C$2:$C$679,0)),"",INDEX('Compliance Database'!$E$2:$E$679,MATCH(358,'Transfer Engine'!$C$2:$C$679,0)))</f>
        <v/>
      </c>
      <c r="F367">
        <f>IF(ISNA(MATCH(358,'Transfer Engine'!$C$2:$C$679,0)),"",INDEX('Compliance Database'!$F$2:$F$679,MATCH(358,'Transfer Engine'!$C$2:$C$679,0)))</f>
        <v/>
      </c>
      <c r="G367">
        <f>IF(ISNA(MATCH(358,'Transfer Engine'!$C$2:$C$679,0)),"",INDEX('Compliance Database'!$G$2:$G$679,MATCH(358,'Transfer Engine'!$C$2:$C$679,0)))</f>
        <v/>
      </c>
      <c r="H367">
        <f>IF(ISNA(MATCH(358,'Transfer Engine'!$C$2:$C$679,0)),"",INDEX('Compliance Database'!$H$2:$H$679,MATCH(358,'Transfer Engine'!$C$2:$C$679,0)))</f>
        <v/>
      </c>
      <c r="I367" s="8">
        <f>IF(ISNA(MATCH(358,'Transfer Engine'!$C$2:$C$679,0)),"",INDEX('Compliance Database'!$I$2:$I$679,MATCH(358,'Transfer Engine'!$C$2:$C$679,0)))</f>
        <v/>
      </c>
      <c r="J367" s="8">
        <f>IF(ISNA(MATCH(358,'Transfer Engine'!$C$2:$C$679,0)),"",INDEX('Compliance Database'!$J$2:$J$679,MATCH(358,'Transfer Engine'!$C$2:$C$679,0)))</f>
        <v/>
      </c>
      <c r="K367">
        <f>IF(ISNA(MATCH(358,'Transfer Engine'!$C$2:$C$679,0)),"",INDEX('Compliance Database'!$K$2:$K$679,MATCH(358,'Transfer Engine'!$C$2:$C$679,0)))</f>
        <v/>
      </c>
      <c r="L367" s="8">
        <f>IF(ISNA(MATCH(358,'Transfer Engine'!$C$2:$C$679,0)),"",INDEX('Compliance Database'!$L$2:$L$679,MATCH(358,'Transfer Engine'!$C$2:$C$679,0)))</f>
        <v/>
      </c>
      <c r="M367" s="8">
        <f>IF(ISNA(MATCH(358,'Transfer Engine'!$C$2:$C$679,0)),"",INDEX('Compliance Database'!$M$2:$M$679,MATCH(358,'Transfer Engine'!$C$2:$C$679,0)))</f>
        <v/>
      </c>
      <c r="N367" s="8">
        <f>IF(ISNA(MATCH(358,'Transfer Engine'!$C$2:$C$679,0)),"",INDEX('Compliance Database'!$N$2:$N$679,MATCH(358,'Transfer Engine'!$C$2:$C$679,0)))</f>
        <v/>
      </c>
      <c r="O367" s="8">
        <f>IF(ISNA(MATCH(358,'Transfer Engine'!$C$2:$C$679,0)),"",INDEX('Compliance Database'!$O$2:$O$679,MATCH(358,'Transfer Engine'!$C$2:$C$679,0)))</f>
        <v/>
      </c>
      <c r="P367">
        <f>IF(ISNA(MATCH(358,'Transfer Engine'!$C$2:$C$679,0)),"",HYPERLINK(INDEX('Compliance Database'!$P$2:$P$679,MATCH(358,'Transfer Engine'!$C$2:$C$679,0)),"Open PDF"))</f>
        <v/>
      </c>
    </row>
    <row r="368">
      <c r="A368">
        <f>IF(ISNA(MATCH(359,'Transfer Engine'!$C$2:$C$679,0)),"",INDEX('Compliance Database'!$A$2:$A$679,MATCH(359,'Transfer Engine'!$C$2:$C$679,0)))</f>
        <v/>
      </c>
      <c r="B368">
        <f>IF(ISNA(MATCH(359,'Transfer Engine'!$C$2:$C$679,0)),"",INDEX('Compliance Database'!$B$2:$B$679,MATCH(359,'Transfer Engine'!$C$2:$C$679,0)))</f>
        <v/>
      </c>
      <c r="C368">
        <f>IF(ISNA(MATCH(359,'Transfer Engine'!$C$2:$C$679,0)),"",INDEX('Compliance Database'!$C$2:$C$679,MATCH(359,'Transfer Engine'!$C$2:$C$679,0)))</f>
        <v/>
      </c>
      <c r="D368" s="8">
        <f>IF(ISNA(MATCH(359,'Transfer Engine'!$C$2:$C$679,0)),"",INDEX('Compliance Database'!$D$2:$D$679,MATCH(359,'Transfer Engine'!$C$2:$C$679,0)))</f>
        <v/>
      </c>
      <c r="E368">
        <f>IF(ISNA(MATCH(359,'Transfer Engine'!$C$2:$C$679,0)),"",INDEX('Compliance Database'!$E$2:$E$679,MATCH(359,'Transfer Engine'!$C$2:$C$679,0)))</f>
        <v/>
      </c>
      <c r="F368">
        <f>IF(ISNA(MATCH(359,'Transfer Engine'!$C$2:$C$679,0)),"",INDEX('Compliance Database'!$F$2:$F$679,MATCH(359,'Transfer Engine'!$C$2:$C$679,0)))</f>
        <v/>
      </c>
      <c r="G368">
        <f>IF(ISNA(MATCH(359,'Transfer Engine'!$C$2:$C$679,0)),"",INDEX('Compliance Database'!$G$2:$G$679,MATCH(359,'Transfer Engine'!$C$2:$C$679,0)))</f>
        <v/>
      </c>
      <c r="H368">
        <f>IF(ISNA(MATCH(359,'Transfer Engine'!$C$2:$C$679,0)),"",INDEX('Compliance Database'!$H$2:$H$679,MATCH(359,'Transfer Engine'!$C$2:$C$679,0)))</f>
        <v/>
      </c>
      <c r="I368" s="8">
        <f>IF(ISNA(MATCH(359,'Transfer Engine'!$C$2:$C$679,0)),"",INDEX('Compliance Database'!$I$2:$I$679,MATCH(359,'Transfer Engine'!$C$2:$C$679,0)))</f>
        <v/>
      </c>
      <c r="J368" s="8">
        <f>IF(ISNA(MATCH(359,'Transfer Engine'!$C$2:$C$679,0)),"",INDEX('Compliance Database'!$J$2:$J$679,MATCH(359,'Transfer Engine'!$C$2:$C$679,0)))</f>
        <v/>
      </c>
      <c r="K368">
        <f>IF(ISNA(MATCH(359,'Transfer Engine'!$C$2:$C$679,0)),"",INDEX('Compliance Database'!$K$2:$K$679,MATCH(359,'Transfer Engine'!$C$2:$C$679,0)))</f>
        <v/>
      </c>
      <c r="L368" s="8">
        <f>IF(ISNA(MATCH(359,'Transfer Engine'!$C$2:$C$679,0)),"",INDEX('Compliance Database'!$L$2:$L$679,MATCH(359,'Transfer Engine'!$C$2:$C$679,0)))</f>
        <v/>
      </c>
      <c r="M368" s="8">
        <f>IF(ISNA(MATCH(359,'Transfer Engine'!$C$2:$C$679,0)),"",INDEX('Compliance Database'!$M$2:$M$679,MATCH(359,'Transfer Engine'!$C$2:$C$679,0)))</f>
        <v/>
      </c>
      <c r="N368" s="8">
        <f>IF(ISNA(MATCH(359,'Transfer Engine'!$C$2:$C$679,0)),"",INDEX('Compliance Database'!$N$2:$N$679,MATCH(359,'Transfer Engine'!$C$2:$C$679,0)))</f>
        <v/>
      </c>
      <c r="O368" s="8">
        <f>IF(ISNA(MATCH(359,'Transfer Engine'!$C$2:$C$679,0)),"",INDEX('Compliance Database'!$O$2:$O$679,MATCH(359,'Transfer Engine'!$C$2:$C$679,0)))</f>
        <v/>
      </c>
      <c r="P368">
        <f>IF(ISNA(MATCH(359,'Transfer Engine'!$C$2:$C$679,0)),"",HYPERLINK(INDEX('Compliance Database'!$P$2:$P$679,MATCH(359,'Transfer Engine'!$C$2:$C$679,0)),"Open PDF"))</f>
        <v/>
      </c>
    </row>
    <row r="369">
      <c r="A369">
        <f>IF(ISNA(MATCH(360,'Transfer Engine'!$C$2:$C$679,0)),"",INDEX('Compliance Database'!$A$2:$A$679,MATCH(360,'Transfer Engine'!$C$2:$C$679,0)))</f>
        <v/>
      </c>
      <c r="B369">
        <f>IF(ISNA(MATCH(360,'Transfer Engine'!$C$2:$C$679,0)),"",INDEX('Compliance Database'!$B$2:$B$679,MATCH(360,'Transfer Engine'!$C$2:$C$679,0)))</f>
        <v/>
      </c>
      <c r="C369">
        <f>IF(ISNA(MATCH(360,'Transfer Engine'!$C$2:$C$679,0)),"",INDEX('Compliance Database'!$C$2:$C$679,MATCH(360,'Transfer Engine'!$C$2:$C$679,0)))</f>
        <v/>
      </c>
      <c r="D369" s="8">
        <f>IF(ISNA(MATCH(360,'Transfer Engine'!$C$2:$C$679,0)),"",INDEX('Compliance Database'!$D$2:$D$679,MATCH(360,'Transfer Engine'!$C$2:$C$679,0)))</f>
        <v/>
      </c>
      <c r="E369">
        <f>IF(ISNA(MATCH(360,'Transfer Engine'!$C$2:$C$679,0)),"",INDEX('Compliance Database'!$E$2:$E$679,MATCH(360,'Transfer Engine'!$C$2:$C$679,0)))</f>
        <v/>
      </c>
      <c r="F369">
        <f>IF(ISNA(MATCH(360,'Transfer Engine'!$C$2:$C$679,0)),"",INDEX('Compliance Database'!$F$2:$F$679,MATCH(360,'Transfer Engine'!$C$2:$C$679,0)))</f>
        <v/>
      </c>
      <c r="G369">
        <f>IF(ISNA(MATCH(360,'Transfer Engine'!$C$2:$C$679,0)),"",INDEX('Compliance Database'!$G$2:$G$679,MATCH(360,'Transfer Engine'!$C$2:$C$679,0)))</f>
        <v/>
      </c>
      <c r="H369">
        <f>IF(ISNA(MATCH(360,'Transfer Engine'!$C$2:$C$679,0)),"",INDEX('Compliance Database'!$H$2:$H$679,MATCH(360,'Transfer Engine'!$C$2:$C$679,0)))</f>
        <v/>
      </c>
      <c r="I369" s="8">
        <f>IF(ISNA(MATCH(360,'Transfer Engine'!$C$2:$C$679,0)),"",INDEX('Compliance Database'!$I$2:$I$679,MATCH(360,'Transfer Engine'!$C$2:$C$679,0)))</f>
        <v/>
      </c>
      <c r="J369" s="8">
        <f>IF(ISNA(MATCH(360,'Transfer Engine'!$C$2:$C$679,0)),"",INDEX('Compliance Database'!$J$2:$J$679,MATCH(360,'Transfer Engine'!$C$2:$C$679,0)))</f>
        <v/>
      </c>
      <c r="K369">
        <f>IF(ISNA(MATCH(360,'Transfer Engine'!$C$2:$C$679,0)),"",INDEX('Compliance Database'!$K$2:$K$679,MATCH(360,'Transfer Engine'!$C$2:$C$679,0)))</f>
        <v/>
      </c>
      <c r="L369" s="8">
        <f>IF(ISNA(MATCH(360,'Transfer Engine'!$C$2:$C$679,0)),"",INDEX('Compliance Database'!$L$2:$L$679,MATCH(360,'Transfer Engine'!$C$2:$C$679,0)))</f>
        <v/>
      </c>
      <c r="M369" s="8">
        <f>IF(ISNA(MATCH(360,'Transfer Engine'!$C$2:$C$679,0)),"",INDEX('Compliance Database'!$M$2:$M$679,MATCH(360,'Transfer Engine'!$C$2:$C$679,0)))</f>
        <v/>
      </c>
      <c r="N369" s="8">
        <f>IF(ISNA(MATCH(360,'Transfer Engine'!$C$2:$C$679,0)),"",INDEX('Compliance Database'!$N$2:$N$679,MATCH(360,'Transfer Engine'!$C$2:$C$679,0)))</f>
        <v/>
      </c>
      <c r="O369" s="8">
        <f>IF(ISNA(MATCH(360,'Transfer Engine'!$C$2:$C$679,0)),"",INDEX('Compliance Database'!$O$2:$O$679,MATCH(360,'Transfer Engine'!$C$2:$C$679,0)))</f>
        <v/>
      </c>
      <c r="P369">
        <f>IF(ISNA(MATCH(360,'Transfer Engine'!$C$2:$C$679,0)),"",HYPERLINK(INDEX('Compliance Database'!$P$2:$P$679,MATCH(360,'Transfer Engine'!$C$2:$C$679,0)),"Open PDF"))</f>
        <v/>
      </c>
    </row>
    <row r="370">
      <c r="A370">
        <f>IF(ISNA(MATCH(361,'Transfer Engine'!$C$2:$C$679,0)),"",INDEX('Compliance Database'!$A$2:$A$679,MATCH(361,'Transfer Engine'!$C$2:$C$679,0)))</f>
        <v/>
      </c>
      <c r="B370">
        <f>IF(ISNA(MATCH(361,'Transfer Engine'!$C$2:$C$679,0)),"",INDEX('Compliance Database'!$B$2:$B$679,MATCH(361,'Transfer Engine'!$C$2:$C$679,0)))</f>
        <v/>
      </c>
      <c r="C370">
        <f>IF(ISNA(MATCH(361,'Transfer Engine'!$C$2:$C$679,0)),"",INDEX('Compliance Database'!$C$2:$C$679,MATCH(361,'Transfer Engine'!$C$2:$C$679,0)))</f>
        <v/>
      </c>
      <c r="D370" s="8">
        <f>IF(ISNA(MATCH(361,'Transfer Engine'!$C$2:$C$679,0)),"",INDEX('Compliance Database'!$D$2:$D$679,MATCH(361,'Transfer Engine'!$C$2:$C$679,0)))</f>
        <v/>
      </c>
      <c r="E370">
        <f>IF(ISNA(MATCH(361,'Transfer Engine'!$C$2:$C$679,0)),"",INDEX('Compliance Database'!$E$2:$E$679,MATCH(361,'Transfer Engine'!$C$2:$C$679,0)))</f>
        <v/>
      </c>
      <c r="F370">
        <f>IF(ISNA(MATCH(361,'Transfer Engine'!$C$2:$C$679,0)),"",INDEX('Compliance Database'!$F$2:$F$679,MATCH(361,'Transfer Engine'!$C$2:$C$679,0)))</f>
        <v/>
      </c>
      <c r="G370">
        <f>IF(ISNA(MATCH(361,'Transfer Engine'!$C$2:$C$679,0)),"",INDEX('Compliance Database'!$G$2:$G$679,MATCH(361,'Transfer Engine'!$C$2:$C$679,0)))</f>
        <v/>
      </c>
      <c r="H370">
        <f>IF(ISNA(MATCH(361,'Transfer Engine'!$C$2:$C$679,0)),"",INDEX('Compliance Database'!$H$2:$H$679,MATCH(361,'Transfer Engine'!$C$2:$C$679,0)))</f>
        <v/>
      </c>
      <c r="I370" s="8">
        <f>IF(ISNA(MATCH(361,'Transfer Engine'!$C$2:$C$679,0)),"",INDEX('Compliance Database'!$I$2:$I$679,MATCH(361,'Transfer Engine'!$C$2:$C$679,0)))</f>
        <v/>
      </c>
      <c r="J370" s="8">
        <f>IF(ISNA(MATCH(361,'Transfer Engine'!$C$2:$C$679,0)),"",INDEX('Compliance Database'!$J$2:$J$679,MATCH(361,'Transfer Engine'!$C$2:$C$679,0)))</f>
        <v/>
      </c>
      <c r="K370">
        <f>IF(ISNA(MATCH(361,'Transfer Engine'!$C$2:$C$679,0)),"",INDEX('Compliance Database'!$K$2:$K$679,MATCH(361,'Transfer Engine'!$C$2:$C$679,0)))</f>
        <v/>
      </c>
      <c r="L370" s="8">
        <f>IF(ISNA(MATCH(361,'Transfer Engine'!$C$2:$C$679,0)),"",INDEX('Compliance Database'!$L$2:$L$679,MATCH(361,'Transfer Engine'!$C$2:$C$679,0)))</f>
        <v/>
      </c>
      <c r="M370" s="8">
        <f>IF(ISNA(MATCH(361,'Transfer Engine'!$C$2:$C$679,0)),"",INDEX('Compliance Database'!$M$2:$M$679,MATCH(361,'Transfer Engine'!$C$2:$C$679,0)))</f>
        <v/>
      </c>
      <c r="N370" s="8">
        <f>IF(ISNA(MATCH(361,'Transfer Engine'!$C$2:$C$679,0)),"",INDEX('Compliance Database'!$N$2:$N$679,MATCH(361,'Transfer Engine'!$C$2:$C$679,0)))</f>
        <v/>
      </c>
      <c r="O370" s="8">
        <f>IF(ISNA(MATCH(361,'Transfer Engine'!$C$2:$C$679,0)),"",INDEX('Compliance Database'!$O$2:$O$679,MATCH(361,'Transfer Engine'!$C$2:$C$679,0)))</f>
        <v/>
      </c>
      <c r="P370">
        <f>IF(ISNA(MATCH(361,'Transfer Engine'!$C$2:$C$679,0)),"",HYPERLINK(INDEX('Compliance Database'!$P$2:$P$679,MATCH(361,'Transfer Engine'!$C$2:$C$679,0)),"Open PDF"))</f>
        <v/>
      </c>
    </row>
    <row r="371">
      <c r="A371">
        <f>IF(ISNA(MATCH(362,'Transfer Engine'!$C$2:$C$679,0)),"",INDEX('Compliance Database'!$A$2:$A$679,MATCH(362,'Transfer Engine'!$C$2:$C$679,0)))</f>
        <v/>
      </c>
      <c r="B371">
        <f>IF(ISNA(MATCH(362,'Transfer Engine'!$C$2:$C$679,0)),"",INDEX('Compliance Database'!$B$2:$B$679,MATCH(362,'Transfer Engine'!$C$2:$C$679,0)))</f>
        <v/>
      </c>
      <c r="C371">
        <f>IF(ISNA(MATCH(362,'Transfer Engine'!$C$2:$C$679,0)),"",INDEX('Compliance Database'!$C$2:$C$679,MATCH(362,'Transfer Engine'!$C$2:$C$679,0)))</f>
        <v/>
      </c>
      <c r="D371" s="8">
        <f>IF(ISNA(MATCH(362,'Transfer Engine'!$C$2:$C$679,0)),"",INDEX('Compliance Database'!$D$2:$D$679,MATCH(362,'Transfer Engine'!$C$2:$C$679,0)))</f>
        <v/>
      </c>
      <c r="E371">
        <f>IF(ISNA(MATCH(362,'Transfer Engine'!$C$2:$C$679,0)),"",INDEX('Compliance Database'!$E$2:$E$679,MATCH(362,'Transfer Engine'!$C$2:$C$679,0)))</f>
        <v/>
      </c>
      <c r="F371">
        <f>IF(ISNA(MATCH(362,'Transfer Engine'!$C$2:$C$679,0)),"",INDEX('Compliance Database'!$F$2:$F$679,MATCH(362,'Transfer Engine'!$C$2:$C$679,0)))</f>
        <v/>
      </c>
      <c r="G371">
        <f>IF(ISNA(MATCH(362,'Transfer Engine'!$C$2:$C$679,0)),"",INDEX('Compliance Database'!$G$2:$G$679,MATCH(362,'Transfer Engine'!$C$2:$C$679,0)))</f>
        <v/>
      </c>
      <c r="H371">
        <f>IF(ISNA(MATCH(362,'Transfer Engine'!$C$2:$C$679,0)),"",INDEX('Compliance Database'!$H$2:$H$679,MATCH(362,'Transfer Engine'!$C$2:$C$679,0)))</f>
        <v/>
      </c>
      <c r="I371" s="8">
        <f>IF(ISNA(MATCH(362,'Transfer Engine'!$C$2:$C$679,0)),"",INDEX('Compliance Database'!$I$2:$I$679,MATCH(362,'Transfer Engine'!$C$2:$C$679,0)))</f>
        <v/>
      </c>
      <c r="J371" s="8">
        <f>IF(ISNA(MATCH(362,'Transfer Engine'!$C$2:$C$679,0)),"",INDEX('Compliance Database'!$J$2:$J$679,MATCH(362,'Transfer Engine'!$C$2:$C$679,0)))</f>
        <v/>
      </c>
      <c r="K371">
        <f>IF(ISNA(MATCH(362,'Transfer Engine'!$C$2:$C$679,0)),"",INDEX('Compliance Database'!$K$2:$K$679,MATCH(362,'Transfer Engine'!$C$2:$C$679,0)))</f>
        <v/>
      </c>
      <c r="L371" s="8">
        <f>IF(ISNA(MATCH(362,'Transfer Engine'!$C$2:$C$679,0)),"",INDEX('Compliance Database'!$L$2:$L$679,MATCH(362,'Transfer Engine'!$C$2:$C$679,0)))</f>
        <v/>
      </c>
      <c r="M371" s="8">
        <f>IF(ISNA(MATCH(362,'Transfer Engine'!$C$2:$C$679,0)),"",INDEX('Compliance Database'!$M$2:$M$679,MATCH(362,'Transfer Engine'!$C$2:$C$679,0)))</f>
        <v/>
      </c>
      <c r="N371" s="8">
        <f>IF(ISNA(MATCH(362,'Transfer Engine'!$C$2:$C$679,0)),"",INDEX('Compliance Database'!$N$2:$N$679,MATCH(362,'Transfer Engine'!$C$2:$C$679,0)))</f>
        <v/>
      </c>
      <c r="O371" s="8">
        <f>IF(ISNA(MATCH(362,'Transfer Engine'!$C$2:$C$679,0)),"",INDEX('Compliance Database'!$O$2:$O$679,MATCH(362,'Transfer Engine'!$C$2:$C$679,0)))</f>
        <v/>
      </c>
      <c r="P371">
        <f>IF(ISNA(MATCH(362,'Transfer Engine'!$C$2:$C$679,0)),"",HYPERLINK(INDEX('Compliance Database'!$P$2:$P$679,MATCH(362,'Transfer Engine'!$C$2:$C$679,0)),"Open PDF"))</f>
        <v/>
      </c>
    </row>
    <row r="372">
      <c r="A372">
        <f>IF(ISNA(MATCH(363,'Transfer Engine'!$C$2:$C$679,0)),"",INDEX('Compliance Database'!$A$2:$A$679,MATCH(363,'Transfer Engine'!$C$2:$C$679,0)))</f>
        <v/>
      </c>
      <c r="B372">
        <f>IF(ISNA(MATCH(363,'Transfer Engine'!$C$2:$C$679,0)),"",INDEX('Compliance Database'!$B$2:$B$679,MATCH(363,'Transfer Engine'!$C$2:$C$679,0)))</f>
        <v/>
      </c>
      <c r="C372">
        <f>IF(ISNA(MATCH(363,'Transfer Engine'!$C$2:$C$679,0)),"",INDEX('Compliance Database'!$C$2:$C$679,MATCH(363,'Transfer Engine'!$C$2:$C$679,0)))</f>
        <v/>
      </c>
      <c r="D372" s="8">
        <f>IF(ISNA(MATCH(363,'Transfer Engine'!$C$2:$C$679,0)),"",INDEX('Compliance Database'!$D$2:$D$679,MATCH(363,'Transfer Engine'!$C$2:$C$679,0)))</f>
        <v/>
      </c>
      <c r="E372">
        <f>IF(ISNA(MATCH(363,'Transfer Engine'!$C$2:$C$679,0)),"",INDEX('Compliance Database'!$E$2:$E$679,MATCH(363,'Transfer Engine'!$C$2:$C$679,0)))</f>
        <v/>
      </c>
      <c r="F372">
        <f>IF(ISNA(MATCH(363,'Transfer Engine'!$C$2:$C$679,0)),"",INDEX('Compliance Database'!$F$2:$F$679,MATCH(363,'Transfer Engine'!$C$2:$C$679,0)))</f>
        <v/>
      </c>
      <c r="G372">
        <f>IF(ISNA(MATCH(363,'Transfer Engine'!$C$2:$C$679,0)),"",INDEX('Compliance Database'!$G$2:$G$679,MATCH(363,'Transfer Engine'!$C$2:$C$679,0)))</f>
        <v/>
      </c>
      <c r="H372">
        <f>IF(ISNA(MATCH(363,'Transfer Engine'!$C$2:$C$679,0)),"",INDEX('Compliance Database'!$H$2:$H$679,MATCH(363,'Transfer Engine'!$C$2:$C$679,0)))</f>
        <v/>
      </c>
      <c r="I372" s="8">
        <f>IF(ISNA(MATCH(363,'Transfer Engine'!$C$2:$C$679,0)),"",INDEX('Compliance Database'!$I$2:$I$679,MATCH(363,'Transfer Engine'!$C$2:$C$679,0)))</f>
        <v/>
      </c>
      <c r="J372" s="8">
        <f>IF(ISNA(MATCH(363,'Transfer Engine'!$C$2:$C$679,0)),"",INDEX('Compliance Database'!$J$2:$J$679,MATCH(363,'Transfer Engine'!$C$2:$C$679,0)))</f>
        <v/>
      </c>
      <c r="K372">
        <f>IF(ISNA(MATCH(363,'Transfer Engine'!$C$2:$C$679,0)),"",INDEX('Compliance Database'!$K$2:$K$679,MATCH(363,'Transfer Engine'!$C$2:$C$679,0)))</f>
        <v/>
      </c>
      <c r="L372" s="8">
        <f>IF(ISNA(MATCH(363,'Transfer Engine'!$C$2:$C$679,0)),"",INDEX('Compliance Database'!$L$2:$L$679,MATCH(363,'Transfer Engine'!$C$2:$C$679,0)))</f>
        <v/>
      </c>
      <c r="M372" s="8">
        <f>IF(ISNA(MATCH(363,'Transfer Engine'!$C$2:$C$679,0)),"",INDEX('Compliance Database'!$M$2:$M$679,MATCH(363,'Transfer Engine'!$C$2:$C$679,0)))</f>
        <v/>
      </c>
      <c r="N372" s="8">
        <f>IF(ISNA(MATCH(363,'Transfer Engine'!$C$2:$C$679,0)),"",INDEX('Compliance Database'!$N$2:$N$679,MATCH(363,'Transfer Engine'!$C$2:$C$679,0)))</f>
        <v/>
      </c>
      <c r="O372" s="8">
        <f>IF(ISNA(MATCH(363,'Transfer Engine'!$C$2:$C$679,0)),"",INDEX('Compliance Database'!$O$2:$O$679,MATCH(363,'Transfer Engine'!$C$2:$C$679,0)))</f>
        <v/>
      </c>
      <c r="P372">
        <f>IF(ISNA(MATCH(363,'Transfer Engine'!$C$2:$C$679,0)),"",HYPERLINK(INDEX('Compliance Database'!$P$2:$P$679,MATCH(363,'Transfer Engine'!$C$2:$C$679,0)),"Open PDF"))</f>
        <v/>
      </c>
    </row>
    <row r="373">
      <c r="A373">
        <f>IF(ISNA(MATCH(364,'Transfer Engine'!$C$2:$C$679,0)),"",INDEX('Compliance Database'!$A$2:$A$679,MATCH(364,'Transfer Engine'!$C$2:$C$679,0)))</f>
        <v/>
      </c>
      <c r="B373">
        <f>IF(ISNA(MATCH(364,'Transfer Engine'!$C$2:$C$679,0)),"",INDEX('Compliance Database'!$B$2:$B$679,MATCH(364,'Transfer Engine'!$C$2:$C$679,0)))</f>
        <v/>
      </c>
      <c r="C373">
        <f>IF(ISNA(MATCH(364,'Transfer Engine'!$C$2:$C$679,0)),"",INDEX('Compliance Database'!$C$2:$C$679,MATCH(364,'Transfer Engine'!$C$2:$C$679,0)))</f>
        <v/>
      </c>
      <c r="D373" s="8">
        <f>IF(ISNA(MATCH(364,'Transfer Engine'!$C$2:$C$679,0)),"",INDEX('Compliance Database'!$D$2:$D$679,MATCH(364,'Transfer Engine'!$C$2:$C$679,0)))</f>
        <v/>
      </c>
      <c r="E373">
        <f>IF(ISNA(MATCH(364,'Transfer Engine'!$C$2:$C$679,0)),"",INDEX('Compliance Database'!$E$2:$E$679,MATCH(364,'Transfer Engine'!$C$2:$C$679,0)))</f>
        <v/>
      </c>
      <c r="F373">
        <f>IF(ISNA(MATCH(364,'Transfer Engine'!$C$2:$C$679,0)),"",INDEX('Compliance Database'!$F$2:$F$679,MATCH(364,'Transfer Engine'!$C$2:$C$679,0)))</f>
        <v/>
      </c>
      <c r="G373">
        <f>IF(ISNA(MATCH(364,'Transfer Engine'!$C$2:$C$679,0)),"",INDEX('Compliance Database'!$G$2:$G$679,MATCH(364,'Transfer Engine'!$C$2:$C$679,0)))</f>
        <v/>
      </c>
      <c r="H373">
        <f>IF(ISNA(MATCH(364,'Transfer Engine'!$C$2:$C$679,0)),"",INDEX('Compliance Database'!$H$2:$H$679,MATCH(364,'Transfer Engine'!$C$2:$C$679,0)))</f>
        <v/>
      </c>
      <c r="I373" s="8">
        <f>IF(ISNA(MATCH(364,'Transfer Engine'!$C$2:$C$679,0)),"",INDEX('Compliance Database'!$I$2:$I$679,MATCH(364,'Transfer Engine'!$C$2:$C$679,0)))</f>
        <v/>
      </c>
      <c r="J373" s="8">
        <f>IF(ISNA(MATCH(364,'Transfer Engine'!$C$2:$C$679,0)),"",INDEX('Compliance Database'!$J$2:$J$679,MATCH(364,'Transfer Engine'!$C$2:$C$679,0)))</f>
        <v/>
      </c>
      <c r="K373">
        <f>IF(ISNA(MATCH(364,'Transfer Engine'!$C$2:$C$679,0)),"",INDEX('Compliance Database'!$K$2:$K$679,MATCH(364,'Transfer Engine'!$C$2:$C$679,0)))</f>
        <v/>
      </c>
      <c r="L373" s="8">
        <f>IF(ISNA(MATCH(364,'Transfer Engine'!$C$2:$C$679,0)),"",INDEX('Compliance Database'!$L$2:$L$679,MATCH(364,'Transfer Engine'!$C$2:$C$679,0)))</f>
        <v/>
      </c>
      <c r="M373" s="8">
        <f>IF(ISNA(MATCH(364,'Transfer Engine'!$C$2:$C$679,0)),"",INDEX('Compliance Database'!$M$2:$M$679,MATCH(364,'Transfer Engine'!$C$2:$C$679,0)))</f>
        <v/>
      </c>
      <c r="N373" s="8">
        <f>IF(ISNA(MATCH(364,'Transfer Engine'!$C$2:$C$679,0)),"",INDEX('Compliance Database'!$N$2:$N$679,MATCH(364,'Transfer Engine'!$C$2:$C$679,0)))</f>
        <v/>
      </c>
      <c r="O373" s="8">
        <f>IF(ISNA(MATCH(364,'Transfer Engine'!$C$2:$C$679,0)),"",INDEX('Compliance Database'!$O$2:$O$679,MATCH(364,'Transfer Engine'!$C$2:$C$679,0)))</f>
        <v/>
      </c>
      <c r="P373">
        <f>IF(ISNA(MATCH(364,'Transfer Engine'!$C$2:$C$679,0)),"",HYPERLINK(INDEX('Compliance Database'!$P$2:$P$679,MATCH(364,'Transfer Engine'!$C$2:$C$679,0)),"Open PDF"))</f>
        <v/>
      </c>
    </row>
    <row r="374">
      <c r="A374">
        <f>IF(ISNA(MATCH(365,'Transfer Engine'!$C$2:$C$679,0)),"",INDEX('Compliance Database'!$A$2:$A$679,MATCH(365,'Transfer Engine'!$C$2:$C$679,0)))</f>
        <v/>
      </c>
      <c r="B374">
        <f>IF(ISNA(MATCH(365,'Transfer Engine'!$C$2:$C$679,0)),"",INDEX('Compliance Database'!$B$2:$B$679,MATCH(365,'Transfer Engine'!$C$2:$C$679,0)))</f>
        <v/>
      </c>
      <c r="C374">
        <f>IF(ISNA(MATCH(365,'Transfer Engine'!$C$2:$C$679,0)),"",INDEX('Compliance Database'!$C$2:$C$679,MATCH(365,'Transfer Engine'!$C$2:$C$679,0)))</f>
        <v/>
      </c>
      <c r="D374" s="8">
        <f>IF(ISNA(MATCH(365,'Transfer Engine'!$C$2:$C$679,0)),"",INDEX('Compliance Database'!$D$2:$D$679,MATCH(365,'Transfer Engine'!$C$2:$C$679,0)))</f>
        <v/>
      </c>
      <c r="E374">
        <f>IF(ISNA(MATCH(365,'Transfer Engine'!$C$2:$C$679,0)),"",INDEX('Compliance Database'!$E$2:$E$679,MATCH(365,'Transfer Engine'!$C$2:$C$679,0)))</f>
        <v/>
      </c>
      <c r="F374">
        <f>IF(ISNA(MATCH(365,'Transfer Engine'!$C$2:$C$679,0)),"",INDEX('Compliance Database'!$F$2:$F$679,MATCH(365,'Transfer Engine'!$C$2:$C$679,0)))</f>
        <v/>
      </c>
      <c r="G374">
        <f>IF(ISNA(MATCH(365,'Transfer Engine'!$C$2:$C$679,0)),"",INDEX('Compliance Database'!$G$2:$G$679,MATCH(365,'Transfer Engine'!$C$2:$C$679,0)))</f>
        <v/>
      </c>
      <c r="H374">
        <f>IF(ISNA(MATCH(365,'Transfer Engine'!$C$2:$C$679,0)),"",INDEX('Compliance Database'!$H$2:$H$679,MATCH(365,'Transfer Engine'!$C$2:$C$679,0)))</f>
        <v/>
      </c>
      <c r="I374" s="8">
        <f>IF(ISNA(MATCH(365,'Transfer Engine'!$C$2:$C$679,0)),"",INDEX('Compliance Database'!$I$2:$I$679,MATCH(365,'Transfer Engine'!$C$2:$C$679,0)))</f>
        <v/>
      </c>
      <c r="J374" s="8">
        <f>IF(ISNA(MATCH(365,'Transfer Engine'!$C$2:$C$679,0)),"",INDEX('Compliance Database'!$J$2:$J$679,MATCH(365,'Transfer Engine'!$C$2:$C$679,0)))</f>
        <v/>
      </c>
      <c r="K374">
        <f>IF(ISNA(MATCH(365,'Transfer Engine'!$C$2:$C$679,0)),"",INDEX('Compliance Database'!$K$2:$K$679,MATCH(365,'Transfer Engine'!$C$2:$C$679,0)))</f>
        <v/>
      </c>
      <c r="L374" s="8">
        <f>IF(ISNA(MATCH(365,'Transfer Engine'!$C$2:$C$679,0)),"",INDEX('Compliance Database'!$L$2:$L$679,MATCH(365,'Transfer Engine'!$C$2:$C$679,0)))</f>
        <v/>
      </c>
      <c r="M374" s="8">
        <f>IF(ISNA(MATCH(365,'Transfer Engine'!$C$2:$C$679,0)),"",INDEX('Compliance Database'!$M$2:$M$679,MATCH(365,'Transfer Engine'!$C$2:$C$679,0)))</f>
        <v/>
      </c>
      <c r="N374" s="8">
        <f>IF(ISNA(MATCH(365,'Transfer Engine'!$C$2:$C$679,0)),"",INDEX('Compliance Database'!$N$2:$N$679,MATCH(365,'Transfer Engine'!$C$2:$C$679,0)))</f>
        <v/>
      </c>
      <c r="O374" s="8">
        <f>IF(ISNA(MATCH(365,'Transfer Engine'!$C$2:$C$679,0)),"",INDEX('Compliance Database'!$O$2:$O$679,MATCH(365,'Transfer Engine'!$C$2:$C$679,0)))</f>
        <v/>
      </c>
      <c r="P374">
        <f>IF(ISNA(MATCH(365,'Transfer Engine'!$C$2:$C$679,0)),"",HYPERLINK(INDEX('Compliance Database'!$P$2:$P$679,MATCH(365,'Transfer Engine'!$C$2:$C$679,0)),"Open PDF"))</f>
        <v/>
      </c>
    </row>
    <row r="375">
      <c r="A375">
        <f>IF(ISNA(MATCH(366,'Transfer Engine'!$C$2:$C$679,0)),"",INDEX('Compliance Database'!$A$2:$A$679,MATCH(366,'Transfer Engine'!$C$2:$C$679,0)))</f>
        <v/>
      </c>
      <c r="B375">
        <f>IF(ISNA(MATCH(366,'Transfer Engine'!$C$2:$C$679,0)),"",INDEX('Compliance Database'!$B$2:$B$679,MATCH(366,'Transfer Engine'!$C$2:$C$679,0)))</f>
        <v/>
      </c>
      <c r="C375">
        <f>IF(ISNA(MATCH(366,'Transfer Engine'!$C$2:$C$679,0)),"",INDEX('Compliance Database'!$C$2:$C$679,MATCH(366,'Transfer Engine'!$C$2:$C$679,0)))</f>
        <v/>
      </c>
      <c r="D375" s="8">
        <f>IF(ISNA(MATCH(366,'Transfer Engine'!$C$2:$C$679,0)),"",INDEX('Compliance Database'!$D$2:$D$679,MATCH(366,'Transfer Engine'!$C$2:$C$679,0)))</f>
        <v/>
      </c>
      <c r="E375">
        <f>IF(ISNA(MATCH(366,'Transfer Engine'!$C$2:$C$679,0)),"",INDEX('Compliance Database'!$E$2:$E$679,MATCH(366,'Transfer Engine'!$C$2:$C$679,0)))</f>
        <v/>
      </c>
      <c r="F375">
        <f>IF(ISNA(MATCH(366,'Transfer Engine'!$C$2:$C$679,0)),"",INDEX('Compliance Database'!$F$2:$F$679,MATCH(366,'Transfer Engine'!$C$2:$C$679,0)))</f>
        <v/>
      </c>
      <c r="G375">
        <f>IF(ISNA(MATCH(366,'Transfer Engine'!$C$2:$C$679,0)),"",INDEX('Compliance Database'!$G$2:$G$679,MATCH(366,'Transfer Engine'!$C$2:$C$679,0)))</f>
        <v/>
      </c>
      <c r="H375">
        <f>IF(ISNA(MATCH(366,'Transfer Engine'!$C$2:$C$679,0)),"",INDEX('Compliance Database'!$H$2:$H$679,MATCH(366,'Transfer Engine'!$C$2:$C$679,0)))</f>
        <v/>
      </c>
      <c r="I375" s="8">
        <f>IF(ISNA(MATCH(366,'Transfer Engine'!$C$2:$C$679,0)),"",INDEX('Compliance Database'!$I$2:$I$679,MATCH(366,'Transfer Engine'!$C$2:$C$679,0)))</f>
        <v/>
      </c>
      <c r="J375" s="8">
        <f>IF(ISNA(MATCH(366,'Transfer Engine'!$C$2:$C$679,0)),"",INDEX('Compliance Database'!$J$2:$J$679,MATCH(366,'Transfer Engine'!$C$2:$C$679,0)))</f>
        <v/>
      </c>
      <c r="K375">
        <f>IF(ISNA(MATCH(366,'Transfer Engine'!$C$2:$C$679,0)),"",INDEX('Compliance Database'!$K$2:$K$679,MATCH(366,'Transfer Engine'!$C$2:$C$679,0)))</f>
        <v/>
      </c>
      <c r="L375" s="8">
        <f>IF(ISNA(MATCH(366,'Transfer Engine'!$C$2:$C$679,0)),"",INDEX('Compliance Database'!$L$2:$L$679,MATCH(366,'Transfer Engine'!$C$2:$C$679,0)))</f>
        <v/>
      </c>
      <c r="M375" s="8">
        <f>IF(ISNA(MATCH(366,'Transfer Engine'!$C$2:$C$679,0)),"",INDEX('Compliance Database'!$M$2:$M$679,MATCH(366,'Transfer Engine'!$C$2:$C$679,0)))</f>
        <v/>
      </c>
      <c r="N375" s="8">
        <f>IF(ISNA(MATCH(366,'Transfer Engine'!$C$2:$C$679,0)),"",INDEX('Compliance Database'!$N$2:$N$679,MATCH(366,'Transfer Engine'!$C$2:$C$679,0)))</f>
        <v/>
      </c>
      <c r="O375" s="8">
        <f>IF(ISNA(MATCH(366,'Transfer Engine'!$C$2:$C$679,0)),"",INDEX('Compliance Database'!$O$2:$O$679,MATCH(366,'Transfer Engine'!$C$2:$C$679,0)))</f>
        <v/>
      </c>
      <c r="P375">
        <f>IF(ISNA(MATCH(366,'Transfer Engine'!$C$2:$C$679,0)),"",HYPERLINK(INDEX('Compliance Database'!$P$2:$P$679,MATCH(366,'Transfer Engine'!$C$2:$C$679,0)),"Open PDF"))</f>
        <v/>
      </c>
    </row>
    <row r="376">
      <c r="A376">
        <f>IF(ISNA(MATCH(367,'Transfer Engine'!$C$2:$C$679,0)),"",INDEX('Compliance Database'!$A$2:$A$679,MATCH(367,'Transfer Engine'!$C$2:$C$679,0)))</f>
        <v/>
      </c>
      <c r="B376">
        <f>IF(ISNA(MATCH(367,'Transfer Engine'!$C$2:$C$679,0)),"",INDEX('Compliance Database'!$B$2:$B$679,MATCH(367,'Transfer Engine'!$C$2:$C$679,0)))</f>
        <v/>
      </c>
      <c r="C376">
        <f>IF(ISNA(MATCH(367,'Transfer Engine'!$C$2:$C$679,0)),"",INDEX('Compliance Database'!$C$2:$C$679,MATCH(367,'Transfer Engine'!$C$2:$C$679,0)))</f>
        <v/>
      </c>
      <c r="D376" s="8">
        <f>IF(ISNA(MATCH(367,'Transfer Engine'!$C$2:$C$679,0)),"",INDEX('Compliance Database'!$D$2:$D$679,MATCH(367,'Transfer Engine'!$C$2:$C$679,0)))</f>
        <v/>
      </c>
      <c r="E376">
        <f>IF(ISNA(MATCH(367,'Transfer Engine'!$C$2:$C$679,0)),"",INDEX('Compliance Database'!$E$2:$E$679,MATCH(367,'Transfer Engine'!$C$2:$C$679,0)))</f>
        <v/>
      </c>
      <c r="F376">
        <f>IF(ISNA(MATCH(367,'Transfer Engine'!$C$2:$C$679,0)),"",INDEX('Compliance Database'!$F$2:$F$679,MATCH(367,'Transfer Engine'!$C$2:$C$679,0)))</f>
        <v/>
      </c>
      <c r="G376">
        <f>IF(ISNA(MATCH(367,'Transfer Engine'!$C$2:$C$679,0)),"",INDEX('Compliance Database'!$G$2:$G$679,MATCH(367,'Transfer Engine'!$C$2:$C$679,0)))</f>
        <v/>
      </c>
      <c r="H376">
        <f>IF(ISNA(MATCH(367,'Transfer Engine'!$C$2:$C$679,0)),"",INDEX('Compliance Database'!$H$2:$H$679,MATCH(367,'Transfer Engine'!$C$2:$C$679,0)))</f>
        <v/>
      </c>
      <c r="I376" s="8">
        <f>IF(ISNA(MATCH(367,'Transfer Engine'!$C$2:$C$679,0)),"",INDEX('Compliance Database'!$I$2:$I$679,MATCH(367,'Transfer Engine'!$C$2:$C$679,0)))</f>
        <v/>
      </c>
      <c r="J376" s="8">
        <f>IF(ISNA(MATCH(367,'Transfer Engine'!$C$2:$C$679,0)),"",INDEX('Compliance Database'!$J$2:$J$679,MATCH(367,'Transfer Engine'!$C$2:$C$679,0)))</f>
        <v/>
      </c>
      <c r="K376">
        <f>IF(ISNA(MATCH(367,'Transfer Engine'!$C$2:$C$679,0)),"",INDEX('Compliance Database'!$K$2:$K$679,MATCH(367,'Transfer Engine'!$C$2:$C$679,0)))</f>
        <v/>
      </c>
      <c r="L376" s="8">
        <f>IF(ISNA(MATCH(367,'Transfer Engine'!$C$2:$C$679,0)),"",INDEX('Compliance Database'!$L$2:$L$679,MATCH(367,'Transfer Engine'!$C$2:$C$679,0)))</f>
        <v/>
      </c>
      <c r="M376" s="8">
        <f>IF(ISNA(MATCH(367,'Transfer Engine'!$C$2:$C$679,0)),"",INDEX('Compliance Database'!$M$2:$M$679,MATCH(367,'Transfer Engine'!$C$2:$C$679,0)))</f>
        <v/>
      </c>
      <c r="N376" s="8">
        <f>IF(ISNA(MATCH(367,'Transfer Engine'!$C$2:$C$679,0)),"",INDEX('Compliance Database'!$N$2:$N$679,MATCH(367,'Transfer Engine'!$C$2:$C$679,0)))</f>
        <v/>
      </c>
      <c r="O376" s="8">
        <f>IF(ISNA(MATCH(367,'Transfer Engine'!$C$2:$C$679,0)),"",INDEX('Compliance Database'!$O$2:$O$679,MATCH(367,'Transfer Engine'!$C$2:$C$679,0)))</f>
        <v/>
      </c>
      <c r="P376">
        <f>IF(ISNA(MATCH(367,'Transfer Engine'!$C$2:$C$679,0)),"",HYPERLINK(INDEX('Compliance Database'!$P$2:$P$679,MATCH(367,'Transfer Engine'!$C$2:$C$679,0)),"Open PDF"))</f>
        <v/>
      </c>
    </row>
    <row r="377">
      <c r="A377">
        <f>IF(ISNA(MATCH(368,'Transfer Engine'!$C$2:$C$679,0)),"",INDEX('Compliance Database'!$A$2:$A$679,MATCH(368,'Transfer Engine'!$C$2:$C$679,0)))</f>
        <v/>
      </c>
      <c r="B377">
        <f>IF(ISNA(MATCH(368,'Transfer Engine'!$C$2:$C$679,0)),"",INDEX('Compliance Database'!$B$2:$B$679,MATCH(368,'Transfer Engine'!$C$2:$C$679,0)))</f>
        <v/>
      </c>
      <c r="C377">
        <f>IF(ISNA(MATCH(368,'Transfer Engine'!$C$2:$C$679,0)),"",INDEX('Compliance Database'!$C$2:$C$679,MATCH(368,'Transfer Engine'!$C$2:$C$679,0)))</f>
        <v/>
      </c>
      <c r="D377" s="8">
        <f>IF(ISNA(MATCH(368,'Transfer Engine'!$C$2:$C$679,0)),"",INDEX('Compliance Database'!$D$2:$D$679,MATCH(368,'Transfer Engine'!$C$2:$C$679,0)))</f>
        <v/>
      </c>
      <c r="E377">
        <f>IF(ISNA(MATCH(368,'Transfer Engine'!$C$2:$C$679,0)),"",INDEX('Compliance Database'!$E$2:$E$679,MATCH(368,'Transfer Engine'!$C$2:$C$679,0)))</f>
        <v/>
      </c>
      <c r="F377">
        <f>IF(ISNA(MATCH(368,'Transfer Engine'!$C$2:$C$679,0)),"",INDEX('Compliance Database'!$F$2:$F$679,MATCH(368,'Transfer Engine'!$C$2:$C$679,0)))</f>
        <v/>
      </c>
      <c r="G377">
        <f>IF(ISNA(MATCH(368,'Transfer Engine'!$C$2:$C$679,0)),"",INDEX('Compliance Database'!$G$2:$G$679,MATCH(368,'Transfer Engine'!$C$2:$C$679,0)))</f>
        <v/>
      </c>
      <c r="H377">
        <f>IF(ISNA(MATCH(368,'Transfer Engine'!$C$2:$C$679,0)),"",INDEX('Compliance Database'!$H$2:$H$679,MATCH(368,'Transfer Engine'!$C$2:$C$679,0)))</f>
        <v/>
      </c>
      <c r="I377" s="8">
        <f>IF(ISNA(MATCH(368,'Transfer Engine'!$C$2:$C$679,0)),"",INDEX('Compliance Database'!$I$2:$I$679,MATCH(368,'Transfer Engine'!$C$2:$C$679,0)))</f>
        <v/>
      </c>
      <c r="J377" s="8">
        <f>IF(ISNA(MATCH(368,'Transfer Engine'!$C$2:$C$679,0)),"",INDEX('Compliance Database'!$J$2:$J$679,MATCH(368,'Transfer Engine'!$C$2:$C$679,0)))</f>
        <v/>
      </c>
      <c r="K377">
        <f>IF(ISNA(MATCH(368,'Transfer Engine'!$C$2:$C$679,0)),"",INDEX('Compliance Database'!$K$2:$K$679,MATCH(368,'Transfer Engine'!$C$2:$C$679,0)))</f>
        <v/>
      </c>
      <c r="L377" s="8">
        <f>IF(ISNA(MATCH(368,'Transfer Engine'!$C$2:$C$679,0)),"",INDEX('Compliance Database'!$L$2:$L$679,MATCH(368,'Transfer Engine'!$C$2:$C$679,0)))</f>
        <v/>
      </c>
      <c r="M377" s="8">
        <f>IF(ISNA(MATCH(368,'Transfer Engine'!$C$2:$C$679,0)),"",INDEX('Compliance Database'!$M$2:$M$679,MATCH(368,'Transfer Engine'!$C$2:$C$679,0)))</f>
        <v/>
      </c>
      <c r="N377" s="8">
        <f>IF(ISNA(MATCH(368,'Transfer Engine'!$C$2:$C$679,0)),"",INDEX('Compliance Database'!$N$2:$N$679,MATCH(368,'Transfer Engine'!$C$2:$C$679,0)))</f>
        <v/>
      </c>
      <c r="O377" s="8">
        <f>IF(ISNA(MATCH(368,'Transfer Engine'!$C$2:$C$679,0)),"",INDEX('Compliance Database'!$O$2:$O$679,MATCH(368,'Transfer Engine'!$C$2:$C$679,0)))</f>
        <v/>
      </c>
      <c r="P377">
        <f>IF(ISNA(MATCH(368,'Transfer Engine'!$C$2:$C$679,0)),"",HYPERLINK(INDEX('Compliance Database'!$P$2:$P$679,MATCH(368,'Transfer Engine'!$C$2:$C$679,0)),"Open PDF"))</f>
        <v/>
      </c>
    </row>
    <row r="378">
      <c r="A378">
        <f>IF(ISNA(MATCH(369,'Transfer Engine'!$C$2:$C$679,0)),"",INDEX('Compliance Database'!$A$2:$A$679,MATCH(369,'Transfer Engine'!$C$2:$C$679,0)))</f>
        <v/>
      </c>
      <c r="B378">
        <f>IF(ISNA(MATCH(369,'Transfer Engine'!$C$2:$C$679,0)),"",INDEX('Compliance Database'!$B$2:$B$679,MATCH(369,'Transfer Engine'!$C$2:$C$679,0)))</f>
        <v/>
      </c>
      <c r="C378">
        <f>IF(ISNA(MATCH(369,'Transfer Engine'!$C$2:$C$679,0)),"",INDEX('Compliance Database'!$C$2:$C$679,MATCH(369,'Transfer Engine'!$C$2:$C$679,0)))</f>
        <v/>
      </c>
      <c r="D378" s="8">
        <f>IF(ISNA(MATCH(369,'Transfer Engine'!$C$2:$C$679,0)),"",INDEX('Compliance Database'!$D$2:$D$679,MATCH(369,'Transfer Engine'!$C$2:$C$679,0)))</f>
        <v/>
      </c>
      <c r="E378">
        <f>IF(ISNA(MATCH(369,'Transfer Engine'!$C$2:$C$679,0)),"",INDEX('Compliance Database'!$E$2:$E$679,MATCH(369,'Transfer Engine'!$C$2:$C$679,0)))</f>
        <v/>
      </c>
      <c r="F378">
        <f>IF(ISNA(MATCH(369,'Transfer Engine'!$C$2:$C$679,0)),"",INDEX('Compliance Database'!$F$2:$F$679,MATCH(369,'Transfer Engine'!$C$2:$C$679,0)))</f>
        <v/>
      </c>
      <c r="G378">
        <f>IF(ISNA(MATCH(369,'Transfer Engine'!$C$2:$C$679,0)),"",INDEX('Compliance Database'!$G$2:$G$679,MATCH(369,'Transfer Engine'!$C$2:$C$679,0)))</f>
        <v/>
      </c>
      <c r="H378">
        <f>IF(ISNA(MATCH(369,'Transfer Engine'!$C$2:$C$679,0)),"",INDEX('Compliance Database'!$H$2:$H$679,MATCH(369,'Transfer Engine'!$C$2:$C$679,0)))</f>
        <v/>
      </c>
      <c r="I378" s="8">
        <f>IF(ISNA(MATCH(369,'Transfer Engine'!$C$2:$C$679,0)),"",INDEX('Compliance Database'!$I$2:$I$679,MATCH(369,'Transfer Engine'!$C$2:$C$679,0)))</f>
        <v/>
      </c>
      <c r="J378" s="8">
        <f>IF(ISNA(MATCH(369,'Transfer Engine'!$C$2:$C$679,0)),"",INDEX('Compliance Database'!$J$2:$J$679,MATCH(369,'Transfer Engine'!$C$2:$C$679,0)))</f>
        <v/>
      </c>
      <c r="K378">
        <f>IF(ISNA(MATCH(369,'Transfer Engine'!$C$2:$C$679,0)),"",INDEX('Compliance Database'!$K$2:$K$679,MATCH(369,'Transfer Engine'!$C$2:$C$679,0)))</f>
        <v/>
      </c>
      <c r="L378" s="8">
        <f>IF(ISNA(MATCH(369,'Transfer Engine'!$C$2:$C$679,0)),"",INDEX('Compliance Database'!$L$2:$L$679,MATCH(369,'Transfer Engine'!$C$2:$C$679,0)))</f>
        <v/>
      </c>
      <c r="M378" s="8">
        <f>IF(ISNA(MATCH(369,'Transfer Engine'!$C$2:$C$679,0)),"",INDEX('Compliance Database'!$M$2:$M$679,MATCH(369,'Transfer Engine'!$C$2:$C$679,0)))</f>
        <v/>
      </c>
      <c r="N378" s="8">
        <f>IF(ISNA(MATCH(369,'Transfer Engine'!$C$2:$C$679,0)),"",INDEX('Compliance Database'!$N$2:$N$679,MATCH(369,'Transfer Engine'!$C$2:$C$679,0)))</f>
        <v/>
      </c>
      <c r="O378" s="8">
        <f>IF(ISNA(MATCH(369,'Transfer Engine'!$C$2:$C$679,0)),"",INDEX('Compliance Database'!$O$2:$O$679,MATCH(369,'Transfer Engine'!$C$2:$C$679,0)))</f>
        <v/>
      </c>
      <c r="P378">
        <f>IF(ISNA(MATCH(369,'Transfer Engine'!$C$2:$C$679,0)),"",HYPERLINK(INDEX('Compliance Database'!$P$2:$P$679,MATCH(369,'Transfer Engine'!$C$2:$C$679,0)),"Open PDF"))</f>
        <v/>
      </c>
    </row>
    <row r="379">
      <c r="A379">
        <f>IF(ISNA(MATCH(370,'Transfer Engine'!$C$2:$C$679,0)),"",INDEX('Compliance Database'!$A$2:$A$679,MATCH(370,'Transfer Engine'!$C$2:$C$679,0)))</f>
        <v/>
      </c>
      <c r="B379">
        <f>IF(ISNA(MATCH(370,'Transfer Engine'!$C$2:$C$679,0)),"",INDEX('Compliance Database'!$B$2:$B$679,MATCH(370,'Transfer Engine'!$C$2:$C$679,0)))</f>
        <v/>
      </c>
      <c r="C379">
        <f>IF(ISNA(MATCH(370,'Transfer Engine'!$C$2:$C$679,0)),"",INDEX('Compliance Database'!$C$2:$C$679,MATCH(370,'Transfer Engine'!$C$2:$C$679,0)))</f>
        <v/>
      </c>
      <c r="D379" s="8">
        <f>IF(ISNA(MATCH(370,'Transfer Engine'!$C$2:$C$679,0)),"",INDEX('Compliance Database'!$D$2:$D$679,MATCH(370,'Transfer Engine'!$C$2:$C$679,0)))</f>
        <v/>
      </c>
      <c r="E379">
        <f>IF(ISNA(MATCH(370,'Transfer Engine'!$C$2:$C$679,0)),"",INDEX('Compliance Database'!$E$2:$E$679,MATCH(370,'Transfer Engine'!$C$2:$C$679,0)))</f>
        <v/>
      </c>
      <c r="F379">
        <f>IF(ISNA(MATCH(370,'Transfer Engine'!$C$2:$C$679,0)),"",INDEX('Compliance Database'!$F$2:$F$679,MATCH(370,'Transfer Engine'!$C$2:$C$679,0)))</f>
        <v/>
      </c>
      <c r="G379">
        <f>IF(ISNA(MATCH(370,'Transfer Engine'!$C$2:$C$679,0)),"",INDEX('Compliance Database'!$G$2:$G$679,MATCH(370,'Transfer Engine'!$C$2:$C$679,0)))</f>
        <v/>
      </c>
      <c r="H379">
        <f>IF(ISNA(MATCH(370,'Transfer Engine'!$C$2:$C$679,0)),"",INDEX('Compliance Database'!$H$2:$H$679,MATCH(370,'Transfer Engine'!$C$2:$C$679,0)))</f>
        <v/>
      </c>
      <c r="I379" s="8">
        <f>IF(ISNA(MATCH(370,'Transfer Engine'!$C$2:$C$679,0)),"",INDEX('Compliance Database'!$I$2:$I$679,MATCH(370,'Transfer Engine'!$C$2:$C$679,0)))</f>
        <v/>
      </c>
      <c r="J379" s="8">
        <f>IF(ISNA(MATCH(370,'Transfer Engine'!$C$2:$C$679,0)),"",INDEX('Compliance Database'!$J$2:$J$679,MATCH(370,'Transfer Engine'!$C$2:$C$679,0)))</f>
        <v/>
      </c>
      <c r="K379">
        <f>IF(ISNA(MATCH(370,'Transfer Engine'!$C$2:$C$679,0)),"",INDEX('Compliance Database'!$K$2:$K$679,MATCH(370,'Transfer Engine'!$C$2:$C$679,0)))</f>
        <v/>
      </c>
      <c r="L379" s="8">
        <f>IF(ISNA(MATCH(370,'Transfer Engine'!$C$2:$C$679,0)),"",INDEX('Compliance Database'!$L$2:$L$679,MATCH(370,'Transfer Engine'!$C$2:$C$679,0)))</f>
        <v/>
      </c>
      <c r="M379" s="8">
        <f>IF(ISNA(MATCH(370,'Transfer Engine'!$C$2:$C$679,0)),"",INDEX('Compliance Database'!$M$2:$M$679,MATCH(370,'Transfer Engine'!$C$2:$C$679,0)))</f>
        <v/>
      </c>
      <c r="N379" s="8">
        <f>IF(ISNA(MATCH(370,'Transfer Engine'!$C$2:$C$679,0)),"",INDEX('Compliance Database'!$N$2:$N$679,MATCH(370,'Transfer Engine'!$C$2:$C$679,0)))</f>
        <v/>
      </c>
      <c r="O379" s="8">
        <f>IF(ISNA(MATCH(370,'Transfer Engine'!$C$2:$C$679,0)),"",INDEX('Compliance Database'!$O$2:$O$679,MATCH(370,'Transfer Engine'!$C$2:$C$679,0)))</f>
        <v/>
      </c>
      <c r="P379">
        <f>IF(ISNA(MATCH(370,'Transfer Engine'!$C$2:$C$679,0)),"",HYPERLINK(INDEX('Compliance Database'!$P$2:$P$679,MATCH(370,'Transfer Engine'!$C$2:$C$679,0)),"Open PDF"))</f>
        <v/>
      </c>
    </row>
    <row r="380">
      <c r="A380">
        <f>IF(ISNA(MATCH(371,'Transfer Engine'!$C$2:$C$679,0)),"",INDEX('Compliance Database'!$A$2:$A$679,MATCH(371,'Transfer Engine'!$C$2:$C$679,0)))</f>
        <v/>
      </c>
      <c r="B380">
        <f>IF(ISNA(MATCH(371,'Transfer Engine'!$C$2:$C$679,0)),"",INDEX('Compliance Database'!$B$2:$B$679,MATCH(371,'Transfer Engine'!$C$2:$C$679,0)))</f>
        <v/>
      </c>
      <c r="C380">
        <f>IF(ISNA(MATCH(371,'Transfer Engine'!$C$2:$C$679,0)),"",INDEX('Compliance Database'!$C$2:$C$679,MATCH(371,'Transfer Engine'!$C$2:$C$679,0)))</f>
        <v/>
      </c>
      <c r="D380" s="8">
        <f>IF(ISNA(MATCH(371,'Transfer Engine'!$C$2:$C$679,0)),"",INDEX('Compliance Database'!$D$2:$D$679,MATCH(371,'Transfer Engine'!$C$2:$C$679,0)))</f>
        <v/>
      </c>
      <c r="E380">
        <f>IF(ISNA(MATCH(371,'Transfer Engine'!$C$2:$C$679,0)),"",INDEX('Compliance Database'!$E$2:$E$679,MATCH(371,'Transfer Engine'!$C$2:$C$679,0)))</f>
        <v/>
      </c>
      <c r="F380">
        <f>IF(ISNA(MATCH(371,'Transfer Engine'!$C$2:$C$679,0)),"",INDEX('Compliance Database'!$F$2:$F$679,MATCH(371,'Transfer Engine'!$C$2:$C$679,0)))</f>
        <v/>
      </c>
      <c r="G380">
        <f>IF(ISNA(MATCH(371,'Transfer Engine'!$C$2:$C$679,0)),"",INDEX('Compliance Database'!$G$2:$G$679,MATCH(371,'Transfer Engine'!$C$2:$C$679,0)))</f>
        <v/>
      </c>
      <c r="H380">
        <f>IF(ISNA(MATCH(371,'Transfer Engine'!$C$2:$C$679,0)),"",INDEX('Compliance Database'!$H$2:$H$679,MATCH(371,'Transfer Engine'!$C$2:$C$679,0)))</f>
        <v/>
      </c>
      <c r="I380" s="8">
        <f>IF(ISNA(MATCH(371,'Transfer Engine'!$C$2:$C$679,0)),"",INDEX('Compliance Database'!$I$2:$I$679,MATCH(371,'Transfer Engine'!$C$2:$C$679,0)))</f>
        <v/>
      </c>
      <c r="J380" s="8">
        <f>IF(ISNA(MATCH(371,'Transfer Engine'!$C$2:$C$679,0)),"",INDEX('Compliance Database'!$J$2:$J$679,MATCH(371,'Transfer Engine'!$C$2:$C$679,0)))</f>
        <v/>
      </c>
      <c r="K380">
        <f>IF(ISNA(MATCH(371,'Transfer Engine'!$C$2:$C$679,0)),"",INDEX('Compliance Database'!$K$2:$K$679,MATCH(371,'Transfer Engine'!$C$2:$C$679,0)))</f>
        <v/>
      </c>
      <c r="L380" s="8">
        <f>IF(ISNA(MATCH(371,'Transfer Engine'!$C$2:$C$679,0)),"",INDEX('Compliance Database'!$L$2:$L$679,MATCH(371,'Transfer Engine'!$C$2:$C$679,0)))</f>
        <v/>
      </c>
      <c r="M380" s="8">
        <f>IF(ISNA(MATCH(371,'Transfer Engine'!$C$2:$C$679,0)),"",INDEX('Compliance Database'!$M$2:$M$679,MATCH(371,'Transfer Engine'!$C$2:$C$679,0)))</f>
        <v/>
      </c>
      <c r="N380" s="8">
        <f>IF(ISNA(MATCH(371,'Transfer Engine'!$C$2:$C$679,0)),"",INDEX('Compliance Database'!$N$2:$N$679,MATCH(371,'Transfer Engine'!$C$2:$C$679,0)))</f>
        <v/>
      </c>
      <c r="O380" s="8">
        <f>IF(ISNA(MATCH(371,'Transfer Engine'!$C$2:$C$679,0)),"",INDEX('Compliance Database'!$O$2:$O$679,MATCH(371,'Transfer Engine'!$C$2:$C$679,0)))</f>
        <v/>
      </c>
      <c r="P380">
        <f>IF(ISNA(MATCH(371,'Transfer Engine'!$C$2:$C$679,0)),"",HYPERLINK(INDEX('Compliance Database'!$P$2:$P$679,MATCH(371,'Transfer Engine'!$C$2:$C$679,0)),"Open PDF"))</f>
        <v/>
      </c>
    </row>
    <row r="381">
      <c r="A381">
        <f>IF(ISNA(MATCH(372,'Transfer Engine'!$C$2:$C$679,0)),"",INDEX('Compliance Database'!$A$2:$A$679,MATCH(372,'Transfer Engine'!$C$2:$C$679,0)))</f>
        <v/>
      </c>
      <c r="B381">
        <f>IF(ISNA(MATCH(372,'Transfer Engine'!$C$2:$C$679,0)),"",INDEX('Compliance Database'!$B$2:$B$679,MATCH(372,'Transfer Engine'!$C$2:$C$679,0)))</f>
        <v/>
      </c>
      <c r="C381">
        <f>IF(ISNA(MATCH(372,'Transfer Engine'!$C$2:$C$679,0)),"",INDEX('Compliance Database'!$C$2:$C$679,MATCH(372,'Transfer Engine'!$C$2:$C$679,0)))</f>
        <v/>
      </c>
      <c r="D381" s="8">
        <f>IF(ISNA(MATCH(372,'Transfer Engine'!$C$2:$C$679,0)),"",INDEX('Compliance Database'!$D$2:$D$679,MATCH(372,'Transfer Engine'!$C$2:$C$679,0)))</f>
        <v/>
      </c>
      <c r="E381">
        <f>IF(ISNA(MATCH(372,'Transfer Engine'!$C$2:$C$679,0)),"",INDEX('Compliance Database'!$E$2:$E$679,MATCH(372,'Transfer Engine'!$C$2:$C$679,0)))</f>
        <v/>
      </c>
      <c r="F381">
        <f>IF(ISNA(MATCH(372,'Transfer Engine'!$C$2:$C$679,0)),"",INDEX('Compliance Database'!$F$2:$F$679,MATCH(372,'Transfer Engine'!$C$2:$C$679,0)))</f>
        <v/>
      </c>
      <c r="G381">
        <f>IF(ISNA(MATCH(372,'Transfer Engine'!$C$2:$C$679,0)),"",INDEX('Compliance Database'!$G$2:$G$679,MATCH(372,'Transfer Engine'!$C$2:$C$679,0)))</f>
        <v/>
      </c>
      <c r="H381">
        <f>IF(ISNA(MATCH(372,'Transfer Engine'!$C$2:$C$679,0)),"",INDEX('Compliance Database'!$H$2:$H$679,MATCH(372,'Transfer Engine'!$C$2:$C$679,0)))</f>
        <v/>
      </c>
      <c r="I381" s="8">
        <f>IF(ISNA(MATCH(372,'Transfer Engine'!$C$2:$C$679,0)),"",INDEX('Compliance Database'!$I$2:$I$679,MATCH(372,'Transfer Engine'!$C$2:$C$679,0)))</f>
        <v/>
      </c>
      <c r="J381" s="8">
        <f>IF(ISNA(MATCH(372,'Transfer Engine'!$C$2:$C$679,0)),"",INDEX('Compliance Database'!$J$2:$J$679,MATCH(372,'Transfer Engine'!$C$2:$C$679,0)))</f>
        <v/>
      </c>
      <c r="K381">
        <f>IF(ISNA(MATCH(372,'Transfer Engine'!$C$2:$C$679,0)),"",INDEX('Compliance Database'!$K$2:$K$679,MATCH(372,'Transfer Engine'!$C$2:$C$679,0)))</f>
        <v/>
      </c>
      <c r="L381" s="8">
        <f>IF(ISNA(MATCH(372,'Transfer Engine'!$C$2:$C$679,0)),"",INDEX('Compliance Database'!$L$2:$L$679,MATCH(372,'Transfer Engine'!$C$2:$C$679,0)))</f>
        <v/>
      </c>
      <c r="M381" s="8">
        <f>IF(ISNA(MATCH(372,'Transfer Engine'!$C$2:$C$679,0)),"",INDEX('Compliance Database'!$M$2:$M$679,MATCH(372,'Transfer Engine'!$C$2:$C$679,0)))</f>
        <v/>
      </c>
      <c r="N381" s="8">
        <f>IF(ISNA(MATCH(372,'Transfer Engine'!$C$2:$C$679,0)),"",INDEX('Compliance Database'!$N$2:$N$679,MATCH(372,'Transfer Engine'!$C$2:$C$679,0)))</f>
        <v/>
      </c>
      <c r="O381" s="8">
        <f>IF(ISNA(MATCH(372,'Transfer Engine'!$C$2:$C$679,0)),"",INDEX('Compliance Database'!$O$2:$O$679,MATCH(372,'Transfer Engine'!$C$2:$C$679,0)))</f>
        <v/>
      </c>
      <c r="P381">
        <f>IF(ISNA(MATCH(372,'Transfer Engine'!$C$2:$C$679,0)),"",HYPERLINK(INDEX('Compliance Database'!$P$2:$P$679,MATCH(372,'Transfer Engine'!$C$2:$C$679,0)),"Open PDF"))</f>
        <v/>
      </c>
    </row>
    <row r="382">
      <c r="A382">
        <f>IF(ISNA(MATCH(373,'Transfer Engine'!$C$2:$C$679,0)),"",INDEX('Compliance Database'!$A$2:$A$679,MATCH(373,'Transfer Engine'!$C$2:$C$679,0)))</f>
        <v/>
      </c>
      <c r="B382">
        <f>IF(ISNA(MATCH(373,'Transfer Engine'!$C$2:$C$679,0)),"",INDEX('Compliance Database'!$B$2:$B$679,MATCH(373,'Transfer Engine'!$C$2:$C$679,0)))</f>
        <v/>
      </c>
      <c r="C382">
        <f>IF(ISNA(MATCH(373,'Transfer Engine'!$C$2:$C$679,0)),"",INDEX('Compliance Database'!$C$2:$C$679,MATCH(373,'Transfer Engine'!$C$2:$C$679,0)))</f>
        <v/>
      </c>
      <c r="D382" s="8">
        <f>IF(ISNA(MATCH(373,'Transfer Engine'!$C$2:$C$679,0)),"",INDEX('Compliance Database'!$D$2:$D$679,MATCH(373,'Transfer Engine'!$C$2:$C$679,0)))</f>
        <v/>
      </c>
      <c r="E382">
        <f>IF(ISNA(MATCH(373,'Transfer Engine'!$C$2:$C$679,0)),"",INDEX('Compliance Database'!$E$2:$E$679,MATCH(373,'Transfer Engine'!$C$2:$C$679,0)))</f>
        <v/>
      </c>
      <c r="F382">
        <f>IF(ISNA(MATCH(373,'Transfer Engine'!$C$2:$C$679,0)),"",INDEX('Compliance Database'!$F$2:$F$679,MATCH(373,'Transfer Engine'!$C$2:$C$679,0)))</f>
        <v/>
      </c>
      <c r="G382">
        <f>IF(ISNA(MATCH(373,'Transfer Engine'!$C$2:$C$679,0)),"",INDEX('Compliance Database'!$G$2:$G$679,MATCH(373,'Transfer Engine'!$C$2:$C$679,0)))</f>
        <v/>
      </c>
      <c r="H382">
        <f>IF(ISNA(MATCH(373,'Transfer Engine'!$C$2:$C$679,0)),"",INDEX('Compliance Database'!$H$2:$H$679,MATCH(373,'Transfer Engine'!$C$2:$C$679,0)))</f>
        <v/>
      </c>
      <c r="I382" s="8">
        <f>IF(ISNA(MATCH(373,'Transfer Engine'!$C$2:$C$679,0)),"",INDEX('Compliance Database'!$I$2:$I$679,MATCH(373,'Transfer Engine'!$C$2:$C$679,0)))</f>
        <v/>
      </c>
      <c r="J382" s="8">
        <f>IF(ISNA(MATCH(373,'Transfer Engine'!$C$2:$C$679,0)),"",INDEX('Compliance Database'!$J$2:$J$679,MATCH(373,'Transfer Engine'!$C$2:$C$679,0)))</f>
        <v/>
      </c>
      <c r="K382">
        <f>IF(ISNA(MATCH(373,'Transfer Engine'!$C$2:$C$679,0)),"",INDEX('Compliance Database'!$K$2:$K$679,MATCH(373,'Transfer Engine'!$C$2:$C$679,0)))</f>
        <v/>
      </c>
      <c r="L382" s="8">
        <f>IF(ISNA(MATCH(373,'Transfer Engine'!$C$2:$C$679,0)),"",INDEX('Compliance Database'!$L$2:$L$679,MATCH(373,'Transfer Engine'!$C$2:$C$679,0)))</f>
        <v/>
      </c>
      <c r="M382" s="8">
        <f>IF(ISNA(MATCH(373,'Transfer Engine'!$C$2:$C$679,0)),"",INDEX('Compliance Database'!$M$2:$M$679,MATCH(373,'Transfer Engine'!$C$2:$C$679,0)))</f>
        <v/>
      </c>
      <c r="N382" s="8">
        <f>IF(ISNA(MATCH(373,'Transfer Engine'!$C$2:$C$679,0)),"",INDEX('Compliance Database'!$N$2:$N$679,MATCH(373,'Transfer Engine'!$C$2:$C$679,0)))</f>
        <v/>
      </c>
      <c r="O382" s="8">
        <f>IF(ISNA(MATCH(373,'Transfer Engine'!$C$2:$C$679,0)),"",INDEX('Compliance Database'!$O$2:$O$679,MATCH(373,'Transfer Engine'!$C$2:$C$679,0)))</f>
        <v/>
      </c>
      <c r="P382">
        <f>IF(ISNA(MATCH(373,'Transfer Engine'!$C$2:$C$679,0)),"",HYPERLINK(INDEX('Compliance Database'!$P$2:$P$679,MATCH(373,'Transfer Engine'!$C$2:$C$679,0)),"Open PDF"))</f>
        <v/>
      </c>
    </row>
    <row r="383">
      <c r="A383">
        <f>IF(ISNA(MATCH(374,'Transfer Engine'!$C$2:$C$679,0)),"",INDEX('Compliance Database'!$A$2:$A$679,MATCH(374,'Transfer Engine'!$C$2:$C$679,0)))</f>
        <v/>
      </c>
      <c r="B383">
        <f>IF(ISNA(MATCH(374,'Transfer Engine'!$C$2:$C$679,0)),"",INDEX('Compliance Database'!$B$2:$B$679,MATCH(374,'Transfer Engine'!$C$2:$C$679,0)))</f>
        <v/>
      </c>
      <c r="C383">
        <f>IF(ISNA(MATCH(374,'Transfer Engine'!$C$2:$C$679,0)),"",INDEX('Compliance Database'!$C$2:$C$679,MATCH(374,'Transfer Engine'!$C$2:$C$679,0)))</f>
        <v/>
      </c>
      <c r="D383" s="8">
        <f>IF(ISNA(MATCH(374,'Transfer Engine'!$C$2:$C$679,0)),"",INDEX('Compliance Database'!$D$2:$D$679,MATCH(374,'Transfer Engine'!$C$2:$C$679,0)))</f>
        <v/>
      </c>
      <c r="E383">
        <f>IF(ISNA(MATCH(374,'Transfer Engine'!$C$2:$C$679,0)),"",INDEX('Compliance Database'!$E$2:$E$679,MATCH(374,'Transfer Engine'!$C$2:$C$679,0)))</f>
        <v/>
      </c>
      <c r="F383">
        <f>IF(ISNA(MATCH(374,'Transfer Engine'!$C$2:$C$679,0)),"",INDEX('Compliance Database'!$F$2:$F$679,MATCH(374,'Transfer Engine'!$C$2:$C$679,0)))</f>
        <v/>
      </c>
      <c r="G383">
        <f>IF(ISNA(MATCH(374,'Transfer Engine'!$C$2:$C$679,0)),"",INDEX('Compliance Database'!$G$2:$G$679,MATCH(374,'Transfer Engine'!$C$2:$C$679,0)))</f>
        <v/>
      </c>
      <c r="H383">
        <f>IF(ISNA(MATCH(374,'Transfer Engine'!$C$2:$C$679,0)),"",INDEX('Compliance Database'!$H$2:$H$679,MATCH(374,'Transfer Engine'!$C$2:$C$679,0)))</f>
        <v/>
      </c>
      <c r="I383" s="8">
        <f>IF(ISNA(MATCH(374,'Transfer Engine'!$C$2:$C$679,0)),"",INDEX('Compliance Database'!$I$2:$I$679,MATCH(374,'Transfer Engine'!$C$2:$C$679,0)))</f>
        <v/>
      </c>
      <c r="J383" s="8">
        <f>IF(ISNA(MATCH(374,'Transfer Engine'!$C$2:$C$679,0)),"",INDEX('Compliance Database'!$J$2:$J$679,MATCH(374,'Transfer Engine'!$C$2:$C$679,0)))</f>
        <v/>
      </c>
      <c r="K383">
        <f>IF(ISNA(MATCH(374,'Transfer Engine'!$C$2:$C$679,0)),"",INDEX('Compliance Database'!$K$2:$K$679,MATCH(374,'Transfer Engine'!$C$2:$C$679,0)))</f>
        <v/>
      </c>
      <c r="L383" s="8">
        <f>IF(ISNA(MATCH(374,'Transfer Engine'!$C$2:$C$679,0)),"",INDEX('Compliance Database'!$L$2:$L$679,MATCH(374,'Transfer Engine'!$C$2:$C$679,0)))</f>
        <v/>
      </c>
      <c r="M383" s="8">
        <f>IF(ISNA(MATCH(374,'Transfer Engine'!$C$2:$C$679,0)),"",INDEX('Compliance Database'!$M$2:$M$679,MATCH(374,'Transfer Engine'!$C$2:$C$679,0)))</f>
        <v/>
      </c>
      <c r="N383" s="8">
        <f>IF(ISNA(MATCH(374,'Transfer Engine'!$C$2:$C$679,0)),"",INDEX('Compliance Database'!$N$2:$N$679,MATCH(374,'Transfer Engine'!$C$2:$C$679,0)))</f>
        <v/>
      </c>
      <c r="O383" s="8">
        <f>IF(ISNA(MATCH(374,'Transfer Engine'!$C$2:$C$679,0)),"",INDEX('Compliance Database'!$O$2:$O$679,MATCH(374,'Transfer Engine'!$C$2:$C$679,0)))</f>
        <v/>
      </c>
      <c r="P383">
        <f>IF(ISNA(MATCH(374,'Transfer Engine'!$C$2:$C$679,0)),"",HYPERLINK(INDEX('Compliance Database'!$P$2:$P$679,MATCH(374,'Transfer Engine'!$C$2:$C$679,0)),"Open PDF"))</f>
        <v/>
      </c>
    </row>
    <row r="384">
      <c r="A384">
        <f>IF(ISNA(MATCH(375,'Transfer Engine'!$C$2:$C$679,0)),"",INDEX('Compliance Database'!$A$2:$A$679,MATCH(375,'Transfer Engine'!$C$2:$C$679,0)))</f>
        <v/>
      </c>
      <c r="B384">
        <f>IF(ISNA(MATCH(375,'Transfer Engine'!$C$2:$C$679,0)),"",INDEX('Compliance Database'!$B$2:$B$679,MATCH(375,'Transfer Engine'!$C$2:$C$679,0)))</f>
        <v/>
      </c>
      <c r="C384">
        <f>IF(ISNA(MATCH(375,'Transfer Engine'!$C$2:$C$679,0)),"",INDEX('Compliance Database'!$C$2:$C$679,MATCH(375,'Transfer Engine'!$C$2:$C$679,0)))</f>
        <v/>
      </c>
      <c r="D384" s="8">
        <f>IF(ISNA(MATCH(375,'Transfer Engine'!$C$2:$C$679,0)),"",INDEX('Compliance Database'!$D$2:$D$679,MATCH(375,'Transfer Engine'!$C$2:$C$679,0)))</f>
        <v/>
      </c>
      <c r="E384">
        <f>IF(ISNA(MATCH(375,'Transfer Engine'!$C$2:$C$679,0)),"",INDEX('Compliance Database'!$E$2:$E$679,MATCH(375,'Transfer Engine'!$C$2:$C$679,0)))</f>
        <v/>
      </c>
      <c r="F384">
        <f>IF(ISNA(MATCH(375,'Transfer Engine'!$C$2:$C$679,0)),"",INDEX('Compliance Database'!$F$2:$F$679,MATCH(375,'Transfer Engine'!$C$2:$C$679,0)))</f>
        <v/>
      </c>
      <c r="G384">
        <f>IF(ISNA(MATCH(375,'Transfer Engine'!$C$2:$C$679,0)),"",INDEX('Compliance Database'!$G$2:$G$679,MATCH(375,'Transfer Engine'!$C$2:$C$679,0)))</f>
        <v/>
      </c>
      <c r="H384">
        <f>IF(ISNA(MATCH(375,'Transfer Engine'!$C$2:$C$679,0)),"",INDEX('Compliance Database'!$H$2:$H$679,MATCH(375,'Transfer Engine'!$C$2:$C$679,0)))</f>
        <v/>
      </c>
      <c r="I384" s="8">
        <f>IF(ISNA(MATCH(375,'Transfer Engine'!$C$2:$C$679,0)),"",INDEX('Compliance Database'!$I$2:$I$679,MATCH(375,'Transfer Engine'!$C$2:$C$679,0)))</f>
        <v/>
      </c>
      <c r="J384" s="8">
        <f>IF(ISNA(MATCH(375,'Transfer Engine'!$C$2:$C$679,0)),"",INDEX('Compliance Database'!$J$2:$J$679,MATCH(375,'Transfer Engine'!$C$2:$C$679,0)))</f>
        <v/>
      </c>
      <c r="K384">
        <f>IF(ISNA(MATCH(375,'Transfer Engine'!$C$2:$C$679,0)),"",INDEX('Compliance Database'!$K$2:$K$679,MATCH(375,'Transfer Engine'!$C$2:$C$679,0)))</f>
        <v/>
      </c>
      <c r="L384" s="8">
        <f>IF(ISNA(MATCH(375,'Transfer Engine'!$C$2:$C$679,0)),"",INDEX('Compliance Database'!$L$2:$L$679,MATCH(375,'Transfer Engine'!$C$2:$C$679,0)))</f>
        <v/>
      </c>
      <c r="M384" s="8">
        <f>IF(ISNA(MATCH(375,'Transfer Engine'!$C$2:$C$679,0)),"",INDEX('Compliance Database'!$M$2:$M$679,MATCH(375,'Transfer Engine'!$C$2:$C$679,0)))</f>
        <v/>
      </c>
      <c r="N384" s="8">
        <f>IF(ISNA(MATCH(375,'Transfer Engine'!$C$2:$C$679,0)),"",INDEX('Compliance Database'!$N$2:$N$679,MATCH(375,'Transfer Engine'!$C$2:$C$679,0)))</f>
        <v/>
      </c>
      <c r="O384" s="8">
        <f>IF(ISNA(MATCH(375,'Transfer Engine'!$C$2:$C$679,0)),"",INDEX('Compliance Database'!$O$2:$O$679,MATCH(375,'Transfer Engine'!$C$2:$C$679,0)))</f>
        <v/>
      </c>
      <c r="P384">
        <f>IF(ISNA(MATCH(375,'Transfer Engine'!$C$2:$C$679,0)),"",HYPERLINK(INDEX('Compliance Database'!$P$2:$P$679,MATCH(375,'Transfer Engine'!$C$2:$C$679,0)),"Open PDF"))</f>
        <v/>
      </c>
    </row>
    <row r="385">
      <c r="A385">
        <f>IF(ISNA(MATCH(376,'Transfer Engine'!$C$2:$C$679,0)),"",INDEX('Compliance Database'!$A$2:$A$679,MATCH(376,'Transfer Engine'!$C$2:$C$679,0)))</f>
        <v/>
      </c>
      <c r="B385">
        <f>IF(ISNA(MATCH(376,'Transfer Engine'!$C$2:$C$679,0)),"",INDEX('Compliance Database'!$B$2:$B$679,MATCH(376,'Transfer Engine'!$C$2:$C$679,0)))</f>
        <v/>
      </c>
      <c r="C385">
        <f>IF(ISNA(MATCH(376,'Transfer Engine'!$C$2:$C$679,0)),"",INDEX('Compliance Database'!$C$2:$C$679,MATCH(376,'Transfer Engine'!$C$2:$C$679,0)))</f>
        <v/>
      </c>
      <c r="D385" s="8">
        <f>IF(ISNA(MATCH(376,'Transfer Engine'!$C$2:$C$679,0)),"",INDEX('Compliance Database'!$D$2:$D$679,MATCH(376,'Transfer Engine'!$C$2:$C$679,0)))</f>
        <v/>
      </c>
      <c r="E385">
        <f>IF(ISNA(MATCH(376,'Transfer Engine'!$C$2:$C$679,0)),"",INDEX('Compliance Database'!$E$2:$E$679,MATCH(376,'Transfer Engine'!$C$2:$C$679,0)))</f>
        <v/>
      </c>
      <c r="F385">
        <f>IF(ISNA(MATCH(376,'Transfer Engine'!$C$2:$C$679,0)),"",INDEX('Compliance Database'!$F$2:$F$679,MATCH(376,'Transfer Engine'!$C$2:$C$679,0)))</f>
        <v/>
      </c>
      <c r="G385">
        <f>IF(ISNA(MATCH(376,'Transfer Engine'!$C$2:$C$679,0)),"",INDEX('Compliance Database'!$G$2:$G$679,MATCH(376,'Transfer Engine'!$C$2:$C$679,0)))</f>
        <v/>
      </c>
      <c r="H385">
        <f>IF(ISNA(MATCH(376,'Transfer Engine'!$C$2:$C$679,0)),"",INDEX('Compliance Database'!$H$2:$H$679,MATCH(376,'Transfer Engine'!$C$2:$C$679,0)))</f>
        <v/>
      </c>
      <c r="I385" s="8">
        <f>IF(ISNA(MATCH(376,'Transfer Engine'!$C$2:$C$679,0)),"",INDEX('Compliance Database'!$I$2:$I$679,MATCH(376,'Transfer Engine'!$C$2:$C$679,0)))</f>
        <v/>
      </c>
      <c r="J385" s="8">
        <f>IF(ISNA(MATCH(376,'Transfer Engine'!$C$2:$C$679,0)),"",INDEX('Compliance Database'!$J$2:$J$679,MATCH(376,'Transfer Engine'!$C$2:$C$679,0)))</f>
        <v/>
      </c>
      <c r="K385">
        <f>IF(ISNA(MATCH(376,'Transfer Engine'!$C$2:$C$679,0)),"",INDEX('Compliance Database'!$K$2:$K$679,MATCH(376,'Transfer Engine'!$C$2:$C$679,0)))</f>
        <v/>
      </c>
      <c r="L385" s="8">
        <f>IF(ISNA(MATCH(376,'Transfer Engine'!$C$2:$C$679,0)),"",INDEX('Compliance Database'!$L$2:$L$679,MATCH(376,'Transfer Engine'!$C$2:$C$679,0)))</f>
        <v/>
      </c>
      <c r="M385" s="8">
        <f>IF(ISNA(MATCH(376,'Transfer Engine'!$C$2:$C$679,0)),"",INDEX('Compliance Database'!$M$2:$M$679,MATCH(376,'Transfer Engine'!$C$2:$C$679,0)))</f>
        <v/>
      </c>
      <c r="N385" s="8">
        <f>IF(ISNA(MATCH(376,'Transfer Engine'!$C$2:$C$679,0)),"",INDEX('Compliance Database'!$N$2:$N$679,MATCH(376,'Transfer Engine'!$C$2:$C$679,0)))</f>
        <v/>
      </c>
      <c r="O385" s="8">
        <f>IF(ISNA(MATCH(376,'Transfer Engine'!$C$2:$C$679,0)),"",INDEX('Compliance Database'!$O$2:$O$679,MATCH(376,'Transfer Engine'!$C$2:$C$679,0)))</f>
        <v/>
      </c>
      <c r="P385">
        <f>IF(ISNA(MATCH(376,'Transfer Engine'!$C$2:$C$679,0)),"",HYPERLINK(INDEX('Compliance Database'!$P$2:$P$679,MATCH(376,'Transfer Engine'!$C$2:$C$679,0)),"Open PDF"))</f>
        <v/>
      </c>
    </row>
    <row r="386">
      <c r="A386">
        <f>IF(ISNA(MATCH(377,'Transfer Engine'!$C$2:$C$679,0)),"",INDEX('Compliance Database'!$A$2:$A$679,MATCH(377,'Transfer Engine'!$C$2:$C$679,0)))</f>
        <v/>
      </c>
      <c r="B386">
        <f>IF(ISNA(MATCH(377,'Transfer Engine'!$C$2:$C$679,0)),"",INDEX('Compliance Database'!$B$2:$B$679,MATCH(377,'Transfer Engine'!$C$2:$C$679,0)))</f>
        <v/>
      </c>
      <c r="C386">
        <f>IF(ISNA(MATCH(377,'Transfer Engine'!$C$2:$C$679,0)),"",INDEX('Compliance Database'!$C$2:$C$679,MATCH(377,'Transfer Engine'!$C$2:$C$679,0)))</f>
        <v/>
      </c>
      <c r="D386" s="8">
        <f>IF(ISNA(MATCH(377,'Transfer Engine'!$C$2:$C$679,0)),"",INDEX('Compliance Database'!$D$2:$D$679,MATCH(377,'Transfer Engine'!$C$2:$C$679,0)))</f>
        <v/>
      </c>
      <c r="E386">
        <f>IF(ISNA(MATCH(377,'Transfer Engine'!$C$2:$C$679,0)),"",INDEX('Compliance Database'!$E$2:$E$679,MATCH(377,'Transfer Engine'!$C$2:$C$679,0)))</f>
        <v/>
      </c>
      <c r="F386">
        <f>IF(ISNA(MATCH(377,'Transfer Engine'!$C$2:$C$679,0)),"",INDEX('Compliance Database'!$F$2:$F$679,MATCH(377,'Transfer Engine'!$C$2:$C$679,0)))</f>
        <v/>
      </c>
      <c r="G386">
        <f>IF(ISNA(MATCH(377,'Transfer Engine'!$C$2:$C$679,0)),"",INDEX('Compliance Database'!$G$2:$G$679,MATCH(377,'Transfer Engine'!$C$2:$C$679,0)))</f>
        <v/>
      </c>
      <c r="H386">
        <f>IF(ISNA(MATCH(377,'Transfer Engine'!$C$2:$C$679,0)),"",INDEX('Compliance Database'!$H$2:$H$679,MATCH(377,'Transfer Engine'!$C$2:$C$679,0)))</f>
        <v/>
      </c>
      <c r="I386" s="8">
        <f>IF(ISNA(MATCH(377,'Transfer Engine'!$C$2:$C$679,0)),"",INDEX('Compliance Database'!$I$2:$I$679,MATCH(377,'Transfer Engine'!$C$2:$C$679,0)))</f>
        <v/>
      </c>
      <c r="J386" s="8">
        <f>IF(ISNA(MATCH(377,'Transfer Engine'!$C$2:$C$679,0)),"",INDEX('Compliance Database'!$J$2:$J$679,MATCH(377,'Transfer Engine'!$C$2:$C$679,0)))</f>
        <v/>
      </c>
      <c r="K386">
        <f>IF(ISNA(MATCH(377,'Transfer Engine'!$C$2:$C$679,0)),"",INDEX('Compliance Database'!$K$2:$K$679,MATCH(377,'Transfer Engine'!$C$2:$C$679,0)))</f>
        <v/>
      </c>
      <c r="L386" s="8">
        <f>IF(ISNA(MATCH(377,'Transfer Engine'!$C$2:$C$679,0)),"",INDEX('Compliance Database'!$L$2:$L$679,MATCH(377,'Transfer Engine'!$C$2:$C$679,0)))</f>
        <v/>
      </c>
      <c r="M386" s="8">
        <f>IF(ISNA(MATCH(377,'Transfer Engine'!$C$2:$C$679,0)),"",INDEX('Compliance Database'!$M$2:$M$679,MATCH(377,'Transfer Engine'!$C$2:$C$679,0)))</f>
        <v/>
      </c>
      <c r="N386" s="8">
        <f>IF(ISNA(MATCH(377,'Transfer Engine'!$C$2:$C$679,0)),"",INDEX('Compliance Database'!$N$2:$N$679,MATCH(377,'Transfer Engine'!$C$2:$C$679,0)))</f>
        <v/>
      </c>
      <c r="O386" s="8">
        <f>IF(ISNA(MATCH(377,'Transfer Engine'!$C$2:$C$679,0)),"",INDEX('Compliance Database'!$O$2:$O$679,MATCH(377,'Transfer Engine'!$C$2:$C$679,0)))</f>
        <v/>
      </c>
      <c r="P386">
        <f>IF(ISNA(MATCH(377,'Transfer Engine'!$C$2:$C$679,0)),"",HYPERLINK(INDEX('Compliance Database'!$P$2:$P$679,MATCH(377,'Transfer Engine'!$C$2:$C$679,0)),"Open PDF"))</f>
        <v/>
      </c>
    </row>
    <row r="387">
      <c r="A387">
        <f>IF(ISNA(MATCH(378,'Transfer Engine'!$C$2:$C$679,0)),"",INDEX('Compliance Database'!$A$2:$A$679,MATCH(378,'Transfer Engine'!$C$2:$C$679,0)))</f>
        <v/>
      </c>
      <c r="B387">
        <f>IF(ISNA(MATCH(378,'Transfer Engine'!$C$2:$C$679,0)),"",INDEX('Compliance Database'!$B$2:$B$679,MATCH(378,'Transfer Engine'!$C$2:$C$679,0)))</f>
        <v/>
      </c>
      <c r="C387">
        <f>IF(ISNA(MATCH(378,'Transfer Engine'!$C$2:$C$679,0)),"",INDEX('Compliance Database'!$C$2:$C$679,MATCH(378,'Transfer Engine'!$C$2:$C$679,0)))</f>
        <v/>
      </c>
      <c r="D387" s="8">
        <f>IF(ISNA(MATCH(378,'Transfer Engine'!$C$2:$C$679,0)),"",INDEX('Compliance Database'!$D$2:$D$679,MATCH(378,'Transfer Engine'!$C$2:$C$679,0)))</f>
        <v/>
      </c>
      <c r="E387">
        <f>IF(ISNA(MATCH(378,'Transfer Engine'!$C$2:$C$679,0)),"",INDEX('Compliance Database'!$E$2:$E$679,MATCH(378,'Transfer Engine'!$C$2:$C$679,0)))</f>
        <v/>
      </c>
      <c r="F387">
        <f>IF(ISNA(MATCH(378,'Transfer Engine'!$C$2:$C$679,0)),"",INDEX('Compliance Database'!$F$2:$F$679,MATCH(378,'Transfer Engine'!$C$2:$C$679,0)))</f>
        <v/>
      </c>
      <c r="G387">
        <f>IF(ISNA(MATCH(378,'Transfer Engine'!$C$2:$C$679,0)),"",INDEX('Compliance Database'!$G$2:$G$679,MATCH(378,'Transfer Engine'!$C$2:$C$679,0)))</f>
        <v/>
      </c>
      <c r="H387">
        <f>IF(ISNA(MATCH(378,'Transfer Engine'!$C$2:$C$679,0)),"",INDEX('Compliance Database'!$H$2:$H$679,MATCH(378,'Transfer Engine'!$C$2:$C$679,0)))</f>
        <v/>
      </c>
      <c r="I387" s="8">
        <f>IF(ISNA(MATCH(378,'Transfer Engine'!$C$2:$C$679,0)),"",INDEX('Compliance Database'!$I$2:$I$679,MATCH(378,'Transfer Engine'!$C$2:$C$679,0)))</f>
        <v/>
      </c>
      <c r="J387" s="8">
        <f>IF(ISNA(MATCH(378,'Transfer Engine'!$C$2:$C$679,0)),"",INDEX('Compliance Database'!$J$2:$J$679,MATCH(378,'Transfer Engine'!$C$2:$C$679,0)))</f>
        <v/>
      </c>
      <c r="K387">
        <f>IF(ISNA(MATCH(378,'Transfer Engine'!$C$2:$C$679,0)),"",INDEX('Compliance Database'!$K$2:$K$679,MATCH(378,'Transfer Engine'!$C$2:$C$679,0)))</f>
        <v/>
      </c>
      <c r="L387" s="8">
        <f>IF(ISNA(MATCH(378,'Transfer Engine'!$C$2:$C$679,0)),"",INDEX('Compliance Database'!$L$2:$L$679,MATCH(378,'Transfer Engine'!$C$2:$C$679,0)))</f>
        <v/>
      </c>
      <c r="M387" s="8">
        <f>IF(ISNA(MATCH(378,'Transfer Engine'!$C$2:$C$679,0)),"",INDEX('Compliance Database'!$M$2:$M$679,MATCH(378,'Transfer Engine'!$C$2:$C$679,0)))</f>
        <v/>
      </c>
      <c r="N387" s="8">
        <f>IF(ISNA(MATCH(378,'Transfer Engine'!$C$2:$C$679,0)),"",INDEX('Compliance Database'!$N$2:$N$679,MATCH(378,'Transfer Engine'!$C$2:$C$679,0)))</f>
        <v/>
      </c>
      <c r="O387" s="8">
        <f>IF(ISNA(MATCH(378,'Transfer Engine'!$C$2:$C$679,0)),"",INDEX('Compliance Database'!$O$2:$O$679,MATCH(378,'Transfer Engine'!$C$2:$C$679,0)))</f>
        <v/>
      </c>
      <c r="P387">
        <f>IF(ISNA(MATCH(378,'Transfer Engine'!$C$2:$C$679,0)),"",HYPERLINK(INDEX('Compliance Database'!$P$2:$P$679,MATCH(378,'Transfer Engine'!$C$2:$C$679,0)),"Open PDF"))</f>
        <v/>
      </c>
    </row>
    <row r="388">
      <c r="A388">
        <f>IF(ISNA(MATCH(379,'Transfer Engine'!$C$2:$C$679,0)),"",INDEX('Compliance Database'!$A$2:$A$679,MATCH(379,'Transfer Engine'!$C$2:$C$679,0)))</f>
        <v/>
      </c>
      <c r="B388">
        <f>IF(ISNA(MATCH(379,'Transfer Engine'!$C$2:$C$679,0)),"",INDEX('Compliance Database'!$B$2:$B$679,MATCH(379,'Transfer Engine'!$C$2:$C$679,0)))</f>
        <v/>
      </c>
      <c r="C388">
        <f>IF(ISNA(MATCH(379,'Transfer Engine'!$C$2:$C$679,0)),"",INDEX('Compliance Database'!$C$2:$C$679,MATCH(379,'Transfer Engine'!$C$2:$C$679,0)))</f>
        <v/>
      </c>
      <c r="D388" s="8">
        <f>IF(ISNA(MATCH(379,'Transfer Engine'!$C$2:$C$679,0)),"",INDEX('Compliance Database'!$D$2:$D$679,MATCH(379,'Transfer Engine'!$C$2:$C$679,0)))</f>
        <v/>
      </c>
      <c r="E388">
        <f>IF(ISNA(MATCH(379,'Transfer Engine'!$C$2:$C$679,0)),"",INDEX('Compliance Database'!$E$2:$E$679,MATCH(379,'Transfer Engine'!$C$2:$C$679,0)))</f>
        <v/>
      </c>
      <c r="F388">
        <f>IF(ISNA(MATCH(379,'Transfer Engine'!$C$2:$C$679,0)),"",INDEX('Compliance Database'!$F$2:$F$679,MATCH(379,'Transfer Engine'!$C$2:$C$679,0)))</f>
        <v/>
      </c>
      <c r="G388">
        <f>IF(ISNA(MATCH(379,'Transfer Engine'!$C$2:$C$679,0)),"",INDEX('Compliance Database'!$G$2:$G$679,MATCH(379,'Transfer Engine'!$C$2:$C$679,0)))</f>
        <v/>
      </c>
      <c r="H388">
        <f>IF(ISNA(MATCH(379,'Transfer Engine'!$C$2:$C$679,0)),"",INDEX('Compliance Database'!$H$2:$H$679,MATCH(379,'Transfer Engine'!$C$2:$C$679,0)))</f>
        <v/>
      </c>
      <c r="I388" s="8">
        <f>IF(ISNA(MATCH(379,'Transfer Engine'!$C$2:$C$679,0)),"",INDEX('Compliance Database'!$I$2:$I$679,MATCH(379,'Transfer Engine'!$C$2:$C$679,0)))</f>
        <v/>
      </c>
      <c r="J388" s="8">
        <f>IF(ISNA(MATCH(379,'Transfer Engine'!$C$2:$C$679,0)),"",INDEX('Compliance Database'!$J$2:$J$679,MATCH(379,'Transfer Engine'!$C$2:$C$679,0)))</f>
        <v/>
      </c>
      <c r="K388">
        <f>IF(ISNA(MATCH(379,'Transfer Engine'!$C$2:$C$679,0)),"",INDEX('Compliance Database'!$K$2:$K$679,MATCH(379,'Transfer Engine'!$C$2:$C$679,0)))</f>
        <v/>
      </c>
      <c r="L388" s="8">
        <f>IF(ISNA(MATCH(379,'Transfer Engine'!$C$2:$C$679,0)),"",INDEX('Compliance Database'!$L$2:$L$679,MATCH(379,'Transfer Engine'!$C$2:$C$679,0)))</f>
        <v/>
      </c>
      <c r="M388" s="8">
        <f>IF(ISNA(MATCH(379,'Transfer Engine'!$C$2:$C$679,0)),"",INDEX('Compliance Database'!$M$2:$M$679,MATCH(379,'Transfer Engine'!$C$2:$C$679,0)))</f>
        <v/>
      </c>
      <c r="N388" s="8">
        <f>IF(ISNA(MATCH(379,'Transfer Engine'!$C$2:$C$679,0)),"",INDEX('Compliance Database'!$N$2:$N$679,MATCH(379,'Transfer Engine'!$C$2:$C$679,0)))</f>
        <v/>
      </c>
      <c r="O388" s="8">
        <f>IF(ISNA(MATCH(379,'Transfer Engine'!$C$2:$C$679,0)),"",INDEX('Compliance Database'!$O$2:$O$679,MATCH(379,'Transfer Engine'!$C$2:$C$679,0)))</f>
        <v/>
      </c>
      <c r="P388">
        <f>IF(ISNA(MATCH(379,'Transfer Engine'!$C$2:$C$679,0)),"",HYPERLINK(INDEX('Compliance Database'!$P$2:$P$679,MATCH(379,'Transfer Engine'!$C$2:$C$679,0)),"Open PDF"))</f>
        <v/>
      </c>
    </row>
    <row r="389">
      <c r="A389">
        <f>IF(ISNA(MATCH(380,'Transfer Engine'!$C$2:$C$679,0)),"",INDEX('Compliance Database'!$A$2:$A$679,MATCH(380,'Transfer Engine'!$C$2:$C$679,0)))</f>
        <v/>
      </c>
      <c r="B389">
        <f>IF(ISNA(MATCH(380,'Transfer Engine'!$C$2:$C$679,0)),"",INDEX('Compliance Database'!$B$2:$B$679,MATCH(380,'Transfer Engine'!$C$2:$C$679,0)))</f>
        <v/>
      </c>
      <c r="C389">
        <f>IF(ISNA(MATCH(380,'Transfer Engine'!$C$2:$C$679,0)),"",INDEX('Compliance Database'!$C$2:$C$679,MATCH(380,'Transfer Engine'!$C$2:$C$679,0)))</f>
        <v/>
      </c>
      <c r="D389" s="8">
        <f>IF(ISNA(MATCH(380,'Transfer Engine'!$C$2:$C$679,0)),"",INDEX('Compliance Database'!$D$2:$D$679,MATCH(380,'Transfer Engine'!$C$2:$C$679,0)))</f>
        <v/>
      </c>
      <c r="E389">
        <f>IF(ISNA(MATCH(380,'Transfer Engine'!$C$2:$C$679,0)),"",INDEX('Compliance Database'!$E$2:$E$679,MATCH(380,'Transfer Engine'!$C$2:$C$679,0)))</f>
        <v/>
      </c>
      <c r="F389">
        <f>IF(ISNA(MATCH(380,'Transfer Engine'!$C$2:$C$679,0)),"",INDEX('Compliance Database'!$F$2:$F$679,MATCH(380,'Transfer Engine'!$C$2:$C$679,0)))</f>
        <v/>
      </c>
      <c r="G389">
        <f>IF(ISNA(MATCH(380,'Transfer Engine'!$C$2:$C$679,0)),"",INDEX('Compliance Database'!$G$2:$G$679,MATCH(380,'Transfer Engine'!$C$2:$C$679,0)))</f>
        <v/>
      </c>
      <c r="H389">
        <f>IF(ISNA(MATCH(380,'Transfer Engine'!$C$2:$C$679,0)),"",INDEX('Compliance Database'!$H$2:$H$679,MATCH(380,'Transfer Engine'!$C$2:$C$679,0)))</f>
        <v/>
      </c>
      <c r="I389" s="8">
        <f>IF(ISNA(MATCH(380,'Transfer Engine'!$C$2:$C$679,0)),"",INDEX('Compliance Database'!$I$2:$I$679,MATCH(380,'Transfer Engine'!$C$2:$C$679,0)))</f>
        <v/>
      </c>
      <c r="J389" s="8">
        <f>IF(ISNA(MATCH(380,'Transfer Engine'!$C$2:$C$679,0)),"",INDEX('Compliance Database'!$J$2:$J$679,MATCH(380,'Transfer Engine'!$C$2:$C$679,0)))</f>
        <v/>
      </c>
      <c r="K389">
        <f>IF(ISNA(MATCH(380,'Transfer Engine'!$C$2:$C$679,0)),"",INDEX('Compliance Database'!$K$2:$K$679,MATCH(380,'Transfer Engine'!$C$2:$C$679,0)))</f>
        <v/>
      </c>
      <c r="L389" s="8">
        <f>IF(ISNA(MATCH(380,'Transfer Engine'!$C$2:$C$679,0)),"",INDEX('Compliance Database'!$L$2:$L$679,MATCH(380,'Transfer Engine'!$C$2:$C$679,0)))</f>
        <v/>
      </c>
      <c r="M389" s="8">
        <f>IF(ISNA(MATCH(380,'Transfer Engine'!$C$2:$C$679,0)),"",INDEX('Compliance Database'!$M$2:$M$679,MATCH(380,'Transfer Engine'!$C$2:$C$679,0)))</f>
        <v/>
      </c>
      <c r="N389" s="8">
        <f>IF(ISNA(MATCH(380,'Transfer Engine'!$C$2:$C$679,0)),"",INDEX('Compliance Database'!$N$2:$N$679,MATCH(380,'Transfer Engine'!$C$2:$C$679,0)))</f>
        <v/>
      </c>
      <c r="O389" s="8">
        <f>IF(ISNA(MATCH(380,'Transfer Engine'!$C$2:$C$679,0)),"",INDEX('Compliance Database'!$O$2:$O$679,MATCH(380,'Transfer Engine'!$C$2:$C$679,0)))</f>
        <v/>
      </c>
      <c r="P389">
        <f>IF(ISNA(MATCH(380,'Transfer Engine'!$C$2:$C$679,0)),"",HYPERLINK(INDEX('Compliance Database'!$P$2:$P$679,MATCH(380,'Transfer Engine'!$C$2:$C$679,0)),"Open PDF"))</f>
        <v/>
      </c>
    </row>
    <row r="390">
      <c r="A390">
        <f>IF(ISNA(MATCH(381,'Transfer Engine'!$C$2:$C$679,0)),"",INDEX('Compliance Database'!$A$2:$A$679,MATCH(381,'Transfer Engine'!$C$2:$C$679,0)))</f>
        <v/>
      </c>
      <c r="B390">
        <f>IF(ISNA(MATCH(381,'Transfer Engine'!$C$2:$C$679,0)),"",INDEX('Compliance Database'!$B$2:$B$679,MATCH(381,'Transfer Engine'!$C$2:$C$679,0)))</f>
        <v/>
      </c>
      <c r="C390">
        <f>IF(ISNA(MATCH(381,'Transfer Engine'!$C$2:$C$679,0)),"",INDEX('Compliance Database'!$C$2:$C$679,MATCH(381,'Transfer Engine'!$C$2:$C$679,0)))</f>
        <v/>
      </c>
      <c r="D390" s="8">
        <f>IF(ISNA(MATCH(381,'Transfer Engine'!$C$2:$C$679,0)),"",INDEX('Compliance Database'!$D$2:$D$679,MATCH(381,'Transfer Engine'!$C$2:$C$679,0)))</f>
        <v/>
      </c>
      <c r="E390">
        <f>IF(ISNA(MATCH(381,'Transfer Engine'!$C$2:$C$679,0)),"",INDEX('Compliance Database'!$E$2:$E$679,MATCH(381,'Transfer Engine'!$C$2:$C$679,0)))</f>
        <v/>
      </c>
      <c r="F390">
        <f>IF(ISNA(MATCH(381,'Transfer Engine'!$C$2:$C$679,0)),"",INDEX('Compliance Database'!$F$2:$F$679,MATCH(381,'Transfer Engine'!$C$2:$C$679,0)))</f>
        <v/>
      </c>
      <c r="G390">
        <f>IF(ISNA(MATCH(381,'Transfer Engine'!$C$2:$C$679,0)),"",INDEX('Compliance Database'!$G$2:$G$679,MATCH(381,'Transfer Engine'!$C$2:$C$679,0)))</f>
        <v/>
      </c>
      <c r="H390">
        <f>IF(ISNA(MATCH(381,'Transfer Engine'!$C$2:$C$679,0)),"",INDEX('Compliance Database'!$H$2:$H$679,MATCH(381,'Transfer Engine'!$C$2:$C$679,0)))</f>
        <v/>
      </c>
      <c r="I390" s="8">
        <f>IF(ISNA(MATCH(381,'Transfer Engine'!$C$2:$C$679,0)),"",INDEX('Compliance Database'!$I$2:$I$679,MATCH(381,'Transfer Engine'!$C$2:$C$679,0)))</f>
        <v/>
      </c>
      <c r="J390" s="8">
        <f>IF(ISNA(MATCH(381,'Transfer Engine'!$C$2:$C$679,0)),"",INDEX('Compliance Database'!$J$2:$J$679,MATCH(381,'Transfer Engine'!$C$2:$C$679,0)))</f>
        <v/>
      </c>
      <c r="K390">
        <f>IF(ISNA(MATCH(381,'Transfer Engine'!$C$2:$C$679,0)),"",INDEX('Compliance Database'!$K$2:$K$679,MATCH(381,'Transfer Engine'!$C$2:$C$679,0)))</f>
        <v/>
      </c>
      <c r="L390" s="8">
        <f>IF(ISNA(MATCH(381,'Transfer Engine'!$C$2:$C$679,0)),"",INDEX('Compliance Database'!$L$2:$L$679,MATCH(381,'Transfer Engine'!$C$2:$C$679,0)))</f>
        <v/>
      </c>
      <c r="M390" s="8">
        <f>IF(ISNA(MATCH(381,'Transfer Engine'!$C$2:$C$679,0)),"",INDEX('Compliance Database'!$M$2:$M$679,MATCH(381,'Transfer Engine'!$C$2:$C$679,0)))</f>
        <v/>
      </c>
      <c r="N390" s="8">
        <f>IF(ISNA(MATCH(381,'Transfer Engine'!$C$2:$C$679,0)),"",INDEX('Compliance Database'!$N$2:$N$679,MATCH(381,'Transfer Engine'!$C$2:$C$679,0)))</f>
        <v/>
      </c>
      <c r="O390" s="8">
        <f>IF(ISNA(MATCH(381,'Transfer Engine'!$C$2:$C$679,0)),"",INDEX('Compliance Database'!$O$2:$O$679,MATCH(381,'Transfer Engine'!$C$2:$C$679,0)))</f>
        <v/>
      </c>
      <c r="P390">
        <f>IF(ISNA(MATCH(381,'Transfer Engine'!$C$2:$C$679,0)),"",HYPERLINK(INDEX('Compliance Database'!$P$2:$P$679,MATCH(381,'Transfer Engine'!$C$2:$C$679,0)),"Open PDF"))</f>
        <v/>
      </c>
    </row>
    <row r="391">
      <c r="A391">
        <f>IF(ISNA(MATCH(382,'Transfer Engine'!$C$2:$C$679,0)),"",INDEX('Compliance Database'!$A$2:$A$679,MATCH(382,'Transfer Engine'!$C$2:$C$679,0)))</f>
        <v/>
      </c>
      <c r="B391">
        <f>IF(ISNA(MATCH(382,'Transfer Engine'!$C$2:$C$679,0)),"",INDEX('Compliance Database'!$B$2:$B$679,MATCH(382,'Transfer Engine'!$C$2:$C$679,0)))</f>
        <v/>
      </c>
      <c r="C391">
        <f>IF(ISNA(MATCH(382,'Transfer Engine'!$C$2:$C$679,0)),"",INDEX('Compliance Database'!$C$2:$C$679,MATCH(382,'Transfer Engine'!$C$2:$C$679,0)))</f>
        <v/>
      </c>
      <c r="D391" s="8">
        <f>IF(ISNA(MATCH(382,'Transfer Engine'!$C$2:$C$679,0)),"",INDEX('Compliance Database'!$D$2:$D$679,MATCH(382,'Transfer Engine'!$C$2:$C$679,0)))</f>
        <v/>
      </c>
      <c r="E391">
        <f>IF(ISNA(MATCH(382,'Transfer Engine'!$C$2:$C$679,0)),"",INDEX('Compliance Database'!$E$2:$E$679,MATCH(382,'Transfer Engine'!$C$2:$C$679,0)))</f>
        <v/>
      </c>
      <c r="F391">
        <f>IF(ISNA(MATCH(382,'Transfer Engine'!$C$2:$C$679,0)),"",INDEX('Compliance Database'!$F$2:$F$679,MATCH(382,'Transfer Engine'!$C$2:$C$679,0)))</f>
        <v/>
      </c>
      <c r="G391">
        <f>IF(ISNA(MATCH(382,'Transfer Engine'!$C$2:$C$679,0)),"",INDEX('Compliance Database'!$G$2:$G$679,MATCH(382,'Transfer Engine'!$C$2:$C$679,0)))</f>
        <v/>
      </c>
      <c r="H391">
        <f>IF(ISNA(MATCH(382,'Transfer Engine'!$C$2:$C$679,0)),"",INDEX('Compliance Database'!$H$2:$H$679,MATCH(382,'Transfer Engine'!$C$2:$C$679,0)))</f>
        <v/>
      </c>
      <c r="I391" s="8">
        <f>IF(ISNA(MATCH(382,'Transfer Engine'!$C$2:$C$679,0)),"",INDEX('Compliance Database'!$I$2:$I$679,MATCH(382,'Transfer Engine'!$C$2:$C$679,0)))</f>
        <v/>
      </c>
      <c r="J391" s="8">
        <f>IF(ISNA(MATCH(382,'Transfer Engine'!$C$2:$C$679,0)),"",INDEX('Compliance Database'!$J$2:$J$679,MATCH(382,'Transfer Engine'!$C$2:$C$679,0)))</f>
        <v/>
      </c>
      <c r="K391">
        <f>IF(ISNA(MATCH(382,'Transfer Engine'!$C$2:$C$679,0)),"",INDEX('Compliance Database'!$K$2:$K$679,MATCH(382,'Transfer Engine'!$C$2:$C$679,0)))</f>
        <v/>
      </c>
      <c r="L391" s="8">
        <f>IF(ISNA(MATCH(382,'Transfer Engine'!$C$2:$C$679,0)),"",INDEX('Compliance Database'!$L$2:$L$679,MATCH(382,'Transfer Engine'!$C$2:$C$679,0)))</f>
        <v/>
      </c>
      <c r="M391" s="8">
        <f>IF(ISNA(MATCH(382,'Transfer Engine'!$C$2:$C$679,0)),"",INDEX('Compliance Database'!$M$2:$M$679,MATCH(382,'Transfer Engine'!$C$2:$C$679,0)))</f>
        <v/>
      </c>
      <c r="N391" s="8">
        <f>IF(ISNA(MATCH(382,'Transfer Engine'!$C$2:$C$679,0)),"",INDEX('Compliance Database'!$N$2:$N$679,MATCH(382,'Transfer Engine'!$C$2:$C$679,0)))</f>
        <v/>
      </c>
      <c r="O391" s="8">
        <f>IF(ISNA(MATCH(382,'Transfer Engine'!$C$2:$C$679,0)),"",INDEX('Compliance Database'!$O$2:$O$679,MATCH(382,'Transfer Engine'!$C$2:$C$679,0)))</f>
        <v/>
      </c>
      <c r="P391">
        <f>IF(ISNA(MATCH(382,'Transfer Engine'!$C$2:$C$679,0)),"",HYPERLINK(INDEX('Compliance Database'!$P$2:$P$679,MATCH(382,'Transfer Engine'!$C$2:$C$679,0)),"Open PDF"))</f>
        <v/>
      </c>
    </row>
    <row r="392">
      <c r="A392">
        <f>IF(ISNA(MATCH(383,'Transfer Engine'!$C$2:$C$679,0)),"",INDEX('Compliance Database'!$A$2:$A$679,MATCH(383,'Transfer Engine'!$C$2:$C$679,0)))</f>
        <v/>
      </c>
      <c r="B392">
        <f>IF(ISNA(MATCH(383,'Transfer Engine'!$C$2:$C$679,0)),"",INDEX('Compliance Database'!$B$2:$B$679,MATCH(383,'Transfer Engine'!$C$2:$C$679,0)))</f>
        <v/>
      </c>
      <c r="C392">
        <f>IF(ISNA(MATCH(383,'Transfer Engine'!$C$2:$C$679,0)),"",INDEX('Compliance Database'!$C$2:$C$679,MATCH(383,'Transfer Engine'!$C$2:$C$679,0)))</f>
        <v/>
      </c>
      <c r="D392" s="8">
        <f>IF(ISNA(MATCH(383,'Transfer Engine'!$C$2:$C$679,0)),"",INDEX('Compliance Database'!$D$2:$D$679,MATCH(383,'Transfer Engine'!$C$2:$C$679,0)))</f>
        <v/>
      </c>
      <c r="E392">
        <f>IF(ISNA(MATCH(383,'Transfer Engine'!$C$2:$C$679,0)),"",INDEX('Compliance Database'!$E$2:$E$679,MATCH(383,'Transfer Engine'!$C$2:$C$679,0)))</f>
        <v/>
      </c>
      <c r="F392">
        <f>IF(ISNA(MATCH(383,'Transfer Engine'!$C$2:$C$679,0)),"",INDEX('Compliance Database'!$F$2:$F$679,MATCH(383,'Transfer Engine'!$C$2:$C$679,0)))</f>
        <v/>
      </c>
      <c r="G392">
        <f>IF(ISNA(MATCH(383,'Transfer Engine'!$C$2:$C$679,0)),"",INDEX('Compliance Database'!$G$2:$G$679,MATCH(383,'Transfer Engine'!$C$2:$C$679,0)))</f>
        <v/>
      </c>
      <c r="H392">
        <f>IF(ISNA(MATCH(383,'Transfer Engine'!$C$2:$C$679,0)),"",INDEX('Compliance Database'!$H$2:$H$679,MATCH(383,'Transfer Engine'!$C$2:$C$679,0)))</f>
        <v/>
      </c>
      <c r="I392" s="8">
        <f>IF(ISNA(MATCH(383,'Transfer Engine'!$C$2:$C$679,0)),"",INDEX('Compliance Database'!$I$2:$I$679,MATCH(383,'Transfer Engine'!$C$2:$C$679,0)))</f>
        <v/>
      </c>
      <c r="J392" s="8">
        <f>IF(ISNA(MATCH(383,'Transfer Engine'!$C$2:$C$679,0)),"",INDEX('Compliance Database'!$J$2:$J$679,MATCH(383,'Transfer Engine'!$C$2:$C$679,0)))</f>
        <v/>
      </c>
      <c r="K392">
        <f>IF(ISNA(MATCH(383,'Transfer Engine'!$C$2:$C$679,0)),"",INDEX('Compliance Database'!$K$2:$K$679,MATCH(383,'Transfer Engine'!$C$2:$C$679,0)))</f>
        <v/>
      </c>
      <c r="L392" s="8">
        <f>IF(ISNA(MATCH(383,'Transfer Engine'!$C$2:$C$679,0)),"",INDEX('Compliance Database'!$L$2:$L$679,MATCH(383,'Transfer Engine'!$C$2:$C$679,0)))</f>
        <v/>
      </c>
      <c r="M392" s="8">
        <f>IF(ISNA(MATCH(383,'Transfer Engine'!$C$2:$C$679,0)),"",INDEX('Compliance Database'!$M$2:$M$679,MATCH(383,'Transfer Engine'!$C$2:$C$679,0)))</f>
        <v/>
      </c>
      <c r="N392" s="8">
        <f>IF(ISNA(MATCH(383,'Transfer Engine'!$C$2:$C$679,0)),"",INDEX('Compliance Database'!$N$2:$N$679,MATCH(383,'Transfer Engine'!$C$2:$C$679,0)))</f>
        <v/>
      </c>
      <c r="O392" s="8">
        <f>IF(ISNA(MATCH(383,'Transfer Engine'!$C$2:$C$679,0)),"",INDEX('Compliance Database'!$O$2:$O$679,MATCH(383,'Transfer Engine'!$C$2:$C$679,0)))</f>
        <v/>
      </c>
      <c r="P392">
        <f>IF(ISNA(MATCH(383,'Transfer Engine'!$C$2:$C$679,0)),"",HYPERLINK(INDEX('Compliance Database'!$P$2:$P$679,MATCH(383,'Transfer Engine'!$C$2:$C$679,0)),"Open PDF"))</f>
        <v/>
      </c>
    </row>
    <row r="393">
      <c r="A393">
        <f>IF(ISNA(MATCH(384,'Transfer Engine'!$C$2:$C$679,0)),"",INDEX('Compliance Database'!$A$2:$A$679,MATCH(384,'Transfer Engine'!$C$2:$C$679,0)))</f>
        <v/>
      </c>
      <c r="B393">
        <f>IF(ISNA(MATCH(384,'Transfer Engine'!$C$2:$C$679,0)),"",INDEX('Compliance Database'!$B$2:$B$679,MATCH(384,'Transfer Engine'!$C$2:$C$679,0)))</f>
        <v/>
      </c>
      <c r="C393">
        <f>IF(ISNA(MATCH(384,'Transfer Engine'!$C$2:$C$679,0)),"",INDEX('Compliance Database'!$C$2:$C$679,MATCH(384,'Transfer Engine'!$C$2:$C$679,0)))</f>
        <v/>
      </c>
      <c r="D393" s="8">
        <f>IF(ISNA(MATCH(384,'Transfer Engine'!$C$2:$C$679,0)),"",INDEX('Compliance Database'!$D$2:$D$679,MATCH(384,'Transfer Engine'!$C$2:$C$679,0)))</f>
        <v/>
      </c>
      <c r="E393">
        <f>IF(ISNA(MATCH(384,'Transfer Engine'!$C$2:$C$679,0)),"",INDEX('Compliance Database'!$E$2:$E$679,MATCH(384,'Transfer Engine'!$C$2:$C$679,0)))</f>
        <v/>
      </c>
      <c r="F393">
        <f>IF(ISNA(MATCH(384,'Transfer Engine'!$C$2:$C$679,0)),"",INDEX('Compliance Database'!$F$2:$F$679,MATCH(384,'Transfer Engine'!$C$2:$C$679,0)))</f>
        <v/>
      </c>
      <c r="G393">
        <f>IF(ISNA(MATCH(384,'Transfer Engine'!$C$2:$C$679,0)),"",INDEX('Compliance Database'!$G$2:$G$679,MATCH(384,'Transfer Engine'!$C$2:$C$679,0)))</f>
        <v/>
      </c>
      <c r="H393">
        <f>IF(ISNA(MATCH(384,'Transfer Engine'!$C$2:$C$679,0)),"",INDEX('Compliance Database'!$H$2:$H$679,MATCH(384,'Transfer Engine'!$C$2:$C$679,0)))</f>
        <v/>
      </c>
      <c r="I393" s="8">
        <f>IF(ISNA(MATCH(384,'Transfer Engine'!$C$2:$C$679,0)),"",INDEX('Compliance Database'!$I$2:$I$679,MATCH(384,'Transfer Engine'!$C$2:$C$679,0)))</f>
        <v/>
      </c>
      <c r="J393" s="8">
        <f>IF(ISNA(MATCH(384,'Transfer Engine'!$C$2:$C$679,0)),"",INDEX('Compliance Database'!$J$2:$J$679,MATCH(384,'Transfer Engine'!$C$2:$C$679,0)))</f>
        <v/>
      </c>
      <c r="K393">
        <f>IF(ISNA(MATCH(384,'Transfer Engine'!$C$2:$C$679,0)),"",INDEX('Compliance Database'!$K$2:$K$679,MATCH(384,'Transfer Engine'!$C$2:$C$679,0)))</f>
        <v/>
      </c>
      <c r="L393" s="8">
        <f>IF(ISNA(MATCH(384,'Transfer Engine'!$C$2:$C$679,0)),"",INDEX('Compliance Database'!$L$2:$L$679,MATCH(384,'Transfer Engine'!$C$2:$C$679,0)))</f>
        <v/>
      </c>
      <c r="M393" s="8">
        <f>IF(ISNA(MATCH(384,'Transfer Engine'!$C$2:$C$679,0)),"",INDEX('Compliance Database'!$M$2:$M$679,MATCH(384,'Transfer Engine'!$C$2:$C$679,0)))</f>
        <v/>
      </c>
      <c r="N393" s="8">
        <f>IF(ISNA(MATCH(384,'Transfer Engine'!$C$2:$C$679,0)),"",INDEX('Compliance Database'!$N$2:$N$679,MATCH(384,'Transfer Engine'!$C$2:$C$679,0)))</f>
        <v/>
      </c>
      <c r="O393" s="8">
        <f>IF(ISNA(MATCH(384,'Transfer Engine'!$C$2:$C$679,0)),"",INDEX('Compliance Database'!$O$2:$O$679,MATCH(384,'Transfer Engine'!$C$2:$C$679,0)))</f>
        <v/>
      </c>
      <c r="P393">
        <f>IF(ISNA(MATCH(384,'Transfer Engine'!$C$2:$C$679,0)),"",HYPERLINK(INDEX('Compliance Database'!$P$2:$P$679,MATCH(384,'Transfer Engine'!$C$2:$C$679,0)),"Open PDF"))</f>
        <v/>
      </c>
    </row>
    <row r="394">
      <c r="A394">
        <f>IF(ISNA(MATCH(385,'Transfer Engine'!$C$2:$C$679,0)),"",INDEX('Compliance Database'!$A$2:$A$679,MATCH(385,'Transfer Engine'!$C$2:$C$679,0)))</f>
        <v/>
      </c>
      <c r="B394">
        <f>IF(ISNA(MATCH(385,'Transfer Engine'!$C$2:$C$679,0)),"",INDEX('Compliance Database'!$B$2:$B$679,MATCH(385,'Transfer Engine'!$C$2:$C$679,0)))</f>
        <v/>
      </c>
      <c r="C394">
        <f>IF(ISNA(MATCH(385,'Transfer Engine'!$C$2:$C$679,0)),"",INDEX('Compliance Database'!$C$2:$C$679,MATCH(385,'Transfer Engine'!$C$2:$C$679,0)))</f>
        <v/>
      </c>
      <c r="D394" s="8">
        <f>IF(ISNA(MATCH(385,'Transfer Engine'!$C$2:$C$679,0)),"",INDEX('Compliance Database'!$D$2:$D$679,MATCH(385,'Transfer Engine'!$C$2:$C$679,0)))</f>
        <v/>
      </c>
      <c r="E394">
        <f>IF(ISNA(MATCH(385,'Transfer Engine'!$C$2:$C$679,0)),"",INDEX('Compliance Database'!$E$2:$E$679,MATCH(385,'Transfer Engine'!$C$2:$C$679,0)))</f>
        <v/>
      </c>
      <c r="F394">
        <f>IF(ISNA(MATCH(385,'Transfer Engine'!$C$2:$C$679,0)),"",INDEX('Compliance Database'!$F$2:$F$679,MATCH(385,'Transfer Engine'!$C$2:$C$679,0)))</f>
        <v/>
      </c>
      <c r="G394">
        <f>IF(ISNA(MATCH(385,'Transfer Engine'!$C$2:$C$679,0)),"",INDEX('Compliance Database'!$G$2:$G$679,MATCH(385,'Transfer Engine'!$C$2:$C$679,0)))</f>
        <v/>
      </c>
      <c r="H394">
        <f>IF(ISNA(MATCH(385,'Transfer Engine'!$C$2:$C$679,0)),"",INDEX('Compliance Database'!$H$2:$H$679,MATCH(385,'Transfer Engine'!$C$2:$C$679,0)))</f>
        <v/>
      </c>
      <c r="I394" s="8">
        <f>IF(ISNA(MATCH(385,'Transfer Engine'!$C$2:$C$679,0)),"",INDEX('Compliance Database'!$I$2:$I$679,MATCH(385,'Transfer Engine'!$C$2:$C$679,0)))</f>
        <v/>
      </c>
      <c r="J394" s="8">
        <f>IF(ISNA(MATCH(385,'Transfer Engine'!$C$2:$C$679,0)),"",INDEX('Compliance Database'!$J$2:$J$679,MATCH(385,'Transfer Engine'!$C$2:$C$679,0)))</f>
        <v/>
      </c>
      <c r="K394">
        <f>IF(ISNA(MATCH(385,'Transfer Engine'!$C$2:$C$679,0)),"",INDEX('Compliance Database'!$K$2:$K$679,MATCH(385,'Transfer Engine'!$C$2:$C$679,0)))</f>
        <v/>
      </c>
      <c r="L394" s="8">
        <f>IF(ISNA(MATCH(385,'Transfer Engine'!$C$2:$C$679,0)),"",INDEX('Compliance Database'!$L$2:$L$679,MATCH(385,'Transfer Engine'!$C$2:$C$679,0)))</f>
        <v/>
      </c>
      <c r="M394" s="8">
        <f>IF(ISNA(MATCH(385,'Transfer Engine'!$C$2:$C$679,0)),"",INDEX('Compliance Database'!$M$2:$M$679,MATCH(385,'Transfer Engine'!$C$2:$C$679,0)))</f>
        <v/>
      </c>
      <c r="N394" s="8">
        <f>IF(ISNA(MATCH(385,'Transfer Engine'!$C$2:$C$679,0)),"",INDEX('Compliance Database'!$N$2:$N$679,MATCH(385,'Transfer Engine'!$C$2:$C$679,0)))</f>
        <v/>
      </c>
      <c r="O394" s="8">
        <f>IF(ISNA(MATCH(385,'Transfer Engine'!$C$2:$C$679,0)),"",INDEX('Compliance Database'!$O$2:$O$679,MATCH(385,'Transfer Engine'!$C$2:$C$679,0)))</f>
        <v/>
      </c>
      <c r="P394">
        <f>IF(ISNA(MATCH(385,'Transfer Engine'!$C$2:$C$679,0)),"",HYPERLINK(INDEX('Compliance Database'!$P$2:$P$679,MATCH(385,'Transfer Engine'!$C$2:$C$679,0)),"Open PDF"))</f>
        <v/>
      </c>
    </row>
    <row r="395">
      <c r="A395">
        <f>IF(ISNA(MATCH(386,'Transfer Engine'!$C$2:$C$679,0)),"",INDEX('Compliance Database'!$A$2:$A$679,MATCH(386,'Transfer Engine'!$C$2:$C$679,0)))</f>
        <v/>
      </c>
      <c r="B395">
        <f>IF(ISNA(MATCH(386,'Transfer Engine'!$C$2:$C$679,0)),"",INDEX('Compliance Database'!$B$2:$B$679,MATCH(386,'Transfer Engine'!$C$2:$C$679,0)))</f>
        <v/>
      </c>
      <c r="C395">
        <f>IF(ISNA(MATCH(386,'Transfer Engine'!$C$2:$C$679,0)),"",INDEX('Compliance Database'!$C$2:$C$679,MATCH(386,'Transfer Engine'!$C$2:$C$679,0)))</f>
        <v/>
      </c>
      <c r="D395" s="8">
        <f>IF(ISNA(MATCH(386,'Transfer Engine'!$C$2:$C$679,0)),"",INDEX('Compliance Database'!$D$2:$D$679,MATCH(386,'Transfer Engine'!$C$2:$C$679,0)))</f>
        <v/>
      </c>
      <c r="E395">
        <f>IF(ISNA(MATCH(386,'Transfer Engine'!$C$2:$C$679,0)),"",INDEX('Compliance Database'!$E$2:$E$679,MATCH(386,'Transfer Engine'!$C$2:$C$679,0)))</f>
        <v/>
      </c>
      <c r="F395">
        <f>IF(ISNA(MATCH(386,'Transfer Engine'!$C$2:$C$679,0)),"",INDEX('Compliance Database'!$F$2:$F$679,MATCH(386,'Transfer Engine'!$C$2:$C$679,0)))</f>
        <v/>
      </c>
      <c r="G395">
        <f>IF(ISNA(MATCH(386,'Transfer Engine'!$C$2:$C$679,0)),"",INDEX('Compliance Database'!$G$2:$G$679,MATCH(386,'Transfer Engine'!$C$2:$C$679,0)))</f>
        <v/>
      </c>
      <c r="H395">
        <f>IF(ISNA(MATCH(386,'Transfer Engine'!$C$2:$C$679,0)),"",INDEX('Compliance Database'!$H$2:$H$679,MATCH(386,'Transfer Engine'!$C$2:$C$679,0)))</f>
        <v/>
      </c>
      <c r="I395" s="8">
        <f>IF(ISNA(MATCH(386,'Transfer Engine'!$C$2:$C$679,0)),"",INDEX('Compliance Database'!$I$2:$I$679,MATCH(386,'Transfer Engine'!$C$2:$C$679,0)))</f>
        <v/>
      </c>
      <c r="J395" s="8">
        <f>IF(ISNA(MATCH(386,'Transfer Engine'!$C$2:$C$679,0)),"",INDEX('Compliance Database'!$J$2:$J$679,MATCH(386,'Transfer Engine'!$C$2:$C$679,0)))</f>
        <v/>
      </c>
      <c r="K395">
        <f>IF(ISNA(MATCH(386,'Transfer Engine'!$C$2:$C$679,0)),"",INDEX('Compliance Database'!$K$2:$K$679,MATCH(386,'Transfer Engine'!$C$2:$C$679,0)))</f>
        <v/>
      </c>
      <c r="L395" s="8">
        <f>IF(ISNA(MATCH(386,'Transfer Engine'!$C$2:$C$679,0)),"",INDEX('Compliance Database'!$L$2:$L$679,MATCH(386,'Transfer Engine'!$C$2:$C$679,0)))</f>
        <v/>
      </c>
      <c r="M395" s="8">
        <f>IF(ISNA(MATCH(386,'Transfer Engine'!$C$2:$C$679,0)),"",INDEX('Compliance Database'!$M$2:$M$679,MATCH(386,'Transfer Engine'!$C$2:$C$679,0)))</f>
        <v/>
      </c>
      <c r="N395" s="8">
        <f>IF(ISNA(MATCH(386,'Transfer Engine'!$C$2:$C$679,0)),"",INDEX('Compliance Database'!$N$2:$N$679,MATCH(386,'Transfer Engine'!$C$2:$C$679,0)))</f>
        <v/>
      </c>
      <c r="O395" s="8">
        <f>IF(ISNA(MATCH(386,'Transfer Engine'!$C$2:$C$679,0)),"",INDEX('Compliance Database'!$O$2:$O$679,MATCH(386,'Transfer Engine'!$C$2:$C$679,0)))</f>
        <v/>
      </c>
      <c r="P395">
        <f>IF(ISNA(MATCH(386,'Transfer Engine'!$C$2:$C$679,0)),"",HYPERLINK(INDEX('Compliance Database'!$P$2:$P$679,MATCH(386,'Transfer Engine'!$C$2:$C$679,0)),"Open PDF"))</f>
        <v/>
      </c>
    </row>
    <row r="396">
      <c r="A396">
        <f>IF(ISNA(MATCH(387,'Transfer Engine'!$C$2:$C$679,0)),"",INDEX('Compliance Database'!$A$2:$A$679,MATCH(387,'Transfer Engine'!$C$2:$C$679,0)))</f>
        <v/>
      </c>
      <c r="B396">
        <f>IF(ISNA(MATCH(387,'Transfer Engine'!$C$2:$C$679,0)),"",INDEX('Compliance Database'!$B$2:$B$679,MATCH(387,'Transfer Engine'!$C$2:$C$679,0)))</f>
        <v/>
      </c>
      <c r="C396">
        <f>IF(ISNA(MATCH(387,'Transfer Engine'!$C$2:$C$679,0)),"",INDEX('Compliance Database'!$C$2:$C$679,MATCH(387,'Transfer Engine'!$C$2:$C$679,0)))</f>
        <v/>
      </c>
      <c r="D396" s="8">
        <f>IF(ISNA(MATCH(387,'Transfer Engine'!$C$2:$C$679,0)),"",INDEX('Compliance Database'!$D$2:$D$679,MATCH(387,'Transfer Engine'!$C$2:$C$679,0)))</f>
        <v/>
      </c>
      <c r="E396">
        <f>IF(ISNA(MATCH(387,'Transfer Engine'!$C$2:$C$679,0)),"",INDEX('Compliance Database'!$E$2:$E$679,MATCH(387,'Transfer Engine'!$C$2:$C$679,0)))</f>
        <v/>
      </c>
      <c r="F396">
        <f>IF(ISNA(MATCH(387,'Transfer Engine'!$C$2:$C$679,0)),"",INDEX('Compliance Database'!$F$2:$F$679,MATCH(387,'Transfer Engine'!$C$2:$C$679,0)))</f>
        <v/>
      </c>
      <c r="G396">
        <f>IF(ISNA(MATCH(387,'Transfer Engine'!$C$2:$C$679,0)),"",INDEX('Compliance Database'!$G$2:$G$679,MATCH(387,'Transfer Engine'!$C$2:$C$679,0)))</f>
        <v/>
      </c>
      <c r="H396">
        <f>IF(ISNA(MATCH(387,'Transfer Engine'!$C$2:$C$679,0)),"",INDEX('Compliance Database'!$H$2:$H$679,MATCH(387,'Transfer Engine'!$C$2:$C$679,0)))</f>
        <v/>
      </c>
      <c r="I396" s="8">
        <f>IF(ISNA(MATCH(387,'Transfer Engine'!$C$2:$C$679,0)),"",INDEX('Compliance Database'!$I$2:$I$679,MATCH(387,'Transfer Engine'!$C$2:$C$679,0)))</f>
        <v/>
      </c>
      <c r="J396" s="8">
        <f>IF(ISNA(MATCH(387,'Transfer Engine'!$C$2:$C$679,0)),"",INDEX('Compliance Database'!$J$2:$J$679,MATCH(387,'Transfer Engine'!$C$2:$C$679,0)))</f>
        <v/>
      </c>
      <c r="K396">
        <f>IF(ISNA(MATCH(387,'Transfer Engine'!$C$2:$C$679,0)),"",INDEX('Compliance Database'!$K$2:$K$679,MATCH(387,'Transfer Engine'!$C$2:$C$679,0)))</f>
        <v/>
      </c>
      <c r="L396" s="8">
        <f>IF(ISNA(MATCH(387,'Transfer Engine'!$C$2:$C$679,0)),"",INDEX('Compliance Database'!$L$2:$L$679,MATCH(387,'Transfer Engine'!$C$2:$C$679,0)))</f>
        <v/>
      </c>
      <c r="M396" s="8">
        <f>IF(ISNA(MATCH(387,'Transfer Engine'!$C$2:$C$679,0)),"",INDEX('Compliance Database'!$M$2:$M$679,MATCH(387,'Transfer Engine'!$C$2:$C$679,0)))</f>
        <v/>
      </c>
      <c r="N396" s="8">
        <f>IF(ISNA(MATCH(387,'Transfer Engine'!$C$2:$C$679,0)),"",INDEX('Compliance Database'!$N$2:$N$679,MATCH(387,'Transfer Engine'!$C$2:$C$679,0)))</f>
        <v/>
      </c>
      <c r="O396" s="8">
        <f>IF(ISNA(MATCH(387,'Transfer Engine'!$C$2:$C$679,0)),"",INDEX('Compliance Database'!$O$2:$O$679,MATCH(387,'Transfer Engine'!$C$2:$C$679,0)))</f>
        <v/>
      </c>
      <c r="P396">
        <f>IF(ISNA(MATCH(387,'Transfer Engine'!$C$2:$C$679,0)),"",HYPERLINK(INDEX('Compliance Database'!$P$2:$P$679,MATCH(387,'Transfer Engine'!$C$2:$C$679,0)),"Open PDF"))</f>
        <v/>
      </c>
    </row>
    <row r="397">
      <c r="A397">
        <f>IF(ISNA(MATCH(388,'Transfer Engine'!$C$2:$C$679,0)),"",INDEX('Compliance Database'!$A$2:$A$679,MATCH(388,'Transfer Engine'!$C$2:$C$679,0)))</f>
        <v/>
      </c>
      <c r="B397">
        <f>IF(ISNA(MATCH(388,'Transfer Engine'!$C$2:$C$679,0)),"",INDEX('Compliance Database'!$B$2:$B$679,MATCH(388,'Transfer Engine'!$C$2:$C$679,0)))</f>
        <v/>
      </c>
      <c r="C397">
        <f>IF(ISNA(MATCH(388,'Transfer Engine'!$C$2:$C$679,0)),"",INDEX('Compliance Database'!$C$2:$C$679,MATCH(388,'Transfer Engine'!$C$2:$C$679,0)))</f>
        <v/>
      </c>
      <c r="D397" s="8">
        <f>IF(ISNA(MATCH(388,'Transfer Engine'!$C$2:$C$679,0)),"",INDEX('Compliance Database'!$D$2:$D$679,MATCH(388,'Transfer Engine'!$C$2:$C$679,0)))</f>
        <v/>
      </c>
      <c r="E397">
        <f>IF(ISNA(MATCH(388,'Transfer Engine'!$C$2:$C$679,0)),"",INDEX('Compliance Database'!$E$2:$E$679,MATCH(388,'Transfer Engine'!$C$2:$C$679,0)))</f>
        <v/>
      </c>
      <c r="F397">
        <f>IF(ISNA(MATCH(388,'Transfer Engine'!$C$2:$C$679,0)),"",INDEX('Compliance Database'!$F$2:$F$679,MATCH(388,'Transfer Engine'!$C$2:$C$679,0)))</f>
        <v/>
      </c>
      <c r="G397">
        <f>IF(ISNA(MATCH(388,'Transfer Engine'!$C$2:$C$679,0)),"",INDEX('Compliance Database'!$G$2:$G$679,MATCH(388,'Transfer Engine'!$C$2:$C$679,0)))</f>
        <v/>
      </c>
      <c r="H397">
        <f>IF(ISNA(MATCH(388,'Transfer Engine'!$C$2:$C$679,0)),"",INDEX('Compliance Database'!$H$2:$H$679,MATCH(388,'Transfer Engine'!$C$2:$C$679,0)))</f>
        <v/>
      </c>
      <c r="I397" s="8">
        <f>IF(ISNA(MATCH(388,'Transfer Engine'!$C$2:$C$679,0)),"",INDEX('Compliance Database'!$I$2:$I$679,MATCH(388,'Transfer Engine'!$C$2:$C$679,0)))</f>
        <v/>
      </c>
      <c r="J397" s="8">
        <f>IF(ISNA(MATCH(388,'Transfer Engine'!$C$2:$C$679,0)),"",INDEX('Compliance Database'!$J$2:$J$679,MATCH(388,'Transfer Engine'!$C$2:$C$679,0)))</f>
        <v/>
      </c>
      <c r="K397">
        <f>IF(ISNA(MATCH(388,'Transfer Engine'!$C$2:$C$679,0)),"",INDEX('Compliance Database'!$K$2:$K$679,MATCH(388,'Transfer Engine'!$C$2:$C$679,0)))</f>
        <v/>
      </c>
      <c r="L397" s="8">
        <f>IF(ISNA(MATCH(388,'Transfer Engine'!$C$2:$C$679,0)),"",INDEX('Compliance Database'!$L$2:$L$679,MATCH(388,'Transfer Engine'!$C$2:$C$679,0)))</f>
        <v/>
      </c>
      <c r="M397" s="8">
        <f>IF(ISNA(MATCH(388,'Transfer Engine'!$C$2:$C$679,0)),"",INDEX('Compliance Database'!$M$2:$M$679,MATCH(388,'Transfer Engine'!$C$2:$C$679,0)))</f>
        <v/>
      </c>
      <c r="N397" s="8">
        <f>IF(ISNA(MATCH(388,'Transfer Engine'!$C$2:$C$679,0)),"",INDEX('Compliance Database'!$N$2:$N$679,MATCH(388,'Transfer Engine'!$C$2:$C$679,0)))</f>
        <v/>
      </c>
      <c r="O397" s="8">
        <f>IF(ISNA(MATCH(388,'Transfer Engine'!$C$2:$C$679,0)),"",INDEX('Compliance Database'!$O$2:$O$679,MATCH(388,'Transfer Engine'!$C$2:$C$679,0)))</f>
        <v/>
      </c>
      <c r="P397">
        <f>IF(ISNA(MATCH(388,'Transfer Engine'!$C$2:$C$679,0)),"",HYPERLINK(INDEX('Compliance Database'!$P$2:$P$679,MATCH(388,'Transfer Engine'!$C$2:$C$679,0)),"Open PDF"))</f>
        <v/>
      </c>
    </row>
    <row r="398">
      <c r="A398">
        <f>IF(ISNA(MATCH(389,'Transfer Engine'!$C$2:$C$679,0)),"",INDEX('Compliance Database'!$A$2:$A$679,MATCH(389,'Transfer Engine'!$C$2:$C$679,0)))</f>
        <v/>
      </c>
      <c r="B398">
        <f>IF(ISNA(MATCH(389,'Transfer Engine'!$C$2:$C$679,0)),"",INDEX('Compliance Database'!$B$2:$B$679,MATCH(389,'Transfer Engine'!$C$2:$C$679,0)))</f>
        <v/>
      </c>
      <c r="C398">
        <f>IF(ISNA(MATCH(389,'Transfer Engine'!$C$2:$C$679,0)),"",INDEX('Compliance Database'!$C$2:$C$679,MATCH(389,'Transfer Engine'!$C$2:$C$679,0)))</f>
        <v/>
      </c>
      <c r="D398" s="8">
        <f>IF(ISNA(MATCH(389,'Transfer Engine'!$C$2:$C$679,0)),"",INDEX('Compliance Database'!$D$2:$D$679,MATCH(389,'Transfer Engine'!$C$2:$C$679,0)))</f>
        <v/>
      </c>
      <c r="E398">
        <f>IF(ISNA(MATCH(389,'Transfer Engine'!$C$2:$C$679,0)),"",INDEX('Compliance Database'!$E$2:$E$679,MATCH(389,'Transfer Engine'!$C$2:$C$679,0)))</f>
        <v/>
      </c>
      <c r="F398">
        <f>IF(ISNA(MATCH(389,'Transfer Engine'!$C$2:$C$679,0)),"",INDEX('Compliance Database'!$F$2:$F$679,MATCH(389,'Transfer Engine'!$C$2:$C$679,0)))</f>
        <v/>
      </c>
      <c r="G398">
        <f>IF(ISNA(MATCH(389,'Transfer Engine'!$C$2:$C$679,0)),"",INDEX('Compliance Database'!$G$2:$G$679,MATCH(389,'Transfer Engine'!$C$2:$C$679,0)))</f>
        <v/>
      </c>
      <c r="H398">
        <f>IF(ISNA(MATCH(389,'Transfer Engine'!$C$2:$C$679,0)),"",INDEX('Compliance Database'!$H$2:$H$679,MATCH(389,'Transfer Engine'!$C$2:$C$679,0)))</f>
        <v/>
      </c>
      <c r="I398" s="8">
        <f>IF(ISNA(MATCH(389,'Transfer Engine'!$C$2:$C$679,0)),"",INDEX('Compliance Database'!$I$2:$I$679,MATCH(389,'Transfer Engine'!$C$2:$C$679,0)))</f>
        <v/>
      </c>
      <c r="J398" s="8">
        <f>IF(ISNA(MATCH(389,'Transfer Engine'!$C$2:$C$679,0)),"",INDEX('Compliance Database'!$J$2:$J$679,MATCH(389,'Transfer Engine'!$C$2:$C$679,0)))</f>
        <v/>
      </c>
      <c r="K398">
        <f>IF(ISNA(MATCH(389,'Transfer Engine'!$C$2:$C$679,0)),"",INDEX('Compliance Database'!$K$2:$K$679,MATCH(389,'Transfer Engine'!$C$2:$C$679,0)))</f>
        <v/>
      </c>
      <c r="L398" s="8">
        <f>IF(ISNA(MATCH(389,'Transfer Engine'!$C$2:$C$679,0)),"",INDEX('Compliance Database'!$L$2:$L$679,MATCH(389,'Transfer Engine'!$C$2:$C$679,0)))</f>
        <v/>
      </c>
      <c r="M398" s="8">
        <f>IF(ISNA(MATCH(389,'Transfer Engine'!$C$2:$C$679,0)),"",INDEX('Compliance Database'!$M$2:$M$679,MATCH(389,'Transfer Engine'!$C$2:$C$679,0)))</f>
        <v/>
      </c>
      <c r="N398" s="8">
        <f>IF(ISNA(MATCH(389,'Transfer Engine'!$C$2:$C$679,0)),"",INDEX('Compliance Database'!$N$2:$N$679,MATCH(389,'Transfer Engine'!$C$2:$C$679,0)))</f>
        <v/>
      </c>
      <c r="O398" s="8">
        <f>IF(ISNA(MATCH(389,'Transfer Engine'!$C$2:$C$679,0)),"",INDEX('Compliance Database'!$O$2:$O$679,MATCH(389,'Transfer Engine'!$C$2:$C$679,0)))</f>
        <v/>
      </c>
      <c r="P398">
        <f>IF(ISNA(MATCH(389,'Transfer Engine'!$C$2:$C$679,0)),"",HYPERLINK(INDEX('Compliance Database'!$P$2:$P$679,MATCH(389,'Transfer Engine'!$C$2:$C$679,0)),"Open PDF"))</f>
        <v/>
      </c>
    </row>
    <row r="399">
      <c r="A399">
        <f>IF(ISNA(MATCH(390,'Transfer Engine'!$C$2:$C$679,0)),"",INDEX('Compliance Database'!$A$2:$A$679,MATCH(390,'Transfer Engine'!$C$2:$C$679,0)))</f>
        <v/>
      </c>
      <c r="B399">
        <f>IF(ISNA(MATCH(390,'Transfer Engine'!$C$2:$C$679,0)),"",INDEX('Compliance Database'!$B$2:$B$679,MATCH(390,'Transfer Engine'!$C$2:$C$679,0)))</f>
        <v/>
      </c>
      <c r="C399">
        <f>IF(ISNA(MATCH(390,'Transfer Engine'!$C$2:$C$679,0)),"",INDEX('Compliance Database'!$C$2:$C$679,MATCH(390,'Transfer Engine'!$C$2:$C$679,0)))</f>
        <v/>
      </c>
      <c r="D399" s="8">
        <f>IF(ISNA(MATCH(390,'Transfer Engine'!$C$2:$C$679,0)),"",INDEX('Compliance Database'!$D$2:$D$679,MATCH(390,'Transfer Engine'!$C$2:$C$679,0)))</f>
        <v/>
      </c>
      <c r="E399">
        <f>IF(ISNA(MATCH(390,'Transfer Engine'!$C$2:$C$679,0)),"",INDEX('Compliance Database'!$E$2:$E$679,MATCH(390,'Transfer Engine'!$C$2:$C$679,0)))</f>
        <v/>
      </c>
      <c r="F399">
        <f>IF(ISNA(MATCH(390,'Transfer Engine'!$C$2:$C$679,0)),"",INDEX('Compliance Database'!$F$2:$F$679,MATCH(390,'Transfer Engine'!$C$2:$C$679,0)))</f>
        <v/>
      </c>
      <c r="G399">
        <f>IF(ISNA(MATCH(390,'Transfer Engine'!$C$2:$C$679,0)),"",INDEX('Compliance Database'!$G$2:$G$679,MATCH(390,'Transfer Engine'!$C$2:$C$679,0)))</f>
        <v/>
      </c>
      <c r="H399">
        <f>IF(ISNA(MATCH(390,'Transfer Engine'!$C$2:$C$679,0)),"",INDEX('Compliance Database'!$H$2:$H$679,MATCH(390,'Transfer Engine'!$C$2:$C$679,0)))</f>
        <v/>
      </c>
      <c r="I399" s="8">
        <f>IF(ISNA(MATCH(390,'Transfer Engine'!$C$2:$C$679,0)),"",INDEX('Compliance Database'!$I$2:$I$679,MATCH(390,'Transfer Engine'!$C$2:$C$679,0)))</f>
        <v/>
      </c>
      <c r="J399" s="8">
        <f>IF(ISNA(MATCH(390,'Transfer Engine'!$C$2:$C$679,0)),"",INDEX('Compliance Database'!$J$2:$J$679,MATCH(390,'Transfer Engine'!$C$2:$C$679,0)))</f>
        <v/>
      </c>
      <c r="K399">
        <f>IF(ISNA(MATCH(390,'Transfer Engine'!$C$2:$C$679,0)),"",INDEX('Compliance Database'!$K$2:$K$679,MATCH(390,'Transfer Engine'!$C$2:$C$679,0)))</f>
        <v/>
      </c>
      <c r="L399" s="8">
        <f>IF(ISNA(MATCH(390,'Transfer Engine'!$C$2:$C$679,0)),"",INDEX('Compliance Database'!$L$2:$L$679,MATCH(390,'Transfer Engine'!$C$2:$C$679,0)))</f>
        <v/>
      </c>
      <c r="M399" s="8">
        <f>IF(ISNA(MATCH(390,'Transfer Engine'!$C$2:$C$679,0)),"",INDEX('Compliance Database'!$M$2:$M$679,MATCH(390,'Transfer Engine'!$C$2:$C$679,0)))</f>
        <v/>
      </c>
      <c r="N399" s="8">
        <f>IF(ISNA(MATCH(390,'Transfer Engine'!$C$2:$C$679,0)),"",INDEX('Compliance Database'!$N$2:$N$679,MATCH(390,'Transfer Engine'!$C$2:$C$679,0)))</f>
        <v/>
      </c>
      <c r="O399" s="8">
        <f>IF(ISNA(MATCH(390,'Transfer Engine'!$C$2:$C$679,0)),"",INDEX('Compliance Database'!$O$2:$O$679,MATCH(390,'Transfer Engine'!$C$2:$C$679,0)))</f>
        <v/>
      </c>
      <c r="P399">
        <f>IF(ISNA(MATCH(390,'Transfer Engine'!$C$2:$C$679,0)),"",HYPERLINK(INDEX('Compliance Database'!$P$2:$P$679,MATCH(390,'Transfer Engine'!$C$2:$C$679,0)),"Open PDF"))</f>
        <v/>
      </c>
    </row>
    <row r="400">
      <c r="A400">
        <f>IF(ISNA(MATCH(391,'Transfer Engine'!$C$2:$C$679,0)),"",INDEX('Compliance Database'!$A$2:$A$679,MATCH(391,'Transfer Engine'!$C$2:$C$679,0)))</f>
        <v/>
      </c>
      <c r="B400">
        <f>IF(ISNA(MATCH(391,'Transfer Engine'!$C$2:$C$679,0)),"",INDEX('Compliance Database'!$B$2:$B$679,MATCH(391,'Transfer Engine'!$C$2:$C$679,0)))</f>
        <v/>
      </c>
      <c r="C400">
        <f>IF(ISNA(MATCH(391,'Transfer Engine'!$C$2:$C$679,0)),"",INDEX('Compliance Database'!$C$2:$C$679,MATCH(391,'Transfer Engine'!$C$2:$C$679,0)))</f>
        <v/>
      </c>
      <c r="D400" s="8">
        <f>IF(ISNA(MATCH(391,'Transfer Engine'!$C$2:$C$679,0)),"",INDEX('Compliance Database'!$D$2:$D$679,MATCH(391,'Transfer Engine'!$C$2:$C$679,0)))</f>
        <v/>
      </c>
      <c r="E400">
        <f>IF(ISNA(MATCH(391,'Transfer Engine'!$C$2:$C$679,0)),"",INDEX('Compliance Database'!$E$2:$E$679,MATCH(391,'Transfer Engine'!$C$2:$C$679,0)))</f>
        <v/>
      </c>
      <c r="F400">
        <f>IF(ISNA(MATCH(391,'Transfer Engine'!$C$2:$C$679,0)),"",INDEX('Compliance Database'!$F$2:$F$679,MATCH(391,'Transfer Engine'!$C$2:$C$679,0)))</f>
        <v/>
      </c>
      <c r="G400">
        <f>IF(ISNA(MATCH(391,'Transfer Engine'!$C$2:$C$679,0)),"",INDEX('Compliance Database'!$G$2:$G$679,MATCH(391,'Transfer Engine'!$C$2:$C$679,0)))</f>
        <v/>
      </c>
      <c r="H400">
        <f>IF(ISNA(MATCH(391,'Transfer Engine'!$C$2:$C$679,0)),"",INDEX('Compliance Database'!$H$2:$H$679,MATCH(391,'Transfer Engine'!$C$2:$C$679,0)))</f>
        <v/>
      </c>
      <c r="I400" s="8">
        <f>IF(ISNA(MATCH(391,'Transfer Engine'!$C$2:$C$679,0)),"",INDEX('Compliance Database'!$I$2:$I$679,MATCH(391,'Transfer Engine'!$C$2:$C$679,0)))</f>
        <v/>
      </c>
      <c r="J400" s="8">
        <f>IF(ISNA(MATCH(391,'Transfer Engine'!$C$2:$C$679,0)),"",INDEX('Compliance Database'!$J$2:$J$679,MATCH(391,'Transfer Engine'!$C$2:$C$679,0)))</f>
        <v/>
      </c>
      <c r="K400">
        <f>IF(ISNA(MATCH(391,'Transfer Engine'!$C$2:$C$679,0)),"",INDEX('Compliance Database'!$K$2:$K$679,MATCH(391,'Transfer Engine'!$C$2:$C$679,0)))</f>
        <v/>
      </c>
      <c r="L400" s="8">
        <f>IF(ISNA(MATCH(391,'Transfer Engine'!$C$2:$C$679,0)),"",INDEX('Compliance Database'!$L$2:$L$679,MATCH(391,'Transfer Engine'!$C$2:$C$679,0)))</f>
        <v/>
      </c>
      <c r="M400" s="8">
        <f>IF(ISNA(MATCH(391,'Transfer Engine'!$C$2:$C$679,0)),"",INDEX('Compliance Database'!$M$2:$M$679,MATCH(391,'Transfer Engine'!$C$2:$C$679,0)))</f>
        <v/>
      </c>
      <c r="N400" s="8">
        <f>IF(ISNA(MATCH(391,'Transfer Engine'!$C$2:$C$679,0)),"",INDEX('Compliance Database'!$N$2:$N$679,MATCH(391,'Transfer Engine'!$C$2:$C$679,0)))</f>
        <v/>
      </c>
      <c r="O400" s="8">
        <f>IF(ISNA(MATCH(391,'Transfer Engine'!$C$2:$C$679,0)),"",INDEX('Compliance Database'!$O$2:$O$679,MATCH(391,'Transfer Engine'!$C$2:$C$679,0)))</f>
        <v/>
      </c>
      <c r="P400">
        <f>IF(ISNA(MATCH(391,'Transfer Engine'!$C$2:$C$679,0)),"",HYPERLINK(INDEX('Compliance Database'!$P$2:$P$679,MATCH(391,'Transfer Engine'!$C$2:$C$679,0)),"Open PDF"))</f>
        <v/>
      </c>
    </row>
    <row r="401">
      <c r="A401">
        <f>IF(ISNA(MATCH(392,'Transfer Engine'!$C$2:$C$679,0)),"",INDEX('Compliance Database'!$A$2:$A$679,MATCH(392,'Transfer Engine'!$C$2:$C$679,0)))</f>
        <v/>
      </c>
      <c r="B401">
        <f>IF(ISNA(MATCH(392,'Transfer Engine'!$C$2:$C$679,0)),"",INDEX('Compliance Database'!$B$2:$B$679,MATCH(392,'Transfer Engine'!$C$2:$C$679,0)))</f>
        <v/>
      </c>
      <c r="C401">
        <f>IF(ISNA(MATCH(392,'Transfer Engine'!$C$2:$C$679,0)),"",INDEX('Compliance Database'!$C$2:$C$679,MATCH(392,'Transfer Engine'!$C$2:$C$679,0)))</f>
        <v/>
      </c>
      <c r="D401" s="8">
        <f>IF(ISNA(MATCH(392,'Transfer Engine'!$C$2:$C$679,0)),"",INDEX('Compliance Database'!$D$2:$D$679,MATCH(392,'Transfer Engine'!$C$2:$C$679,0)))</f>
        <v/>
      </c>
      <c r="E401">
        <f>IF(ISNA(MATCH(392,'Transfer Engine'!$C$2:$C$679,0)),"",INDEX('Compliance Database'!$E$2:$E$679,MATCH(392,'Transfer Engine'!$C$2:$C$679,0)))</f>
        <v/>
      </c>
      <c r="F401">
        <f>IF(ISNA(MATCH(392,'Transfer Engine'!$C$2:$C$679,0)),"",INDEX('Compliance Database'!$F$2:$F$679,MATCH(392,'Transfer Engine'!$C$2:$C$679,0)))</f>
        <v/>
      </c>
      <c r="G401">
        <f>IF(ISNA(MATCH(392,'Transfer Engine'!$C$2:$C$679,0)),"",INDEX('Compliance Database'!$G$2:$G$679,MATCH(392,'Transfer Engine'!$C$2:$C$679,0)))</f>
        <v/>
      </c>
      <c r="H401">
        <f>IF(ISNA(MATCH(392,'Transfer Engine'!$C$2:$C$679,0)),"",INDEX('Compliance Database'!$H$2:$H$679,MATCH(392,'Transfer Engine'!$C$2:$C$679,0)))</f>
        <v/>
      </c>
      <c r="I401" s="8">
        <f>IF(ISNA(MATCH(392,'Transfer Engine'!$C$2:$C$679,0)),"",INDEX('Compliance Database'!$I$2:$I$679,MATCH(392,'Transfer Engine'!$C$2:$C$679,0)))</f>
        <v/>
      </c>
      <c r="J401" s="8">
        <f>IF(ISNA(MATCH(392,'Transfer Engine'!$C$2:$C$679,0)),"",INDEX('Compliance Database'!$J$2:$J$679,MATCH(392,'Transfer Engine'!$C$2:$C$679,0)))</f>
        <v/>
      </c>
      <c r="K401">
        <f>IF(ISNA(MATCH(392,'Transfer Engine'!$C$2:$C$679,0)),"",INDEX('Compliance Database'!$K$2:$K$679,MATCH(392,'Transfer Engine'!$C$2:$C$679,0)))</f>
        <v/>
      </c>
      <c r="L401" s="8">
        <f>IF(ISNA(MATCH(392,'Transfer Engine'!$C$2:$C$679,0)),"",INDEX('Compliance Database'!$L$2:$L$679,MATCH(392,'Transfer Engine'!$C$2:$C$679,0)))</f>
        <v/>
      </c>
      <c r="M401" s="8">
        <f>IF(ISNA(MATCH(392,'Transfer Engine'!$C$2:$C$679,0)),"",INDEX('Compliance Database'!$M$2:$M$679,MATCH(392,'Transfer Engine'!$C$2:$C$679,0)))</f>
        <v/>
      </c>
      <c r="N401" s="8">
        <f>IF(ISNA(MATCH(392,'Transfer Engine'!$C$2:$C$679,0)),"",INDEX('Compliance Database'!$N$2:$N$679,MATCH(392,'Transfer Engine'!$C$2:$C$679,0)))</f>
        <v/>
      </c>
      <c r="O401" s="8">
        <f>IF(ISNA(MATCH(392,'Transfer Engine'!$C$2:$C$679,0)),"",INDEX('Compliance Database'!$O$2:$O$679,MATCH(392,'Transfer Engine'!$C$2:$C$679,0)))</f>
        <v/>
      </c>
      <c r="P401">
        <f>IF(ISNA(MATCH(392,'Transfer Engine'!$C$2:$C$679,0)),"",HYPERLINK(INDEX('Compliance Database'!$P$2:$P$679,MATCH(392,'Transfer Engine'!$C$2:$C$679,0)),"Open PDF"))</f>
        <v/>
      </c>
    </row>
    <row r="402">
      <c r="A402">
        <f>IF(ISNA(MATCH(393,'Transfer Engine'!$C$2:$C$679,0)),"",INDEX('Compliance Database'!$A$2:$A$679,MATCH(393,'Transfer Engine'!$C$2:$C$679,0)))</f>
        <v/>
      </c>
      <c r="B402">
        <f>IF(ISNA(MATCH(393,'Transfer Engine'!$C$2:$C$679,0)),"",INDEX('Compliance Database'!$B$2:$B$679,MATCH(393,'Transfer Engine'!$C$2:$C$679,0)))</f>
        <v/>
      </c>
      <c r="C402">
        <f>IF(ISNA(MATCH(393,'Transfer Engine'!$C$2:$C$679,0)),"",INDEX('Compliance Database'!$C$2:$C$679,MATCH(393,'Transfer Engine'!$C$2:$C$679,0)))</f>
        <v/>
      </c>
      <c r="D402" s="8">
        <f>IF(ISNA(MATCH(393,'Transfer Engine'!$C$2:$C$679,0)),"",INDEX('Compliance Database'!$D$2:$D$679,MATCH(393,'Transfer Engine'!$C$2:$C$679,0)))</f>
        <v/>
      </c>
      <c r="E402">
        <f>IF(ISNA(MATCH(393,'Transfer Engine'!$C$2:$C$679,0)),"",INDEX('Compliance Database'!$E$2:$E$679,MATCH(393,'Transfer Engine'!$C$2:$C$679,0)))</f>
        <v/>
      </c>
      <c r="F402">
        <f>IF(ISNA(MATCH(393,'Transfer Engine'!$C$2:$C$679,0)),"",INDEX('Compliance Database'!$F$2:$F$679,MATCH(393,'Transfer Engine'!$C$2:$C$679,0)))</f>
        <v/>
      </c>
      <c r="G402">
        <f>IF(ISNA(MATCH(393,'Transfer Engine'!$C$2:$C$679,0)),"",INDEX('Compliance Database'!$G$2:$G$679,MATCH(393,'Transfer Engine'!$C$2:$C$679,0)))</f>
        <v/>
      </c>
      <c r="H402">
        <f>IF(ISNA(MATCH(393,'Transfer Engine'!$C$2:$C$679,0)),"",INDEX('Compliance Database'!$H$2:$H$679,MATCH(393,'Transfer Engine'!$C$2:$C$679,0)))</f>
        <v/>
      </c>
      <c r="I402" s="8">
        <f>IF(ISNA(MATCH(393,'Transfer Engine'!$C$2:$C$679,0)),"",INDEX('Compliance Database'!$I$2:$I$679,MATCH(393,'Transfer Engine'!$C$2:$C$679,0)))</f>
        <v/>
      </c>
      <c r="J402" s="8">
        <f>IF(ISNA(MATCH(393,'Transfer Engine'!$C$2:$C$679,0)),"",INDEX('Compliance Database'!$J$2:$J$679,MATCH(393,'Transfer Engine'!$C$2:$C$679,0)))</f>
        <v/>
      </c>
      <c r="K402">
        <f>IF(ISNA(MATCH(393,'Transfer Engine'!$C$2:$C$679,0)),"",INDEX('Compliance Database'!$K$2:$K$679,MATCH(393,'Transfer Engine'!$C$2:$C$679,0)))</f>
        <v/>
      </c>
      <c r="L402" s="8">
        <f>IF(ISNA(MATCH(393,'Transfer Engine'!$C$2:$C$679,0)),"",INDEX('Compliance Database'!$L$2:$L$679,MATCH(393,'Transfer Engine'!$C$2:$C$679,0)))</f>
        <v/>
      </c>
      <c r="M402" s="8">
        <f>IF(ISNA(MATCH(393,'Transfer Engine'!$C$2:$C$679,0)),"",INDEX('Compliance Database'!$M$2:$M$679,MATCH(393,'Transfer Engine'!$C$2:$C$679,0)))</f>
        <v/>
      </c>
      <c r="N402" s="8">
        <f>IF(ISNA(MATCH(393,'Transfer Engine'!$C$2:$C$679,0)),"",INDEX('Compliance Database'!$N$2:$N$679,MATCH(393,'Transfer Engine'!$C$2:$C$679,0)))</f>
        <v/>
      </c>
      <c r="O402" s="8">
        <f>IF(ISNA(MATCH(393,'Transfer Engine'!$C$2:$C$679,0)),"",INDEX('Compliance Database'!$O$2:$O$679,MATCH(393,'Transfer Engine'!$C$2:$C$679,0)))</f>
        <v/>
      </c>
      <c r="P402">
        <f>IF(ISNA(MATCH(393,'Transfer Engine'!$C$2:$C$679,0)),"",HYPERLINK(INDEX('Compliance Database'!$P$2:$P$679,MATCH(393,'Transfer Engine'!$C$2:$C$679,0)),"Open PDF"))</f>
        <v/>
      </c>
    </row>
    <row r="403">
      <c r="A403">
        <f>IF(ISNA(MATCH(394,'Transfer Engine'!$C$2:$C$679,0)),"",INDEX('Compliance Database'!$A$2:$A$679,MATCH(394,'Transfer Engine'!$C$2:$C$679,0)))</f>
        <v/>
      </c>
      <c r="B403">
        <f>IF(ISNA(MATCH(394,'Transfer Engine'!$C$2:$C$679,0)),"",INDEX('Compliance Database'!$B$2:$B$679,MATCH(394,'Transfer Engine'!$C$2:$C$679,0)))</f>
        <v/>
      </c>
      <c r="C403">
        <f>IF(ISNA(MATCH(394,'Transfer Engine'!$C$2:$C$679,0)),"",INDEX('Compliance Database'!$C$2:$C$679,MATCH(394,'Transfer Engine'!$C$2:$C$679,0)))</f>
        <v/>
      </c>
      <c r="D403" s="8">
        <f>IF(ISNA(MATCH(394,'Transfer Engine'!$C$2:$C$679,0)),"",INDEX('Compliance Database'!$D$2:$D$679,MATCH(394,'Transfer Engine'!$C$2:$C$679,0)))</f>
        <v/>
      </c>
      <c r="E403">
        <f>IF(ISNA(MATCH(394,'Transfer Engine'!$C$2:$C$679,0)),"",INDEX('Compliance Database'!$E$2:$E$679,MATCH(394,'Transfer Engine'!$C$2:$C$679,0)))</f>
        <v/>
      </c>
      <c r="F403">
        <f>IF(ISNA(MATCH(394,'Transfer Engine'!$C$2:$C$679,0)),"",INDEX('Compliance Database'!$F$2:$F$679,MATCH(394,'Transfer Engine'!$C$2:$C$679,0)))</f>
        <v/>
      </c>
      <c r="G403">
        <f>IF(ISNA(MATCH(394,'Transfer Engine'!$C$2:$C$679,0)),"",INDEX('Compliance Database'!$G$2:$G$679,MATCH(394,'Transfer Engine'!$C$2:$C$679,0)))</f>
        <v/>
      </c>
      <c r="H403">
        <f>IF(ISNA(MATCH(394,'Transfer Engine'!$C$2:$C$679,0)),"",INDEX('Compliance Database'!$H$2:$H$679,MATCH(394,'Transfer Engine'!$C$2:$C$679,0)))</f>
        <v/>
      </c>
      <c r="I403" s="8">
        <f>IF(ISNA(MATCH(394,'Transfer Engine'!$C$2:$C$679,0)),"",INDEX('Compliance Database'!$I$2:$I$679,MATCH(394,'Transfer Engine'!$C$2:$C$679,0)))</f>
        <v/>
      </c>
      <c r="J403" s="8">
        <f>IF(ISNA(MATCH(394,'Transfer Engine'!$C$2:$C$679,0)),"",INDEX('Compliance Database'!$J$2:$J$679,MATCH(394,'Transfer Engine'!$C$2:$C$679,0)))</f>
        <v/>
      </c>
      <c r="K403">
        <f>IF(ISNA(MATCH(394,'Transfer Engine'!$C$2:$C$679,0)),"",INDEX('Compliance Database'!$K$2:$K$679,MATCH(394,'Transfer Engine'!$C$2:$C$679,0)))</f>
        <v/>
      </c>
      <c r="L403" s="8">
        <f>IF(ISNA(MATCH(394,'Transfer Engine'!$C$2:$C$679,0)),"",INDEX('Compliance Database'!$L$2:$L$679,MATCH(394,'Transfer Engine'!$C$2:$C$679,0)))</f>
        <v/>
      </c>
      <c r="M403" s="8">
        <f>IF(ISNA(MATCH(394,'Transfer Engine'!$C$2:$C$679,0)),"",INDEX('Compliance Database'!$M$2:$M$679,MATCH(394,'Transfer Engine'!$C$2:$C$679,0)))</f>
        <v/>
      </c>
      <c r="N403" s="8">
        <f>IF(ISNA(MATCH(394,'Transfer Engine'!$C$2:$C$679,0)),"",INDEX('Compliance Database'!$N$2:$N$679,MATCH(394,'Transfer Engine'!$C$2:$C$679,0)))</f>
        <v/>
      </c>
      <c r="O403" s="8">
        <f>IF(ISNA(MATCH(394,'Transfer Engine'!$C$2:$C$679,0)),"",INDEX('Compliance Database'!$O$2:$O$679,MATCH(394,'Transfer Engine'!$C$2:$C$679,0)))</f>
        <v/>
      </c>
      <c r="P403">
        <f>IF(ISNA(MATCH(394,'Transfer Engine'!$C$2:$C$679,0)),"",HYPERLINK(INDEX('Compliance Database'!$P$2:$P$679,MATCH(394,'Transfer Engine'!$C$2:$C$679,0)),"Open PDF"))</f>
        <v/>
      </c>
    </row>
    <row r="404">
      <c r="A404">
        <f>IF(ISNA(MATCH(395,'Transfer Engine'!$C$2:$C$679,0)),"",INDEX('Compliance Database'!$A$2:$A$679,MATCH(395,'Transfer Engine'!$C$2:$C$679,0)))</f>
        <v/>
      </c>
      <c r="B404">
        <f>IF(ISNA(MATCH(395,'Transfer Engine'!$C$2:$C$679,0)),"",INDEX('Compliance Database'!$B$2:$B$679,MATCH(395,'Transfer Engine'!$C$2:$C$679,0)))</f>
        <v/>
      </c>
      <c r="C404">
        <f>IF(ISNA(MATCH(395,'Transfer Engine'!$C$2:$C$679,0)),"",INDEX('Compliance Database'!$C$2:$C$679,MATCH(395,'Transfer Engine'!$C$2:$C$679,0)))</f>
        <v/>
      </c>
      <c r="D404" s="8">
        <f>IF(ISNA(MATCH(395,'Transfer Engine'!$C$2:$C$679,0)),"",INDEX('Compliance Database'!$D$2:$D$679,MATCH(395,'Transfer Engine'!$C$2:$C$679,0)))</f>
        <v/>
      </c>
      <c r="E404">
        <f>IF(ISNA(MATCH(395,'Transfer Engine'!$C$2:$C$679,0)),"",INDEX('Compliance Database'!$E$2:$E$679,MATCH(395,'Transfer Engine'!$C$2:$C$679,0)))</f>
        <v/>
      </c>
      <c r="F404">
        <f>IF(ISNA(MATCH(395,'Transfer Engine'!$C$2:$C$679,0)),"",INDEX('Compliance Database'!$F$2:$F$679,MATCH(395,'Transfer Engine'!$C$2:$C$679,0)))</f>
        <v/>
      </c>
      <c r="G404">
        <f>IF(ISNA(MATCH(395,'Transfer Engine'!$C$2:$C$679,0)),"",INDEX('Compliance Database'!$G$2:$G$679,MATCH(395,'Transfer Engine'!$C$2:$C$679,0)))</f>
        <v/>
      </c>
      <c r="H404">
        <f>IF(ISNA(MATCH(395,'Transfer Engine'!$C$2:$C$679,0)),"",INDEX('Compliance Database'!$H$2:$H$679,MATCH(395,'Transfer Engine'!$C$2:$C$679,0)))</f>
        <v/>
      </c>
      <c r="I404" s="8">
        <f>IF(ISNA(MATCH(395,'Transfer Engine'!$C$2:$C$679,0)),"",INDEX('Compliance Database'!$I$2:$I$679,MATCH(395,'Transfer Engine'!$C$2:$C$679,0)))</f>
        <v/>
      </c>
      <c r="J404" s="8">
        <f>IF(ISNA(MATCH(395,'Transfer Engine'!$C$2:$C$679,0)),"",INDEX('Compliance Database'!$J$2:$J$679,MATCH(395,'Transfer Engine'!$C$2:$C$679,0)))</f>
        <v/>
      </c>
      <c r="K404">
        <f>IF(ISNA(MATCH(395,'Transfer Engine'!$C$2:$C$679,0)),"",INDEX('Compliance Database'!$K$2:$K$679,MATCH(395,'Transfer Engine'!$C$2:$C$679,0)))</f>
        <v/>
      </c>
      <c r="L404" s="8">
        <f>IF(ISNA(MATCH(395,'Transfer Engine'!$C$2:$C$679,0)),"",INDEX('Compliance Database'!$L$2:$L$679,MATCH(395,'Transfer Engine'!$C$2:$C$679,0)))</f>
        <v/>
      </c>
      <c r="M404" s="8">
        <f>IF(ISNA(MATCH(395,'Transfer Engine'!$C$2:$C$679,0)),"",INDEX('Compliance Database'!$M$2:$M$679,MATCH(395,'Transfer Engine'!$C$2:$C$679,0)))</f>
        <v/>
      </c>
      <c r="N404" s="8">
        <f>IF(ISNA(MATCH(395,'Transfer Engine'!$C$2:$C$679,0)),"",INDEX('Compliance Database'!$N$2:$N$679,MATCH(395,'Transfer Engine'!$C$2:$C$679,0)))</f>
        <v/>
      </c>
      <c r="O404" s="8">
        <f>IF(ISNA(MATCH(395,'Transfer Engine'!$C$2:$C$679,0)),"",INDEX('Compliance Database'!$O$2:$O$679,MATCH(395,'Transfer Engine'!$C$2:$C$679,0)))</f>
        <v/>
      </c>
      <c r="P404">
        <f>IF(ISNA(MATCH(395,'Transfer Engine'!$C$2:$C$679,0)),"",HYPERLINK(INDEX('Compliance Database'!$P$2:$P$679,MATCH(395,'Transfer Engine'!$C$2:$C$679,0)),"Open PDF"))</f>
        <v/>
      </c>
    </row>
    <row r="405">
      <c r="A405">
        <f>IF(ISNA(MATCH(396,'Transfer Engine'!$C$2:$C$679,0)),"",INDEX('Compliance Database'!$A$2:$A$679,MATCH(396,'Transfer Engine'!$C$2:$C$679,0)))</f>
        <v/>
      </c>
      <c r="B405">
        <f>IF(ISNA(MATCH(396,'Transfer Engine'!$C$2:$C$679,0)),"",INDEX('Compliance Database'!$B$2:$B$679,MATCH(396,'Transfer Engine'!$C$2:$C$679,0)))</f>
        <v/>
      </c>
      <c r="C405">
        <f>IF(ISNA(MATCH(396,'Transfer Engine'!$C$2:$C$679,0)),"",INDEX('Compliance Database'!$C$2:$C$679,MATCH(396,'Transfer Engine'!$C$2:$C$679,0)))</f>
        <v/>
      </c>
      <c r="D405" s="8">
        <f>IF(ISNA(MATCH(396,'Transfer Engine'!$C$2:$C$679,0)),"",INDEX('Compliance Database'!$D$2:$D$679,MATCH(396,'Transfer Engine'!$C$2:$C$679,0)))</f>
        <v/>
      </c>
      <c r="E405">
        <f>IF(ISNA(MATCH(396,'Transfer Engine'!$C$2:$C$679,0)),"",INDEX('Compliance Database'!$E$2:$E$679,MATCH(396,'Transfer Engine'!$C$2:$C$679,0)))</f>
        <v/>
      </c>
      <c r="F405">
        <f>IF(ISNA(MATCH(396,'Transfer Engine'!$C$2:$C$679,0)),"",INDEX('Compliance Database'!$F$2:$F$679,MATCH(396,'Transfer Engine'!$C$2:$C$679,0)))</f>
        <v/>
      </c>
      <c r="G405">
        <f>IF(ISNA(MATCH(396,'Transfer Engine'!$C$2:$C$679,0)),"",INDEX('Compliance Database'!$G$2:$G$679,MATCH(396,'Transfer Engine'!$C$2:$C$679,0)))</f>
        <v/>
      </c>
      <c r="H405">
        <f>IF(ISNA(MATCH(396,'Transfer Engine'!$C$2:$C$679,0)),"",INDEX('Compliance Database'!$H$2:$H$679,MATCH(396,'Transfer Engine'!$C$2:$C$679,0)))</f>
        <v/>
      </c>
      <c r="I405" s="8">
        <f>IF(ISNA(MATCH(396,'Transfer Engine'!$C$2:$C$679,0)),"",INDEX('Compliance Database'!$I$2:$I$679,MATCH(396,'Transfer Engine'!$C$2:$C$679,0)))</f>
        <v/>
      </c>
      <c r="J405" s="8">
        <f>IF(ISNA(MATCH(396,'Transfer Engine'!$C$2:$C$679,0)),"",INDEX('Compliance Database'!$J$2:$J$679,MATCH(396,'Transfer Engine'!$C$2:$C$679,0)))</f>
        <v/>
      </c>
      <c r="K405">
        <f>IF(ISNA(MATCH(396,'Transfer Engine'!$C$2:$C$679,0)),"",INDEX('Compliance Database'!$K$2:$K$679,MATCH(396,'Transfer Engine'!$C$2:$C$679,0)))</f>
        <v/>
      </c>
      <c r="L405" s="8">
        <f>IF(ISNA(MATCH(396,'Transfer Engine'!$C$2:$C$679,0)),"",INDEX('Compliance Database'!$L$2:$L$679,MATCH(396,'Transfer Engine'!$C$2:$C$679,0)))</f>
        <v/>
      </c>
      <c r="M405" s="8">
        <f>IF(ISNA(MATCH(396,'Transfer Engine'!$C$2:$C$679,0)),"",INDEX('Compliance Database'!$M$2:$M$679,MATCH(396,'Transfer Engine'!$C$2:$C$679,0)))</f>
        <v/>
      </c>
      <c r="N405" s="8">
        <f>IF(ISNA(MATCH(396,'Transfer Engine'!$C$2:$C$679,0)),"",INDEX('Compliance Database'!$N$2:$N$679,MATCH(396,'Transfer Engine'!$C$2:$C$679,0)))</f>
        <v/>
      </c>
      <c r="O405" s="8">
        <f>IF(ISNA(MATCH(396,'Transfer Engine'!$C$2:$C$679,0)),"",INDEX('Compliance Database'!$O$2:$O$679,MATCH(396,'Transfer Engine'!$C$2:$C$679,0)))</f>
        <v/>
      </c>
      <c r="P405">
        <f>IF(ISNA(MATCH(396,'Transfer Engine'!$C$2:$C$679,0)),"",HYPERLINK(INDEX('Compliance Database'!$P$2:$P$679,MATCH(396,'Transfer Engine'!$C$2:$C$679,0)),"Open PDF"))</f>
        <v/>
      </c>
    </row>
    <row r="406">
      <c r="A406">
        <f>IF(ISNA(MATCH(397,'Transfer Engine'!$C$2:$C$679,0)),"",INDEX('Compliance Database'!$A$2:$A$679,MATCH(397,'Transfer Engine'!$C$2:$C$679,0)))</f>
        <v/>
      </c>
      <c r="B406">
        <f>IF(ISNA(MATCH(397,'Transfer Engine'!$C$2:$C$679,0)),"",INDEX('Compliance Database'!$B$2:$B$679,MATCH(397,'Transfer Engine'!$C$2:$C$679,0)))</f>
        <v/>
      </c>
      <c r="C406">
        <f>IF(ISNA(MATCH(397,'Transfer Engine'!$C$2:$C$679,0)),"",INDEX('Compliance Database'!$C$2:$C$679,MATCH(397,'Transfer Engine'!$C$2:$C$679,0)))</f>
        <v/>
      </c>
      <c r="D406" s="8">
        <f>IF(ISNA(MATCH(397,'Transfer Engine'!$C$2:$C$679,0)),"",INDEX('Compliance Database'!$D$2:$D$679,MATCH(397,'Transfer Engine'!$C$2:$C$679,0)))</f>
        <v/>
      </c>
      <c r="E406">
        <f>IF(ISNA(MATCH(397,'Transfer Engine'!$C$2:$C$679,0)),"",INDEX('Compliance Database'!$E$2:$E$679,MATCH(397,'Transfer Engine'!$C$2:$C$679,0)))</f>
        <v/>
      </c>
      <c r="F406">
        <f>IF(ISNA(MATCH(397,'Transfer Engine'!$C$2:$C$679,0)),"",INDEX('Compliance Database'!$F$2:$F$679,MATCH(397,'Transfer Engine'!$C$2:$C$679,0)))</f>
        <v/>
      </c>
      <c r="G406">
        <f>IF(ISNA(MATCH(397,'Transfer Engine'!$C$2:$C$679,0)),"",INDEX('Compliance Database'!$G$2:$G$679,MATCH(397,'Transfer Engine'!$C$2:$C$679,0)))</f>
        <v/>
      </c>
      <c r="H406">
        <f>IF(ISNA(MATCH(397,'Transfer Engine'!$C$2:$C$679,0)),"",INDEX('Compliance Database'!$H$2:$H$679,MATCH(397,'Transfer Engine'!$C$2:$C$679,0)))</f>
        <v/>
      </c>
      <c r="I406" s="8">
        <f>IF(ISNA(MATCH(397,'Transfer Engine'!$C$2:$C$679,0)),"",INDEX('Compliance Database'!$I$2:$I$679,MATCH(397,'Transfer Engine'!$C$2:$C$679,0)))</f>
        <v/>
      </c>
      <c r="J406" s="8">
        <f>IF(ISNA(MATCH(397,'Transfer Engine'!$C$2:$C$679,0)),"",INDEX('Compliance Database'!$J$2:$J$679,MATCH(397,'Transfer Engine'!$C$2:$C$679,0)))</f>
        <v/>
      </c>
      <c r="K406">
        <f>IF(ISNA(MATCH(397,'Transfer Engine'!$C$2:$C$679,0)),"",INDEX('Compliance Database'!$K$2:$K$679,MATCH(397,'Transfer Engine'!$C$2:$C$679,0)))</f>
        <v/>
      </c>
      <c r="L406" s="8">
        <f>IF(ISNA(MATCH(397,'Transfer Engine'!$C$2:$C$679,0)),"",INDEX('Compliance Database'!$L$2:$L$679,MATCH(397,'Transfer Engine'!$C$2:$C$679,0)))</f>
        <v/>
      </c>
      <c r="M406" s="8">
        <f>IF(ISNA(MATCH(397,'Transfer Engine'!$C$2:$C$679,0)),"",INDEX('Compliance Database'!$M$2:$M$679,MATCH(397,'Transfer Engine'!$C$2:$C$679,0)))</f>
        <v/>
      </c>
      <c r="N406" s="8">
        <f>IF(ISNA(MATCH(397,'Transfer Engine'!$C$2:$C$679,0)),"",INDEX('Compliance Database'!$N$2:$N$679,MATCH(397,'Transfer Engine'!$C$2:$C$679,0)))</f>
        <v/>
      </c>
      <c r="O406" s="8">
        <f>IF(ISNA(MATCH(397,'Transfer Engine'!$C$2:$C$679,0)),"",INDEX('Compliance Database'!$O$2:$O$679,MATCH(397,'Transfer Engine'!$C$2:$C$679,0)))</f>
        <v/>
      </c>
      <c r="P406">
        <f>IF(ISNA(MATCH(397,'Transfer Engine'!$C$2:$C$679,0)),"",HYPERLINK(INDEX('Compliance Database'!$P$2:$P$679,MATCH(397,'Transfer Engine'!$C$2:$C$679,0)),"Open PDF"))</f>
        <v/>
      </c>
    </row>
    <row r="407">
      <c r="A407">
        <f>IF(ISNA(MATCH(398,'Transfer Engine'!$C$2:$C$679,0)),"",INDEX('Compliance Database'!$A$2:$A$679,MATCH(398,'Transfer Engine'!$C$2:$C$679,0)))</f>
        <v/>
      </c>
      <c r="B407">
        <f>IF(ISNA(MATCH(398,'Transfer Engine'!$C$2:$C$679,0)),"",INDEX('Compliance Database'!$B$2:$B$679,MATCH(398,'Transfer Engine'!$C$2:$C$679,0)))</f>
        <v/>
      </c>
      <c r="C407">
        <f>IF(ISNA(MATCH(398,'Transfer Engine'!$C$2:$C$679,0)),"",INDEX('Compliance Database'!$C$2:$C$679,MATCH(398,'Transfer Engine'!$C$2:$C$679,0)))</f>
        <v/>
      </c>
      <c r="D407" s="8">
        <f>IF(ISNA(MATCH(398,'Transfer Engine'!$C$2:$C$679,0)),"",INDEX('Compliance Database'!$D$2:$D$679,MATCH(398,'Transfer Engine'!$C$2:$C$679,0)))</f>
        <v/>
      </c>
      <c r="E407">
        <f>IF(ISNA(MATCH(398,'Transfer Engine'!$C$2:$C$679,0)),"",INDEX('Compliance Database'!$E$2:$E$679,MATCH(398,'Transfer Engine'!$C$2:$C$679,0)))</f>
        <v/>
      </c>
      <c r="F407">
        <f>IF(ISNA(MATCH(398,'Transfer Engine'!$C$2:$C$679,0)),"",INDEX('Compliance Database'!$F$2:$F$679,MATCH(398,'Transfer Engine'!$C$2:$C$679,0)))</f>
        <v/>
      </c>
      <c r="G407">
        <f>IF(ISNA(MATCH(398,'Transfer Engine'!$C$2:$C$679,0)),"",INDEX('Compliance Database'!$G$2:$G$679,MATCH(398,'Transfer Engine'!$C$2:$C$679,0)))</f>
        <v/>
      </c>
      <c r="H407">
        <f>IF(ISNA(MATCH(398,'Transfer Engine'!$C$2:$C$679,0)),"",INDEX('Compliance Database'!$H$2:$H$679,MATCH(398,'Transfer Engine'!$C$2:$C$679,0)))</f>
        <v/>
      </c>
      <c r="I407" s="8">
        <f>IF(ISNA(MATCH(398,'Transfer Engine'!$C$2:$C$679,0)),"",INDEX('Compliance Database'!$I$2:$I$679,MATCH(398,'Transfer Engine'!$C$2:$C$679,0)))</f>
        <v/>
      </c>
      <c r="J407" s="8">
        <f>IF(ISNA(MATCH(398,'Transfer Engine'!$C$2:$C$679,0)),"",INDEX('Compliance Database'!$J$2:$J$679,MATCH(398,'Transfer Engine'!$C$2:$C$679,0)))</f>
        <v/>
      </c>
      <c r="K407">
        <f>IF(ISNA(MATCH(398,'Transfer Engine'!$C$2:$C$679,0)),"",INDEX('Compliance Database'!$K$2:$K$679,MATCH(398,'Transfer Engine'!$C$2:$C$679,0)))</f>
        <v/>
      </c>
      <c r="L407" s="8">
        <f>IF(ISNA(MATCH(398,'Transfer Engine'!$C$2:$C$679,0)),"",INDEX('Compliance Database'!$L$2:$L$679,MATCH(398,'Transfer Engine'!$C$2:$C$679,0)))</f>
        <v/>
      </c>
      <c r="M407" s="8">
        <f>IF(ISNA(MATCH(398,'Transfer Engine'!$C$2:$C$679,0)),"",INDEX('Compliance Database'!$M$2:$M$679,MATCH(398,'Transfer Engine'!$C$2:$C$679,0)))</f>
        <v/>
      </c>
      <c r="N407" s="8">
        <f>IF(ISNA(MATCH(398,'Transfer Engine'!$C$2:$C$679,0)),"",INDEX('Compliance Database'!$N$2:$N$679,MATCH(398,'Transfer Engine'!$C$2:$C$679,0)))</f>
        <v/>
      </c>
      <c r="O407" s="8">
        <f>IF(ISNA(MATCH(398,'Transfer Engine'!$C$2:$C$679,0)),"",INDEX('Compliance Database'!$O$2:$O$679,MATCH(398,'Transfer Engine'!$C$2:$C$679,0)))</f>
        <v/>
      </c>
      <c r="P407">
        <f>IF(ISNA(MATCH(398,'Transfer Engine'!$C$2:$C$679,0)),"",HYPERLINK(INDEX('Compliance Database'!$P$2:$P$679,MATCH(398,'Transfer Engine'!$C$2:$C$679,0)),"Open PDF"))</f>
        <v/>
      </c>
    </row>
    <row r="408">
      <c r="A408">
        <f>IF(ISNA(MATCH(399,'Transfer Engine'!$C$2:$C$679,0)),"",INDEX('Compliance Database'!$A$2:$A$679,MATCH(399,'Transfer Engine'!$C$2:$C$679,0)))</f>
        <v/>
      </c>
      <c r="B408">
        <f>IF(ISNA(MATCH(399,'Transfer Engine'!$C$2:$C$679,0)),"",INDEX('Compliance Database'!$B$2:$B$679,MATCH(399,'Transfer Engine'!$C$2:$C$679,0)))</f>
        <v/>
      </c>
      <c r="C408">
        <f>IF(ISNA(MATCH(399,'Transfer Engine'!$C$2:$C$679,0)),"",INDEX('Compliance Database'!$C$2:$C$679,MATCH(399,'Transfer Engine'!$C$2:$C$679,0)))</f>
        <v/>
      </c>
      <c r="D408" s="8">
        <f>IF(ISNA(MATCH(399,'Transfer Engine'!$C$2:$C$679,0)),"",INDEX('Compliance Database'!$D$2:$D$679,MATCH(399,'Transfer Engine'!$C$2:$C$679,0)))</f>
        <v/>
      </c>
      <c r="E408">
        <f>IF(ISNA(MATCH(399,'Transfer Engine'!$C$2:$C$679,0)),"",INDEX('Compliance Database'!$E$2:$E$679,MATCH(399,'Transfer Engine'!$C$2:$C$679,0)))</f>
        <v/>
      </c>
      <c r="F408">
        <f>IF(ISNA(MATCH(399,'Transfer Engine'!$C$2:$C$679,0)),"",INDEX('Compliance Database'!$F$2:$F$679,MATCH(399,'Transfer Engine'!$C$2:$C$679,0)))</f>
        <v/>
      </c>
      <c r="G408">
        <f>IF(ISNA(MATCH(399,'Transfer Engine'!$C$2:$C$679,0)),"",INDEX('Compliance Database'!$G$2:$G$679,MATCH(399,'Transfer Engine'!$C$2:$C$679,0)))</f>
        <v/>
      </c>
      <c r="H408">
        <f>IF(ISNA(MATCH(399,'Transfer Engine'!$C$2:$C$679,0)),"",INDEX('Compliance Database'!$H$2:$H$679,MATCH(399,'Transfer Engine'!$C$2:$C$679,0)))</f>
        <v/>
      </c>
      <c r="I408" s="8">
        <f>IF(ISNA(MATCH(399,'Transfer Engine'!$C$2:$C$679,0)),"",INDEX('Compliance Database'!$I$2:$I$679,MATCH(399,'Transfer Engine'!$C$2:$C$679,0)))</f>
        <v/>
      </c>
      <c r="J408" s="8">
        <f>IF(ISNA(MATCH(399,'Transfer Engine'!$C$2:$C$679,0)),"",INDEX('Compliance Database'!$J$2:$J$679,MATCH(399,'Transfer Engine'!$C$2:$C$679,0)))</f>
        <v/>
      </c>
      <c r="K408">
        <f>IF(ISNA(MATCH(399,'Transfer Engine'!$C$2:$C$679,0)),"",INDEX('Compliance Database'!$K$2:$K$679,MATCH(399,'Transfer Engine'!$C$2:$C$679,0)))</f>
        <v/>
      </c>
      <c r="L408" s="8">
        <f>IF(ISNA(MATCH(399,'Transfer Engine'!$C$2:$C$679,0)),"",INDEX('Compliance Database'!$L$2:$L$679,MATCH(399,'Transfer Engine'!$C$2:$C$679,0)))</f>
        <v/>
      </c>
      <c r="M408" s="8">
        <f>IF(ISNA(MATCH(399,'Transfer Engine'!$C$2:$C$679,0)),"",INDEX('Compliance Database'!$M$2:$M$679,MATCH(399,'Transfer Engine'!$C$2:$C$679,0)))</f>
        <v/>
      </c>
      <c r="N408" s="8">
        <f>IF(ISNA(MATCH(399,'Transfer Engine'!$C$2:$C$679,0)),"",INDEX('Compliance Database'!$N$2:$N$679,MATCH(399,'Transfer Engine'!$C$2:$C$679,0)))</f>
        <v/>
      </c>
      <c r="O408" s="8">
        <f>IF(ISNA(MATCH(399,'Transfer Engine'!$C$2:$C$679,0)),"",INDEX('Compliance Database'!$O$2:$O$679,MATCH(399,'Transfer Engine'!$C$2:$C$679,0)))</f>
        <v/>
      </c>
      <c r="P408">
        <f>IF(ISNA(MATCH(399,'Transfer Engine'!$C$2:$C$679,0)),"",HYPERLINK(INDEX('Compliance Database'!$P$2:$P$679,MATCH(399,'Transfer Engine'!$C$2:$C$679,0)),"Open PDF"))</f>
        <v/>
      </c>
    </row>
    <row r="409">
      <c r="A409">
        <f>IF(ISNA(MATCH(400,'Transfer Engine'!$C$2:$C$679,0)),"",INDEX('Compliance Database'!$A$2:$A$679,MATCH(400,'Transfer Engine'!$C$2:$C$679,0)))</f>
        <v/>
      </c>
      <c r="B409">
        <f>IF(ISNA(MATCH(400,'Transfer Engine'!$C$2:$C$679,0)),"",INDEX('Compliance Database'!$B$2:$B$679,MATCH(400,'Transfer Engine'!$C$2:$C$679,0)))</f>
        <v/>
      </c>
      <c r="C409">
        <f>IF(ISNA(MATCH(400,'Transfer Engine'!$C$2:$C$679,0)),"",INDEX('Compliance Database'!$C$2:$C$679,MATCH(400,'Transfer Engine'!$C$2:$C$679,0)))</f>
        <v/>
      </c>
      <c r="D409" s="8">
        <f>IF(ISNA(MATCH(400,'Transfer Engine'!$C$2:$C$679,0)),"",INDEX('Compliance Database'!$D$2:$D$679,MATCH(400,'Transfer Engine'!$C$2:$C$679,0)))</f>
        <v/>
      </c>
      <c r="E409">
        <f>IF(ISNA(MATCH(400,'Transfer Engine'!$C$2:$C$679,0)),"",INDEX('Compliance Database'!$E$2:$E$679,MATCH(400,'Transfer Engine'!$C$2:$C$679,0)))</f>
        <v/>
      </c>
      <c r="F409">
        <f>IF(ISNA(MATCH(400,'Transfer Engine'!$C$2:$C$679,0)),"",INDEX('Compliance Database'!$F$2:$F$679,MATCH(400,'Transfer Engine'!$C$2:$C$679,0)))</f>
        <v/>
      </c>
      <c r="G409">
        <f>IF(ISNA(MATCH(400,'Transfer Engine'!$C$2:$C$679,0)),"",INDEX('Compliance Database'!$G$2:$G$679,MATCH(400,'Transfer Engine'!$C$2:$C$679,0)))</f>
        <v/>
      </c>
      <c r="H409">
        <f>IF(ISNA(MATCH(400,'Transfer Engine'!$C$2:$C$679,0)),"",INDEX('Compliance Database'!$H$2:$H$679,MATCH(400,'Transfer Engine'!$C$2:$C$679,0)))</f>
        <v/>
      </c>
      <c r="I409" s="8">
        <f>IF(ISNA(MATCH(400,'Transfer Engine'!$C$2:$C$679,0)),"",INDEX('Compliance Database'!$I$2:$I$679,MATCH(400,'Transfer Engine'!$C$2:$C$679,0)))</f>
        <v/>
      </c>
      <c r="J409" s="8">
        <f>IF(ISNA(MATCH(400,'Transfer Engine'!$C$2:$C$679,0)),"",INDEX('Compliance Database'!$J$2:$J$679,MATCH(400,'Transfer Engine'!$C$2:$C$679,0)))</f>
        <v/>
      </c>
      <c r="K409">
        <f>IF(ISNA(MATCH(400,'Transfer Engine'!$C$2:$C$679,0)),"",INDEX('Compliance Database'!$K$2:$K$679,MATCH(400,'Transfer Engine'!$C$2:$C$679,0)))</f>
        <v/>
      </c>
      <c r="L409" s="8">
        <f>IF(ISNA(MATCH(400,'Transfer Engine'!$C$2:$C$679,0)),"",INDEX('Compliance Database'!$L$2:$L$679,MATCH(400,'Transfer Engine'!$C$2:$C$679,0)))</f>
        <v/>
      </c>
      <c r="M409" s="8">
        <f>IF(ISNA(MATCH(400,'Transfer Engine'!$C$2:$C$679,0)),"",INDEX('Compliance Database'!$M$2:$M$679,MATCH(400,'Transfer Engine'!$C$2:$C$679,0)))</f>
        <v/>
      </c>
      <c r="N409" s="8">
        <f>IF(ISNA(MATCH(400,'Transfer Engine'!$C$2:$C$679,0)),"",INDEX('Compliance Database'!$N$2:$N$679,MATCH(400,'Transfer Engine'!$C$2:$C$679,0)))</f>
        <v/>
      </c>
      <c r="O409" s="8">
        <f>IF(ISNA(MATCH(400,'Transfer Engine'!$C$2:$C$679,0)),"",INDEX('Compliance Database'!$O$2:$O$679,MATCH(400,'Transfer Engine'!$C$2:$C$679,0)))</f>
        <v/>
      </c>
      <c r="P409">
        <f>IF(ISNA(MATCH(400,'Transfer Engine'!$C$2:$C$679,0)),"",HYPERLINK(INDEX('Compliance Database'!$P$2:$P$679,MATCH(400,'Transfer Engine'!$C$2:$C$679,0)),"Open PDF"))</f>
        <v/>
      </c>
    </row>
    <row r="410">
      <c r="A410">
        <f>IF(ISNA(MATCH(401,'Transfer Engine'!$C$2:$C$679,0)),"",INDEX('Compliance Database'!$A$2:$A$679,MATCH(401,'Transfer Engine'!$C$2:$C$679,0)))</f>
        <v/>
      </c>
      <c r="B410">
        <f>IF(ISNA(MATCH(401,'Transfer Engine'!$C$2:$C$679,0)),"",INDEX('Compliance Database'!$B$2:$B$679,MATCH(401,'Transfer Engine'!$C$2:$C$679,0)))</f>
        <v/>
      </c>
      <c r="C410">
        <f>IF(ISNA(MATCH(401,'Transfer Engine'!$C$2:$C$679,0)),"",INDEX('Compliance Database'!$C$2:$C$679,MATCH(401,'Transfer Engine'!$C$2:$C$679,0)))</f>
        <v/>
      </c>
      <c r="D410" s="8">
        <f>IF(ISNA(MATCH(401,'Transfer Engine'!$C$2:$C$679,0)),"",INDEX('Compliance Database'!$D$2:$D$679,MATCH(401,'Transfer Engine'!$C$2:$C$679,0)))</f>
        <v/>
      </c>
      <c r="E410">
        <f>IF(ISNA(MATCH(401,'Transfer Engine'!$C$2:$C$679,0)),"",INDEX('Compliance Database'!$E$2:$E$679,MATCH(401,'Transfer Engine'!$C$2:$C$679,0)))</f>
        <v/>
      </c>
      <c r="F410">
        <f>IF(ISNA(MATCH(401,'Transfer Engine'!$C$2:$C$679,0)),"",INDEX('Compliance Database'!$F$2:$F$679,MATCH(401,'Transfer Engine'!$C$2:$C$679,0)))</f>
        <v/>
      </c>
      <c r="G410">
        <f>IF(ISNA(MATCH(401,'Transfer Engine'!$C$2:$C$679,0)),"",INDEX('Compliance Database'!$G$2:$G$679,MATCH(401,'Transfer Engine'!$C$2:$C$679,0)))</f>
        <v/>
      </c>
      <c r="H410">
        <f>IF(ISNA(MATCH(401,'Transfer Engine'!$C$2:$C$679,0)),"",INDEX('Compliance Database'!$H$2:$H$679,MATCH(401,'Transfer Engine'!$C$2:$C$679,0)))</f>
        <v/>
      </c>
      <c r="I410" s="8">
        <f>IF(ISNA(MATCH(401,'Transfer Engine'!$C$2:$C$679,0)),"",INDEX('Compliance Database'!$I$2:$I$679,MATCH(401,'Transfer Engine'!$C$2:$C$679,0)))</f>
        <v/>
      </c>
      <c r="J410" s="8">
        <f>IF(ISNA(MATCH(401,'Transfer Engine'!$C$2:$C$679,0)),"",INDEX('Compliance Database'!$J$2:$J$679,MATCH(401,'Transfer Engine'!$C$2:$C$679,0)))</f>
        <v/>
      </c>
      <c r="K410">
        <f>IF(ISNA(MATCH(401,'Transfer Engine'!$C$2:$C$679,0)),"",INDEX('Compliance Database'!$K$2:$K$679,MATCH(401,'Transfer Engine'!$C$2:$C$679,0)))</f>
        <v/>
      </c>
      <c r="L410" s="8">
        <f>IF(ISNA(MATCH(401,'Transfer Engine'!$C$2:$C$679,0)),"",INDEX('Compliance Database'!$L$2:$L$679,MATCH(401,'Transfer Engine'!$C$2:$C$679,0)))</f>
        <v/>
      </c>
      <c r="M410" s="8">
        <f>IF(ISNA(MATCH(401,'Transfer Engine'!$C$2:$C$679,0)),"",INDEX('Compliance Database'!$M$2:$M$679,MATCH(401,'Transfer Engine'!$C$2:$C$679,0)))</f>
        <v/>
      </c>
      <c r="N410" s="8">
        <f>IF(ISNA(MATCH(401,'Transfer Engine'!$C$2:$C$679,0)),"",INDEX('Compliance Database'!$N$2:$N$679,MATCH(401,'Transfer Engine'!$C$2:$C$679,0)))</f>
        <v/>
      </c>
      <c r="O410" s="8">
        <f>IF(ISNA(MATCH(401,'Transfer Engine'!$C$2:$C$679,0)),"",INDEX('Compliance Database'!$O$2:$O$679,MATCH(401,'Transfer Engine'!$C$2:$C$679,0)))</f>
        <v/>
      </c>
      <c r="P410">
        <f>IF(ISNA(MATCH(401,'Transfer Engine'!$C$2:$C$679,0)),"",HYPERLINK(INDEX('Compliance Database'!$P$2:$P$679,MATCH(401,'Transfer Engine'!$C$2:$C$679,0)),"Open PDF"))</f>
        <v/>
      </c>
    </row>
    <row r="411">
      <c r="A411">
        <f>IF(ISNA(MATCH(402,'Transfer Engine'!$C$2:$C$679,0)),"",INDEX('Compliance Database'!$A$2:$A$679,MATCH(402,'Transfer Engine'!$C$2:$C$679,0)))</f>
        <v/>
      </c>
      <c r="B411">
        <f>IF(ISNA(MATCH(402,'Transfer Engine'!$C$2:$C$679,0)),"",INDEX('Compliance Database'!$B$2:$B$679,MATCH(402,'Transfer Engine'!$C$2:$C$679,0)))</f>
        <v/>
      </c>
      <c r="C411">
        <f>IF(ISNA(MATCH(402,'Transfer Engine'!$C$2:$C$679,0)),"",INDEX('Compliance Database'!$C$2:$C$679,MATCH(402,'Transfer Engine'!$C$2:$C$679,0)))</f>
        <v/>
      </c>
      <c r="D411" s="8">
        <f>IF(ISNA(MATCH(402,'Transfer Engine'!$C$2:$C$679,0)),"",INDEX('Compliance Database'!$D$2:$D$679,MATCH(402,'Transfer Engine'!$C$2:$C$679,0)))</f>
        <v/>
      </c>
      <c r="E411">
        <f>IF(ISNA(MATCH(402,'Transfer Engine'!$C$2:$C$679,0)),"",INDEX('Compliance Database'!$E$2:$E$679,MATCH(402,'Transfer Engine'!$C$2:$C$679,0)))</f>
        <v/>
      </c>
      <c r="F411">
        <f>IF(ISNA(MATCH(402,'Transfer Engine'!$C$2:$C$679,0)),"",INDEX('Compliance Database'!$F$2:$F$679,MATCH(402,'Transfer Engine'!$C$2:$C$679,0)))</f>
        <v/>
      </c>
      <c r="G411">
        <f>IF(ISNA(MATCH(402,'Transfer Engine'!$C$2:$C$679,0)),"",INDEX('Compliance Database'!$G$2:$G$679,MATCH(402,'Transfer Engine'!$C$2:$C$679,0)))</f>
        <v/>
      </c>
      <c r="H411">
        <f>IF(ISNA(MATCH(402,'Transfer Engine'!$C$2:$C$679,0)),"",INDEX('Compliance Database'!$H$2:$H$679,MATCH(402,'Transfer Engine'!$C$2:$C$679,0)))</f>
        <v/>
      </c>
      <c r="I411" s="8">
        <f>IF(ISNA(MATCH(402,'Transfer Engine'!$C$2:$C$679,0)),"",INDEX('Compliance Database'!$I$2:$I$679,MATCH(402,'Transfer Engine'!$C$2:$C$679,0)))</f>
        <v/>
      </c>
      <c r="J411" s="8">
        <f>IF(ISNA(MATCH(402,'Transfer Engine'!$C$2:$C$679,0)),"",INDEX('Compliance Database'!$J$2:$J$679,MATCH(402,'Transfer Engine'!$C$2:$C$679,0)))</f>
        <v/>
      </c>
      <c r="K411">
        <f>IF(ISNA(MATCH(402,'Transfer Engine'!$C$2:$C$679,0)),"",INDEX('Compliance Database'!$K$2:$K$679,MATCH(402,'Transfer Engine'!$C$2:$C$679,0)))</f>
        <v/>
      </c>
      <c r="L411" s="8">
        <f>IF(ISNA(MATCH(402,'Transfer Engine'!$C$2:$C$679,0)),"",INDEX('Compliance Database'!$L$2:$L$679,MATCH(402,'Transfer Engine'!$C$2:$C$679,0)))</f>
        <v/>
      </c>
      <c r="M411" s="8">
        <f>IF(ISNA(MATCH(402,'Transfer Engine'!$C$2:$C$679,0)),"",INDEX('Compliance Database'!$M$2:$M$679,MATCH(402,'Transfer Engine'!$C$2:$C$679,0)))</f>
        <v/>
      </c>
      <c r="N411" s="8">
        <f>IF(ISNA(MATCH(402,'Transfer Engine'!$C$2:$C$679,0)),"",INDEX('Compliance Database'!$N$2:$N$679,MATCH(402,'Transfer Engine'!$C$2:$C$679,0)))</f>
        <v/>
      </c>
      <c r="O411" s="8">
        <f>IF(ISNA(MATCH(402,'Transfer Engine'!$C$2:$C$679,0)),"",INDEX('Compliance Database'!$O$2:$O$679,MATCH(402,'Transfer Engine'!$C$2:$C$679,0)))</f>
        <v/>
      </c>
      <c r="P411">
        <f>IF(ISNA(MATCH(402,'Transfer Engine'!$C$2:$C$679,0)),"",HYPERLINK(INDEX('Compliance Database'!$P$2:$P$679,MATCH(402,'Transfer Engine'!$C$2:$C$679,0)),"Open PDF"))</f>
        <v/>
      </c>
    </row>
    <row r="412">
      <c r="A412">
        <f>IF(ISNA(MATCH(403,'Transfer Engine'!$C$2:$C$679,0)),"",INDEX('Compliance Database'!$A$2:$A$679,MATCH(403,'Transfer Engine'!$C$2:$C$679,0)))</f>
        <v/>
      </c>
      <c r="B412">
        <f>IF(ISNA(MATCH(403,'Transfer Engine'!$C$2:$C$679,0)),"",INDEX('Compliance Database'!$B$2:$B$679,MATCH(403,'Transfer Engine'!$C$2:$C$679,0)))</f>
        <v/>
      </c>
      <c r="C412">
        <f>IF(ISNA(MATCH(403,'Transfer Engine'!$C$2:$C$679,0)),"",INDEX('Compliance Database'!$C$2:$C$679,MATCH(403,'Transfer Engine'!$C$2:$C$679,0)))</f>
        <v/>
      </c>
      <c r="D412" s="8">
        <f>IF(ISNA(MATCH(403,'Transfer Engine'!$C$2:$C$679,0)),"",INDEX('Compliance Database'!$D$2:$D$679,MATCH(403,'Transfer Engine'!$C$2:$C$679,0)))</f>
        <v/>
      </c>
      <c r="E412">
        <f>IF(ISNA(MATCH(403,'Transfer Engine'!$C$2:$C$679,0)),"",INDEX('Compliance Database'!$E$2:$E$679,MATCH(403,'Transfer Engine'!$C$2:$C$679,0)))</f>
        <v/>
      </c>
      <c r="F412">
        <f>IF(ISNA(MATCH(403,'Transfer Engine'!$C$2:$C$679,0)),"",INDEX('Compliance Database'!$F$2:$F$679,MATCH(403,'Transfer Engine'!$C$2:$C$679,0)))</f>
        <v/>
      </c>
      <c r="G412">
        <f>IF(ISNA(MATCH(403,'Transfer Engine'!$C$2:$C$679,0)),"",INDEX('Compliance Database'!$G$2:$G$679,MATCH(403,'Transfer Engine'!$C$2:$C$679,0)))</f>
        <v/>
      </c>
      <c r="H412">
        <f>IF(ISNA(MATCH(403,'Transfer Engine'!$C$2:$C$679,0)),"",INDEX('Compliance Database'!$H$2:$H$679,MATCH(403,'Transfer Engine'!$C$2:$C$679,0)))</f>
        <v/>
      </c>
      <c r="I412" s="8">
        <f>IF(ISNA(MATCH(403,'Transfer Engine'!$C$2:$C$679,0)),"",INDEX('Compliance Database'!$I$2:$I$679,MATCH(403,'Transfer Engine'!$C$2:$C$679,0)))</f>
        <v/>
      </c>
      <c r="J412" s="8">
        <f>IF(ISNA(MATCH(403,'Transfer Engine'!$C$2:$C$679,0)),"",INDEX('Compliance Database'!$J$2:$J$679,MATCH(403,'Transfer Engine'!$C$2:$C$679,0)))</f>
        <v/>
      </c>
      <c r="K412">
        <f>IF(ISNA(MATCH(403,'Transfer Engine'!$C$2:$C$679,0)),"",INDEX('Compliance Database'!$K$2:$K$679,MATCH(403,'Transfer Engine'!$C$2:$C$679,0)))</f>
        <v/>
      </c>
      <c r="L412" s="8">
        <f>IF(ISNA(MATCH(403,'Transfer Engine'!$C$2:$C$679,0)),"",INDEX('Compliance Database'!$L$2:$L$679,MATCH(403,'Transfer Engine'!$C$2:$C$679,0)))</f>
        <v/>
      </c>
      <c r="M412" s="8">
        <f>IF(ISNA(MATCH(403,'Transfer Engine'!$C$2:$C$679,0)),"",INDEX('Compliance Database'!$M$2:$M$679,MATCH(403,'Transfer Engine'!$C$2:$C$679,0)))</f>
        <v/>
      </c>
      <c r="N412" s="8">
        <f>IF(ISNA(MATCH(403,'Transfer Engine'!$C$2:$C$679,0)),"",INDEX('Compliance Database'!$N$2:$N$679,MATCH(403,'Transfer Engine'!$C$2:$C$679,0)))</f>
        <v/>
      </c>
      <c r="O412" s="8">
        <f>IF(ISNA(MATCH(403,'Transfer Engine'!$C$2:$C$679,0)),"",INDEX('Compliance Database'!$O$2:$O$679,MATCH(403,'Transfer Engine'!$C$2:$C$679,0)))</f>
        <v/>
      </c>
      <c r="P412">
        <f>IF(ISNA(MATCH(403,'Transfer Engine'!$C$2:$C$679,0)),"",HYPERLINK(INDEX('Compliance Database'!$P$2:$P$679,MATCH(403,'Transfer Engine'!$C$2:$C$679,0)),"Open PDF"))</f>
        <v/>
      </c>
    </row>
    <row r="413">
      <c r="A413">
        <f>IF(ISNA(MATCH(404,'Transfer Engine'!$C$2:$C$679,0)),"",INDEX('Compliance Database'!$A$2:$A$679,MATCH(404,'Transfer Engine'!$C$2:$C$679,0)))</f>
        <v/>
      </c>
      <c r="B413">
        <f>IF(ISNA(MATCH(404,'Transfer Engine'!$C$2:$C$679,0)),"",INDEX('Compliance Database'!$B$2:$B$679,MATCH(404,'Transfer Engine'!$C$2:$C$679,0)))</f>
        <v/>
      </c>
      <c r="C413">
        <f>IF(ISNA(MATCH(404,'Transfer Engine'!$C$2:$C$679,0)),"",INDEX('Compliance Database'!$C$2:$C$679,MATCH(404,'Transfer Engine'!$C$2:$C$679,0)))</f>
        <v/>
      </c>
      <c r="D413" s="8">
        <f>IF(ISNA(MATCH(404,'Transfer Engine'!$C$2:$C$679,0)),"",INDEX('Compliance Database'!$D$2:$D$679,MATCH(404,'Transfer Engine'!$C$2:$C$679,0)))</f>
        <v/>
      </c>
      <c r="E413">
        <f>IF(ISNA(MATCH(404,'Transfer Engine'!$C$2:$C$679,0)),"",INDEX('Compliance Database'!$E$2:$E$679,MATCH(404,'Transfer Engine'!$C$2:$C$679,0)))</f>
        <v/>
      </c>
      <c r="F413">
        <f>IF(ISNA(MATCH(404,'Transfer Engine'!$C$2:$C$679,0)),"",INDEX('Compliance Database'!$F$2:$F$679,MATCH(404,'Transfer Engine'!$C$2:$C$679,0)))</f>
        <v/>
      </c>
      <c r="G413">
        <f>IF(ISNA(MATCH(404,'Transfer Engine'!$C$2:$C$679,0)),"",INDEX('Compliance Database'!$G$2:$G$679,MATCH(404,'Transfer Engine'!$C$2:$C$679,0)))</f>
        <v/>
      </c>
      <c r="H413">
        <f>IF(ISNA(MATCH(404,'Transfer Engine'!$C$2:$C$679,0)),"",INDEX('Compliance Database'!$H$2:$H$679,MATCH(404,'Transfer Engine'!$C$2:$C$679,0)))</f>
        <v/>
      </c>
      <c r="I413" s="8">
        <f>IF(ISNA(MATCH(404,'Transfer Engine'!$C$2:$C$679,0)),"",INDEX('Compliance Database'!$I$2:$I$679,MATCH(404,'Transfer Engine'!$C$2:$C$679,0)))</f>
        <v/>
      </c>
      <c r="J413" s="8">
        <f>IF(ISNA(MATCH(404,'Transfer Engine'!$C$2:$C$679,0)),"",INDEX('Compliance Database'!$J$2:$J$679,MATCH(404,'Transfer Engine'!$C$2:$C$679,0)))</f>
        <v/>
      </c>
      <c r="K413">
        <f>IF(ISNA(MATCH(404,'Transfer Engine'!$C$2:$C$679,0)),"",INDEX('Compliance Database'!$K$2:$K$679,MATCH(404,'Transfer Engine'!$C$2:$C$679,0)))</f>
        <v/>
      </c>
      <c r="L413" s="8">
        <f>IF(ISNA(MATCH(404,'Transfer Engine'!$C$2:$C$679,0)),"",INDEX('Compliance Database'!$L$2:$L$679,MATCH(404,'Transfer Engine'!$C$2:$C$679,0)))</f>
        <v/>
      </c>
      <c r="M413" s="8">
        <f>IF(ISNA(MATCH(404,'Transfer Engine'!$C$2:$C$679,0)),"",INDEX('Compliance Database'!$M$2:$M$679,MATCH(404,'Transfer Engine'!$C$2:$C$679,0)))</f>
        <v/>
      </c>
      <c r="N413" s="8">
        <f>IF(ISNA(MATCH(404,'Transfer Engine'!$C$2:$C$679,0)),"",INDEX('Compliance Database'!$N$2:$N$679,MATCH(404,'Transfer Engine'!$C$2:$C$679,0)))</f>
        <v/>
      </c>
      <c r="O413" s="8">
        <f>IF(ISNA(MATCH(404,'Transfer Engine'!$C$2:$C$679,0)),"",INDEX('Compliance Database'!$O$2:$O$679,MATCH(404,'Transfer Engine'!$C$2:$C$679,0)))</f>
        <v/>
      </c>
      <c r="P413">
        <f>IF(ISNA(MATCH(404,'Transfer Engine'!$C$2:$C$679,0)),"",HYPERLINK(INDEX('Compliance Database'!$P$2:$P$679,MATCH(404,'Transfer Engine'!$C$2:$C$679,0)),"Open PDF"))</f>
        <v/>
      </c>
    </row>
    <row r="414">
      <c r="A414">
        <f>IF(ISNA(MATCH(405,'Transfer Engine'!$C$2:$C$679,0)),"",INDEX('Compliance Database'!$A$2:$A$679,MATCH(405,'Transfer Engine'!$C$2:$C$679,0)))</f>
        <v/>
      </c>
      <c r="B414">
        <f>IF(ISNA(MATCH(405,'Transfer Engine'!$C$2:$C$679,0)),"",INDEX('Compliance Database'!$B$2:$B$679,MATCH(405,'Transfer Engine'!$C$2:$C$679,0)))</f>
        <v/>
      </c>
      <c r="C414">
        <f>IF(ISNA(MATCH(405,'Transfer Engine'!$C$2:$C$679,0)),"",INDEX('Compliance Database'!$C$2:$C$679,MATCH(405,'Transfer Engine'!$C$2:$C$679,0)))</f>
        <v/>
      </c>
      <c r="D414" s="8">
        <f>IF(ISNA(MATCH(405,'Transfer Engine'!$C$2:$C$679,0)),"",INDEX('Compliance Database'!$D$2:$D$679,MATCH(405,'Transfer Engine'!$C$2:$C$679,0)))</f>
        <v/>
      </c>
      <c r="E414">
        <f>IF(ISNA(MATCH(405,'Transfer Engine'!$C$2:$C$679,0)),"",INDEX('Compliance Database'!$E$2:$E$679,MATCH(405,'Transfer Engine'!$C$2:$C$679,0)))</f>
        <v/>
      </c>
      <c r="F414">
        <f>IF(ISNA(MATCH(405,'Transfer Engine'!$C$2:$C$679,0)),"",INDEX('Compliance Database'!$F$2:$F$679,MATCH(405,'Transfer Engine'!$C$2:$C$679,0)))</f>
        <v/>
      </c>
      <c r="G414">
        <f>IF(ISNA(MATCH(405,'Transfer Engine'!$C$2:$C$679,0)),"",INDEX('Compliance Database'!$G$2:$G$679,MATCH(405,'Transfer Engine'!$C$2:$C$679,0)))</f>
        <v/>
      </c>
      <c r="H414">
        <f>IF(ISNA(MATCH(405,'Transfer Engine'!$C$2:$C$679,0)),"",INDEX('Compliance Database'!$H$2:$H$679,MATCH(405,'Transfer Engine'!$C$2:$C$679,0)))</f>
        <v/>
      </c>
      <c r="I414" s="8">
        <f>IF(ISNA(MATCH(405,'Transfer Engine'!$C$2:$C$679,0)),"",INDEX('Compliance Database'!$I$2:$I$679,MATCH(405,'Transfer Engine'!$C$2:$C$679,0)))</f>
        <v/>
      </c>
      <c r="J414" s="8">
        <f>IF(ISNA(MATCH(405,'Transfer Engine'!$C$2:$C$679,0)),"",INDEX('Compliance Database'!$J$2:$J$679,MATCH(405,'Transfer Engine'!$C$2:$C$679,0)))</f>
        <v/>
      </c>
      <c r="K414">
        <f>IF(ISNA(MATCH(405,'Transfer Engine'!$C$2:$C$679,0)),"",INDEX('Compliance Database'!$K$2:$K$679,MATCH(405,'Transfer Engine'!$C$2:$C$679,0)))</f>
        <v/>
      </c>
      <c r="L414" s="8">
        <f>IF(ISNA(MATCH(405,'Transfer Engine'!$C$2:$C$679,0)),"",INDEX('Compliance Database'!$L$2:$L$679,MATCH(405,'Transfer Engine'!$C$2:$C$679,0)))</f>
        <v/>
      </c>
      <c r="M414" s="8">
        <f>IF(ISNA(MATCH(405,'Transfer Engine'!$C$2:$C$679,0)),"",INDEX('Compliance Database'!$M$2:$M$679,MATCH(405,'Transfer Engine'!$C$2:$C$679,0)))</f>
        <v/>
      </c>
      <c r="N414" s="8">
        <f>IF(ISNA(MATCH(405,'Transfer Engine'!$C$2:$C$679,0)),"",INDEX('Compliance Database'!$N$2:$N$679,MATCH(405,'Transfer Engine'!$C$2:$C$679,0)))</f>
        <v/>
      </c>
      <c r="O414" s="8">
        <f>IF(ISNA(MATCH(405,'Transfer Engine'!$C$2:$C$679,0)),"",INDEX('Compliance Database'!$O$2:$O$679,MATCH(405,'Transfer Engine'!$C$2:$C$679,0)))</f>
        <v/>
      </c>
      <c r="P414">
        <f>IF(ISNA(MATCH(405,'Transfer Engine'!$C$2:$C$679,0)),"",HYPERLINK(INDEX('Compliance Database'!$P$2:$P$679,MATCH(405,'Transfer Engine'!$C$2:$C$679,0)),"Open PDF"))</f>
        <v/>
      </c>
    </row>
    <row r="415">
      <c r="A415">
        <f>IF(ISNA(MATCH(406,'Transfer Engine'!$C$2:$C$679,0)),"",INDEX('Compliance Database'!$A$2:$A$679,MATCH(406,'Transfer Engine'!$C$2:$C$679,0)))</f>
        <v/>
      </c>
      <c r="B415">
        <f>IF(ISNA(MATCH(406,'Transfer Engine'!$C$2:$C$679,0)),"",INDEX('Compliance Database'!$B$2:$B$679,MATCH(406,'Transfer Engine'!$C$2:$C$679,0)))</f>
        <v/>
      </c>
      <c r="C415">
        <f>IF(ISNA(MATCH(406,'Transfer Engine'!$C$2:$C$679,0)),"",INDEX('Compliance Database'!$C$2:$C$679,MATCH(406,'Transfer Engine'!$C$2:$C$679,0)))</f>
        <v/>
      </c>
      <c r="D415" s="8">
        <f>IF(ISNA(MATCH(406,'Transfer Engine'!$C$2:$C$679,0)),"",INDEX('Compliance Database'!$D$2:$D$679,MATCH(406,'Transfer Engine'!$C$2:$C$679,0)))</f>
        <v/>
      </c>
      <c r="E415">
        <f>IF(ISNA(MATCH(406,'Transfer Engine'!$C$2:$C$679,0)),"",INDEX('Compliance Database'!$E$2:$E$679,MATCH(406,'Transfer Engine'!$C$2:$C$679,0)))</f>
        <v/>
      </c>
      <c r="F415">
        <f>IF(ISNA(MATCH(406,'Transfer Engine'!$C$2:$C$679,0)),"",INDEX('Compliance Database'!$F$2:$F$679,MATCH(406,'Transfer Engine'!$C$2:$C$679,0)))</f>
        <v/>
      </c>
      <c r="G415">
        <f>IF(ISNA(MATCH(406,'Transfer Engine'!$C$2:$C$679,0)),"",INDEX('Compliance Database'!$G$2:$G$679,MATCH(406,'Transfer Engine'!$C$2:$C$679,0)))</f>
        <v/>
      </c>
      <c r="H415">
        <f>IF(ISNA(MATCH(406,'Transfer Engine'!$C$2:$C$679,0)),"",INDEX('Compliance Database'!$H$2:$H$679,MATCH(406,'Transfer Engine'!$C$2:$C$679,0)))</f>
        <v/>
      </c>
      <c r="I415" s="8">
        <f>IF(ISNA(MATCH(406,'Transfer Engine'!$C$2:$C$679,0)),"",INDEX('Compliance Database'!$I$2:$I$679,MATCH(406,'Transfer Engine'!$C$2:$C$679,0)))</f>
        <v/>
      </c>
      <c r="J415" s="8">
        <f>IF(ISNA(MATCH(406,'Transfer Engine'!$C$2:$C$679,0)),"",INDEX('Compliance Database'!$J$2:$J$679,MATCH(406,'Transfer Engine'!$C$2:$C$679,0)))</f>
        <v/>
      </c>
      <c r="K415">
        <f>IF(ISNA(MATCH(406,'Transfer Engine'!$C$2:$C$679,0)),"",INDEX('Compliance Database'!$K$2:$K$679,MATCH(406,'Transfer Engine'!$C$2:$C$679,0)))</f>
        <v/>
      </c>
      <c r="L415" s="8">
        <f>IF(ISNA(MATCH(406,'Transfer Engine'!$C$2:$C$679,0)),"",INDEX('Compliance Database'!$L$2:$L$679,MATCH(406,'Transfer Engine'!$C$2:$C$679,0)))</f>
        <v/>
      </c>
      <c r="M415" s="8">
        <f>IF(ISNA(MATCH(406,'Transfer Engine'!$C$2:$C$679,0)),"",INDEX('Compliance Database'!$M$2:$M$679,MATCH(406,'Transfer Engine'!$C$2:$C$679,0)))</f>
        <v/>
      </c>
      <c r="N415" s="8">
        <f>IF(ISNA(MATCH(406,'Transfer Engine'!$C$2:$C$679,0)),"",INDEX('Compliance Database'!$N$2:$N$679,MATCH(406,'Transfer Engine'!$C$2:$C$679,0)))</f>
        <v/>
      </c>
      <c r="O415" s="8">
        <f>IF(ISNA(MATCH(406,'Transfer Engine'!$C$2:$C$679,0)),"",INDEX('Compliance Database'!$O$2:$O$679,MATCH(406,'Transfer Engine'!$C$2:$C$679,0)))</f>
        <v/>
      </c>
      <c r="P415">
        <f>IF(ISNA(MATCH(406,'Transfer Engine'!$C$2:$C$679,0)),"",HYPERLINK(INDEX('Compliance Database'!$P$2:$P$679,MATCH(406,'Transfer Engine'!$C$2:$C$679,0)),"Open PDF"))</f>
        <v/>
      </c>
    </row>
    <row r="416">
      <c r="A416">
        <f>IF(ISNA(MATCH(407,'Transfer Engine'!$C$2:$C$679,0)),"",INDEX('Compliance Database'!$A$2:$A$679,MATCH(407,'Transfer Engine'!$C$2:$C$679,0)))</f>
        <v/>
      </c>
      <c r="B416">
        <f>IF(ISNA(MATCH(407,'Transfer Engine'!$C$2:$C$679,0)),"",INDEX('Compliance Database'!$B$2:$B$679,MATCH(407,'Transfer Engine'!$C$2:$C$679,0)))</f>
        <v/>
      </c>
      <c r="C416">
        <f>IF(ISNA(MATCH(407,'Transfer Engine'!$C$2:$C$679,0)),"",INDEX('Compliance Database'!$C$2:$C$679,MATCH(407,'Transfer Engine'!$C$2:$C$679,0)))</f>
        <v/>
      </c>
      <c r="D416" s="8">
        <f>IF(ISNA(MATCH(407,'Transfer Engine'!$C$2:$C$679,0)),"",INDEX('Compliance Database'!$D$2:$D$679,MATCH(407,'Transfer Engine'!$C$2:$C$679,0)))</f>
        <v/>
      </c>
      <c r="E416">
        <f>IF(ISNA(MATCH(407,'Transfer Engine'!$C$2:$C$679,0)),"",INDEX('Compliance Database'!$E$2:$E$679,MATCH(407,'Transfer Engine'!$C$2:$C$679,0)))</f>
        <v/>
      </c>
      <c r="F416">
        <f>IF(ISNA(MATCH(407,'Transfer Engine'!$C$2:$C$679,0)),"",INDEX('Compliance Database'!$F$2:$F$679,MATCH(407,'Transfer Engine'!$C$2:$C$679,0)))</f>
        <v/>
      </c>
      <c r="G416">
        <f>IF(ISNA(MATCH(407,'Transfer Engine'!$C$2:$C$679,0)),"",INDEX('Compliance Database'!$G$2:$G$679,MATCH(407,'Transfer Engine'!$C$2:$C$679,0)))</f>
        <v/>
      </c>
      <c r="H416">
        <f>IF(ISNA(MATCH(407,'Transfer Engine'!$C$2:$C$679,0)),"",INDEX('Compliance Database'!$H$2:$H$679,MATCH(407,'Transfer Engine'!$C$2:$C$679,0)))</f>
        <v/>
      </c>
      <c r="I416" s="8">
        <f>IF(ISNA(MATCH(407,'Transfer Engine'!$C$2:$C$679,0)),"",INDEX('Compliance Database'!$I$2:$I$679,MATCH(407,'Transfer Engine'!$C$2:$C$679,0)))</f>
        <v/>
      </c>
      <c r="J416" s="8">
        <f>IF(ISNA(MATCH(407,'Transfer Engine'!$C$2:$C$679,0)),"",INDEX('Compliance Database'!$J$2:$J$679,MATCH(407,'Transfer Engine'!$C$2:$C$679,0)))</f>
        <v/>
      </c>
      <c r="K416">
        <f>IF(ISNA(MATCH(407,'Transfer Engine'!$C$2:$C$679,0)),"",INDEX('Compliance Database'!$K$2:$K$679,MATCH(407,'Transfer Engine'!$C$2:$C$679,0)))</f>
        <v/>
      </c>
      <c r="L416" s="8">
        <f>IF(ISNA(MATCH(407,'Transfer Engine'!$C$2:$C$679,0)),"",INDEX('Compliance Database'!$L$2:$L$679,MATCH(407,'Transfer Engine'!$C$2:$C$679,0)))</f>
        <v/>
      </c>
      <c r="M416" s="8">
        <f>IF(ISNA(MATCH(407,'Transfer Engine'!$C$2:$C$679,0)),"",INDEX('Compliance Database'!$M$2:$M$679,MATCH(407,'Transfer Engine'!$C$2:$C$679,0)))</f>
        <v/>
      </c>
      <c r="N416" s="8">
        <f>IF(ISNA(MATCH(407,'Transfer Engine'!$C$2:$C$679,0)),"",INDEX('Compliance Database'!$N$2:$N$679,MATCH(407,'Transfer Engine'!$C$2:$C$679,0)))</f>
        <v/>
      </c>
      <c r="O416" s="8">
        <f>IF(ISNA(MATCH(407,'Transfer Engine'!$C$2:$C$679,0)),"",INDEX('Compliance Database'!$O$2:$O$679,MATCH(407,'Transfer Engine'!$C$2:$C$679,0)))</f>
        <v/>
      </c>
      <c r="P416">
        <f>IF(ISNA(MATCH(407,'Transfer Engine'!$C$2:$C$679,0)),"",HYPERLINK(INDEX('Compliance Database'!$P$2:$P$679,MATCH(407,'Transfer Engine'!$C$2:$C$679,0)),"Open PDF"))</f>
        <v/>
      </c>
    </row>
    <row r="417">
      <c r="A417">
        <f>IF(ISNA(MATCH(408,'Transfer Engine'!$C$2:$C$679,0)),"",INDEX('Compliance Database'!$A$2:$A$679,MATCH(408,'Transfer Engine'!$C$2:$C$679,0)))</f>
        <v/>
      </c>
      <c r="B417">
        <f>IF(ISNA(MATCH(408,'Transfer Engine'!$C$2:$C$679,0)),"",INDEX('Compliance Database'!$B$2:$B$679,MATCH(408,'Transfer Engine'!$C$2:$C$679,0)))</f>
        <v/>
      </c>
      <c r="C417">
        <f>IF(ISNA(MATCH(408,'Transfer Engine'!$C$2:$C$679,0)),"",INDEX('Compliance Database'!$C$2:$C$679,MATCH(408,'Transfer Engine'!$C$2:$C$679,0)))</f>
        <v/>
      </c>
      <c r="D417" s="8">
        <f>IF(ISNA(MATCH(408,'Transfer Engine'!$C$2:$C$679,0)),"",INDEX('Compliance Database'!$D$2:$D$679,MATCH(408,'Transfer Engine'!$C$2:$C$679,0)))</f>
        <v/>
      </c>
      <c r="E417">
        <f>IF(ISNA(MATCH(408,'Transfer Engine'!$C$2:$C$679,0)),"",INDEX('Compliance Database'!$E$2:$E$679,MATCH(408,'Transfer Engine'!$C$2:$C$679,0)))</f>
        <v/>
      </c>
      <c r="F417">
        <f>IF(ISNA(MATCH(408,'Transfer Engine'!$C$2:$C$679,0)),"",INDEX('Compliance Database'!$F$2:$F$679,MATCH(408,'Transfer Engine'!$C$2:$C$679,0)))</f>
        <v/>
      </c>
      <c r="G417">
        <f>IF(ISNA(MATCH(408,'Transfer Engine'!$C$2:$C$679,0)),"",INDEX('Compliance Database'!$G$2:$G$679,MATCH(408,'Transfer Engine'!$C$2:$C$679,0)))</f>
        <v/>
      </c>
      <c r="H417">
        <f>IF(ISNA(MATCH(408,'Transfer Engine'!$C$2:$C$679,0)),"",INDEX('Compliance Database'!$H$2:$H$679,MATCH(408,'Transfer Engine'!$C$2:$C$679,0)))</f>
        <v/>
      </c>
      <c r="I417" s="8">
        <f>IF(ISNA(MATCH(408,'Transfer Engine'!$C$2:$C$679,0)),"",INDEX('Compliance Database'!$I$2:$I$679,MATCH(408,'Transfer Engine'!$C$2:$C$679,0)))</f>
        <v/>
      </c>
      <c r="J417" s="8">
        <f>IF(ISNA(MATCH(408,'Transfer Engine'!$C$2:$C$679,0)),"",INDEX('Compliance Database'!$J$2:$J$679,MATCH(408,'Transfer Engine'!$C$2:$C$679,0)))</f>
        <v/>
      </c>
      <c r="K417">
        <f>IF(ISNA(MATCH(408,'Transfer Engine'!$C$2:$C$679,0)),"",INDEX('Compliance Database'!$K$2:$K$679,MATCH(408,'Transfer Engine'!$C$2:$C$679,0)))</f>
        <v/>
      </c>
      <c r="L417" s="8">
        <f>IF(ISNA(MATCH(408,'Transfer Engine'!$C$2:$C$679,0)),"",INDEX('Compliance Database'!$L$2:$L$679,MATCH(408,'Transfer Engine'!$C$2:$C$679,0)))</f>
        <v/>
      </c>
      <c r="M417" s="8">
        <f>IF(ISNA(MATCH(408,'Transfer Engine'!$C$2:$C$679,0)),"",INDEX('Compliance Database'!$M$2:$M$679,MATCH(408,'Transfer Engine'!$C$2:$C$679,0)))</f>
        <v/>
      </c>
      <c r="N417" s="8">
        <f>IF(ISNA(MATCH(408,'Transfer Engine'!$C$2:$C$679,0)),"",INDEX('Compliance Database'!$N$2:$N$679,MATCH(408,'Transfer Engine'!$C$2:$C$679,0)))</f>
        <v/>
      </c>
      <c r="O417" s="8">
        <f>IF(ISNA(MATCH(408,'Transfer Engine'!$C$2:$C$679,0)),"",INDEX('Compliance Database'!$O$2:$O$679,MATCH(408,'Transfer Engine'!$C$2:$C$679,0)))</f>
        <v/>
      </c>
      <c r="P417">
        <f>IF(ISNA(MATCH(408,'Transfer Engine'!$C$2:$C$679,0)),"",HYPERLINK(INDEX('Compliance Database'!$P$2:$P$679,MATCH(408,'Transfer Engine'!$C$2:$C$679,0)),"Open PDF"))</f>
        <v/>
      </c>
    </row>
    <row r="418">
      <c r="A418">
        <f>IF(ISNA(MATCH(409,'Transfer Engine'!$C$2:$C$679,0)),"",INDEX('Compliance Database'!$A$2:$A$679,MATCH(409,'Transfer Engine'!$C$2:$C$679,0)))</f>
        <v/>
      </c>
      <c r="B418">
        <f>IF(ISNA(MATCH(409,'Transfer Engine'!$C$2:$C$679,0)),"",INDEX('Compliance Database'!$B$2:$B$679,MATCH(409,'Transfer Engine'!$C$2:$C$679,0)))</f>
        <v/>
      </c>
      <c r="C418">
        <f>IF(ISNA(MATCH(409,'Transfer Engine'!$C$2:$C$679,0)),"",INDEX('Compliance Database'!$C$2:$C$679,MATCH(409,'Transfer Engine'!$C$2:$C$679,0)))</f>
        <v/>
      </c>
      <c r="D418" s="8">
        <f>IF(ISNA(MATCH(409,'Transfer Engine'!$C$2:$C$679,0)),"",INDEX('Compliance Database'!$D$2:$D$679,MATCH(409,'Transfer Engine'!$C$2:$C$679,0)))</f>
        <v/>
      </c>
      <c r="E418">
        <f>IF(ISNA(MATCH(409,'Transfer Engine'!$C$2:$C$679,0)),"",INDEX('Compliance Database'!$E$2:$E$679,MATCH(409,'Transfer Engine'!$C$2:$C$679,0)))</f>
        <v/>
      </c>
      <c r="F418">
        <f>IF(ISNA(MATCH(409,'Transfer Engine'!$C$2:$C$679,0)),"",INDEX('Compliance Database'!$F$2:$F$679,MATCH(409,'Transfer Engine'!$C$2:$C$679,0)))</f>
        <v/>
      </c>
      <c r="G418">
        <f>IF(ISNA(MATCH(409,'Transfer Engine'!$C$2:$C$679,0)),"",INDEX('Compliance Database'!$G$2:$G$679,MATCH(409,'Transfer Engine'!$C$2:$C$679,0)))</f>
        <v/>
      </c>
      <c r="H418">
        <f>IF(ISNA(MATCH(409,'Transfer Engine'!$C$2:$C$679,0)),"",INDEX('Compliance Database'!$H$2:$H$679,MATCH(409,'Transfer Engine'!$C$2:$C$679,0)))</f>
        <v/>
      </c>
      <c r="I418" s="8">
        <f>IF(ISNA(MATCH(409,'Transfer Engine'!$C$2:$C$679,0)),"",INDEX('Compliance Database'!$I$2:$I$679,MATCH(409,'Transfer Engine'!$C$2:$C$679,0)))</f>
        <v/>
      </c>
      <c r="J418" s="8">
        <f>IF(ISNA(MATCH(409,'Transfer Engine'!$C$2:$C$679,0)),"",INDEX('Compliance Database'!$J$2:$J$679,MATCH(409,'Transfer Engine'!$C$2:$C$679,0)))</f>
        <v/>
      </c>
      <c r="K418">
        <f>IF(ISNA(MATCH(409,'Transfer Engine'!$C$2:$C$679,0)),"",INDEX('Compliance Database'!$K$2:$K$679,MATCH(409,'Transfer Engine'!$C$2:$C$679,0)))</f>
        <v/>
      </c>
      <c r="L418" s="8">
        <f>IF(ISNA(MATCH(409,'Transfer Engine'!$C$2:$C$679,0)),"",INDEX('Compliance Database'!$L$2:$L$679,MATCH(409,'Transfer Engine'!$C$2:$C$679,0)))</f>
        <v/>
      </c>
      <c r="M418" s="8">
        <f>IF(ISNA(MATCH(409,'Transfer Engine'!$C$2:$C$679,0)),"",INDEX('Compliance Database'!$M$2:$M$679,MATCH(409,'Transfer Engine'!$C$2:$C$679,0)))</f>
        <v/>
      </c>
      <c r="N418" s="8">
        <f>IF(ISNA(MATCH(409,'Transfer Engine'!$C$2:$C$679,0)),"",INDEX('Compliance Database'!$N$2:$N$679,MATCH(409,'Transfer Engine'!$C$2:$C$679,0)))</f>
        <v/>
      </c>
      <c r="O418" s="8">
        <f>IF(ISNA(MATCH(409,'Transfer Engine'!$C$2:$C$679,0)),"",INDEX('Compliance Database'!$O$2:$O$679,MATCH(409,'Transfer Engine'!$C$2:$C$679,0)))</f>
        <v/>
      </c>
      <c r="P418">
        <f>IF(ISNA(MATCH(409,'Transfer Engine'!$C$2:$C$679,0)),"",HYPERLINK(INDEX('Compliance Database'!$P$2:$P$679,MATCH(409,'Transfer Engine'!$C$2:$C$679,0)),"Open PDF"))</f>
        <v/>
      </c>
    </row>
    <row r="419">
      <c r="A419">
        <f>IF(ISNA(MATCH(410,'Transfer Engine'!$C$2:$C$679,0)),"",INDEX('Compliance Database'!$A$2:$A$679,MATCH(410,'Transfer Engine'!$C$2:$C$679,0)))</f>
        <v/>
      </c>
      <c r="B419">
        <f>IF(ISNA(MATCH(410,'Transfer Engine'!$C$2:$C$679,0)),"",INDEX('Compliance Database'!$B$2:$B$679,MATCH(410,'Transfer Engine'!$C$2:$C$679,0)))</f>
        <v/>
      </c>
      <c r="C419">
        <f>IF(ISNA(MATCH(410,'Transfer Engine'!$C$2:$C$679,0)),"",INDEX('Compliance Database'!$C$2:$C$679,MATCH(410,'Transfer Engine'!$C$2:$C$679,0)))</f>
        <v/>
      </c>
      <c r="D419" s="8">
        <f>IF(ISNA(MATCH(410,'Transfer Engine'!$C$2:$C$679,0)),"",INDEX('Compliance Database'!$D$2:$D$679,MATCH(410,'Transfer Engine'!$C$2:$C$679,0)))</f>
        <v/>
      </c>
      <c r="E419">
        <f>IF(ISNA(MATCH(410,'Transfer Engine'!$C$2:$C$679,0)),"",INDEX('Compliance Database'!$E$2:$E$679,MATCH(410,'Transfer Engine'!$C$2:$C$679,0)))</f>
        <v/>
      </c>
      <c r="F419">
        <f>IF(ISNA(MATCH(410,'Transfer Engine'!$C$2:$C$679,0)),"",INDEX('Compliance Database'!$F$2:$F$679,MATCH(410,'Transfer Engine'!$C$2:$C$679,0)))</f>
        <v/>
      </c>
      <c r="G419">
        <f>IF(ISNA(MATCH(410,'Transfer Engine'!$C$2:$C$679,0)),"",INDEX('Compliance Database'!$G$2:$G$679,MATCH(410,'Transfer Engine'!$C$2:$C$679,0)))</f>
        <v/>
      </c>
      <c r="H419">
        <f>IF(ISNA(MATCH(410,'Transfer Engine'!$C$2:$C$679,0)),"",INDEX('Compliance Database'!$H$2:$H$679,MATCH(410,'Transfer Engine'!$C$2:$C$679,0)))</f>
        <v/>
      </c>
      <c r="I419" s="8">
        <f>IF(ISNA(MATCH(410,'Transfer Engine'!$C$2:$C$679,0)),"",INDEX('Compliance Database'!$I$2:$I$679,MATCH(410,'Transfer Engine'!$C$2:$C$679,0)))</f>
        <v/>
      </c>
      <c r="J419" s="8">
        <f>IF(ISNA(MATCH(410,'Transfer Engine'!$C$2:$C$679,0)),"",INDEX('Compliance Database'!$J$2:$J$679,MATCH(410,'Transfer Engine'!$C$2:$C$679,0)))</f>
        <v/>
      </c>
      <c r="K419">
        <f>IF(ISNA(MATCH(410,'Transfer Engine'!$C$2:$C$679,0)),"",INDEX('Compliance Database'!$K$2:$K$679,MATCH(410,'Transfer Engine'!$C$2:$C$679,0)))</f>
        <v/>
      </c>
      <c r="L419" s="8">
        <f>IF(ISNA(MATCH(410,'Transfer Engine'!$C$2:$C$679,0)),"",INDEX('Compliance Database'!$L$2:$L$679,MATCH(410,'Transfer Engine'!$C$2:$C$679,0)))</f>
        <v/>
      </c>
      <c r="M419" s="8">
        <f>IF(ISNA(MATCH(410,'Transfer Engine'!$C$2:$C$679,0)),"",INDEX('Compliance Database'!$M$2:$M$679,MATCH(410,'Transfer Engine'!$C$2:$C$679,0)))</f>
        <v/>
      </c>
      <c r="N419" s="8">
        <f>IF(ISNA(MATCH(410,'Transfer Engine'!$C$2:$C$679,0)),"",INDEX('Compliance Database'!$N$2:$N$679,MATCH(410,'Transfer Engine'!$C$2:$C$679,0)))</f>
        <v/>
      </c>
      <c r="O419" s="8">
        <f>IF(ISNA(MATCH(410,'Transfer Engine'!$C$2:$C$679,0)),"",INDEX('Compliance Database'!$O$2:$O$679,MATCH(410,'Transfer Engine'!$C$2:$C$679,0)))</f>
        <v/>
      </c>
      <c r="P419">
        <f>IF(ISNA(MATCH(410,'Transfer Engine'!$C$2:$C$679,0)),"",HYPERLINK(INDEX('Compliance Database'!$P$2:$P$679,MATCH(410,'Transfer Engine'!$C$2:$C$679,0)),"Open PDF"))</f>
        <v/>
      </c>
    </row>
    <row r="420">
      <c r="A420">
        <f>IF(ISNA(MATCH(411,'Transfer Engine'!$C$2:$C$679,0)),"",INDEX('Compliance Database'!$A$2:$A$679,MATCH(411,'Transfer Engine'!$C$2:$C$679,0)))</f>
        <v/>
      </c>
      <c r="B420">
        <f>IF(ISNA(MATCH(411,'Transfer Engine'!$C$2:$C$679,0)),"",INDEX('Compliance Database'!$B$2:$B$679,MATCH(411,'Transfer Engine'!$C$2:$C$679,0)))</f>
        <v/>
      </c>
      <c r="C420">
        <f>IF(ISNA(MATCH(411,'Transfer Engine'!$C$2:$C$679,0)),"",INDEX('Compliance Database'!$C$2:$C$679,MATCH(411,'Transfer Engine'!$C$2:$C$679,0)))</f>
        <v/>
      </c>
      <c r="D420" s="8">
        <f>IF(ISNA(MATCH(411,'Transfer Engine'!$C$2:$C$679,0)),"",INDEX('Compliance Database'!$D$2:$D$679,MATCH(411,'Transfer Engine'!$C$2:$C$679,0)))</f>
        <v/>
      </c>
      <c r="E420">
        <f>IF(ISNA(MATCH(411,'Transfer Engine'!$C$2:$C$679,0)),"",INDEX('Compliance Database'!$E$2:$E$679,MATCH(411,'Transfer Engine'!$C$2:$C$679,0)))</f>
        <v/>
      </c>
      <c r="F420">
        <f>IF(ISNA(MATCH(411,'Transfer Engine'!$C$2:$C$679,0)),"",INDEX('Compliance Database'!$F$2:$F$679,MATCH(411,'Transfer Engine'!$C$2:$C$679,0)))</f>
        <v/>
      </c>
      <c r="G420">
        <f>IF(ISNA(MATCH(411,'Transfer Engine'!$C$2:$C$679,0)),"",INDEX('Compliance Database'!$G$2:$G$679,MATCH(411,'Transfer Engine'!$C$2:$C$679,0)))</f>
        <v/>
      </c>
      <c r="H420">
        <f>IF(ISNA(MATCH(411,'Transfer Engine'!$C$2:$C$679,0)),"",INDEX('Compliance Database'!$H$2:$H$679,MATCH(411,'Transfer Engine'!$C$2:$C$679,0)))</f>
        <v/>
      </c>
      <c r="I420" s="8">
        <f>IF(ISNA(MATCH(411,'Transfer Engine'!$C$2:$C$679,0)),"",INDEX('Compliance Database'!$I$2:$I$679,MATCH(411,'Transfer Engine'!$C$2:$C$679,0)))</f>
        <v/>
      </c>
      <c r="J420" s="8">
        <f>IF(ISNA(MATCH(411,'Transfer Engine'!$C$2:$C$679,0)),"",INDEX('Compliance Database'!$J$2:$J$679,MATCH(411,'Transfer Engine'!$C$2:$C$679,0)))</f>
        <v/>
      </c>
      <c r="K420">
        <f>IF(ISNA(MATCH(411,'Transfer Engine'!$C$2:$C$679,0)),"",INDEX('Compliance Database'!$K$2:$K$679,MATCH(411,'Transfer Engine'!$C$2:$C$679,0)))</f>
        <v/>
      </c>
      <c r="L420" s="8">
        <f>IF(ISNA(MATCH(411,'Transfer Engine'!$C$2:$C$679,0)),"",INDEX('Compliance Database'!$L$2:$L$679,MATCH(411,'Transfer Engine'!$C$2:$C$679,0)))</f>
        <v/>
      </c>
      <c r="M420" s="8">
        <f>IF(ISNA(MATCH(411,'Transfer Engine'!$C$2:$C$679,0)),"",INDEX('Compliance Database'!$M$2:$M$679,MATCH(411,'Transfer Engine'!$C$2:$C$679,0)))</f>
        <v/>
      </c>
      <c r="N420" s="8">
        <f>IF(ISNA(MATCH(411,'Transfer Engine'!$C$2:$C$679,0)),"",INDEX('Compliance Database'!$N$2:$N$679,MATCH(411,'Transfer Engine'!$C$2:$C$679,0)))</f>
        <v/>
      </c>
      <c r="O420" s="8">
        <f>IF(ISNA(MATCH(411,'Transfer Engine'!$C$2:$C$679,0)),"",INDEX('Compliance Database'!$O$2:$O$679,MATCH(411,'Transfer Engine'!$C$2:$C$679,0)))</f>
        <v/>
      </c>
      <c r="P420">
        <f>IF(ISNA(MATCH(411,'Transfer Engine'!$C$2:$C$679,0)),"",HYPERLINK(INDEX('Compliance Database'!$P$2:$P$679,MATCH(411,'Transfer Engine'!$C$2:$C$679,0)),"Open PDF"))</f>
        <v/>
      </c>
    </row>
    <row r="421">
      <c r="A421">
        <f>IF(ISNA(MATCH(412,'Transfer Engine'!$C$2:$C$679,0)),"",INDEX('Compliance Database'!$A$2:$A$679,MATCH(412,'Transfer Engine'!$C$2:$C$679,0)))</f>
        <v/>
      </c>
      <c r="B421">
        <f>IF(ISNA(MATCH(412,'Transfer Engine'!$C$2:$C$679,0)),"",INDEX('Compliance Database'!$B$2:$B$679,MATCH(412,'Transfer Engine'!$C$2:$C$679,0)))</f>
        <v/>
      </c>
      <c r="C421">
        <f>IF(ISNA(MATCH(412,'Transfer Engine'!$C$2:$C$679,0)),"",INDEX('Compliance Database'!$C$2:$C$679,MATCH(412,'Transfer Engine'!$C$2:$C$679,0)))</f>
        <v/>
      </c>
      <c r="D421" s="8">
        <f>IF(ISNA(MATCH(412,'Transfer Engine'!$C$2:$C$679,0)),"",INDEX('Compliance Database'!$D$2:$D$679,MATCH(412,'Transfer Engine'!$C$2:$C$679,0)))</f>
        <v/>
      </c>
      <c r="E421">
        <f>IF(ISNA(MATCH(412,'Transfer Engine'!$C$2:$C$679,0)),"",INDEX('Compliance Database'!$E$2:$E$679,MATCH(412,'Transfer Engine'!$C$2:$C$679,0)))</f>
        <v/>
      </c>
      <c r="F421">
        <f>IF(ISNA(MATCH(412,'Transfer Engine'!$C$2:$C$679,0)),"",INDEX('Compliance Database'!$F$2:$F$679,MATCH(412,'Transfer Engine'!$C$2:$C$679,0)))</f>
        <v/>
      </c>
      <c r="G421">
        <f>IF(ISNA(MATCH(412,'Transfer Engine'!$C$2:$C$679,0)),"",INDEX('Compliance Database'!$G$2:$G$679,MATCH(412,'Transfer Engine'!$C$2:$C$679,0)))</f>
        <v/>
      </c>
      <c r="H421">
        <f>IF(ISNA(MATCH(412,'Transfer Engine'!$C$2:$C$679,0)),"",INDEX('Compliance Database'!$H$2:$H$679,MATCH(412,'Transfer Engine'!$C$2:$C$679,0)))</f>
        <v/>
      </c>
      <c r="I421" s="8">
        <f>IF(ISNA(MATCH(412,'Transfer Engine'!$C$2:$C$679,0)),"",INDEX('Compliance Database'!$I$2:$I$679,MATCH(412,'Transfer Engine'!$C$2:$C$679,0)))</f>
        <v/>
      </c>
      <c r="J421" s="8">
        <f>IF(ISNA(MATCH(412,'Transfer Engine'!$C$2:$C$679,0)),"",INDEX('Compliance Database'!$J$2:$J$679,MATCH(412,'Transfer Engine'!$C$2:$C$679,0)))</f>
        <v/>
      </c>
      <c r="K421">
        <f>IF(ISNA(MATCH(412,'Transfer Engine'!$C$2:$C$679,0)),"",INDEX('Compliance Database'!$K$2:$K$679,MATCH(412,'Transfer Engine'!$C$2:$C$679,0)))</f>
        <v/>
      </c>
      <c r="L421" s="8">
        <f>IF(ISNA(MATCH(412,'Transfer Engine'!$C$2:$C$679,0)),"",INDEX('Compliance Database'!$L$2:$L$679,MATCH(412,'Transfer Engine'!$C$2:$C$679,0)))</f>
        <v/>
      </c>
      <c r="M421" s="8">
        <f>IF(ISNA(MATCH(412,'Transfer Engine'!$C$2:$C$679,0)),"",INDEX('Compliance Database'!$M$2:$M$679,MATCH(412,'Transfer Engine'!$C$2:$C$679,0)))</f>
        <v/>
      </c>
      <c r="N421" s="8">
        <f>IF(ISNA(MATCH(412,'Transfer Engine'!$C$2:$C$679,0)),"",INDEX('Compliance Database'!$N$2:$N$679,MATCH(412,'Transfer Engine'!$C$2:$C$679,0)))</f>
        <v/>
      </c>
      <c r="O421" s="8">
        <f>IF(ISNA(MATCH(412,'Transfer Engine'!$C$2:$C$679,0)),"",INDEX('Compliance Database'!$O$2:$O$679,MATCH(412,'Transfer Engine'!$C$2:$C$679,0)))</f>
        <v/>
      </c>
      <c r="P421">
        <f>IF(ISNA(MATCH(412,'Transfer Engine'!$C$2:$C$679,0)),"",HYPERLINK(INDEX('Compliance Database'!$P$2:$P$679,MATCH(412,'Transfer Engine'!$C$2:$C$679,0)),"Open PDF"))</f>
        <v/>
      </c>
    </row>
    <row r="422">
      <c r="A422">
        <f>IF(ISNA(MATCH(413,'Transfer Engine'!$C$2:$C$679,0)),"",INDEX('Compliance Database'!$A$2:$A$679,MATCH(413,'Transfer Engine'!$C$2:$C$679,0)))</f>
        <v/>
      </c>
      <c r="B422">
        <f>IF(ISNA(MATCH(413,'Transfer Engine'!$C$2:$C$679,0)),"",INDEX('Compliance Database'!$B$2:$B$679,MATCH(413,'Transfer Engine'!$C$2:$C$679,0)))</f>
        <v/>
      </c>
      <c r="C422">
        <f>IF(ISNA(MATCH(413,'Transfer Engine'!$C$2:$C$679,0)),"",INDEX('Compliance Database'!$C$2:$C$679,MATCH(413,'Transfer Engine'!$C$2:$C$679,0)))</f>
        <v/>
      </c>
      <c r="D422" s="8">
        <f>IF(ISNA(MATCH(413,'Transfer Engine'!$C$2:$C$679,0)),"",INDEX('Compliance Database'!$D$2:$D$679,MATCH(413,'Transfer Engine'!$C$2:$C$679,0)))</f>
        <v/>
      </c>
      <c r="E422">
        <f>IF(ISNA(MATCH(413,'Transfer Engine'!$C$2:$C$679,0)),"",INDEX('Compliance Database'!$E$2:$E$679,MATCH(413,'Transfer Engine'!$C$2:$C$679,0)))</f>
        <v/>
      </c>
      <c r="F422">
        <f>IF(ISNA(MATCH(413,'Transfer Engine'!$C$2:$C$679,0)),"",INDEX('Compliance Database'!$F$2:$F$679,MATCH(413,'Transfer Engine'!$C$2:$C$679,0)))</f>
        <v/>
      </c>
      <c r="G422">
        <f>IF(ISNA(MATCH(413,'Transfer Engine'!$C$2:$C$679,0)),"",INDEX('Compliance Database'!$G$2:$G$679,MATCH(413,'Transfer Engine'!$C$2:$C$679,0)))</f>
        <v/>
      </c>
      <c r="H422">
        <f>IF(ISNA(MATCH(413,'Transfer Engine'!$C$2:$C$679,0)),"",INDEX('Compliance Database'!$H$2:$H$679,MATCH(413,'Transfer Engine'!$C$2:$C$679,0)))</f>
        <v/>
      </c>
      <c r="I422" s="8">
        <f>IF(ISNA(MATCH(413,'Transfer Engine'!$C$2:$C$679,0)),"",INDEX('Compliance Database'!$I$2:$I$679,MATCH(413,'Transfer Engine'!$C$2:$C$679,0)))</f>
        <v/>
      </c>
      <c r="J422" s="8">
        <f>IF(ISNA(MATCH(413,'Transfer Engine'!$C$2:$C$679,0)),"",INDEX('Compliance Database'!$J$2:$J$679,MATCH(413,'Transfer Engine'!$C$2:$C$679,0)))</f>
        <v/>
      </c>
      <c r="K422">
        <f>IF(ISNA(MATCH(413,'Transfer Engine'!$C$2:$C$679,0)),"",INDEX('Compliance Database'!$K$2:$K$679,MATCH(413,'Transfer Engine'!$C$2:$C$679,0)))</f>
        <v/>
      </c>
      <c r="L422" s="8">
        <f>IF(ISNA(MATCH(413,'Transfer Engine'!$C$2:$C$679,0)),"",INDEX('Compliance Database'!$L$2:$L$679,MATCH(413,'Transfer Engine'!$C$2:$C$679,0)))</f>
        <v/>
      </c>
      <c r="M422" s="8">
        <f>IF(ISNA(MATCH(413,'Transfer Engine'!$C$2:$C$679,0)),"",INDEX('Compliance Database'!$M$2:$M$679,MATCH(413,'Transfer Engine'!$C$2:$C$679,0)))</f>
        <v/>
      </c>
      <c r="N422" s="8">
        <f>IF(ISNA(MATCH(413,'Transfer Engine'!$C$2:$C$679,0)),"",INDEX('Compliance Database'!$N$2:$N$679,MATCH(413,'Transfer Engine'!$C$2:$C$679,0)))</f>
        <v/>
      </c>
      <c r="O422" s="8">
        <f>IF(ISNA(MATCH(413,'Transfer Engine'!$C$2:$C$679,0)),"",INDEX('Compliance Database'!$O$2:$O$679,MATCH(413,'Transfer Engine'!$C$2:$C$679,0)))</f>
        <v/>
      </c>
      <c r="P422">
        <f>IF(ISNA(MATCH(413,'Transfer Engine'!$C$2:$C$679,0)),"",HYPERLINK(INDEX('Compliance Database'!$P$2:$P$679,MATCH(413,'Transfer Engine'!$C$2:$C$679,0)),"Open PDF"))</f>
        <v/>
      </c>
    </row>
    <row r="423">
      <c r="A423">
        <f>IF(ISNA(MATCH(414,'Transfer Engine'!$C$2:$C$679,0)),"",INDEX('Compliance Database'!$A$2:$A$679,MATCH(414,'Transfer Engine'!$C$2:$C$679,0)))</f>
        <v/>
      </c>
      <c r="B423">
        <f>IF(ISNA(MATCH(414,'Transfer Engine'!$C$2:$C$679,0)),"",INDEX('Compliance Database'!$B$2:$B$679,MATCH(414,'Transfer Engine'!$C$2:$C$679,0)))</f>
        <v/>
      </c>
      <c r="C423">
        <f>IF(ISNA(MATCH(414,'Transfer Engine'!$C$2:$C$679,0)),"",INDEX('Compliance Database'!$C$2:$C$679,MATCH(414,'Transfer Engine'!$C$2:$C$679,0)))</f>
        <v/>
      </c>
      <c r="D423" s="8">
        <f>IF(ISNA(MATCH(414,'Transfer Engine'!$C$2:$C$679,0)),"",INDEX('Compliance Database'!$D$2:$D$679,MATCH(414,'Transfer Engine'!$C$2:$C$679,0)))</f>
        <v/>
      </c>
      <c r="E423">
        <f>IF(ISNA(MATCH(414,'Transfer Engine'!$C$2:$C$679,0)),"",INDEX('Compliance Database'!$E$2:$E$679,MATCH(414,'Transfer Engine'!$C$2:$C$679,0)))</f>
        <v/>
      </c>
      <c r="F423">
        <f>IF(ISNA(MATCH(414,'Transfer Engine'!$C$2:$C$679,0)),"",INDEX('Compliance Database'!$F$2:$F$679,MATCH(414,'Transfer Engine'!$C$2:$C$679,0)))</f>
        <v/>
      </c>
      <c r="G423">
        <f>IF(ISNA(MATCH(414,'Transfer Engine'!$C$2:$C$679,0)),"",INDEX('Compliance Database'!$G$2:$G$679,MATCH(414,'Transfer Engine'!$C$2:$C$679,0)))</f>
        <v/>
      </c>
      <c r="H423">
        <f>IF(ISNA(MATCH(414,'Transfer Engine'!$C$2:$C$679,0)),"",INDEX('Compliance Database'!$H$2:$H$679,MATCH(414,'Transfer Engine'!$C$2:$C$679,0)))</f>
        <v/>
      </c>
      <c r="I423" s="8">
        <f>IF(ISNA(MATCH(414,'Transfer Engine'!$C$2:$C$679,0)),"",INDEX('Compliance Database'!$I$2:$I$679,MATCH(414,'Transfer Engine'!$C$2:$C$679,0)))</f>
        <v/>
      </c>
      <c r="J423" s="8">
        <f>IF(ISNA(MATCH(414,'Transfer Engine'!$C$2:$C$679,0)),"",INDEX('Compliance Database'!$J$2:$J$679,MATCH(414,'Transfer Engine'!$C$2:$C$679,0)))</f>
        <v/>
      </c>
      <c r="K423">
        <f>IF(ISNA(MATCH(414,'Transfer Engine'!$C$2:$C$679,0)),"",INDEX('Compliance Database'!$K$2:$K$679,MATCH(414,'Transfer Engine'!$C$2:$C$679,0)))</f>
        <v/>
      </c>
      <c r="L423" s="8">
        <f>IF(ISNA(MATCH(414,'Transfer Engine'!$C$2:$C$679,0)),"",INDEX('Compliance Database'!$L$2:$L$679,MATCH(414,'Transfer Engine'!$C$2:$C$679,0)))</f>
        <v/>
      </c>
      <c r="M423" s="8">
        <f>IF(ISNA(MATCH(414,'Transfer Engine'!$C$2:$C$679,0)),"",INDEX('Compliance Database'!$M$2:$M$679,MATCH(414,'Transfer Engine'!$C$2:$C$679,0)))</f>
        <v/>
      </c>
      <c r="N423" s="8">
        <f>IF(ISNA(MATCH(414,'Transfer Engine'!$C$2:$C$679,0)),"",INDEX('Compliance Database'!$N$2:$N$679,MATCH(414,'Transfer Engine'!$C$2:$C$679,0)))</f>
        <v/>
      </c>
      <c r="O423" s="8">
        <f>IF(ISNA(MATCH(414,'Transfer Engine'!$C$2:$C$679,0)),"",INDEX('Compliance Database'!$O$2:$O$679,MATCH(414,'Transfer Engine'!$C$2:$C$679,0)))</f>
        <v/>
      </c>
      <c r="P423">
        <f>IF(ISNA(MATCH(414,'Transfer Engine'!$C$2:$C$679,0)),"",HYPERLINK(INDEX('Compliance Database'!$P$2:$P$679,MATCH(414,'Transfer Engine'!$C$2:$C$679,0)),"Open PDF"))</f>
        <v/>
      </c>
    </row>
    <row r="424">
      <c r="A424">
        <f>IF(ISNA(MATCH(415,'Transfer Engine'!$C$2:$C$679,0)),"",INDEX('Compliance Database'!$A$2:$A$679,MATCH(415,'Transfer Engine'!$C$2:$C$679,0)))</f>
        <v/>
      </c>
      <c r="B424">
        <f>IF(ISNA(MATCH(415,'Transfer Engine'!$C$2:$C$679,0)),"",INDEX('Compliance Database'!$B$2:$B$679,MATCH(415,'Transfer Engine'!$C$2:$C$679,0)))</f>
        <v/>
      </c>
      <c r="C424">
        <f>IF(ISNA(MATCH(415,'Transfer Engine'!$C$2:$C$679,0)),"",INDEX('Compliance Database'!$C$2:$C$679,MATCH(415,'Transfer Engine'!$C$2:$C$679,0)))</f>
        <v/>
      </c>
      <c r="D424" s="8">
        <f>IF(ISNA(MATCH(415,'Transfer Engine'!$C$2:$C$679,0)),"",INDEX('Compliance Database'!$D$2:$D$679,MATCH(415,'Transfer Engine'!$C$2:$C$679,0)))</f>
        <v/>
      </c>
      <c r="E424">
        <f>IF(ISNA(MATCH(415,'Transfer Engine'!$C$2:$C$679,0)),"",INDEX('Compliance Database'!$E$2:$E$679,MATCH(415,'Transfer Engine'!$C$2:$C$679,0)))</f>
        <v/>
      </c>
      <c r="F424">
        <f>IF(ISNA(MATCH(415,'Transfer Engine'!$C$2:$C$679,0)),"",INDEX('Compliance Database'!$F$2:$F$679,MATCH(415,'Transfer Engine'!$C$2:$C$679,0)))</f>
        <v/>
      </c>
      <c r="G424">
        <f>IF(ISNA(MATCH(415,'Transfer Engine'!$C$2:$C$679,0)),"",INDEX('Compliance Database'!$G$2:$G$679,MATCH(415,'Transfer Engine'!$C$2:$C$679,0)))</f>
        <v/>
      </c>
      <c r="H424">
        <f>IF(ISNA(MATCH(415,'Transfer Engine'!$C$2:$C$679,0)),"",INDEX('Compliance Database'!$H$2:$H$679,MATCH(415,'Transfer Engine'!$C$2:$C$679,0)))</f>
        <v/>
      </c>
      <c r="I424" s="8">
        <f>IF(ISNA(MATCH(415,'Transfer Engine'!$C$2:$C$679,0)),"",INDEX('Compliance Database'!$I$2:$I$679,MATCH(415,'Transfer Engine'!$C$2:$C$679,0)))</f>
        <v/>
      </c>
      <c r="J424" s="8">
        <f>IF(ISNA(MATCH(415,'Transfer Engine'!$C$2:$C$679,0)),"",INDEX('Compliance Database'!$J$2:$J$679,MATCH(415,'Transfer Engine'!$C$2:$C$679,0)))</f>
        <v/>
      </c>
      <c r="K424">
        <f>IF(ISNA(MATCH(415,'Transfer Engine'!$C$2:$C$679,0)),"",INDEX('Compliance Database'!$K$2:$K$679,MATCH(415,'Transfer Engine'!$C$2:$C$679,0)))</f>
        <v/>
      </c>
      <c r="L424" s="8">
        <f>IF(ISNA(MATCH(415,'Transfer Engine'!$C$2:$C$679,0)),"",INDEX('Compliance Database'!$L$2:$L$679,MATCH(415,'Transfer Engine'!$C$2:$C$679,0)))</f>
        <v/>
      </c>
      <c r="M424" s="8">
        <f>IF(ISNA(MATCH(415,'Transfer Engine'!$C$2:$C$679,0)),"",INDEX('Compliance Database'!$M$2:$M$679,MATCH(415,'Transfer Engine'!$C$2:$C$679,0)))</f>
        <v/>
      </c>
      <c r="N424" s="8">
        <f>IF(ISNA(MATCH(415,'Transfer Engine'!$C$2:$C$679,0)),"",INDEX('Compliance Database'!$N$2:$N$679,MATCH(415,'Transfer Engine'!$C$2:$C$679,0)))</f>
        <v/>
      </c>
      <c r="O424" s="8">
        <f>IF(ISNA(MATCH(415,'Transfer Engine'!$C$2:$C$679,0)),"",INDEX('Compliance Database'!$O$2:$O$679,MATCH(415,'Transfer Engine'!$C$2:$C$679,0)))</f>
        <v/>
      </c>
      <c r="P424">
        <f>IF(ISNA(MATCH(415,'Transfer Engine'!$C$2:$C$679,0)),"",HYPERLINK(INDEX('Compliance Database'!$P$2:$P$679,MATCH(415,'Transfer Engine'!$C$2:$C$679,0)),"Open PDF"))</f>
        <v/>
      </c>
    </row>
    <row r="425">
      <c r="A425">
        <f>IF(ISNA(MATCH(416,'Transfer Engine'!$C$2:$C$679,0)),"",INDEX('Compliance Database'!$A$2:$A$679,MATCH(416,'Transfer Engine'!$C$2:$C$679,0)))</f>
        <v/>
      </c>
      <c r="B425">
        <f>IF(ISNA(MATCH(416,'Transfer Engine'!$C$2:$C$679,0)),"",INDEX('Compliance Database'!$B$2:$B$679,MATCH(416,'Transfer Engine'!$C$2:$C$679,0)))</f>
        <v/>
      </c>
      <c r="C425">
        <f>IF(ISNA(MATCH(416,'Transfer Engine'!$C$2:$C$679,0)),"",INDEX('Compliance Database'!$C$2:$C$679,MATCH(416,'Transfer Engine'!$C$2:$C$679,0)))</f>
        <v/>
      </c>
      <c r="D425" s="8">
        <f>IF(ISNA(MATCH(416,'Transfer Engine'!$C$2:$C$679,0)),"",INDEX('Compliance Database'!$D$2:$D$679,MATCH(416,'Transfer Engine'!$C$2:$C$679,0)))</f>
        <v/>
      </c>
      <c r="E425">
        <f>IF(ISNA(MATCH(416,'Transfer Engine'!$C$2:$C$679,0)),"",INDEX('Compliance Database'!$E$2:$E$679,MATCH(416,'Transfer Engine'!$C$2:$C$679,0)))</f>
        <v/>
      </c>
      <c r="F425">
        <f>IF(ISNA(MATCH(416,'Transfer Engine'!$C$2:$C$679,0)),"",INDEX('Compliance Database'!$F$2:$F$679,MATCH(416,'Transfer Engine'!$C$2:$C$679,0)))</f>
        <v/>
      </c>
      <c r="G425">
        <f>IF(ISNA(MATCH(416,'Transfer Engine'!$C$2:$C$679,0)),"",INDEX('Compliance Database'!$G$2:$G$679,MATCH(416,'Transfer Engine'!$C$2:$C$679,0)))</f>
        <v/>
      </c>
      <c r="H425">
        <f>IF(ISNA(MATCH(416,'Transfer Engine'!$C$2:$C$679,0)),"",INDEX('Compliance Database'!$H$2:$H$679,MATCH(416,'Transfer Engine'!$C$2:$C$679,0)))</f>
        <v/>
      </c>
      <c r="I425" s="8">
        <f>IF(ISNA(MATCH(416,'Transfer Engine'!$C$2:$C$679,0)),"",INDEX('Compliance Database'!$I$2:$I$679,MATCH(416,'Transfer Engine'!$C$2:$C$679,0)))</f>
        <v/>
      </c>
      <c r="J425" s="8">
        <f>IF(ISNA(MATCH(416,'Transfer Engine'!$C$2:$C$679,0)),"",INDEX('Compliance Database'!$J$2:$J$679,MATCH(416,'Transfer Engine'!$C$2:$C$679,0)))</f>
        <v/>
      </c>
      <c r="K425">
        <f>IF(ISNA(MATCH(416,'Transfer Engine'!$C$2:$C$679,0)),"",INDEX('Compliance Database'!$K$2:$K$679,MATCH(416,'Transfer Engine'!$C$2:$C$679,0)))</f>
        <v/>
      </c>
      <c r="L425" s="8">
        <f>IF(ISNA(MATCH(416,'Transfer Engine'!$C$2:$C$679,0)),"",INDEX('Compliance Database'!$L$2:$L$679,MATCH(416,'Transfer Engine'!$C$2:$C$679,0)))</f>
        <v/>
      </c>
      <c r="M425" s="8">
        <f>IF(ISNA(MATCH(416,'Transfer Engine'!$C$2:$C$679,0)),"",INDEX('Compliance Database'!$M$2:$M$679,MATCH(416,'Transfer Engine'!$C$2:$C$679,0)))</f>
        <v/>
      </c>
      <c r="N425" s="8">
        <f>IF(ISNA(MATCH(416,'Transfer Engine'!$C$2:$C$679,0)),"",INDEX('Compliance Database'!$N$2:$N$679,MATCH(416,'Transfer Engine'!$C$2:$C$679,0)))</f>
        <v/>
      </c>
      <c r="O425" s="8">
        <f>IF(ISNA(MATCH(416,'Transfer Engine'!$C$2:$C$679,0)),"",INDEX('Compliance Database'!$O$2:$O$679,MATCH(416,'Transfer Engine'!$C$2:$C$679,0)))</f>
        <v/>
      </c>
      <c r="P425">
        <f>IF(ISNA(MATCH(416,'Transfer Engine'!$C$2:$C$679,0)),"",HYPERLINK(INDEX('Compliance Database'!$P$2:$P$679,MATCH(416,'Transfer Engine'!$C$2:$C$679,0)),"Open PDF"))</f>
        <v/>
      </c>
    </row>
    <row r="426">
      <c r="A426">
        <f>IF(ISNA(MATCH(417,'Transfer Engine'!$C$2:$C$679,0)),"",INDEX('Compliance Database'!$A$2:$A$679,MATCH(417,'Transfer Engine'!$C$2:$C$679,0)))</f>
        <v/>
      </c>
      <c r="B426">
        <f>IF(ISNA(MATCH(417,'Transfer Engine'!$C$2:$C$679,0)),"",INDEX('Compliance Database'!$B$2:$B$679,MATCH(417,'Transfer Engine'!$C$2:$C$679,0)))</f>
        <v/>
      </c>
      <c r="C426">
        <f>IF(ISNA(MATCH(417,'Transfer Engine'!$C$2:$C$679,0)),"",INDEX('Compliance Database'!$C$2:$C$679,MATCH(417,'Transfer Engine'!$C$2:$C$679,0)))</f>
        <v/>
      </c>
      <c r="D426" s="8">
        <f>IF(ISNA(MATCH(417,'Transfer Engine'!$C$2:$C$679,0)),"",INDEX('Compliance Database'!$D$2:$D$679,MATCH(417,'Transfer Engine'!$C$2:$C$679,0)))</f>
        <v/>
      </c>
      <c r="E426">
        <f>IF(ISNA(MATCH(417,'Transfer Engine'!$C$2:$C$679,0)),"",INDEX('Compliance Database'!$E$2:$E$679,MATCH(417,'Transfer Engine'!$C$2:$C$679,0)))</f>
        <v/>
      </c>
      <c r="F426">
        <f>IF(ISNA(MATCH(417,'Transfer Engine'!$C$2:$C$679,0)),"",INDEX('Compliance Database'!$F$2:$F$679,MATCH(417,'Transfer Engine'!$C$2:$C$679,0)))</f>
        <v/>
      </c>
      <c r="G426">
        <f>IF(ISNA(MATCH(417,'Transfer Engine'!$C$2:$C$679,0)),"",INDEX('Compliance Database'!$G$2:$G$679,MATCH(417,'Transfer Engine'!$C$2:$C$679,0)))</f>
        <v/>
      </c>
      <c r="H426">
        <f>IF(ISNA(MATCH(417,'Transfer Engine'!$C$2:$C$679,0)),"",INDEX('Compliance Database'!$H$2:$H$679,MATCH(417,'Transfer Engine'!$C$2:$C$679,0)))</f>
        <v/>
      </c>
      <c r="I426" s="8">
        <f>IF(ISNA(MATCH(417,'Transfer Engine'!$C$2:$C$679,0)),"",INDEX('Compliance Database'!$I$2:$I$679,MATCH(417,'Transfer Engine'!$C$2:$C$679,0)))</f>
        <v/>
      </c>
      <c r="J426" s="8">
        <f>IF(ISNA(MATCH(417,'Transfer Engine'!$C$2:$C$679,0)),"",INDEX('Compliance Database'!$J$2:$J$679,MATCH(417,'Transfer Engine'!$C$2:$C$679,0)))</f>
        <v/>
      </c>
      <c r="K426">
        <f>IF(ISNA(MATCH(417,'Transfer Engine'!$C$2:$C$679,0)),"",INDEX('Compliance Database'!$K$2:$K$679,MATCH(417,'Transfer Engine'!$C$2:$C$679,0)))</f>
        <v/>
      </c>
      <c r="L426" s="8">
        <f>IF(ISNA(MATCH(417,'Transfer Engine'!$C$2:$C$679,0)),"",INDEX('Compliance Database'!$L$2:$L$679,MATCH(417,'Transfer Engine'!$C$2:$C$679,0)))</f>
        <v/>
      </c>
      <c r="M426" s="8">
        <f>IF(ISNA(MATCH(417,'Transfer Engine'!$C$2:$C$679,0)),"",INDEX('Compliance Database'!$M$2:$M$679,MATCH(417,'Transfer Engine'!$C$2:$C$679,0)))</f>
        <v/>
      </c>
      <c r="N426" s="8">
        <f>IF(ISNA(MATCH(417,'Transfer Engine'!$C$2:$C$679,0)),"",INDEX('Compliance Database'!$N$2:$N$679,MATCH(417,'Transfer Engine'!$C$2:$C$679,0)))</f>
        <v/>
      </c>
      <c r="O426" s="8">
        <f>IF(ISNA(MATCH(417,'Transfer Engine'!$C$2:$C$679,0)),"",INDEX('Compliance Database'!$O$2:$O$679,MATCH(417,'Transfer Engine'!$C$2:$C$679,0)))</f>
        <v/>
      </c>
      <c r="P426">
        <f>IF(ISNA(MATCH(417,'Transfer Engine'!$C$2:$C$679,0)),"",HYPERLINK(INDEX('Compliance Database'!$P$2:$P$679,MATCH(417,'Transfer Engine'!$C$2:$C$679,0)),"Open PDF"))</f>
        <v/>
      </c>
    </row>
    <row r="427">
      <c r="A427">
        <f>IF(ISNA(MATCH(418,'Transfer Engine'!$C$2:$C$679,0)),"",INDEX('Compliance Database'!$A$2:$A$679,MATCH(418,'Transfer Engine'!$C$2:$C$679,0)))</f>
        <v/>
      </c>
      <c r="B427">
        <f>IF(ISNA(MATCH(418,'Transfer Engine'!$C$2:$C$679,0)),"",INDEX('Compliance Database'!$B$2:$B$679,MATCH(418,'Transfer Engine'!$C$2:$C$679,0)))</f>
        <v/>
      </c>
      <c r="C427">
        <f>IF(ISNA(MATCH(418,'Transfer Engine'!$C$2:$C$679,0)),"",INDEX('Compliance Database'!$C$2:$C$679,MATCH(418,'Transfer Engine'!$C$2:$C$679,0)))</f>
        <v/>
      </c>
      <c r="D427" s="8">
        <f>IF(ISNA(MATCH(418,'Transfer Engine'!$C$2:$C$679,0)),"",INDEX('Compliance Database'!$D$2:$D$679,MATCH(418,'Transfer Engine'!$C$2:$C$679,0)))</f>
        <v/>
      </c>
      <c r="E427">
        <f>IF(ISNA(MATCH(418,'Transfer Engine'!$C$2:$C$679,0)),"",INDEX('Compliance Database'!$E$2:$E$679,MATCH(418,'Transfer Engine'!$C$2:$C$679,0)))</f>
        <v/>
      </c>
      <c r="F427">
        <f>IF(ISNA(MATCH(418,'Transfer Engine'!$C$2:$C$679,0)),"",INDEX('Compliance Database'!$F$2:$F$679,MATCH(418,'Transfer Engine'!$C$2:$C$679,0)))</f>
        <v/>
      </c>
      <c r="G427">
        <f>IF(ISNA(MATCH(418,'Transfer Engine'!$C$2:$C$679,0)),"",INDEX('Compliance Database'!$G$2:$G$679,MATCH(418,'Transfer Engine'!$C$2:$C$679,0)))</f>
        <v/>
      </c>
      <c r="H427">
        <f>IF(ISNA(MATCH(418,'Transfer Engine'!$C$2:$C$679,0)),"",INDEX('Compliance Database'!$H$2:$H$679,MATCH(418,'Transfer Engine'!$C$2:$C$679,0)))</f>
        <v/>
      </c>
      <c r="I427" s="8">
        <f>IF(ISNA(MATCH(418,'Transfer Engine'!$C$2:$C$679,0)),"",INDEX('Compliance Database'!$I$2:$I$679,MATCH(418,'Transfer Engine'!$C$2:$C$679,0)))</f>
        <v/>
      </c>
      <c r="J427" s="8">
        <f>IF(ISNA(MATCH(418,'Transfer Engine'!$C$2:$C$679,0)),"",INDEX('Compliance Database'!$J$2:$J$679,MATCH(418,'Transfer Engine'!$C$2:$C$679,0)))</f>
        <v/>
      </c>
      <c r="K427">
        <f>IF(ISNA(MATCH(418,'Transfer Engine'!$C$2:$C$679,0)),"",INDEX('Compliance Database'!$K$2:$K$679,MATCH(418,'Transfer Engine'!$C$2:$C$679,0)))</f>
        <v/>
      </c>
      <c r="L427" s="8">
        <f>IF(ISNA(MATCH(418,'Transfer Engine'!$C$2:$C$679,0)),"",INDEX('Compliance Database'!$L$2:$L$679,MATCH(418,'Transfer Engine'!$C$2:$C$679,0)))</f>
        <v/>
      </c>
      <c r="M427" s="8">
        <f>IF(ISNA(MATCH(418,'Transfer Engine'!$C$2:$C$679,0)),"",INDEX('Compliance Database'!$M$2:$M$679,MATCH(418,'Transfer Engine'!$C$2:$C$679,0)))</f>
        <v/>
      </c>
      <c r="N427" s="8">
        <f>IF(ISNA(MATCH(418,'Transfer Engine'!$C$2:$C$679,0)),"",INDEX('Compliance Database'!$N$2:$N$679,MATCH(418,'Transfer Engine'!$C$2:$C$679,0)))</f>
        <v/>
      </c>
      <c r="O427" s="8">
        <f>IF(ISNA(MATCH(418,'Transfer Engine'!$C$2:$C$679,0)),"",INDEX('Compliance Database'!$O$2:$O$679,MATCH(418,'Transfer Engine'!$C$2:$C$679,0)))</f>
        <v/>
      </c>
      <c r="P427">
        <f>IF(ISNA(MATCH(418,'Transfer Engine'!$C$2:$C$679,0)),"",HYPERLINK(INDEX('Compliance Database'!$P$2:$P$679,MATCH(418,'Transfer Engine'!$C$2:$C$679,0)),"Open PDF"))</f>
        <v/>
      </c>
    </row>
    <row r="428">
      <c r="A428">
        <f>IF(ISNA(MATCH(419,'Transfer Engine'!$C$2:$C$679,0)),"",INDEX('Compliance Database'!$A$2:$A$679,MATCH(419,'Transfer Engine'!$C$2:$C$679,0)))</f>
        <v/>
      </c>
      <c r="B428">
        <f>IF(ISNA(MATCH(419,'Transfer Engine'!$C$2:$C$679,0)),"",INDEX('Compliance Database'!$B$2:$B$679,MATCH(419,'Transfer Engine'!$C$2:$C$679,0)))</f>
        <v/>
      </c>
      <c r="C428">
        <f>IF(ISNA(MATCH(419,'Transfer Engine'!$C$2:$C$679,0)),"",INDEX('Compliance Database'!$C$2:$C$679,MATCH(419,'Transfer Engine'!$C$2:$C$679,0)))</f>
        <v/>
      </c>
      <c r="D428" s="8">
        <f>IF(ISNA(MATCH(419,'Transfer Engine'!$C$2:$C$679,0)),"",INDEX('Compliance Database'!$D$2:$D$679,MATCH(419,'Transfer Engine'!$C$2:$C$679,0)))</f>
        <v/>
      </c>
      <c r="E428">
        <f>IF(ISNA(MATCH(419,'Transfer Engine'!$C$2:$C$679,0)),"",INDEX('Compliance Database'!$E$2:$E$679,MATCH(419,'Transfer Engine'!$C$2:$C$679,0)))</f>
        <v/>
      </c>
      <c r="F428">
        <f>IF(ISNA(MATCH(419,'Transfer Engine'!$C$2:$C$679,0)),"",INDEX('Compliance Database'!$F$2:$F$679,MATCH(419,'Transfer Engine'!$C$2:$C$679,0)))</f>
        <v/>
      </c>
      <c r="G428">
        <f>IF(ISNA(MATCH(419,'Transfer Engine'!$C$2:$C$679,0)),"",INDEX('Compliance Database'!$G$2:$G$679,MATCH(419,'Transfer Engine'!$C$2:$C$679,0)))</f>
        <v/>
      </c>
      <c r="H428">
        <f>IF(ISNA(MATCH(419,'Transfer Engine'!$C$2:$C$679,0)),"",INDEX('Compliance Database'!$H$2:$H$679,MATCH(419,'Transfer Engine'!$C$2:$C$679,0)))</f>
        <v/>
      </c>
      <c r="I428" s="8">
        <f>IF(ISNA(MATCH(419,'Transfer Engine'!$C$2:$C$679,0)),"",INDEX('Compliance Database'!$I$2:$I$679,MATCH(419,'Transfer Engine'!$C$2:$C$679,0)))</f>
        <v/>
      </c>
      <c r="J428" s="8">
        <f>IF(ISNA(MATCH(419,'Transfer Engine'!$C$2:$C$679,0)),"",INDEX('Compliance Database'!$J$2:$J$679,MATCH(419,'Transfer Engine'!$C$2:$C$679,0)))</f>
        <v/>
      </c>
      <c r="K428">
        <f>IF(ISNA(MATCH(419,'Transfer Engine'!$C$2:$C$679,0)),"",INDEX('Compliance Database'!$K$2:$K$679,MATCH(419,'Transfer Engine'!$C$2:$C$679,0)))</f>
        <v/>
      </c>
      <c r="L428" s="8">
        <f>IF(ISNA(MATCH(419,'Transfer Engine'!$C$2:$C$679,0)),"",INDEX('Compliance Database'!$L$2:$L$679,MATCH(419,'Transfer Engine'!$C$2:$C$679,0)))</f>
        <v/>
      </c>
      <c r="M428" s="8">
        <f>IF(ISNA(MATCH(419,'Transfer Engine'!$C$2:$C$679,0)),"",INDEX('Compliance Database'!$M$2:$M$679,MATCH(419,'Transfer Engine'!$C$2:$C$679,0)))</f>
        <v/>
      </c>
      <c r="N428" s="8">
        <f>IF(ISNA(MATCH(419,'Transfer Engine'!$C$2:$C$679,0)),"",INDEX('Compliance Database'!$N$2:$N$679,MATCH(419,'Transfer Engine'!$C$2:$C$679,0)))</f>
        <v/>
      </c>
      <c r="O428" s="8">
        <f>IF(ISNA(MATCH(419,'Transfer Engine'!$C$2:$C$679,0)),"",INDEX('Compliance Database'!$O$2:$O$679,MATCH(419,'Transfer Engine'!$C$2:$C$679,0)))</f>
        <v/>
      </c>
      <c r="P428">
        <f>IF(ISNA(MATCH(419,'Transfer Engine'!$C$2:$C$679,0)),"",HYPERLINK(INDEX('Compliance Database'!$P$2:$P$679,MATCH(419,'Transfer Engine'!$C$2:$C$679,0)),"Open PDF"))</f>
        <v/>
      </c>
    </row>
    <row r="429">
      <c r="A429">
        <f>IF(ISNA(MATCH(420,'Transfer Engine'!$C$2:$C$679,0)),"",INDEX('Compliance Database'!$A$2:$A$679,MATCH(420,'Transfer Engine'!$C$2:$C$679,0)))</f>
        <v/>
      </c>
      <c r="B429">
        <f>IF(ISNA(MATCH(420,'Transfer Engine'!$C$2:$C$679,0)),"",INDEX('Compliance Database'!$B$2:$B$679,MATCH(420,'Transfer Engine'!$C$2:$C$679,0)))</f>
        <v/>
      </c>
      <c r="C429">
        <f>IF(ISNA(MATCH(420,'Transfer Engine'!$C$2:$C$679,0)),"",INDEX('Compliance Database'!$C$2:$C$679,MATCH(420,'Transfer Engine'!$C$2:$C$679,0)))</f>
        <v/>
      </c>
      <c r="D429" s="8">
        <f>IF(ISNA(MATCH(420,'Transfer Engine'!$C$2:$C$679,0)),"",INDEX('Compliance Database'!$D$2:$D$679,MATCH(420,'Transfer Engine'!$C$2:$C$679,0)))</f>
        <v/>
      </c>
      <c r="E429">
        <f>IF(ISNA(MATCH(420,'Transfer Engine'!$C$2:$C$679,0)),"",INDEX('Compliance Database'!$E$2:$E$679,MATCH(420,'Transfer Engine'!$C$2:$C$679,0)))</f>
        <v/>
      </c>
      <c r="F429">
        <f>IF(ISNA(MATCH(420,'Transfer Engine'!$C$2:$C$679,0)),"",INDEX('Compliance Database'!$F$2:$F$679,MATCH(420,'Transfer Engine'!$C$2:$C$679,0)))</f>
        <v/>
      </c>
      <c r="G429">
        <f>IF(ISNA(MATCH(420,'Transfer Engine'!$C$2:$C$679,0)),"",INDEX('Compliance Database'!$G$2:$G$679,MATCH(420,'Transfer Engine'!$C$2:$C$679,0)))</f>
        <v/>
      </c>
      <c r="H429">
        <f>IF(ISNA(MATCH(420,'Transfer Engine'!$C$2:$C$679,0)),"",INDEX('Compliance Database'!$H$2:$H$679,MATCH(420,'Transfer Engine'!$C$2:$C$679,0)))</f>
        <v/>
      </c>
      <c r="I429" s="8">
        <f>IF(ISNA(MATCH(420,'Transfer Engine'!$C$2:$C$679,0)),"",INDEX('Compliance Database'!$I$2:$I$679,MATCH(420,'Transfer Engine'!$C$2:$C$679,0)))</f>
        <v/>
      </c>
      <c r="J429" s="8">
        <f>IF(ISNA(MATCH(420,'Transfer Engine'!$C$2:$C$679,0)),"",INDEX('Compliance Database'!$J$2:$J$679,MATCH(420,'Transfer Engine'!$C$2:$C$679,0)))</f>
        <v/>
      </c>
      <c r="K429">
        <f>IF(ISNA(MATCH(420,'Transfer Engine'!$C$2:$C$679,0)),"",INDEX('Compliance Database'!$K$2:$K$679,MATCH(420,'Transfer Engine'!$C$2:$C$679,0)))</f>
        <v/>
      </c>
      <c r="L429" s="8">
        <f>IF(ISNA(MATCH(420,'Transfer Engine'!$C$2:$C$679,0)),"",INDEX('Compliance Database'!$L$2:$L$679,MATCH(420,'Transfer Engine'!$C$2:$C$679,0)))</f>
        <v/>
      </c>
      <c r="M429" s="8">
        <f>IF(ISNA(MATCH(420,'Transfer Engine'!$C$2:$C$679,0)),"",INDEX('Compliance Database'!$M$2:$M$679,MATCH(420,'Transfer Engine'!$C$2:$C$679,0)))</f>
        <v/>
      </c>
      <c r="N429" s="8">
        <f>IF(ISNA(MATCH(420,'Transfer Engine'!$C$2:$C$679,0)),"",INDEX('Compliance Database'!$N$2:$N$679,MATCH(420,'Transfer Engine'!$C$2:$C$679,0)))</f>
        <v/>
      </c>
      <c r="O429" s="8">
        <f>IF(ISNA(MATCH(420,'Transfer Engine'!$C$2:$C$679,0)),"",INDEX('Compliance Database'!$O$2:$O$679,MATCH(420,'Transfer Engine'!$C$2:$C$679,0)))</f>
        <v/>
      </c>
      <c r="P429">
        <f>IF(ISNA(MATCH(420,'Transfer Engine'!$C$2:$C$679,0)),"",HYPERLINK(INDEX('Compliance Database'!$P$2:$P$679,MATCH(420,'Transfer Engine'!$C$2:$C$679,0)),"Open PDF"))</f>
        <v/>
      </c>
    </row>
    <row r="430">
      <c r="A430">
        <f>IF(ISNA(MATCH(421,'Transfer Engine'!$C$2:$C$679,0)),"",INDEX('Compliance Database'!$A$2:$A$679,MATCH(421,'Transfer Engine'!$C$2:$C$679,0)))</f>
        <v/>
      </c>
      <c r="B430">
        <f>IF(ISNA(MATCH(421,'Transfer Engine'!$C$2:$C$679,0)),"",INDEX('Compliance Database'!$B$2:$B$679,MATCH(421,'Transfer Engine'!$C$2:$C$679,0)))</f>
        <v/>
      </c>
      <c r="C430">
        <f>IF(ISNA(MATCH(421,'Transfer Engine'!$C$2:$C$679,0)),"",INDEX('Compliance Database'!$C$2:$C$679,MATCH(421,'Transfer Engine'!$C$2:$C$679,0)))</f>
        <v/>
      </c>
      <c r="D430" s="8">
        <f>IF(ISNA(MATCH(421,'Transfer Engine'!$C$2:$C$679,0)),"",INDEX('Compliance Database'!$D$2:$D$679,MATCH(421,'Transfer Engine'!$C$2:$C$679,0)))</f>
        <v/>
      </c>
      <c r="E430">
        <f>IF(ISNA(MATCH(421,'Transfer Engine'!$C$2:$C$679,0)),"",INDEX('Compliance Database'!$E$2:$E$679,MATCH(421,'Transfer Engine'!$C$2:$C$679,0)))</f>
        <v/>
      </c>
      <c r="F430">
        <f>IF(ISNA(MATCH(421,'Transfer Engine'!$C$2:$C$679,0)),"",INDEX('Compliance Database'!$F$2:$F$679,MATCH(421,'Transfer Engine'!$C$2:$C$679,0)))</f>
        <v/>
      </c>
      <c r="G430">
        <f>IF(ISNA(MATCH(421,'Transfer Engine'!$C$2:$C$679,0)),"",INDEX('Compliance Database'!$G$2:$G$679,MATCH(421,'Transfer Engine'!$C$2:$C$679,0)))</f>
        <v/>
      </c>
      <c r="H430">
        <f>IF(ISNA(MATCH(421,'Transfer Engine'!$C$2:$C$679,0)),"",INDEX('Compliance Database'!$H$2:$H$679,MATCH(421,'Transfer Engine'!$C$2:$C$679,0)))</f>
        <v/>
      </c>
      <c r="I430" s="8">
        <f>IF(ISNA(MATCH(421,'Transfer Engine'!$C$2:$C$679,0)),"",INDEX('Compliance Database'!$I$2:$I$679,MATCH(421,'Transfer Engine'!$C$2:$C$679,0)))</f>
        <v/>
      </c>
      <c r="J430" s="8">
        <f>IF(ISNA(MATCH(421,'Transfer Engine'!$C$2:$C$679,0)),"",INDEX('Compliance Database'!$J$2:$J$679,MATCH(421,'Transfer Engine'!$C$2:$C$679,0)))</f>
        <v/>
      </c>
      <c r="K430">
        <f>IF(ISNA(MATCH(421,'Transfer Engine'!$C$2:$C$679,0)),"",INDEX('Compliance Database'!$K$2:$K$679,MATCH(421,'Transfer Engine'!$C$2:$C$679,0)))</f>
        <v/>
      </c>
      <c r="L430" s="8">
        <f>IF(ISNA(MATCH(421,'Transfer Engine'!$C$2:$C$679,0)),"",INDEX('Compliance Database'!$L$2:$L$679,MATCH(421,'Transfer Engine'!$C$2:$C$679,0)))</f>
        <v/>
      </c>
      <c r="M430" s="8">
        <f>IF(ISNA(MATCH(421,'Transfer Engine'!$C$2:$C$679,0)),"",INDEX('Compliance Database'!$M$2:$M$679,MATCH(421,'Transfer Engine'!$C$2:$C$679,0)))</f>
        <v/>
      </c>
      <c r="N430" s="8">
        <f>IF(ISNA(MATCH(421,'Transfer Engine'!$C$2:$C$679,0)),"",INDEX('Compliance Database'!$N$2:$N$679,MATCH(421,'Transfer Engine'!$C$2:$C$679,0)))</f>
        <v/>
      </c>
      <c r="O430" s="8">
        <f>IF(ISNA(MATCH(421,'Transfer Engine'!$C$2:$C$679,0)),"",INDEX('Compliance Database'!$O$2:$O$679,MATCH(421,'Transfer Engine'!$C$2:$C$679,0)))</f>
        <v/>
      </c>
      <c r="P430">
        <f>IF(ISNA(MATCH(421,'Transfer Engine'!$C$2:$C$679,0)),"",HYPERLINK(INDEX('Compliance Database'!$P$2:$P$679,MATCH(421,'Transfer Engine'!$C$2:$C$679,0)),"Open PDF"))</f>
        <v/>
      </c>
    </row>
    <row r="431">
      <c r="A431">
        <f>IF(ISNA(MATCH(422,'Transfer Engine'!$C$2:$C$679,0)),"",INDEX('Compliance Database'!$A$2:$A$679,MATCH(422,'Transfer Engine'!$C$2:$C$679,0)))</f>
        <v/>
      </c>
      <c r="B431">
        <f>IF(ISNA(MATCH(422,'Transfer Engine'!$C$2:$C$679,0)),"",INDEX('Compliance Database'!$B$2:$B$679,MATCH(422,'Transfer Engine'!$C$2:$C$679,0)))</f>
        <v/>
      </c>
      <c r="C431">
        <f>IF(ISNA(MATCH(422,'Transfer Engine'!$C$2:$C$679,0)),"",INDEX('Compliance Database'!$C$2:$C$679,MATCH(422,'Transfer Engine'!$C$2:$C$679,0)))</f>
        <v/>
      </c>
      <c r="D431" s="8">
        <f>IF(ISNA(MATCH(422,'Transfer Engine'!$C$2:$C$679,0)),"",INDEX('Compliance Database'!$D$2:$D$679,MATCH(422,'Transfer Engine'!$C$2:$C$679,0)))</f>
        <v/>
      </c>
      <c r="E431">
        <f>IF(ISNA(MATCH(422,'Transfer Engine'!$C$2:$C$679,0)),"",INDEX('Compliance Database'!$E$2:$E$679,MATCH(422,'Transfer Engine'!$C$2:$C$679,0)))</f>
        <v/>
      </c>
      <c r="F431">
        <f>IF(ISNA(MATCH(422,'Transfer Engine'!$C$2:$C$679,0)),"",INDEX('Compliance Database'!$F$2:$F$679,MATCH(422,'Transfer Engine'!$C$2:$C$679,0)))</f>
        <v/>
      </c>
      <c r="G431">
        <f>IF(ISNA(MATCH(422,'Transfer Engine'!$C$2:$C$679,0)),"",INDEX('Compliance Database'!$G$2:$G$679,MATCH(422,'Transfer Engine'!$C$2:$C$679,0)))</f>
        <v/>
      </c>
      <c r="H431">
        <f>IF(ISNA(MATCH(422,'Transfer Engine'!$C$2:$C$679,0)),"",INDEX('Compliance Database'!$H$2:$H$679,MATCH(422,'Transfer Engine'!$C$2:$C$679,0)))</f>
        <v/>
      </c>
      <c r="I431" s="8">
        <f>IF(ISNA(MATCH(422,'Transfer Engine'!$C$2:$C$679,0)),"",INDEX('Compliance Database'!$I$2:$I$679,MATCH(422,'Transfer Engine'!$C$2:$C$679,0)))</f>
        <v/>
      </c>
      <c r="J431" s="8">
        <f>IF(ISNA(MATCH(422,'Transfer Engine'!$C$2:$C$679,0)),"",INDEX('Compliance Database'!$J$2:$J$679,MATCH(422,'Transfer Engine'!$C$2:$C$679,0)))</f>
        <v/>
      </c>
      <c r="K431">
        <f>IF(ISNA(MATCH(422,'Transfer Engine'!$C$2:$C$679,0)),"",INDEX('Compliance Database'!$K$2:$K$679,MATCH(422,'Transfer Engine'!$C$2:$C$679,0)))</f>
        <v/>
      </c>
      <c r="L431" s="8">
        <f>IF(ISNA(MATCH(422,'Transfer Engine'!$C$2:$C$679,0)),"",INDEX('Compliance Database'!$L$2:$L$679,MATCH(422,'Transfer Engine'!$C$2:$C$679,0)))</f>
        <v/>
      </c>
      <c r="M431" s="8">
        <f>IF(ISNA(MATCH(422,'Transfer Engine'!$C$2:$C$679,0)),"",INDEX('Compliance Database'!$M$2:$M$679,MATCH(422,'Transfer Engine'!$C$2:$C$679,0)))</f>
        <v/>
      </c>
      <c r="N431" s="8">
        <f>IF(ISNA(MATCH(422,'Transfer Engine'!$C$2:$C$679,0)),"",INDEX('Compliance Database'!$N$2:$N$679,MATCH(422,'Transfer Engine'!$C$2:$C$679,0)))</f>
        <v/>
      </c>
      <c r="O431" s="8">
        <f>IF(ISNA(MATCH(422,'Transfer Engine'!$C$2:$C$679,0)),"",INDEX('Compliance Database'!$O$2:$O$679,MATCH(422,'Transfer Engine'!$C$2:$C$679,0)))</f>
        <v/>
      </c>
      <c r="P431">
        <f>IF(ISNA(MATCH(422,'Transfer Engine'!$C$2:$C$679,0)),"",HYPERLINK(INDEX('Compliance Database'!$P$2:$P$679,MATCH(422,'Transfer Engine'!$C$2:$C$679,0)),"Open PDF"))</f>
        <v/>
      </c>
    </row>
    <row r="432">
      <c r="A432">
        <f>IF(ISNA(MATCH(423,'Transfer Engine'!$C$2:$C$679,0)),"",INDEX('Compliance Database'!$A$2:$A$679,MATCH(423,'Transfer Engine'!$C$2:$C$679,0)))</f>
        <v/>
      </c>
      <c r="B432">
        <f>IF(ISNA(MATCH(423,'Transfer Engine'!$C$2:$C$679,0)),"",INDEX('Compliance Database'!$B$2:$B$679,MATCH(423,'Transfer Engine'!$C$2:$C$679,0)))</f>
        <v/>
      </c>
      <c r="C432">
        <f>IF(ISNA(MATCH(423,'Transfer Engine'!$C$2:$C$679,0)),"",INDEX('Compliance Database'!$C$2:$C$679,MATCH(423,'Transfer Engine'!$C$2:$C$679,0)))</f>
        <v/>
      </c>
      <c r="D432" s="8">
        <f>IF(ISNA(MATCH(423,'Transfer Engine'!$C$2:$C$679,0)),"",INDEX('Compliance Database'!$D$2:$D$679,MATCH(423,'Transfer Engine'!$C$2:$C$679,0)))</f>
        <v/>
      </c>
      <c r="E432">
        <f>IF(ISNA(MATCH(423,'Transfer Engine'!$C$2:$C$679,0)),"",INDEX('Compliance Database'!$E$2:$E$679,MATCH(423,'Transfer Engine'!$C$2:$C$679,0)))</f>
        <v/>
      </c>
      <c r="F432">
        <f>IF(ISNA(MATCH(423,'Transfer Engine'!$C$2:$C$679,0)),"",INDEX('Compliance Database'!$F$2:$F$679,MATCH(423,'Transfer Engine'!$C$2:$C$679,0)))</f>
        <v/>
      </c>
      <c r="G432">
        <f>IF(ISNA(MATCH(423,'Transfer Engine'!$C$2:$C$679,0)),"",INDEX('Compliance Database'!$G$2:$G$679,MATCH(423,'Transfer Engine'!$C$2:$C$679,0)))</f>
        <v/>
      </c>
      <c r="H432">
        <f>IF(ISNA(MATCH(423,'Transfer Engine'!$C$2:$C$679,0)),"",INDEX('Compliance Database'!$H$2:$H$679,MATCH(423,'Transfer Engine'!$C$2:$C$679,0)))</f>
        <v/>
      </c>
      <c r="I432" s="8">
        <f>IF(ISNA(MATCH(423,'Transfer Engine'!$C$2:$C$679,0)),"",INDEX('Compliance Database'!$I$2:$I$679,MATCH(423,'Transfer Engine'!$C$2:$C$679,0)))</f>
        <v/>
      </c>
      <c r="J432" s="8">
        <f>IF(ISNA(MATCH(423,'Transfer Engine'!$C$2:$C$679,0)),"",INDEX('Compliance Database'!$J$2:$J$679,MATCH(423,'Transfer Engine'!$C$2:$C$679,0)))</f>
        <v/>
      </c>
      <c r="K432">
        <f>IF(ISNA(MATCH(423,'Transfer Engine'!$C$2:$C$679,0)),"",INDEX('Compliance Database'!$K$2:$K$679,MATCH(423,'Transfer Engine'!$C$2:$C$679,0)))</f>
        <v/>
      </c>
      <c r="L432" s="8">
        <f>IF(ISNA(MATCH(423,'Transfer Engine'!$C$2:$C$679,0)),"",INDEX('Compliance Database'!$L$2:$L$679,MATCH(423,'Transfer Engine'!$C$2:$C$679,0)))</f>
        <v/>
      </c>
      <c r="M432" s="8">
        <f>IF(ISNA(MATCH(423,'Transfer Engine'!$C$2:$C$679,0)),"",INDEX('Compliance Database'!$M$2:$M$679,MATCH(423,'Transfer Engine'!$C$2:$C$679,0)))</f>
        <v/>
      </c>
      <c r="N432" s="8">
        <f>IF(ISNA(MATCH(423,'Transfer Engine'!$C$2:$C$679,0)),"",INDEX('Compliance Database'!$N$2:$N$679,MATCH(423,'Transfer Engine'!$C$2:$C$679,0)))</f>
        <v/>
      </c>
      <c r="O432" s="8">
        <f>IF(ISNA(MATCH(423,'Transfer Engine'!$C$2:$C$679,0)),"",INDEX('Compliance Database'!$O$2:$O$679,MATCH(423,'Transfer Engine'!$C$2:$C$679,0)))</f>
        <v/>
      </c>
      <c r="P432">
        <f>IF(ISNA(MATCH(423,'Transfer Engine'!$C$2:$C$679,0)),"",HYPERLINK(INDEX('Compliance Database'!$P$2:$P$679,MATCH(423,'Transfer Engine'!$C$2:$C$679,0)),"Open PDF"))</f>
        <v/>
      </c>
    </row>
    <row r="433">
      <c r="A433">
        <f>IF(ISNA(MATCH(424,'Transfer Engine'!$C$2:$C$679,0)),"",INDEX('Compliance Database'!$A$2:$A$679,MATCH(424,'Transfer Engine'!$C$2:$C$679,0)))</f>
        <v/>
      </c>
      <c r="B433">
        <f>IF(ISNA(MATCH(424,'Transfer Engine'!$C$2:$C$679,0)),"",INDEX('Compliance Database'!$B$2:$B$679,MATCH(424,'Transfer Engine'!$C$2:$C$679,0)))</f>
        <v/>
      </c>
      <c r="C433">
        <f>IF(ISNA(MATCH(424,'Transfer Engine'!$C$2:$C$679,0)),"",INDEX('Compliance Database'!$C$2:$C$679,MATCH(424,'Transfer Engine'!$C$2:$C$679,0)))</f>
        <v/>
      </c>
      <c r="D433" s="8">
        <f>IF(ISNA(MATCH(424,'Transfer Engine'!$C$2:$C$679,0)),"",INDEX('Compliance Database'!$D$2:$D$679,MATCH(424,'Transfer Engine'!$C$2:$C$679,0)))</f>
        <v/>
      </c>
      <c r="E433">
        <f>IF(ISNA(MATCH(424,'Transfer Engine'!$C$2:$C$679,0)),"",INDEX('Compliance Database'!$E$2:$E$679,MATCH(424,'Transfer Engine'!$C$2:$C$679,0)))</f>
        <v/>
      </c>
      <c r="F433">
        <f>IF(ISNA(MATCH(424,'Transfer Engine'!$C$2:$C$679,0)),"",INDEX('Compliance Database'!$F$2:$F$679,MATCH(424,'Transfer Engine'!$C$2:$C$679,0)))</f>
        <v/>
      </c>
      <c r="G433">
        <f>IF(ISNA(MATCH(424,'Transfer Engine'!$C$2:$C$679,0)),"",INDEX('Compliance Database'!$G$2:$G$679,MATCH(424,'Transfer Engine'!$C$2:$C$679,0)))</f>
        <v/>
      </c>
      <c r="H433">
        <f>IF(ISNA(MATCH(424,'Transfer Engine'!$C$2:$C$679,0)),"",INDEX('Compliance Database'!$H$2:$H$679,MATCH(424,'Transfer Engine'!$C$2:$C$679,0)))</f>
        <v/>
      </c>
      <c r="I433" s="8">
        <f>IF(ISNA(MATCH(424,'Transfer Engine'!$C$2:$C$679,0)),"",INDEX('Compliance Database'!$I$2:$I$679,MATCH(424,'Transfer Engine'!$C$2:$C$679,0)))</f>
        <v/>
      </c>
      <c r="J433" s="8">
        <f>IF(ISNA(MATCH(424,'Transfer Engine'!$C$2:$C$679,0)),"",INDEX('Compliance Database'!$J$2:$J$679,MATCH(424,'Transfer Engine'!$C$2:$C$679,0)))</f>
        <v/>
      </c>
      <c r="K433">
        <f>IF(ISNA(MATCH(424,'Transfer Engine'!$C$2:$C$679,0)),"",INDEX('Compliance Database'!$K$2:$K$679,MATCH(424,'Transfer Engine'!$C$2:$C$679,0)))</f>
        <v/>
      </c>
      <c r="L433" s="8">
        <f>IF(ISNA(MATCH(424,'Transfer Engine'!$C$2:$C$679,0)),"",INDEX('Compliance Database'!$L$2:$L$679,MATCH(424,'Transfer Engine'!$C$2:$C$679,0)))</f>
        <v/>
      </c>
      <c r="M433" s="8">
        <f>IF(ISNA(MATCH(424,'Transfer Engine'!$C$2:$C$679,0)),"",INDEX('Compliance Database'!$M$2:$M$679,MATCH(424,'Transfer Engine'!$C$2:$C$679,0)))</f>
        <v/>
      </c>
      <c r="N433" s="8">
        <f>IF(ISNA(MATCH(424,'Transfer Engine'!$C$2:$C$679,0)),"",INDEX('Compliance Database'!$N$2:$N$679,MATCH(424,'Transfer Engine'!$C$2:$C$679,0)))</f>
        <v/>
      </c>
      <c r="O433" s="8">
        <f>IF(ISNA(MATCH(424,'Transfer Engine'!$C$2:$C$679,0)),"",INDEX('Compliance Database'!$O$2:$O$679,MATCH(424,'Transfer Engine'!$C$2:$C$679,0)))</f>
        <v/>
      </c>
      <c r="P433">
        <f>IF(ISNA(MATCH(424,'Transfer Engine'!$C$2:$C$679,0)),"",HYPERLINK(INDEX('Compliance Database'!$P$2:$P$679,MATCH(424,'Transfer Engine'!$C$2:$C$679,0)),"Open PDF"))</f>
        <v/>
      </c>
    </row>
    <row r="434">
      <c r="A434">
        <f>IF(ISNA(MATCH(425,'Transfer Engine'!$C$2:$C$679,0)),"",INDEX('Compliance Database'!$A$2:$A$679,MATCH(425,'Transfer Engine'!$C$2:$C$679,0)))</f>
        <v/>
      </c>
      <c r="B434">
        <f>IF(ISNA(MATCH(425,'Transfer Engine'!$C$2:$C$679,0)),"",INDEX('Compliance Database'!$B$2:$B$679,MATCH(425,'Transfer Engine'!$C$2:$C$679,0)))</f>
        <v/>
      </c>
      <c r="C434">
        <f>IF(ISNA(MATCH(425,'Transfer Engine'!$C$2:$C$679,0)),"",INDEX('Compliance Database'!$C$2:$C$679,MATCH(425,'Transfer Engine'!$C$2:$C$679,0)))</f>
        <v/>
      </c>
      <c r="D434" s="8">
        <f>IF(ISNA(MATCH(425,'Transfer Engine'!$C$2:$C$679,0)),"",INDEX('Compliance Database'!$D$2:$D$679,MATCH(425,'Transfer Engine'!$C$2:$C$679,0)))</f>
        <v/>
      </c>
      <c r="E434">
        <f>IF(ISNA(MATCH(425,'Transfer Engine'!$C$2:$C$679,0)),"",INDEX('Compliance Database'!$E$2:$E$679,MATCH(425,'Transfer Engine'!$C$2:$C$679,0)))</f>
        <v/>
      </c>
      <c r="F434">
        <f>IF(ISNA(MATCH(425,'Transfer Engine'!$C$2:$C$679,0)),"",INDEX('Compliance Database'!$F$2:$F$679,MATCH(425,'Transfer Engine'!$C$2:$C$679,0)))</f>
        <v/>
      </c>
      <c r="G434">
        <f>IF(ISNA(MATCH(425,'Transfer Engine'!$C$2:$C$679,0)),"",INDEX('Compliance Database'!$G$2:$G$679,MATCH(425,'Transfer Engine'!$C$2:$C$679,0)))</f>
        <v/>
      </c>
      <c r="H434">
        <f>IF(ISNA(MATCH(425,'Transfer Engine'!$C$2:$C$679,0)),"",INDEX('Compliance Database'!$H$2:$H$679,MATCH(425,'Transfer Engine'!$C$2:$C$679,0)))</f>
        <v/>
      </c>
      <c r="I434" s="8">
        <f>IF(ISNA(MATCH(425,'Transfer Engine'!$C$2:$C$679,0)),"",INDEX('Compliance Database'!$I$2:$I$679,MATCH(425,'Transfer Engine'!$C$2:$C$679,0)))</f>
        <v/>
      </c>
      <c r="J434" s="8">
        <f>IF(ISNA(MATCH(425,'Transfer Engine'!$C$2:$C$679,0)),"",INDEX('Compliance Database'!$J$2:$J$679,MATCH(425,'Transfer Engine'!$C$2:$C$679,0)))</f>
        <v/>
      </c>
      <c r="K434">
        <f>IF(ISNA(MATCH(425,'Transfer Engine'!$C$2:$C$679,0)),"",INDEX('Compliance Database'!$K$2:$K$679,MATCH(425,'Transfer Engine'!$C$2:$C$679,0)))</f>
        <v/>
      </c>
      <c r="L434" s="8">
        <f>IF(ISNA(MATCH(425,'Transfer Engine'!$C$2:$C$679,0)),"",INDEX('Compliance Database'!$L$2:$L$679,MATCH(425,'Transfer Engine'!$C$2:$C$679,0)))</f>
        <v/>
      </c>
      <c r="M434" s="8">
        <f>IF(ISNA(MATCH(425,'Transfer Engine'!$C$2:$C$679,0)),"",INDEX('Compliance Database'!$M$2:$M$679,MATCH(425,'Transfer Engine'!$C$2:$C$679,0)))</f>
        <v/>
      </c>
      <c r="N434" s="8">
        <f>IF(ISNA(MATCH(425,'Transfer Engine'!$C$2:$C$679,0)),"",INDEX('Compliance Database'!$N$2:$N$679,MATCH(425,'Transfer Engine'!$C$2:$C$679,0)))</f>
        <v/>
      </c>
      <c r="O434" s="8">
        <f>IF(ISNA(MATCH(425,'Transfer Engine'!$C$2:$C$679,0)),"",INDEX('Compliance Database'!$O$2:$O$679,MATCH(425,'Transfer Engine'!$C$2:$C$679,0)))</f>
        <v/>
      </c>
      <c r="P434">
        <f>IF(ISNA(MATCH(425,'Transfer Engine'!$C$2:$C$679,0)),"",HYPERLINK(INDEX('Compliance Database'!$P$2:$P$679,MATCH(425,'Transfer Engine'!$C$2:$C$679,0)),"Open PDF"))</f>
        <v/>
      </c>
    </row>
    <row r="435">
      <c r="A435">
        <f>IF(ISNA(MATCH(426,'Transfer Engine'!$C$2:$C$679,0)),"",INDEX('Compliance Database'!$A$2:$A$679,MATCH(426,'Transfer Engine'!$C$2:$C$679,0)))</f>
        <v/>
      </c>
      <c r="B435">
        <f>IF(ISNA(MATCH(426,'Transfer Engine'!$C$2:$C$679,0)),"",INDEX('Compliance Database'!$B$2:$B$679,MATCH(426,'Transfer Engine'!$C$2:$C$679,0)))</f>
        <v/>
      </c>
      <c r="C435">
        <f>IF(ISNA(MATCH(426,'Transfer Engine'!$C$2:$C$679,0)),"",INDEX('Compliance Database'!$C$2:$C$679,MATCH(426,'Transfer Engine'!$C$2:$C$679,0)))</f>
        <v/>
      </c>
      <c r="D435" s="8">
        <f>IF(ISNA(MATCH(426,'Transfer Engine'!$C$2:$C$679,0)),"",INDEX('Compliance Database'!$D$2:$D$679,MATCH(426,'Transfer Engine'!$C$2:$C$679,0)))</f>
        <v/>
      </c>
      <c r="E435">
        <f>IF(ISNA(MATCH(426,'Transfer Engine'!$C$2:$C$679,0)),"",INDEX('Compliance Database'!$E$2:$E$679,MATCH(426,'Transfer Engine'!$C$2:$C$679,0)))</f>
        <v/>
      </c>
      <c r="F435">
        <f>IF(ISNA(MATCH(426,'Transfer Engine'!$C$2:$C$679,0)),"",INDEX('Compliance Database'!$F$2:$F$679,MATCH(426,'Transfer Engine'!$C$2:$C$679,0)))</f>
        <v/>
      </c>
      <c r="G435">
        <f>IF(ISNA(MATCH(426,'Transfer Engine'!$C$2:$C$679,0)),"",INDEX('Compliance Database'!$G$2:$G$679,MATCH(426,'Transfer Engine'!$C$2:$C$679,0)))</f>
        <v/>
      </c>
      <c r="H435">
        <f>IF(ISNA(MATCH(426,'Transfer Engine'!$C$2:$C$679,0)),"",INDEX('Compliance Database'!$H$2:$H$679,MATCH(426,'Transfer Engine'!$C$2:$C$679,0)))</f>
        <v/>
      </c>
      <c r="I435" s="8">
        <f>IF(ISNA(MATCH(426,'Transfer Engine'!$C$2:$C$679,0)),"",INDEX('Compliance Database'!$I$2:$I$679,MATCH(426,'Transfer Engine'!$C$2:$C$679,0)))</f>
        <v/>
      </c>
      <c r="J435" s="8">
        <f>IF(ISNA(MATCH(426,'Transfer Engine'!$C$2:$C$679,0)),"",INDEX('Compliance Database'!$J$2:$J$679,MATCH(426,'Transfer Engine'!$C$2:$C$679,0)))</f>
        <v/>
      </c>
      <c r="K435">
        <f>IF(ISNA(MATCH(426,'Transfer Engine'!$C$2:$C$679,0)),"",INDEX('Compliance Database'!$K$2:$K$679,MATCH(426,'Transfer Engine'!$C$2:$C$679,0)))</f>
        <v/>
      </c>
      <c r="L435" s="8">
        <f>IF(ISNA(MATCH(426,'Transfer Engine'!$C$2:$C$679,0)),"",INDEX('Compliance Database'!$L$2:$L$679,MATCH(426,'Transfer Engine'!$C$2:$C$679,0)))</f>
        <v/>
      </c>
      <c r="M435" s="8">
        <f>IF(ISNA(MATCH(426,'Transfer Engine'!$C$2:$C$679,0)),"",INDEX('Compliance Database'!$M$2:$M$679,MATCH(426,'Transfer Engine'!$C$2:$C$679,0)))</f>
        <v/>
      </c>
      <c r="N435" s="8">
        <f>IF(ISNA(MATCH(426,'Transfer Engine'!$C$2:$C$679,0)),"",INDEX('Compliance Database'!$N$2:$N$679,MATCH(426,'Transfer Engine'!$C$2:$C$679,0)))</f>
        <v/>
      </c>
      <c r="O435" s="8">
        <f>IF(ISNA(MATCH(426,'Transfer Engine'!$C$2:$C$679,0)),"",INDEX('Compliance Database'!$O$2:$O$679,MATCH(426,'Transfer Engine'!$C$2:$C$679,0)))</f>
        <v/>
      </c>
      <c r="P435">
        <f>IF(ISNA(MATCH(426,'Transfer Engine'!$C$2:$C$679,0)),"",HYPERLINK(INDEX('Compliance Database'!$P$2:$P$679,MATCH(426,'Transfer Engine'!$C$2:$C$679,0)),"Open PDF"))</f>
        <v/>
      </c>
    </row>
    <row r="436">
      <c r="A436">
        <f>IF(ISNA(MATCH(427,'Transfer Engine'!$C$2:$C$679,0)),"",INDEX('Compliance Database'!$A$2:$A$679,MATCH(427,'Transfer Engine'!$C$2:$C$679,0)))</f>
        <v/>
      </c>
      <c r="B436">
        <f>IF(ISNA(MATCH(427,'Transfer Engine'!$C$2:$C$679,0)),"",INDEX('Compliance Database'!$B$2:$B$679,MATCH(427,'Transfer Engine'!$C$2:$C$679,0)))</f>
        <v/>
      </c>
      <c r="C436">
        <f>IF(ISNA(MATCH(427,'Transfer Engine'!$C$2:$C$679,0)),"",INDEX('Compliance Database'!$C$2:$C$679,MATCH(427,'Transfer Engine'!$C$2:$C$679,0)))</f>
        <v/>
      </c>
      <c r="D436" s="8">
        <f>IF(ISNA(MATCH(427,'Transfer Engine'!$C$2:$C$679,0)),"",INDEX('Compliance Database'!$D$2:$D$679,MATCH(427,'Transfer Engine'!$C$2:$C$679,0)))</f>
        <v/>
      </c>
      <c r="E436">
        <f>IF(ISNA(MATCH(427,'Transfer Engine'!$C$2:$C$679,0)),"",INDEX('Compliance Database'!$E$2:$E$679,MATCH(427,'Transfer Engine'!$C$2:$C$679,0)))</f>
        <v/>
      </c>
      <c r="F436">
        <f>IF(ISNA(MATCH(427,'Transfer Engine'!$C$2:$C$679,0)),"",INDEX('Compliance Database'!$F$2:$F$679,MATCH(427,'Transfer Engine'!$C$2:$C$679,0)))</f>
        <v/>
      </c>
      <c r="G436">
        <f>IF(ISNA(MATCH(427,'Transfer Engine'!$C$2:$C$679,0)),"",INDEX('Compliance Database'!$G$2:$G$679,MATCH(427,'Transfer Engine'!$C$2:$C$679,0)))</f>
        <v/>
      </c>
      <c r="H436">
        <f>IF(ISNA(MATCH(427,'Transfer Engine'!$C$2:$C$679,0)),"",INDEX('Compliance Database'!$H$2:$H$679,MATCH(427,'Transfer Engine'!$C$2:$C$679,0)))</f>
        <v/>
      </c>
      <c r="I436" s="8">
        <f>IF(ISNA(MATCH(427,'Transfer Engine'!$C$2:$C$679,0)),"",INDEX('Compliance Database'!$I$2:$I$679,MATCH(427,'Transfer Engine'!$C$2:$C$679,0)))</f>
        <v/>
      </c>
      <c r="J436" s="8">
        <f>IF(ISNA(MATCH(427,'Transfer Engine'!$C$2:$C$679,0)),"",INDEX('Compliance Database'!$J$2:$J$679,MATCH(427,'Transfer Engine'!$C$2:$C$679,0)))</f>
        <v/>
      </c>
      <c r="K436">
        <f>IF(ISNA(MATCH(427,'Transfer Engine'!$C$2:$C$679,0)),"",INDEX('Compliance Database'!$K$2:$K$679,MATCH(427,'Transfer Engine'!$C$2:$C$679,0)))</f>
        <v/>
      </c>
      <c r="L436" s="8">
        <f>IF(ISNA(MATCH(427,'Transfer Engine'!$C$2:$C$679,0)),"",INDEX('Compliance Database'!$L$2:$L$679,MATCH(427,'Transfer Engine'!$C$2:$C$679,0)))</f>
        <v/>
      </c>
      <c r="M436" s="8">
        <f>IF(ISNA(MATCH(427,'Transfer Engine'!$C$2:$C$679,0)),"",INDEX('Compliance Database'!$M$2:$M$679,MATCH(427,'Transfer Engine'!$C$2:$C$679,0)))</f>
        <v/>
      </c>
      <c r="N436" s="8">
        <f>IF(ISNA(MATCH(427,'Transfer Engine'!$C$2:$C$679,0)),"",INDEX('Compliance Database'!$N$2:$N$679,MATCH(427,'Transfer Engine'!$C$2:$C$679,0)))</f>
        <v/>
      </c>
      <c r="O436" s="8">
        <f>IF(ISNA(MATCH(427,'Transfer Engine'!$C$2:$C$679,0)),"",INDEX('Compliance Database'!$O$2:$O$679,MATCH(427,'Transfer Engine'!$C$2:$C$679,0)))</f>
        <v/>
      </c>
      <c r="P436">
        <f>IF(ISNA(MATCH(427,'Transfer Engine'!$C$2:$C$679,0)),"",HYPERLINK(INDEX('Compliance Database'!$P$2:$P$679,MATCH(427,'Transfer Engine'!$C$2:$C$679,0)),"Open PDF"))</f>
        <v/>
      </c>
    </row>
    <row r="437">
      <c r="A437">
        <f>IF(ISNA(MATCH(428,'Transfer Engine'!$C$2:$C$679,0)),"",INDEX('Compliance Database'!$A$2:$A$679,MATCH(428,'Transfer Engine'!$C$2:$C$679,0)))</f>
        <v/>
      </c>
      <c r="B437">
        <f>IF(ISNA(MATCH(428,'Transfer Engine'!$C$2:$C$679,0)),"",INDEX('Compliance Database'!$B$2:$B$679,MATCH(428,'Transfer Engine'!$C$2:$C$679,0)))</f>
        <v/>
      </c>
      <c r="C437">
        <f>IF(ISNA(MATCH(428,'Transfer Engine'!$C$2:$C$679,0)),"",INDEX('Compliance Database'!$C$2:$C$679,MATCH(428,'Transfer Engine'!$C$2:$C$679,0)))</f>
        <v/>
      </c>
      <c r="D437" s="8">
        <f>IF(ISNA(MATCH(428,'Transfer Engine'!$C$2:$C$679,0)),"",INDEX('Compliance Database'!$D$2:$D$679,MATCH(428,'Transfer Engine'!$C$2:$C$679,0)))</f>
        <v/>
      </c>
      <c r="E437">
        <f>IF(ISNA(MATCH(428,'Transfer Engine'!$C$2:$C$679,0)),"",INDEX('Compliance Database'!$E$2:$E$679,MATCH(428,'Transfer Engine'!$C$2:$C$679,0)))</f>
        <v/>
      </c>
      <c r="F437">
        <f>IF(ISNA(MATCH(428,'Transfer Engine'!$C$2:$C$679,0)),"",INDEX('Compliance Database'!$F$2:$F$679,MATCH(428,'Transfer Engine'!$C$2:$C$679,0)))</f>
        <v/>
      </c>
      <c r="G437">
        <f>IF(ISNA(MATCH(428,'Transfer Engine'!$C$2:$C$679,0)),"",INDEX('Compliance Database'!$G$2:$G$679,MATCH(428,'Transfer Engine'!$C$2:$C$679,0)))</f>
        <v/>
      </c>
      <c r="H437">
        <f>IF(ISNA(MATCH(428,'Transfer Engine'!$C$2:$C$679,0)),"",INDEX('Compliance Database'!$H$2:$H$679,MATCH(428,'Transfer Engine'!$C$2:$C$679,0)))</f>
        <v/>
      </c>
      <c r="I437" s="8">
        <f>IF(ISNA(MATCH(428,'Transfer Engine'!$C$2:$C$679,0)),"",INDEX('Compliance Database'!$I$2:$I$679,MATCH(428,'Transfer Engine'!$C$2:$C$679,0)))</f>
        <v/>
      </c>
      <c r="J437" s="8">
        <f>IF(ISNA(MATCH(428,'Transfer Engine'!$C$2:$C$679,0)),"",INDEX('Compliance Database'!$J$2:$J$679,MATCH(428,'Transfer Engine'!$C$2:$C$679,0)))</f>
        <v/>
      </c>
      <c r="K437">
        <f>IF(ISNA(MATCH(428,'Transfer Engine'!$C$2:$C$679,0)),"",INDEX('Compliance Database'!$K$2:$K$679,MATCH(428,'Transfer Engine'!$C$2:$C$679,0)))</f>
        <v/>
      </c>
      <c r="L437" s="8">
        <f>IF(ISNA(MATCH(428,'Transfer Engine'!$C$2:$C$679,0)),"",INDEX('Compliance Database'!$L$2:$L$679,MATCH(428,'Transfer Engine'!$C$2:$C$679,0)))</f>
        <v/>
      </c>
      <c r="M437" s="8">
        <f>IF(ISNA(MATCH(428,'Transfer Engine'!$C$2:$C$679,0)),"",INDEX('Compliance Database'!$M$2:$M$679,MATCH(428,'Transfer Engine'!$C$2:$C$679,0)))</f>
        <v/>
      </c>
      <c r="N437" s="8">
        <f>IF(ISNA(MATCH(428,'Transfer Engine'!$C$2:$C$679,0)),"",INDEX('Compliance Database'!$N$2:$N$679,MATCH(428,'Transfer Engine'!$C$2:$C$679,0)))</f>
        <v/>
      </c>
      <c r="O437" s="8">
        <f>IF(ISNA(MATCH(428,'Transfer Engine'!$C$2:$C$679,0)),"",INDEX('Compliance Database'!$O$2:$O$679,MATCH(428,'Transfer Engine'!$C$2:$C$679,0)))</f>
        <v/>
      </c>
      <c r="P437">
        <f>IF(ISNA(MATCH(428,'Transfer Engine'!$C$2:$C$679,0)),"",HYPERLINK(INDEX('Compliance Database'!$P$2:$P$679,MATCH(428,'Transfer Engine'!$C$2:$C$679,0)),"Open PDF"))</f>
        <v/>
      </c>
    </row>
    <row r="438">
      <c r="A438">
        <f>IF(ISNA(MATCH(429,'Transfer Engine'!$C$2:$C$679,0)),"",INDEX('Compliance Database'!$A$2:$A$679,MATCH(429,'Transfer Engine'!$C$2:$C$679,0)))</f>
        <v/>
      </c>
      <c r="B438">
        <f>IF(ISNA(MATCH(429,'Transfer Engine'!$C$2:$C$679,0)),"",INDEX('Compliance Database'!$B$2:$B$679,MATCH(429,'Transfer Engine'!$C$2:$C$679,0)))</f>
        <v/>
      </c>
      <c r="C438">
        <f>IF(ISNA(MATCH(429,'Transfer Engine'!$C$2:$C$679,0)),"",INDEX('Compliance Database'!$C$2:$C$679,MATCH(429,'Transfer Engine'!$C$2:$C$679,0)))</f>
        <v/>
      </c>
      <c r="D438" s="8">
        <f>IF(ISNA(MATCH(429,'Transfer Engine'!$C$2:$C$679,0)),"",INDEX('Compliance Database'!$D$2:$D$679,MATCH(429,'Transfer Engine'!$C$2:$C$679,0)))</f>
        <v/>
      </c>
      <c r="E438">
        <f>IF(ISNA(MATCH(429,'Transfer Engine'!$C$2:$C$679,0)),"",INDEX('Compliance Database'!$E$2:$E$679,MATCH(429,'Transfer Engine'!$C$2:$C$679,0)))</f>
        <v/>
      </c>
      <c r="F438">
        <f>IF(ISNA(MATCH(429,'Transfer Engine'!$C$2:$C$679,0)),"",INDEX('Compliance Database'!$F$2:$F$679,MATCH(429,'Transfer Engine'!$C$2:$C$679,0)))</f>
        <v/>
      </c>
      <c r="G438">
        <f>IF(ISNA(MATCH(429,'Transfer Engine'!$C$2:$C$679,0)),"",INDEX('Compliance Database'!$G$2:$G$679,MATCH(429,'Transfer Engine'!$C$2:$C$679,0)))</f>
        <v/>
      </c>
      <c r="H438">
        <f>IF(ISNA(MATCH(429,'Transfer Engine'!$C$2:$C$679,0)),"",INDEX('Compliance Database'!$H$2:$H$679,MATCH(429,'Transfer Engine'!$C$2:$C$679,0)))</f>
        <v/>
      </c>
      <c r="I438" s="8">
        <f>IF(ISNA(MATCH(429,'Transfer Engine'!$C$2:$C$679,0)),"",INDEX('Compliance Database'!$I$2:$I$679,MATCH(429,'Transfer Engine'!$C$2:$C$679,0)))</f>
        <v/>
      </c>
      <c r="J438" s="8">
        <f>IF(ISNA(MATCH(429,'Transfer Engine'!$C$2:$C$679,0)),"",INDEX('Compliance Database'!$J$2:$J$679,MATCH(429,'Transfer Engine'!$C$2:$C$679,0)))</f>
        <v/>
      </c>
      <c r="K438">
        <f>IF(ISNA(MATCH(429,'Transfer Engine'!$C$2:$C$679,0)),"",INDEX('Compliance Database'!$K$2:$K$679,MATCH(429,'Transfer Engine'!$C$2:$C$679,0)))</f>
        <v/>
      </c>
      <c r="L438" s="8">
        <f>IF(ISNA(MATCH(429,'Transfer Engine'!$C$2:$C$679,0)),"",INDEX('Compliance Database'!$L$2:$L$679,MATCH(429,'Transfer Engine'!$C$2:$C$679,0)))</f>
        <v/>
      </c>
      <c r="M438" s="8">
        <f>IF(ISNA(MATCH(429,'Transfer Engine'!$C$2:$C$679,0)),"",INDEX('Compliance Database'!$M$2:$M$679,MATCH(429,'Transfer Engine'!$C$2:$C$679,0)))</f>
        <v/>
      </c>
      <c r="N438" s="8">
        <f>IF(ISNA(MATCH(429,'Transfer Engine'!$C$2:$C$679,0)),"",INDEX('Compliance Database'!$N$2:$N$679,MATCH(429,'Transfer Engine'!$C$2:$C$679,0)))</f>
        <v/>
      </c>
      <c r="O438" s="8">
        <f>IF(ISNA(MATCH(429,'Transfer Engine'!$C$2:$C$679,0)),"",INDEX('Compliance Database'!$O$2:$O$679,MATCH(429,'Transfer Engine'!$C$2:$C$679,0)))</f>
        <v/>
      </c>
      <c r="P438">
        <f>IF(ISNA(MATCH(429,'Transfer Engine'!$C$2:$C$679,0)),"",HYPERLINK(INDEX('Compliance Database'!$P$2:$P$679,MATCH(429,'Transfer Engine'!$C$2:$C$679,0)),"Open PDF"))</f>
        <v/>
      </c>
    </row>
    <row r="439">
      <c r="A439">
        <f>IF(ISNA(MATCH(430,'Transfer Engine'!$C$2:$C$679,0)),"",INDEX('Compliance Database'!$A$2:$A$679,MATCH(430,'Transfer Engine'!$C$2:$C$679,0)))</f>
        <v/>
      </c>
      <c r="B439">
        <f>IF(ISNA(MATCH(430,'Transfer Engine'!$C$2:$C$679,0)),"",INDEX('Compliance Database'!$B$2:$B$679,MATCH(430,'Transfer Engine'!$C$2:$C$679,0)))</f>
        <v/>
      </c>
      <c r="C439">
        <f>IF(ISNA(MATCH(430,'Transfer Engine'!$C$2:$C$679,0)),"",INDEX('Compliance Database'!$C$2:$C$679,MATCH(430,'Transfer Engine'!$C$2:$C$679,0)))</f>
        <v/>
      </c>
      <c r="D439" s="8">
        <f>IF(ISNA(MATCH(430,'Transfer Engine'!$C$2:$C$679,0)),"",INDEX('Compliance Database'!$D$2:$D$679,MATCH(430,'Transfer Engine'!$C$2:$C$679,0)))</f>
        <v/>
      </c>
      <c r="E439">
        <f>IF(ISNA(MATCH(430,'Transfer Engine'!$C$2:$C$679,0)),"",INDEX('Compliance Database'!$E$2:$E$679,MATCH(430,'Transfer Engine'!$C$2:$C$679,0)))</f>
        <v/>
      </c>
      <c r="F439">
        <f>IF(ISNA(MATCH(430,'Transfer Engine'!$C$2:$C$679,0)),"",INDEX('Compliance Database'!$F$2:$F$679,MATCH(430,'Transfer Engine'!$C$2:$C$679,0)))</f>
        <v/>
      </c>
      <c r="G439">
        <f>IF(ISNA(MATCH(430,'Transfer Engine'!$C$2:$C$679,0)),"",INDEX('Compliance Database'!$G$2:$G$679,MATCH(430,'Transfer Engine'!$C$2:$C$679,0)))</f>
        <v/>
      </c>
      <c r="H439">
        <f>IF(ISNA(MATCH(430,'Transfer Engine'!$C$2:$C$679,0)),"",INDEX('Compliance Database'!$H$2:$H$679,MATCH(430,'Transfer Engine'!$C$2:$C$679,0)))</f>
        <v/>
      </c>
      <c r="I439" s="8">
        <f>IF(ISNA(MATCH(430,'Transfer Engine'!$C$2:$C$679,0)),"",INDEX('Compliance Database'!$I$2:$I$679,MATCH(430,'Transfer Engine'!$C$2:$C$679,0)))</f>
        <v/>
      </c>
      <c r="J439" s="8">
        <f>IF(ISNA(MATCH(430,'Transfer Engine'!$C$2:$C$679,0)),"",INDEX('Compliance Database'!$J$2:$J$679,MATCH(430,'Transfer Engine'!$C$2:$C$679,0)))</f>
        <v/>
      </c>
      <c r="K439">
        <f>IF(ISNA(MATCH(430,'Transfer Engine'!$C$2:$C$679,0)),"",INDEX('Compliance Database'!$K$2:$K$679,MATCH(430,'Transfer Engine'!$C$2:$C$679,0)))</f>
        <v/>
      </c>
      <c r="L439" s="8">
        <f>IF(ISNA(MATCH(430,'Transfer Engine'!$C$2:$C$679,0)),"",INDEX('Compliance Database'!$L$2:$L$679,MATCH(430,'Transfer Engine'!$C$2:$C$679,0)))</f>
        <v/>
      </c>
      <c r="M439" s="8">
        <f>IF(ISNA(MATCH(430,'Transfer Engine'!$C$2:$C$679,0)),"",INDEX('Compliance Database'!$M$2:$M$679,MATCH(430,'Transfer Engine'!$C$2:$C$679,0)))</f>
        <v/>
      </c>
      <c r="N439" s="8">
        <f>IF(ISNA(MATCH(430,'Transfer Engine'!$C$2:$C$679,0)),"",INDEX('Compliance Database'!$N$2:$N$679,MATCH(430,'Transfer Engine'!$C$2:$C$679,0)))</f>
        <v/>
      </c>
      <c r="O439" s="8">
        <f>IF(ISNA(MATCH(430,'Transfer Engine'!$C$2:$C$679,0)),"",INDEX('Compliance Database'!$O$2:$O$679,MATCH(430,'Transfer Engine'!$C$2:$C$679,0)))</f>
        <v/>
      </c>
      <c r="P439">
        <f>IF(ISNA(MATCH(430,'Transfer Engine'!$C$2:$C$679,0)),"",HYPERLINK(INDEX('Compliance Database'!$P$2:$P$679,MATCH(430,'Transfer Engine'!$C$2:$C$679,0)),"Open PDF"))</f>
        <v/>
      </c>
    </row>
    <row r="440">
      <c r="A440">
        <f>IF(ISNA(MATCH(431,'Transfer Engine'!$C$2:$C$679,0)),"",INDEX('Compliance Database'!$A$2:$A$679,MATCH(431,'Transfer Engine'!$C$2:$C$679,0)))</f>
        <v/>
      </c>
      <c r="B440">
        <f>IF(ISNA(MATCH(431,'Transfer Engine'!$C$2:$C$679,0)),"",INDEX('Compliance Database'!$B$2:$B$679,MATCH(431,'Transfer Engine'!$C$2:$C$679,0)))</f>
        <v/>
      </c>
      <c r="C440">
        <f>IF(ISNA(MATCH(431,'Transfer Engine'!$C$2:$C$679,0)),"",INDEX('Compliance Database'!$C$2:$C$679,MATCH(431,'Transfer Engine'!$C$2:$C$679,0)))</f>
        <v/>
      </c>
      <c r="D440" s="8">
        <f>IF(ISNA(MATCH(431,'Transfer Engine'!$C$2:$C$679,0)),"",INDEX('Compliance Database'!$D$2:$D$679,MATCH(431,'Transfer Engine'!$C$2:$C$679,0)))</f>
        <v/>
      </c>
      <c r="E440">
        <f>IF(ISNA(MATCH(431,'Transfer Engine'!$C$2:$C$679,0)),"",INDEX('Compliance Database'!$E$2:$E$679,MATCH(431,'Transfer Engine'!$C$2:$C$679,0)))</f>
        <v/>
      </c>
      <c r="F440">
        <f>IF(ISNA(MATCH(431,'Transfer Engine'!$C$2:$C$679,0)),"",INDEX('Compliance Database'!$F$2:$F$679,MATCH(431,'Transfer Engine'!$C$2:$C$679,0)))</f>
        <v/>
      </c>
      <c r="G440">
        <f>IF(ISNA(MATCH(431,'Transfer Engine'!$C$2:$C$679,0)),"",INDEX('Compliance Database'!$G$2:$G$679,MATCH(431,'Transfer Engine'!$C$2:$C$679,0)))</f>
        <v/>
      </c>
      <c r="H440">
        <f>IF(ISNA(MATCH(431,'Transfer Engine'!$C$2:$C$679,0)),"",INDEX('Compliance Database'!$H$2:$H$679,MATCH(431,'Transfer Engine'!$C$2:$C$679,0)))</f>
        <v/>
      </c>
      <c r="I440" s="8">
        <f>IF(ISNA(MATCH(431,'Transfer Engine'!$C$2:$C$679,0)),"",INDEX('Compliance Database'!$I$2:$I$679,MATCH(431,'Transfer Engine'!$C$2:$C$679,0)))</f>
        <v/>
      </c>
      <c r="J440" s="8">
        <f>IF(ISNA(MATCH(431,'Transfer Engine'!$C$2:$C$679,0)),"",INDEX('Compliance Database'!$J$2:$J$679,MATCH(431,'Transfer Engine'!$C$2:$C$679,0)))</f>
        <v/>
      </c>
      <c r="K440">
        <f>IF(ISNA(MATCH(431,'Transfer Engine'!$C$2:$C$679,0)),"",INDEX('Compliance Database'!$K$2:$K$679,MATCH(431,'Transfer Engine'!$C$2:$C$679,0)))</f>
        <v/>
      </c>
      <c r="L440" s="8">
        <f>IF(ISNA(MATCH(431,'Transfer Engine'!$C$2:$C$679,0)),"",INDEX('Compliance Database'!$L$2:$L$679,MATCH(431,'Transfer Engine'!$C$2:$C$679,0)))</f>
        <v/>
      </c>
      <c r="M440" s="8">
        <f>IF(ISNA(MATCH(431,'Transfer Engine'!$C$2:$C$679,0)),"",INDEX('Compliance Database'!$M$2:$M$679,MATCH(431,'Transfer Engine'!$C$2:$C$679,0)))</f>
        <v/>
      </c>
      <c r="N440" s="8">
        <f>IF(ISNA(MATCH(431,'Transfer Engine'!$C$2:$C$679,0)),"",INDEX('Compliance Database'!$N$2:$N$679,MATCH(431,'Transfer Engine'!$C$2:$C$679,0)))</f>
        <v/>
      </c>
      <c r="O440" s="8">
        <f>IF(ISNA(MATCH(431,'Transfer Engine'!$C$2:$C$679,0)),"",INDEX('Compliance Database'!$O$2:$O$679,MATCH(431,'Transfer Engine'!$C$2:$C$679,0)))</f>
        <v/>
      </c>
      <c r="P440">
        <f>IF(ISNA(MATCH(431,'Transfer Engine'!$C$2:$C$679,0)),"",HYPERLINK(INDEX('Compliance Database'!$P$2:$P$679,MATCH(431,'Transfer Engine'!$C$2:$C$679,0)),"Open PDF"))</f>
        <v/>
      </c>
    </row>
    <row r="441">
      <c r="A441">
        <f>IF(ISNA(MATCH(432,'Transfer Engine'!$C$2:$C$679,0)),"",INDEX('Compliance Database'!$A$2:$A$679,MATCH(432,'Transfer Engine'!$C$2:$C$679,0)))</f>
        <v/>
      </c>
      <c r="B441">
        <f>IF(ISNA(MATCH(432,'Transfer Engine'!$C$2:$C$679,0)),"",INDEX('Compliance Database'!$B$2:$B$679,MATCH(432,'Transfer Engine'!$C$2:$C$679,0)))</f>
        <v/>
      </c>
      <c r="C441">
        <f>IF(ISNA(MATCH(432,'Transfer Engine'!$C$2:$C$679,0)),"",INDEX('Compliance Database'!$C$2:$C$679,MATCH(432,'Transfer Engine'!$C$2:$C$679,0)))</f>
        <v/>
      </c>
      <c r="D441" s="8">
        <f>IF(ISNA(MATCH(432,'Transfer Engine'!$C$2:$C$679,0)),"",INDEX('Compliance Database'!$D$2:$D$679,MATCH(432,'Transfer Engine'!$C$2:$C$679,0)))</f>
        <v/>
      </c>
      <c r="E441">
        <f>IF(ISNA(MATCH(432,'Transfer Engine'!$C$2:$C$679,0)),"",INDEX('Compliance Database'!$E$2:$E$679,MATCH(432,'Transfer Engine'!$C$2:$C$679,0)))</f>
        <v/>
      </c>
      <c r="F441">
        <f>IF(ISNA(MATCH(432,'Transfer Engine'!$C$2:$C$679,0)),"",INDEX('Compliance Database'!$F$2:$F$679,MATCH(432,'Transfer Engine'!$C$2:$C$679,0)))</f>
        <v/>
      </c>
      <c r="G441">
        <f>IF(ISNA(MATCH(432,'Transfer Engine'!$C$2:$C$679,0)),"",INDEX('Compliance Database'!$G$2:$G$679,MATCH(432,'Transfer Engine'!$C$2:$C$679,0)))</f>
        <v/>
      </c>
      <c r="H441">
        <f>IF(ISNA(MATCH(432,'Transfer Engine'!$C$2:$C$679,0)),"",INDEX('Compliance Database'!$H$2:$H$679,MATCH(432,'Transfer Engine'!$C$2:$C$679,0)))</f>
        <v/>
      </c>
      <c r="I441" s="8">
        <f>IF(ISNA(MATCH(432,'Transfer Engine'!$C$2:$C$679,0)),"",INDEX('Compliance Database'!$I$2:$I$679,MATCH(432,'Transfer Engine'!$C$2:$C$679,0)))</f>
        <v/>
      </c>
      <c r="J441" s="8">
        <f>IF(ISNA(MATCH(432,'Transfer Engine'!$C$2:$C$679,0)),"",INDEX('Compliance Database'!$J$2:$J$679,MATCH(432,'Transfer Engine'!$C$2:$C$679,0)))</f>
        <v/>
      </c>
      <c r="K441">
        <f>IF(ISNA(MATCH(432,'Transfer Engine'!$C$2:$C$679,0)),"",INDEX('Compliance Database'!$K$2:$K$679,MATCH(432,'Transfer Engine'!$C$2:$C$679,0)))</f>
        <v/>
      </c>
      <c r="L441" s="8">
        <f>IF(ISNA(MATCH(432,'Transfer Engine'!$C$2:$C$679,0)),"",INDEX('Compliance Database'!$L$2:$L$679,MATCH(432,'Transfer Engine'!$C$2:$C$679,0)))</f>
        <v/>
      </c>
      <c r="M441" s="8">
        <f>IF(ISNA(MATCH(432,'Transfer Engine'!$C$2:$C$679,0)),"",INDEX('Compliance Database'!$M$2:$M$679,MATCH(432,'Transfer Engine'!$C$2:$C$679,0)))</f>
        <v/>
      </c>
      <c r="N441" s="8">
        <f>IF(ISNA(MATCH(432,'Transfer Engine'!$C$2:$C$679,0)),"",INDEX('Compliance Database'!$N$2:$N$679,MATCH(432,'Transfer Engine'!$C$2:$C$679,0)))</f>
        <v/>
      </c>
      <c r="O441" s="8">
        <f>IF(ISNA(MATCH(432,'Transfer Engine'!$C$2:$C$679,0)),"",INDEX('Compliance Database'!$O$2:$O$679,MATCH(432,'Transfer Engine'!$C$2:$C$679,0)))</f>
        <v/>
      </c>
      <c r="P441">
        <f>IF(ISNA(MATCH(432,'Transfer Engine'!$C$2:$C$679,0)),"",HYPERLINK(INDEX('Compliance Database'!$P$2:$P$679,MATCH(432,'Transfer Engine'!$C$2:$C$679,0)),"Open PDF"))</f>
        <v/>
      </c>
    </row>
    <row r="442">
      <c r="A442">
        <f>IF(ISNA(MATCH(433,'Transfer Engine'!$C$2:$C$679,0)),"",INDEX('Compliance Database'!$A$2:$A$679,MATCH(433,'Transfer Engine'!$C$2:$C$679,0)))</f>
        <v/>
      </c>
      <c r="B442">
        <f>IF(ISNA(MATCH(433,'Transfer Engine'!$C$2:$C$679,0)),"",INDEX('Compliance Database'!$B$2:$B$679,MATCH(433,'Transfer Engine'!$C$2:$C$679,0)))</f>
        <v/>
      </c>
      <c r="C442">
        <f>IF(ISNA(MATCH(433,'Transfer Engine'!$C$2:$C$679,0)),"",INDEX('Compliance Database'!$C$2:$C$679,MATCH(433,'Transfer Engine'!$C$2:$C$679,0)))</f>
        <v/>
      </c>
      <c r="D442" s="8">
        <f>IF(ISNA(MATCH(433,'Transfer Engine'!$C$2:$C$679,0)),"",INDEX('Compliance Database'!$D$2:$D$679,MATCH(433,'Transfer Engine'!$C$2:$C$679,0)))</f>
        <v/>
      </c>
      <c r="E442">
        <f>IF(ISNA(MATCH(433,'Transfer Engine'!$C$2:$C$679,0)),"",INDEX('Compliance Database'!$E$2:$E$679,MATCH(433,'Transfer Engine'!$C$2:$C$679,0)))</f>
        <v/>
      </c>
      <c r="F442">
        <f>IF(ISNA(MATCH(433,'Transfer Engine'!$C$2:$C$679,0)),"",INDEX('Compliance Database'!$F$2:$F$679,MATCH(433,'Transfer Engine'!$C$2:$C$679,0)))</f>
        <v/>
      </c>
      <c r="G442">
        <f>IF(ISNA(MATCH(433,'Transfer Engine'!$C$2:$C$679,0)),"",INDEX('Compliance Database'!$G$2:$G$679,MATCH(433,'Transfer Engine'!$C$2:$C$679,0)))</f>
        <v/>
      </c>
      <c r="H442">
        <f>IF(ISNA(MATCH(433,'Transfer Engine'!$C$2:$C$679,0)),"",INDEX('Compliance Database'!$H$2:$H$679,MATCH(433,'Transfer Engine'!$C$2:$C$679,0)))</f>
        <v/>
      </c>
      <c r="I442" s="8">
        <f>IF(ISNA(MATCH(433,'Transfer Engine'!$C$2:$C$679,0)),"",INDEX('Compliance Database'!$I$2:$I$679,MATCH(433,'Transfer Engine'!$C$2:$C$679,0)))</f>
        <v/>
      </c>
      <c r="J442" s="8">
        <f>IF(ISNA(MATCH(433,'Transfer Engine'!$C$2:$C$679,0)),"",INDEX('Compliance Database'!$J$2:$J$679,MATCH(433,'Transfer Engine'!$C$2:$C$679,0)))</f>
        <v/>
      </c>
      <c r="K442">
        <f>IF(ISNA(MATCH(433,'Transfer Engine'!$C$2:$C$679,0)),"",INDEX('Compliance Database'!$K$2:$K$679,MATCH(433,'Transfer Engine'!$C$2:$C$679,0)))</f>
        <v/>
      </c>
      <c r="L442" s="8">
        <f>IF(ISNA(MATCH(433,'Transfer Engine'!$C$2:$C$679,0)),"",INDEX('Compliance Database'!$L$2:$L$679,MATCH(433,'Transfer Engine'!$C$2:$C$679,0)))</f>
        <v/>
      </c>
      <c r="M442" s="8">
        <f>IF(ISNA(MATCH(433,'Transfer Engine'!$C$2:$C$679,0)),"",INDEX('Compliance Database'!$M$2:$M$679,MATCH(433,'Transfer Engine'!$C$2:$C$679,0)))</f>
        <v/>
      </c>
      <c r="N442" s="8">
        <f>IF(ISNA(MATCH(433,'Transfer Engine'!$C$2:$C$679,0)),"",INDEX('Compliance Database'!$N$2:$N$679,MATCH(433,'Transfer Engine'!$C$2:$C$679,0)))</f>
        <v/>
      </c>
      <c r="O442" s="8">
        <f>IF(ISNA(MATCH(433,'Transfer Engine'!$C$2:$C$679,0)),"",INDEX('Compliance Database'!$O$2:$O$679,MATCH(433,'Transfer Engine'!$C$2:$C$679,0)))</f>
        <v/>
      </c>
      <c r="P442">
        <f>IF(ISNA(MATCH(433,'Transfer Engine'!$C$2:$C$679,0)),"",HYPERLINK(INDEX('Compliance Database'!$P$2:$P$679,MATCH(433,'Transfer Engine'!$C$2:$C$679,0)),"Open PDF"))</f>
        <v/>
      </c>
    </row>
    <row r="443">
      <c r="A443">
        <f>IF(ISNA(MATCH(434,'Transfer Engine'!$C$2:$C$679,0)),"",INDEX('Compliance Database'!$A$2:$A$679,MATCH(434,'Transfer Engine'!$C$2:$C$679,0)))</f>
        <v/>
      </c>
      <c r="B443">
        <f>IF(ISNA(MATCH(434,'Transfer Engine'!$C$2:$C$679,0)),"",INDEX('Compliance Database'!$B$2:$B$679,MATCH(434,'Transfer Engine'!$C$2:$C$679,0)))</f>
        <v/>
      </c>
      <c r="C443">
        <f>IF(ISNA(MATCH(434,'Transfer Engine'!$C$2:$C$679,0)),"",INDEX('Compliance Database'!$C$2:$C$679,MATCH(434,'Transfer Engine'!$C$2:$C$679,0)))</f>
        <v/>
      </c>
      <c r="D443" s="8">
        <f>IF(ISNA(MATCH(434,'Transfer Engine'!$C$2:$C$679,0)),"",INDEX('Compliance Database'!$D$2:$D$679,MATCH(434,'Transfer Engine'!$C$2:$C$679,0)))</f>
        <v/>
      </c>
      <c r="E443">
        <f>IF(ISNA(MATCH(434,'Transfer Engine'!$C$2:$C$679,0)),"",INDEX('Compliance Database'!$E$2:$E$679,MATCH(434,'Transfer Engine'!$C$2:$C$679,0)))</f>
        <v/>
      </c>
      <c r="F443">
        <f>IF(ISNA(MATCH(434,'Transfer Engine'!$C$2:$C$679,0)),"",INDEX('Compliance Database'!$F$2:$F$679,MATCH(434,'Transfer Engine'!$C$2:$C$679,0)))</f>
        <v/>
      </c>
      <c r="G443">
        <f>IF(ISNA(MATCH(434,'Transfer Engine'!$C$2:$C$679,0)),"",INDEX('Compliance Database'!$G$2:$G$679,MATCH(434,'Transfer Engine'!$C$2:$C$679,0)))</f>
        <v/>
      </c>
      <c r="H443">
        <f>IF(ISNA(MATCH(434,'Transfer Engine'!$C$2:$C$679,0)),"",INDEX('Compliance Database'!$H$2:$H$679,MATCH(434,'Transfer Engine'!$C$2:$C$679,0)))</f>
        <v/>
      </c>
      <c r="I443" s="8">
        <f>IF(ISNA(MATCH(434,'Transfer Engine'!$C$2:$C$679,0)),"",INDEX('Compliance Database'!$I$2:$I$679,MATCH(434,'Transfer Engine'!$C$2:$C$679,0)))</f>
        <v/>
      </c>
      <c r="J443" s="8">
        <f>IF(ISNA(MATCH(434,'Transfer Engine'!$C$2:$C$679,0)),"",INDEX('Compliance Database'!$J$2:$J$679,MATCH(434,'Transfer Engine'!$C$2:$C$679,0)))</f>
        <v/>
      </c>
      <c r="K443">
        <f>IF(ISNA(MATCH(434,'Transfer Engine'!$C$2:$C$679,0)),"",INDEX('Compliance Database'!$K$2:$K$679,MATCH(434,'Transfer Engine'!$C$2:$C$679,0)))</f>
        <v/>
      </c>
      <c r="L443" s="8">
        <f>IF(ISNA(MATCH(434,'Transfer Engine'!$C$2:$C$679,0)),"",INDEX('Compliance Database'!$L$2:$L$679,MATCH(434,'Transfer Engine'!$C$2:$C$679,0)))</f>
        <v/>
      </c>
      <c r="M443" s="8">
        <f>IF(ISNA(MATCH(434,'Transfer Engine'!$C$2:$C$679,0)),"",INDEX('Compliance Database'!$M$2:$M$679,MATCH(434,'Transfer Engine'!$C$2:$C$679,0)))</f>
        <v/>
      </c>
      <c r="N443" s="8">
        <f>IF(ISNA(MATCH(434,'Transfer Engine'!$C$2:$C$679,0)),"",INDEX('Compliance Database'!$N$2:$N$679,MATCH(434,'Transfer Engine'!$C$2:$C$679,0)))</f>
        <v/>
      </c>
      <c r="O443" s="8">
        <f>IF(ISNA(MATCH(434,'Transfer Engine'!$C$2:$C$679,0)),"",INDEX('Compliance Database'!$O$2:$O$679,MATCH(434,'Transfer Engine'!$C$2:$C$679,0)))</f>
        <v/>
      </c>
      <c r="P443">
        <f>IF(ISNA(MATCH(434,'Transfer Engine'!$C$2:$C$679,0)),"",HYPERLINK(INDEX('Compliance Database'!$P$2:$P$679,MATCH(434,'Transfer Engine'!$C$2:$C$679,0)),"Open PDF"))</f>
        <v/>
      </c>
    </row>
    <row r="444">
      <c r="A444">
        <f>IF(ISNA(MATCH(435,'Transfer Engine'!$C$2:$C$679,0)),"",INDEX('Compliance Database'!$A$2:$A$679,MATCH(435,'Transfer Engine'!$C$2:$C$679,0)))</f>
        <v/>
      </c>
      <c r="B444">
        <f>IF(ISNA(MATCH(435,'Transfer Engine'!$C$2:$C$679,0)),"",INDEX('Compliance Database'!$B$2:$B$679,MATCH(435,'Transfer Engine'!$C$2:$C$679,0)))</f>
        <v/>
      </c>
      <c r="C444">
        <f>IF(ISNA(MATCH(435,'Transfer Engine'!$C$2:$C$679,0)),"",INDEX('Compliance Database'!$C$2:$C$679,MATCH(435,'Transfer Engine'!$C$2:$C$679,0)))</f>
        <v/>
      </c>
      <c r="D444" s="8">
        <f>IF(ISNA(MATCH(435,'Transfer Engine'!$C$2:$C$679,0)),"",INDEX('Compliance Database'!$D$2:$D$679,MATCH(435,'Transfer Engine'!$C$2:$C$679,0)))</f>
        <v/>
      </c>
      <c r="E444">
        <f>IF(ISNA(MATCH(435,'Transfer Engine'!$C$2:$C$679,0)),"",INDEX('Compliance Database'!$E$2:$E$679,MATCH(435,'Transfer Engine'!$C$2:$C$679,0)))</f>
        <v/>
      </c>
      <c r="F444">
        <f>IF(ISNA(MATCH(435,'Transfer Engine'!$C$2:$C$679,0)),"",INDEX('Compliance Database'!$F$2:$F$679,MATCH(435,'Transfer Engine'!$C$2:$C$679,0)))</f>
        <v/>
      </c>
      <c r="G444">
        <f>IF(ISNA(MATCH(435,'Transfer Engine'!$C$2:$C$679,0)),"",INDEX('Compliance Database'!$G$2:$G$679,MATCH(435,'Transfer Engine'!$C$2:$C$679,0)))</f>
        <v/>
      </c>
      <c r="H444">
        <f>IF(ISNA(MATCH(435,'Transfer Engine'!$C$2:$C$679,0)),"",INDEX('Compliance Database'!$H$2:$H$679,MATCH(435,'Transfer Engine'!$C$2:$C$679,0)))</f>
        <v/>
      </c>
      <c r="I444" s="8">
        <f>IF(ISNA(MATCH(435,'Transfer Engine'!$C$2:$C$679,0)),"",INDEX('Compliance Database'!$I$2:$I$679,MATCH(435,'Transfer Engine'!$C$2:$C$679,0)))</f>
        <v/>
      </c>
      <c r="J444" s="8">
        <f>IF(ISNA(MATCH(435,'Transfer Engine'!$C$2:$C$679,0)),"",INDEX('Compliance Database'!$J$2:$J$679,MATCH(435,'Transfer Engine'!$C$2:$C$679,0)))</f>
        <v/>
      </c>
      <c r="K444">
        <f>IF(ISNA(MATCH(435,'Transfer Engine'!$C$2:$C$679,0)),"",INDEX('Compliance Database'!$K$2:$K$679,MATCH(435,'Transfer Engine'!$C$2:$C$679,0)))</f>
        <v/>
      </c>
      <c r="L444" s="8">
        <f>IF(ISNA(MATCH(435,'Transfer Engine'!$C$2:$C$679,0)),"",INDEX('Compliance Database'!$L$2:$L$679,MATCH(435,'Transfer Engine'!$C$2:$C$679,0)))</f>
        <v/>
      </c>
      <c r="M444" s="8">
        <f>IF(ISNA(MATCH(435,'Transfer Engine'!$C$2:$C$679,0)),"",INDEX('Compliance Database'!$M$2:$M$679,MATCH(435,'Transfer Engine'!$C$2:$C$679,0)))</f>
        <v/>
      </c>
      <c r="N444" s="8">
        <f>IF(ISNA(MATCH(435,'Transfer Engine'!$C$2:$C$679,0)),"",INDEX('Compliance Database'!$N$2:$N$679,MATCH(435,'Transfer Engine'!$C$2:$C$679,0)))</f>
        <v/>
      </c>
      <c r="O444" s="8">
        <f>IF(ISNA(MATCH(435,'Transfer Engine'!$C$2:$C$679,0)),"",INDEX('Compliance Database'!$O$2:$O$679,MATCH(435,'Transfer Engine'!$C$2:$C$679,0)))</f>
        <v/>
      </c>
      <c r="P444">
        <f>IF(ISNA(MATCH(435,'Transfer Engine'!$C$2:$C$679,0)),"",HYPERLINK(INDEX('Compliance Database'!$P$2:$P$679,MATCH(435,'Transfer Engine'!$C$2:$C$679,0)),"Open PDF"))</f>
        <v/>
      </c>
    </row>
    <row r="445">
      <c r="A445">
        <f>IF(ISNA(MATCH(436,'Transfer Engine'!$C$2:$C$679,0)),"",INDEX('Compliance Database'!$A$2:$A$679,MATCH(436,'Transfer Engine'!$C$2:$C$679,0)))</f>
        <v/>
      </c>
      <c r="B445">
        <f>IF(ISNA(MATCH(436,'Transfer Engine'!$C$2:$C$679,0)),"",INDEX('Compliance Database'!$B$2:$B$679,MATCH(436,'Transfer Engine'!$C$2:$C$679,0)))</f>
        <v/>
      </c>
      <c r="C445">
        <f>IF(ISNA(MATCH(436,'Transfer Engine'!$C$2:$C$679,0)),"",INDEX('Compliance Database'!$C$2:$C$679,MATCH(436,'Transfer Engine'!$C$2:$C$679,0)))</f>
        <v/>
      </c>
      <c r="D445" s="8">
        <f>IF(ISNA(MATCH(436,'Transfer Engine'!$C$2:$C$679,0)),"",INDEX('Compliance Database'!$D$2:$D$679,MATCH(436,'Transfer Engine'!$C$2:$C$679,0)))</f>
        <v/>
      </c>
      <c r="E445">
        <f>IF(ISNA(MATCH(436,'Transfer Engine'!$C$2:$C$679,0)),"",INDEX('Compliance Database'!$E$2:$E$679,MATCH(436,'Transfer Engine'!$C$2:$C$679,0)))</f>
        <v/>
      </c>
      <c r="F445">
        <f>IF(ISNA(MATCH(436,'Transfer Engine'!$C$2:$C$679,0)),"",INDEX('Compliance Database'!$F$2:$F$679,MATCH(436,'Transfer Engine'!$C$2:$C$679,0)))</f>
        <v/>
      </c>
      <c r="G445">
        <f>IF(ISNA(MATCH(436,'Transfer Engine'!$C$2:$C$679,0)),"",INDEX('Compliance Database'!$G$2:$G$679,MATCH(436,'Transfer Engine'!$C$2:$C$679,0)))</f>
        <v/>
      </c>
      <c r="H445">
        <f>IF(ISNA(MATCH(436,'Transfer Engine'!$C$2:$C$679,0)),"",INDEX('Compliance Database'!$H$2:$H$679,MATCH(436,'Transfer Engine'!$C$2:$C$679,0)))</f>
        <v/>
      </c>
      <c r="I445" s="8">
        <f>IF(ISNA(MATCH(436,'Transfer Engine'!$C$2:$C$679,0)),"",INDEX('Compliance Database'!$I$2:$I$679,MATCH(436,'Transfer Engine'!$C$2:$C$679,0)))</f>
        <v/>
      </c>
      <c r="J445" s="8">
        <f>IF(ISNA(MATCH(436,'Transfer Engine'!$C$2:$C$679,0)),"",INDEX('Compliance Database'!$J$2:$J$679,MATCH(436,'Transfer Engine'!$C$2:$C$679,0)))</f>
        <v/>
      </c>
      <c r="K445">
        <f>IF(ISNA(MATCH(436,'Transfer Engine'!$C$2:$C$679,0)),"",INDEX('Compliance Database'!$K$2:$K$679,MATCH(436,'Transfer Engine'!$C$2:$C$679,0)))</f>
        <v/>
      </c>
      <c r="L445" s="8">
        <f>IF(ISNA(MATCH(436,'Transfer Engine'!$C$2:$C$679,0)),"",INDEX('Compliance Database'!$L$2:$L$679,MATCH(436,'Transfer Engine'!$C$2:$C$679,0)))</f>
        <v/>
      </c>
      <c r="M445" s="8">
        <f>IF(ISNA(MATCH(436,'Transfer Engine'!$C$2:$C$679,0)),"",INDEX('Compliance Database'!$M$2:$M$679,MATCH(436,'Transfer Engine'!$C$2:$C$679,0)))</f>
        <v/>
      </c>
      <c r="N445" s="8">
        <f>IF(ISNA(MATCH(436,'Transfer Engine'!$C$2:$C$679,0)),"",INDEX('Compliance Database'!$N$2:$N$679,MATCH(436,'Transfer Engine'!$C$2:$C$679,0)))</f>
        <v/>
      </c>
      <c r="O445" s="8">
        <f>IF(ISNA(MATCH(436,'Transfer Engine'!$C$2:$C$679,0)),"",INDEX('Compliance Database'!$O$2:$O$679,MATCH(436,'Transfer Engine'!$C$2:$C$679,0)))</f>
        <v/>
      </c>
      <c r="P445">
        <f>IF(ISNA(MATCH(436,'Transfer Engine'!$C$2:$C$679,0)),"",HYPERLINK(INDEX('Compliance Database'!$P$2:$P$679,MATCH(436,'Transfer Engine'!$C$2:$C$679,0)),"Open PDF"))</f>
        <v/>
      </c>
    </row>
    <row r="446">
      <c r="A446">
        <f>IF(ISNA(MATCH(437,'Transfer Engine'!$C$2:$C$679,0)),"",INDEX('Compliance Database'!$A$2:$A$679,MATCH(437,'Transfer Engine'!$C$2:$C$679,0)))</f>
        <v/>
      </c>
      <c r="B446">
        <f>IF(ISNA(MATCH(437,'Transfer Engine'!$C$2:$C$679,0)),"",INDEX('Compliance Database'!$B$2:$B$679,MATCH(437,'Transfer Engine'!$C$2:$C$679,0)))</f>
        <v/>
      </c>
      <c r="C446">
        <f>IF(ISNA(MATCH(437,'Transfer Engine'!$C$2:$C$679,0)),"",INDEX('Compliance Database'!$C$2:$C$679,MATCH(437,'Transfer Engine'!$C$2:$C$679,0)))</f>
        <v/>
      </c>
      <c r="D446" s="8">
        <f>IF(ISNA(MATCH(437,'Transfer Engine'!$C$2:$C$679,0)),"",INDEX('Compliance Database'!$D$2:$D$679,MATCH(437,'Transfer Engine'!$C$2:$C$679,0)))</f>
        <v/>
      </c>
      <c r="E446">
        <f>IF(ISNA(MATCH(437,'Transfer Engine'!$C$2:$C$679,0)),"",INDEX('Compliance Database'!$E$2:$E$679,MATCH(437,'Transfer Engine'!$C$2:$C$679,0)))</f>
        <v/>
      </c>
      <c r="F446">
        <f>IF(ISNA(MATCH(437,'Transfer Engine'!$C$2:$C$679,0)),"",INDEX('Compliance Database'!$F$2:$F$679,MATCH(437,'Transfer Engine'!$C$2:$C$679,0)))</f>
        <v/>
      </c>
      <c r="G446">
        <f>IF(ISNA(MATCH(437,'Transfer Engine'!$C$2:$C$679,0)),"",INDEX('Compliance Database'!$G$2:$G$679,MATCH(437,'Transfer Engine'!$C$2:$C$679,0)))</f>
        <v/>
      </c>
      <c r="H446">
        <f>IF(ISNA(MATCH(437,'Transfer Engine'!$C$2:$C$679,0)),"",INDEX('Compliance Database'!$H$2:$H$679,MATCH(437,'Transfer Engine'!$C$2:$C$679,0)))</f>
        <v/>
      </c>
      <c r="I446" s="8">
        <f>IF(ISNA(MATCH(437,'Transfer Engine'!$C$2:$C$679,0)),"",INDEX('Compliance Database'!$I$2:$I$679,MATCH(437,'Transfer Engine'!$C$2:$C$679,0)))</f>
        <v/>
      </c>
      <c r="J446" s="8">
        <f>IF(ISNA(MATCH(437,'Transfer Engine'!$C$2:$C$679,0)),"",INDEX('Compliance Database'!$J$2:$J$679,MATCH(437,'Transfer Engine'!$C$2:$C$679,0)))</f>
        <v/>
      </c>
      <c r="K446">
        <f>IF(ISNA(MATCH(437,'Transfer Engine'!$C$2:$C$679,0)),"",INDEX('Compliance Database'!$K$2:$K$679,MATCH(437,'Transfer Engine'!$C$2:$C$679,0)))</f>
        <v/>
      </c>
      <c r="L446" s="8">
        <f>IF(ISNA(MATCH(437,'Transfer Engine'!$C$2:$C$679,0)),"",INDEX('Compliance Database'!$L$2:$L$679,MATCH(437,'Transfer Engine'!$C$2:$C$679,0)))</f>
        <v/>
      </c>
      <c r="M446" s="8">
        <f>IF(ISNA(MATCH(437,'Transfer Engine'!$C$2:$C$679,0)),"",INDEX('Compliance Database'!$M$2:$M$679,MATCH(437,'Transfer Engine'!$C$2:$C$679,0)))</f>
        <v/>
      </c>
      <c r="N446" s="8">
        <f>IF(ISNA(MATCH(437,'Transfer Engine'!$C$2:$C$679,0)),"",INDEX('Compliance Database'!$N$2:$N$679,MATCH(437,'Transfer Engine'!$C$2:$C$679,0)))</f>
        <v/>
      </c>
      <c r="O446" s="8">
        <f>IF(ISNA(MATCH(437,'Transfer Engine'!$C$2:$C$679,0)),"",INDEX('Compliance Database'!$O$2:$O$679,MATCH(437,'Transfer Engine'!$C$2:$C$679,0)))</f>
        <v/>
      </c>
      <c r="P446">
        <f>IF(ISNA(MATCH(437,'Transfer Engine'!$C$2:$C$679,0)),"",HYPERLINK(INDEX('Compliance Database'!$P$2:$P$679,MATCH(437,'Transfer Engine'!$C$2:$C$679,0)),"Open PDF"))</f>
        <v/>
      </c>
    </row>
    <row r="447">
      <c r="A447">
        <f>IF(ISNA(MATCH(438,'Transfer Engine'!$C$2:$C$679,0)),"",INDEX('Compliance Database'!$A$2:$A$679,MATCH(438,'Transfer Engine'!$C$2:$C$679,0)))</f>
        <v/>
      </c>
      <c r="B447">
        <f>IF(ISNA(MATCH(438,'Transfer Engine'!$C$2:$C$679,0)),"",INDEX('Compliance Database'!$B$2:$B$679,MATCH(438,'Transfer Engine'!$C$2:$C$679,0)))</f>
        <v/>
      </c>
      <c r="C447">
        <f>IF(ISNA(MATCH(438,'Transfer Engine'!$C$2:$C$679,0)),"",INDEX('Compliance Database'!$C$2:$C$679,MATCH(438,'Transfer Engine'!$C$2:$C$679,0)))</f>
        <v/>
      </c>
      <c r="D447" s="8">
        <f>IF(ISNA(MATCH(438,'Transfer Engine'!$C$2:$C$679,0)),"",INDEX('Compliance Database'!$D$2:$D$679,MATCH(438,'Transfer Engine'!$C$2:$C$679,0)))</f>
        <v/>
      </c>
      <c r="E447">
        <f>IF(ISNA(MATCH(438,'Transfer Engine'!$C$2:$C$679,0)),"",INDEX('Compliance Database'!$E$2:$E$679,MATCH(438,'Transfer Engine'!$C$2:$C$679,0)))</f>
        <v/>
      </c>
      <c r="F447">
        <f>IF(ISNA(MATCH(438,'Transfer Engine'!$C$2:$C$679,0)),"",INDEX('Compliance Database'!$F$2:$F$679,MATCH(438,'Transfer Engine'!$C$2:$C$679,0)))</f>
        <v/>
      </c>
      <c r="G447">
        <f>IF(ISNA(MATCH(438,'Transfer Engine'!$C$2:$C$679,0)),"",INDEX('Compliance Database'!$G$2:$G$679,MATCH(438,'Transfer Engine'!$C$2:$C$679,0)))</f>
        <v/>
      </c>
      <c r="H447">
        <f>IF(ISNA(MATCH(438,'Transfer Engine'!$C$2:$C$679,0)),"",INDEX('Compliance Database'!$H$2:$H$679,MATCH(438,'Transfer Engine'!$C$2:$C$679,0)))</f>
        <v/>
      </c>
      <c r="I447" s="8">
        <f>IF(ISNA(MATCH(438,'Transfer Engine'!$C$2:$C$679,0)),"",INDEX('Compliance Database'!$I$2:$I$679,MATCH(438,'Transfer Engine'!$C$2:$C$679,0)))</f>
        <v/>
      </c>
      <c r="J447" s="8">
        <f>IF(ISNA(MATCH(438,'Transfer Engine'!$C$2:$C$679,0)),"",INDEX('Compliance Database'!$J$2:$J$679,MATCH(438,'Transfer Engine'!$C$2:$C$679,0)))</f>
        <v/>
      </c>
      <c r="K447">
        <f>IF(ISNA(MATCH(438,'Transfer Engine'!$C$2:$C$679,0)),"",INDEX('Compliance Database'!$K$2:$K$679,MATCH(438,'Transfer Engine'!$C$2:$C$679,0)))</f>
        <v/>
      </c>
      <c r="L447" s="8">
        <f>IF(ISNA(MATCH(438,'Transfer Engine'!$C$2:$C$679,0)),"",INDEX('Compliance Database'!$L$2:$L$679,MATCH(438,'Transfer Engine'!$C$2:$C$679,0)))</f>
        <v/>
      </c>
      <c r="M447" s="8">
        <f>IF(ISNA(MATCH(438,'Transfer Engine'!$C$2:$C$679,0)),"",INDEX('Compliance Database'!$M$2:$M$679,MATCH(438,'Transfer Engine'!$C$2:$C$679,0)))</f>
        <v/>
      </c>
      <c r="N447" s="8">
        <f>IF(ISNA(MATCH(438,'Transfer Engine'!$C$2:$C$679,0)),"",INDEX('Compliance Database'!$N$2:$N$679,MATCH(438,'Transfer Engine'!$C$2:$C$679,0)))</f>
        <v/>
      </c>
      <c r="O447" s="8">
        <f>IF(ISNA(MATCH(438,'Transfer Engine'!$C$2:$C$679,0)),"",INDEX('Compliance Database'!$O$2:$O$679,MATCH(438,'Transfer Engine'!$C$2:$C$679,0)))</f>
        <v/>
      </c>
      <c r="P447">
        <f>IF(ISNA(MATCH(438,'Transfer Engine'!$C$2:$C$679,0)),"",HYPERLINK(INDEX('Compliance Database'!$P$2:$P$679,MATCH(438,'Transfer Engine'!$C$2:$C$679,0)),"Open PDF"))</f>
        <v/>
      </c>
    </row>
    <row r="448">
      <c r="A448">
        <f>IF(ISNA(MATCH(439,'Transfer Engine'!$C$2:$C$679,0)),"",INDEX('Compliance Database'!$A$2:$A$679,MATCH(439,'Transfer Engine'!$C$2:$C$679,0)))</f>
        <v/>
      </c>
      <c r="B448">
        <f>IF(ISNA(MATCH(439,'Transfer Engine'!$C$2:$C$679,0)),"",INDEX('Compliance Database'!$B$2:$B$679,MATCH(439,'Transfer Engine'!$C$2:$C$679,0)))</f>
        <v/>
      </c>
      <c r="C448">
        <f>IF(ISNA(MATCH(439,'Transfer Engine'!$C$2:$C$679,0)),"",INDEX('Compliance Database'!$C$2:$C$679,MATCH(439,'Transfer Engine'!$C$2:$C$679,0)))</f>
        <v/>
      </c>
      <c r="D448" s="8">
        <f>IF(ISNA(MATCH(439,'Transfer Engine'!$C$2:$C$679,0)),"",INDEX('Compliance Database'!$D$2:$D$679,MATCH(439,'Transfer Engine'!$C$2:$C$679,0)))</f>
        <v/>
      </c>
      <c r="E448">
        <f>IF(ISNA(MATCH(439,'Transfer Engine'!$C$2:$C$679,0)),"",INDEX('Compliance Database'!$E$2:$E$679,MATCH(439,'Transfer Engine'!$C$2:$C$679,0)))</f>
        <v/>
      </c>
      <c r="F448">
        <f>IF(ISNA(MATCH(439,'Transfer Engine'!$C$2:$C$679,0)),"",INDEX('Compliance Database'!$F$2:$F$679,MATCH(439,'Transfer Engine'!$C$2:$C$679,0)))</f>
        <v/>
      </c>
      <c r="G448">
        <f>IF(ISNA(MATCH(439,'Transfer Engine'!$C$2:$C$679,0)),"",INDEX('Compliance Database'!$G$2:$G$679,MATCH(439,'Transfer Engine'!$C$2:$C$679,0)))</f>
        <v/>
      </c>
      <c r="H448">
        <f>IF(ISNA(MATCH(439,'Transfer Engine'!$C$2:$C$679,0)),"",INDEX('Compliance Database'!$H$2:$H$679,MATCH(439,'Transfer Engine'!$C$2:$C$679,0)))</f>
        <v/>
      </c>
      <c r="I448" s="8">
        <f>IF(ISNA(MATCH(439,'Transfer Engine'!$C$2:$C$679,0)),"",INDEX('Compliance Database'!$I$2:$I$679,MATCH(439,'Transfer Engine'!$C$2:$C$679,0)))</f>
        <v/>
      </c>
      <c r="J448" s="8">
        <f>IF(ISNA(MATCH(439,'Transfer Engine'!$C$2:$C$679,0)),"",INDEX('Compliance Database'!$J$2:$J$679,MATCH(439,'Transfer Engine'!$C$2:$C$679,0)))</f>
        <v/>
      </c>
      <c r="K448">
        <f>IF(ISNA(MATCH(439,'Transfer Engine'!$C$2:$C$679,0)),"",INDEX('Compliance Database'!$K$2:$K$679,MATCH(439,'Transfer Engine'!$C$2:$C$679,0)))</f>
        <v/>
      </c>
      <c r="L448" s="8">
        <f>IF(ISNA(MATCH(439,'Transfer Engine'!$C$2:$C$679,0)),"",INDEX('Compliance Database'!$L$2:$L$679,MATCH(439,'Transfer Engine'!$C$2:$C$679,0)))</f>
        <v/>
      </c>
      <c r="M448" s="8">
        <f>IF(ISNA(MATCH(439,'Transfer Engine'!$C$2:$C$679,0)),"",INDEX('Compliance Database'!$M$2:$M$679,MATCH(439,'Transfer Engine'!$C$2:$C$679,0)))</f>
        <v/>
      </c>
      <c r="N448" s="8">
        <f>IF(ISNA(MATCH(439,'Transfer Engine'!$C$2:$C$679,0)),"",INDEX('Compliance Database'!$N$2:$N$679,MATCH(439,'Transfer Engine'!$C$2:$C$679,0)))</f>
        <v/>
      </c>
      <c r="O448" s="8">
        <f>IF(ISNA(MATCH(439,'Transfer Engine'!$C$2:$C$679,0)),"",INDEX('Compliance Database'!$O$2:$O$679,MATCH(439,'Transfer Engine'!$C$2:$C$679,0)))</f>
        <v/>
      </c>
      <c r="P448">
        <f>IF(ISNA(MATCH(439,'Transfer Engine'!$C$2:$C$679,0)),"",HYPERLINK(INDEX('Compliance Database'!$P$2:$P$679,MATCH(439,'Transfer Engine'!$C$2:$C$679,0)),"Open PDF"))</f>
        <v/>
      </c>
    </row>
    <row r="449">
      <c r="A449">
        <f>IF(ISNA(MATCH(440,'Transfer Engine'!$C$2:$C$679,0)),"",INDEX('Compliance Database'!$A$2:$A$679,MATCH(440,'Transfer Engine'!$C$2:$C$679,0)))</f>
        <v/>
      </c>
      <c r="B449">
        <f>IF(ISNA(MATCH(440,'Transfer Engine'!$C$2:$C$679,0)),"",INDEX('Compliance Database'!$B$2:$B$679,MATCH(440,'Transfer Engine'!$C$2:$C$679,0)))</f>
        <v/>
      </c>
      <c r="C449">
        <f>IF(ISNA(MATCH(440,'Transfer Engine'!$C$2:$C$679,0)),"",INDEX('Compliance Database'!$C$2:$C$679,MATCH(440,'Transfer Engine'!$C$2:$C$679,0)))</f>
        <v/>
      </c>
      <c r="D449" s="8">
        <f>IF(ISNA(MATCH(440,'Transfer Engine'!$C$2:$C$679,0)),"",INDEX('Compliance Database'!$D$2:$D$679,MATCH(440,'Transfer Engine'!$C$2:$C$679,0)))</f>
        <v/>
      </c>
      <c r="E449">
        <f>IF(ISNA(MATCH(440,'Transfer Engine'!$C$2:$C$679,0)),"",INDEX('Compliance Database'!$E$2:$E$679,MATCH(440,'Transfer Engine'!$C$2:$C$679,0)))</f>
        <v/>
      </c>
      <c r="F449">
        <f>IF(ISNA(MATCH(440,'Transfer Engine'!$C$2:$C$679,0)),"",INDEX('Compliance Database'!$F$2:$F$679,MATCH(440,'Transfer Engine'!$C$2:$C$679,0)))</f>
        <v/>
      </c>
      <c r="G449">
        <f>IF(ISNA(MATCH(440,'Transfer Engine'!$C$2:$C$679,0)),"",INDEX('Compliance Database'!$G$2:$G$679,MATCH(440,'Transfer Engine'!$C$2:$C$679,0)))</f>
        <v/>
      </c>
      <c r="H449">
        <f>IF(ISNA(MATCH(440,'Transfer Engine'!$C$2:$C$679,0)),"",INDEX('Compliance Database'!$H$2:$H$679,MATCH(440,'Transfer Engine'!$C$2:$C$679,0)))</f>
        <v/>
      </c>
      <c r="I449" s="8">
        <f>IF(ISNA(MATCH(440,'Transfer Engine'!$C$2:$C$679,0)),"",INDEX('Compliance Database'!$I$2:$I$679,MATCH(440,'Transfer Engine'!$C$2:$C$679,0)))</f>
        <v/>
      </c>
      <c r="J449" s="8">
        <f>IF(ISNA(MATCH(440,'Transfer Engine'!$C$2:$C$679,0)),"",INDEX('Compliance Database'!$J$2:$J$679,MATCH(440,'Transfer Engine'!$C$2:$C$679,0)))</f>
        <v/>
      </c>
      <c r="K449">
        <f>IF(ISNA(MATCH(440,'Transfer Engine'!$C$2:$C$679,0)),"",INDEX('Compliance Database'!$K$2:$K$679,MATCH(440,'Transfer Engine'!$C$2:$C$679,0)))</f>
        <v/>
      </c>
      <c r="L449" s="8">
        <f>IF(ISNA(MATCH(440,'Transfer Engine'!$C$2:$C$679,0)),"",INDEX('Compliance Database'!$L$2:$L$679,MATCH(440,'Transfer Engine'!$C$2:$C$679,0)))</f>
        <v/>
      </c>
      <c r="M449" s="8">
        <f>IF(ISNA(MATCH(440,'Transfer Engine'!$C$2:$C$679,0)),"",INDEX('Compliance Database'!$M$2:$M$679,MATCH(440,'Transfer Engine'!$C$2:$C$679,0)))</f>
        <v/>
      </c>
      <c r="N449" s="8">
        <f>IF(ISNA(MATCH(440,'Transfer Engine'!$C$2:$C$679,0)),"",INDEX('Compliance Database'!$N$2:$N$679,MATCH(440,'Transfer Engine'!$C$2:$C$679,0)))</f>
        <v/>
      </c>
      <c r="O449" s="8">
        <f>IF(ISNA(MATCH(440,'Transfer Engine'!$C$2:$C$679,0)),"",INDEX('Compliance Database'!$O$2:$O$679,MATCH(440,'Transfer Engine'!$C$2:$C$679,0)))</f>
        <v/>
      </c>
      <c r="P449">
        <f>IF(ISNA(MATCH(440,'Transfer Engine'!$C$2:$C$679,0)),"",HYPERLINK(INDEX('Compliance Database'!$P$2:$P$679,MATCH(440,'Transfer Engine'!$C$2:$C$679,0)),"Open PDF"))</f>
        <v/>
      </c>
    </row>
    <row r="450">
      <c r="A450">
        <f>IF(ISNA(MATCH(441,'Transfer Engine'!$C$2:$C$679,0)),"",INDEX('Compliance Database'!$A$2:$A$679,MATCH(441,'Transfer Engine'!$C$2:$C$679,0)))</f>
        <v/>
      </c>
      <c r="B450">
        <f>IF(ISNA(MATCH(441,'Transfer Engine'!$C$2:$C$679,0)),"",INDEX('Compliance Database'!$B$2:$B$679,MATCH(441,'Transfer Engine'!$C$2:$C$679,0)))</f>
        <v/>
      </c>
      <c r="C450">
        <f>IF(ISNA(MATCH(441,'Transfer Engine'!$C$2:$C$679,0)),"",INDEX('Compliance Database'!$C$2:$C$679,MATCH(441,'Transfer Engine'!$C$2:$C$679,0)))</f>
        <v/>
      </c>
      <c r="D450" s="8">
        <f>IF(ISNA(MATCH(441,'Transfer Engine'!$C$2:$C$679,0)),"",INDEX('Compliance Database'!$D$2:$D$679,MATCH(441,'Transfer Engine'!$C$2:$C$679,0)))</f>
        <v/>
      </c>
      <c r="E450">
        <f>IF(ISNA(MATCH(441,'Transfer Engine'!$C$2:$C$679,0)),"",INDEX('Compliance Database'!$E$2:$E$679,MATCH(441,'Transfer Engine'!$C$2:$C$679,0)))</f>
        <v/>
      </c>
      <c r="F450">
        <f>IF(ISNA(MATCH(441,'Transfer Engine'!$C$2:$C$679,0)),"",INDEX('Compliance Database'!$F$2:$F$679,MATCH(441,'Transfer Engine'!$C$2:$C$679,0)))</f>
        <v/>
      </c>
      <c r="G450">
        <f>IF(ISNA(MATCH(441,'Transfer Engine'!$C$2:$C$679,0)),"",INDEX('Compliance Database'!$G$2:$G$679,MATCH(441,'Transfer Engine'!$C$2:$C$679,0)))</f>
        <v/>
      </c>
      <c r="H450">
        <f>IF(ISNA(MATCH(441,'Transfer Engine'!$C$2:$C$679,0)),"",INDEX('Compliance Database'!$H$2:$H$679,MATCH(441,'Transfer Engine'!$C$2:$C$679,0)))</f>
        <v/>
      </c>
      <c r="I450" s="8">
        <f>IF(ISNA(MATCH(441,'Transfer Engine'!$C$2:$C$679,0)),"",INDEX('Compliance Database'!$I$2:$I$679,MATCH(441,'Transfer Engine'!$C$2:$C$679,0)))</f>
        <v/>
      </c>
      <c r="J450" s="8">
        <f>IF(ISNA(MATCH(441,'Transfer Engine'!$C$2:$C$679,0)),"",INDEX('Compliance Database'!$J$2:$J$679,MATCH(441,'Transfer Engine'!$C$2:$C$679,0)))</f>
        <v/>
      </c>
      <c r="K450">
        <f>IF(ISNA(MATCH(441,'Transfer Engine'!$C$2:$C$679,0)),"",INDEX('Compliance Database'!$K$2:$K$679,MATCH(441,'Transfer Engine'!$C$2:$C$679,0)))</f>
        <v/>
      </c>
      <c r="L450" s="8">
        <f>IF(ISNA(MATCH(441,'Transfer Engine'!$C$2:$C$679,0)),"",INDEX('Compliance Database'!$L$2:$L$679,MATCH(441,'Transfer Engine'!$C$2:$C$679,0)))</f>
        <v/>
      </c>
      <c r="M450" s="8">
        <f>IF(ISNA(MATCH(441,'Transfer Engine'!$C$2:$C$679,0)),"",INDEX('Compliance Database'!$M$2:$M$679,MATCH(441,'Transfer Engine'!$C$2:$C$679,0)))</f>
        <v/>
      </c>
      <c r="N450" s="8">
        <f>IF(ISNA(MATCH(441,'Transfer Engine'!$C$2:$C$679,0)),"",INDEX('Compliance Database'!$N$2:$N$679,MATCH(441,'Transfer Engine'!$C$2:$C$679,0)))</f>
        <v/>
      </c>
      <c r="O450" s="8">
        <f>IF(ISNA(MATCH(441,'Transfer Engine'!$C$2:$C$679,0)),"",INDEX('Compliance Database'!$O$2:$O$679,MATCH(441,'Transfer Engine'!$C$2:$C$679,0)))</f>
        <v/>
      </c>
      <c r="P450">
        <f>IF(ISNA(MATCH(441,'Transfer Engine'!$C$2:$C$679,0)),"",HYPERLINK(INDEX('Compliance Database'!$P$2:$P$679,MATCH(441,'Transfer Engine'!$C$2:$C$679,0)),"Open PDF"))</f>
        <v/>
      </c>
    </row>
    <row r="451">
      <c r="A451">
        <f>IF(ISNA(MATCH(442,'Transfer Engine'!$C$2:$C$679,0)),"",INDEX('Compliance Database'!$A$2:$A$679,MATCH(442,'Transfer Engine'!$C$2:$C$679,0)))</f>
        <v/>
      </c>
      <c r="B451">
        <f>IF(ISNA(MATCH(442,'Transfer Engine'!$C$2:$C$679,0)),"",INDEX('Compliance Database'!$B$2:$B$679,MATCH(442,'Transfer Engine'!$C$2:$C$679,0)))</f>
        <v/>
      </c>
      <c r="C451">
        <f>IF(ISNA(MATCH(442,'Transfer Engine'!$C$2:$C$679,0)),"",INDEX('Compliance Database'!$C$2:$C$679,MATCH(442,'Transfer Engine'!$C$2:$C$679,0)))</f>
        <v/>
      </c>
      <c r="D451" s="8">
        <f>IF(ISNA(MATCH(442,'Transfer Engine'!$C$2:$C$679,0)),"",INDEX('Compliance Database'!$D$2:$D$679,MATCH(442,'Transfer Engine'!$C$2:$C$679,0)))</f>
        <v/>
      </c>
      <c r="E451">
        <f>IF(ISNA(MATCH(442,'Transfer Engine'!$C$2:$C$679,0)),"",INDEX('Compliance Database'!$E$2:$E$679,MATCH(442,'Transfer Engine'!$C$2:$C$679,0)))</f>
        <v/>
      </c>
      <c r="F451">
        <f>IF(ISNA(MATCH(442,'Transfer Engine'!$C$2:$C$679,0)),"",INDEX('Compliance Database'!$F$2:$F$679,MATCH(442,'Transfer Engine'!$C$2:$C$679,0)))</f>
        <v/>
      </c>
      <c r="G451">
        <f>IF(ISNA(MATCH(442,'Transfer Engine'!$C$2:$C$679,0)),"",INDEX('Compliance Database'!$G$2:$G$679,MATCH(442,'Transfer Engine'!$C$2:$C$679,0)))</f>
        <v/>
      </c>
      <c r="H451">
        <f>IF(ISNA(MATCH(442,'Transfer Engine'!$C$2:$C$679,0)),"",INDEX('Compliance Database'!$H$2:$H$679,MATCH(442,'Transfer Engine'!$C$2:$C$679,0)))</f>
        <v/>
      </c>
      <c r="I451" s="8">
        <f>IF(ISNA(MATCH(442,'Transfer Engine'!$C$2:$C$679,0)),"",INDEX('Compliance Database'!$I$2:$I$679,MATCH(442,'Transfer Engine'!$C$2:$C$679,0)))</f>
        <v/>
      </c>
      <c r="J451" s="8">
        <f>IF(ISNA(MATCH(442,'Transfer Engine'!$C$2:$C$679,0)),"",INDEX('Compliance Database'!$J$2:$J$679,MATCH(442,'Transfer Engine'!$C$2:$C$679,0)))</f>
        <v/>
      </c>
      <c r="K451">
        <f>IF(ISNA(MATCH(442,'Transfer Engine'!$C$2:$C$679,0)),"",INDEX('Compliance Database'!$K$2:$K$679,MATCH(442,'Transfer Engine'!$C$2:$C$679,0)))</f>
        <v/>
      </c>
      <c r="L451" s="8">
        <f>IF(ISNA(MATCH(442,'Transfer Engine'!$C$2:$C$679,0)),"",INDEX('Compliance Database'!$L$2:$L$679,MATCH(442,'Transfer Engine'!$C$2:$C$679,0)))</f>
        <v/>
      </c>
      <c r="M451" s="8">
        <f>IF(ISNA(MATCH(442,'Transfer Engine'!$C$2:$C$679,0)),"",INDEX('Compliance Database'!$M$2:$M$679,MATCH(442,'Transfer Engine'!$C$2:$C$679,0)))</f>
        <v/>
      </c>
      <c r="N451" s="8">
        <f>IF(ISNA(MATCH(442,'Transfer Engine'!$C$2:$C$679,0)),"",INDEX('Compliance Database'!$N$2:$N$679,MATCH(442,'Transfer Engine'!$C$2:$C$679,0)))</f>
        <v/>
      </c>
      <c r="O451" s="8">
        <f>IF(ISNA(MATCH(442,'Transfer Engine'!$C$2:$C$679,0)),"",INDEX('Compliance Database'!$O$2:$O$679,MATCH(442,'Transfer Engine'!$C$2:$C$679,0)))</f>
        <v/>
      </c>
      <c r="P451">
        <f>IF(ISNA(MATCH(442,'Transfer Engine'!$C$2:$C$679,0)),"",HYPERLINK(INDEX('Compliance Database'!$P$2:$P$679,MATCH(442,'Transfer Engine'!$C$2:$C$679,0)),"Open PDF"))</f>
        <v/>
      </c>
    </row>
    <row r="452">
      <c r="A452">
        <f>IF(ISNA(MATCH(443,'Transfer Engine'!$C$2:$C$679,0)),"",INDEX('Compliance Database'!$A$2:$A$679,MATCH(443,'Transfer Engine'!$C$2:$C$679,0)))</f>
        <v/>
      </c>
      <c r="B452">
        <f>IF(ISNA(MATCH(443,'Transfer Engine'!$C$2:$C$679,0)),"",INDEX('Compliance Database'!$B$2:$B$679,MATCH(443,'Transfer Engine'!$C$2:$C$679,0)))</f>
        <v/>
      </c>
      <c r="C452">
        <f>IF(ISNA(MATCH(443,'Transfer Engine'!$C$2:$C$679,0)),"",INDEX('Compliance Database'!$C$2:$C$679,MATCH(443,'Transfer Engine'!$C$2:$C$679,0)))</f>
        <v/>
      </c>
      <c r="D452" s="8">
        <f>IF(ISNA(MATCH(443,'Transfer Engine'!$C$2:$C$679,0)),"",INDEX('Compliance Database'!$D$2:$D$679,MATCH(443,'Transfer Engine'!$C$2:$C$679,0)))</f>
        <v/>
      </c>
      <c r="E452">
        <f>IF(ISNA(MATCH(443,'Transfer Engine'!$C$2:$C$679,0)),"",INDEX('Compliance Database'!$E$2:$E$679,MATCH(443,'Transfer Engine'!$C$2:$C$679,0)))</f>
        <v/>
      </c>
      <c r="F452">
        <f>IF(ISNA(MATCH(443,'Transfer Engine'!$C$2:$C$679,0)),"",INDEX('Compliance Database'!$F$2:$F$679,MATCH(443,'Transfer Engine'!$C$2:$C$679,0)))</f>
        <v/>
      </c>
      <c r="G452">
        <f>IF(ISNA(MATCH(443,'Transfer Engine'!$C$2:$C$679,0)),"",INDEX('Compliance Database'!$G$2:$G$679,MATCH(443,'Transfer Engine'!$C$2:$C$679,0)))</f>
        <v/>
      </c>
      <c r="H452">
        <f>IF(ISNA(MATCH(443,'Transfer Engine'!$C$2:$C$679,0)),"",INDEX('Compliance Database'!$H$2:$H$679,MATCH(443,'Transfer Engine'!$C$2:$C$679,0)))</f>
        <v/>
      </c>
      <c r="I452" s="8">
        <f>IF(ISNA(MATCH(443,'Transfer Engine'!$C$2:$C$679,0)),"",INDEX('Compliance Database'!$I$2:$I$679,MATCH(443,'Transfer Engine'!$C$2:$C$679,0)))</f>
        <v/>
      </c>
      <c r="J452" s="8">
        <f>IF(ISNA(MATCH(443,'Transfer Engine'!$C$2:$C$679,0)),"",INDEX('Compliance Database'!$J$2:$J$679,MATCH(443,'Transfer Engine'!$C$2:$C$679,0)))</f>
        <v/>
      </c>
      <c r="K452">
        <f>IF(ISNA(MATCH(443,'Transfer Engine'!$C$2:$C$679,0)),"",INDEX('Compliance Database'!$K$2:$K$679,MATCH(443,'Transfer Engine'!$C$2:$C$679,0)))</f>
        <v/>
      </c>
      <c r="L452" s="8">
        <f>IF(ISNA(MATCH(443,'Transfer Engine'!$C$2:$C$679,0)),"",INDEX('Compliance Database'!$L$2:$L$679,MATCH(443,'Transfer Engine'!$C$2:$C$679,0)))</f>
        <v/>
      </c>
      <c r="M452" s="8">
        <f>IF(ISNA(MATCH(443,'Transfer Engine'!$C$2:$C$679,0)),"",INDEX('Compliance Database'!$M$2:$M$679,MATCH(443,'Transfer Engine'!$C$2:$C$679,0)))</f>
        <v/>
      </c>
      <c r="N452" s="8">
        <f>IF(ISNA(MATCH(443,'Transfer Engine'!$C$2:$C$679,0)),"",INDEX('Compliance Database'!$N$2:$N$679,MATCH(443,'Transfer Engine'!$C$2:$C$679,0)))</f>
        <v/>
      </c>
      <c r="O452" s="8">
        <f>IF(ISNA(MATCH(443,'Transfer Engine'!$C$2:$C$679,0)),"",INDEX('Compliance Database'!$O$2:$O$679,MATCH(443,'Transfer Engine'!$C$2:$C$679,0)))</f>
        <v/>
      </c>
      <c r="P452">
        <f>IF(ISNA(MATCH(443,'Transfer Engine'!$C$2:$C$679,0)),"",HYPERLINK(INDEX('Compliance Database'!$P$2:$P$679,MATCH(443,'Transfer Engine'!$C$2:$C$679,0)),"Open PDF"))</f>
        <v/>
      </c>
    </row>
    <row r="453">
      <c r="A453">
        <f>IF(ISNA(MATCH(444,'Transfer Engine'!$C$2:$C$679,0)),"",INDEX('Compliance Database'!$A$2:$A$679,MATCH(444,'Transfer Engine'!$C$2:$C$679,0)))</f>
        <v/>
      </c>
      <c r="B453">
        <f>IF(ISNA(MATCH(444,'Transfer Engine'!$C$2:$C$679,0)),"",INDEX('Compliance Database'!$B$2:$B$679,MATCH(444,'Transfer Engine'!$C$2:$C$679,0)))</f>
        <v/>
      </c>
      <c r="C453">
        <f>IF(ISNA(MATCH(444,'Transfer Engine'!$C$2:$C$679,0)),"",INDEX('Compliance Database'!$C$2:$C$679,MATCH(444,'Transfer Engine'!$C$2:$C$679,0)))</f>
        <v/>
      </c>
      <c r="D453" s="8">
        <f>IF(ISNA(MATCH(444,'Transfer Engine'!$C$2:$C$679,0)),"",INDEX('Compliance Database'!$D$2:$D$679,MATCH(444,'Transfer Engine'!$C$2:$C$679,0)))</f>
        <v/>
      </c>
      <c r="E453">
        <f>IF(ISNA(MATCH(444,'Transfer Engine'!$C$2:$C$679,0)),"",INDEX('Compliance Database'!$E$2:$E$679,MATCH(444,'Transfer Engine'!$C$2:$C$679,0)))</f>
        <v/>
      </c>
      <c r="F453">
        <f>IF(ISNA(MATCH(444,'Transfer Engine'!$C$2:$C$679,0)),"",INDEX('Compliance Database'!$F$2:$F$679,MATCH(444,'Transfer Engine'!$C$2:$C$679,0)))</f>
        <v/>
      </c>
      <c r="G453">
        <f>IF(ISNA(MATCH(444,'Transfer Engine'!$C$2:$C$679,0)),"",INDEX('Compliance Database'!$G$2:$G$679,MATCH(444,'Transfer Engine'!$C$2:$C$679,0)))</f>
        <v/>
      </c>
      <c r="H453">
        <f>IF(ISNA(MATCH(444,'Transfer Engine'!$C$2:$C$679,0)),"",INDEX('Compliance Database'!$H$2:$H$679,MATCH(444,'Transfer Engine'!$C$2:$C$679,0)))</f>
        <v/>
      </c>
      <c r="I453" s="8">
        <f>IF(ISNA(MATCH(444,'Transfer Engine'!$C$2:$C$679,0)),"",INDEX('Compliance Database'!$I$2:$I$679,MATCH(444,'Transfer Engine'!$C$2:$C$679,0)))</f>
        <v/>
      </c>
      <c r="J453" s="8">
        <f>IF(ISNA(MATCH(444,'Transfer Engine'!$C$2:$C$679,0)),"",INDEX('Compliance Database'!$J$2:$J$679,MATCH(444,'Transfer Engine'!$C$2:$C$679,0)))</f>
        <v/>
      </c>
      <c r="K453">
        <f>IF(ISNA(MATCH(444,'Transfer Engine'!$C$2:$C$679,0)),"",INDEX('Compliance Database'!$K$2:$K$679,MATCH(444,'Transfer Engine'!$C$2:$C$679,0)))</f>
        <v/>
      </c>
      <c r="L453" s="8">
        <f>IF(ISNA(MATCH(444,'Transfer Engine'!$C$2:$C$679,0)),"",INDEX('Compliance Database'!$L$2:$L$679,MATCH(444,'Transfer Engine'!$C$2:$C$679,0)))</f>
        <v/>
      </c>
      <c r="M453" s="8">
        <f>IF(ISNA(MATCH(444,'Transfer Engine'!$C$2:$C$679,0)),"",INDEX('Compliance Database'!$M$2:$M$679,MATCH(444,'Transfer Engine'!$C$2:$C$679,0)))</f>
        <v/>
      </c>
      <c r="N453" s="8">
        <f>IF(ISNA(MATCH(444,'Transfer Engine'!$C$2:$C$679,0)),"",INDEX('Compliance Database'!$N$2:$N$679,MATCH(444,'Transfer Engine'!$C$2:$C$679,0)))</f>
        <v/>
      </c>
      <c r="O453" s="8">
        <f>IF(ISNA(MATCH(444,'Transfer Engine'!$C$2:$C$679,0)),"",INDEX('Compliance Database'!$O$2:$O$679,MATCH(444,'Transfer Engine'!$C$2:$C$679,0)))</f>
        <v/>
      </c>
      <c r="P453">
        <f>IF(ISNA(MATCH(444,'Transfer Engine'!$C$2:$C$679,0)),"",HYPERLINK(INDEX('Compliance Database'!$P$2:$P$679,MATCH(444,'Transfer Engine'!$C$2:$C$679,0)),"Open PDF"))</f>
        <v/>
      </c>
    </row>
    <row r="454">
      <c r="A454">
        <f>IF(ISNA(MATCH(445,'Transfer Engine'!$C$2:$C$679,0)),"",INDEX('Compliance Database'!$A$2:$A$679,MATCH(445,'Transfer Engine'!$C$2:$C$679,0)))</f>
        <v/>
      </c>
      <c r="B454">
        <f>IF(ISNA(MATCH(445,'Transfer Engine'!$C$2:$C$679,0)),"",INDEX('Compliance Database'!$B$2:$B$679,MATCH(445,'Transfer Engine'!$C$2:$C$679,0)))</f>
        <v/>
      </c>
      <c r="C454">
        <f>IF(ISNA(MATCH(445,'Transfer Engine'!$C$2:$C$679,0)),"",INDEX('Compliance Database'!$C$2:$C$679,MATCH(445,'Transfer Engine'!$C$2:$C$679,0)))</f>
        <v/>
      </c>
      <c r="D454" s="8">
        <f>IF(ISNA(MATCH(445,'Transfer Engine'!$C$2:$C$679,0)),"",INDEX('Compliance Database'!$D$2:$D$679,MATCH(445,'Transfer Engine'!$C$2:$C$679,0)))</f>
        <v/>
      </c>
      <c r="E454">
        <f>IF(ISNA(MATCH(445,'Transfer Engine'!$C$2:$C$679,0)),"",INDEX('Compliance Database'!$E$2:$E$679,MATCH(445,'Transfer Engine'!$C$2:$C$679,0)))</f>
        <v/>
      </c>
      <c r="F454">
        <f>IF(ISNA(MATCH(445,'Transfer Engine'!$C$2:$C$679,0)),"",INDEX('Compliance Database'!$F$2:$F$679,MATCH(445,'Transfer Engine'!$C$2:$C$679,0)))</f>
        <v/>
      </c>
      <c r="G454">
        <f>IF(ISNA(MATCH(445,'Transfer Engine'!$C$2:$C$679,0)),"",INDEX('Compliance Database'!$G$2:$G$679,MATCH(445,'Transfer Engine'!$C$2:$C$679,0)))</f>
        <v/>
      </c>
      <c r="H454">
        <f>IF(ISNA(MATCH(445,'Transfer Engine'!$C$2:$C$679,0)),"",INDEX('Compliance Database'!$H$2:$H$679,MATCH(445,'Transfer Engine'!$C$2:$C$679,0)))</f>
        <v/>
      </c>
      <c r="I454" s="8">
        <f>IF(ISNA(MATCH(445,'Transfer Engine'!$C$2:$C$679,0)),"",INDEX('Compliance Database'!$I$2:$I$679,MATCH(445,'Transfer Engine'!$C$2:$C$679,0)))</f>
        <v/>
      </c>
      <c r="J454" s="8">
        <f>IF(ISNA(MATCH(445,'Transfer Engine'!$C$2:$C$679,0)),"",INDEX('Compliance Database'!$J$2:$J$679,MATCH(445,'Transfer Engine'!$C$2:$C$679,0)))</f>
        <v/>
      </c>
      <c r="K454">
        <f>IF(ISNA(MATCH(445,'Transfer Engine'!$C$2:$C$679,0)),"",INDEX('Compliance Database'!$K$2:$K$679,MATCH(445,'Transfer Engine'!$C$2:$C$679,0)))</f>
        <v/>
      </c>
      <c r="L454" s="8">
        <f>IF(ISNA(MATCH(445,'Transfer Engine'!$C$2:$C$679,0)),"",INDEX('Compliance Database'!$L$2:$L$679,MATCH(445,'Transfer Engine'!$C$2:$C$679,0)))</f>
        <v/>
      </c>
      <c r="M454" s="8">
        <f>IF(ISNA(MATCH(445,'Transfer Engine'!$C$2:$C$679,0)),"",INDEX('Compliance Database'!$M$2:$M$679,MATCH(445,'Transfer Engine'!$C$2:$C$679,0)))</f>
        <v/>
      </c>
      <c r="N454" s="8">
        <f>IF(ISNA(MATCH(445,'Transfer Engine'!$C$2:$C$679,0)),"",INDEX('Compliance Database'!$N$2:$N$679,MATCH(445,'Transfer Engine'!$C$2:$C$679,0)))</f>
        <v/>
      </c>
      <c r="O454" s="8">
        <f>IF(ISNA(MATCH(445,'Transfer Engine'!$C$2:$C$679,0)),"",INDEX('Compliance Database'!$O$2:$O$679,MATCH(445,'Transfer Engine'!$C$2:$C$679,0)))</f>
        <v/>
      </c>
      <c r="P454">
        <f>IF(ISNA(MATCH(445,'Transfer Engine'!$C$2:$C$679,0)),"",HYPERLINK(INDEX('Compliance Database'!$P$2:$P$679,MATCH(445,'Transfer Engine'!$C$2:$C$679,0)),"Open PDF"))</f>
        <v/>
      </c>
    </row>
    <row r="455">
      <c r="A455">
        <f>IF(ISNA(MATCH(446,'Transfer Engine'!$C$2:$C$679,0)),"",INDEX('Compliance Database'!$A$2:$A$679,MATCH(446,'Transfer Engine'!$C$2:$C$679,0)))</f>
        <v/>
      </c>
      <c r="B455">
        <f>IF(ISNA(MATCH(446,'Transfer Engine'!$C$2:$C$679,0)),"",INDEX('Compliance Database'!$B$2:$B$679,MATCH(446,'Transfer Engine'!$C$2:$C$679,0)))</f>
        <v/>
      </c>
      <c r="C455">
        <f>IF(ISNA(MATCH(446,'Transfer Engine'!$C$2:$C$679,0)),"",INDEX('Compliance Database'!$C$2:$C$679,MATCH(446,'Transfer Engine'!$C$2:$C$679,0)))</f>
        <v/>
      </c>
      <c r="D455" s="8">
        <f>IF(ISNA(MATCH(446,'Transfer Engine'!$C$2:$C$679,0)),"",INDEX('Compliance Database'!$D$2:$D$679,MATCH(446,'Transfer Engine'!$C$2:$C$679,0)))</f>
        <v/>
      </c>
      <c r="E455">
        <f>IF(ISNA(MATCH(446,'Transfer Engine'!$C$2:$C$679,0)),"",INDEX('Compliance Database'!$E$2:$E$679,MATCH(446,'Transfer Engine'!$C$2:$C$679,0)))</f>
        <v/>
      </c>
      <c r="F455">
        <f>IF(ISNA(MATCH(446,'Transfer Engine'!$C$2:$C$679,0)),"",INDEX('Compliance Database'!$F$2:$F$679,MATCH(446,'Transfer Engine'!$C$2:$C$679,0)))</f>
        <v/>
      </c>
      <c r="G455">
        <f>IF(ISNA(MATCH(446,'Transfer Engine'!$C$2:$C$679,0)),"",INDEX('Compliance Database'!$G$2:$G$679,MATCH(446,'Transfer Engine'!$C$2:$C$679,0)))</f>
        <v/>
      </c>
      <c r="H455">
        <f>IF(ISNA(MATCH(446,'Transfer Engine'!$C$2:$C$679,0)),"",INDEX('Compliance Database'!$H$2:$H$679,MATCH(446,'Transfer Engine'!$C$2:$C$679,0)))</f>
        <v/>
      </c>
      <c r="I455" s="8">
        <f>IF(ISNA(MATCH(446,'Transfer Engine'!$C$2:$C$679,0)),"",INDEX('Compliance Database'!$I$2:$I$679,MATCH(446,'Transfer Engine'!$C$2:$C$679,0)))</f>
        <v/>
      </c>
      <c r="J455" s="8">
        <f>IF(ISNA(MATCH(446,'Transfer Engine'!$C$2:$C$679,0)),"",INDEX('Compliance Database'!$J$2:$J$679,MATCH(446,'Transfer Engine'!$C$2:$C$679,0)))</f>
        <v/>
      </c>
      <c r="K455">
        <f>IF(ISNA(MATCH(446,'Transfer Engine'!$C$2:$C$679,0)),"",INDEX('Compliance Database'!$K$2:$K$679,MATCH(446,'Transfer Engine'!$C$2:$C$679,0)))</f>
        <v/>
      </c>
      <c r="L455" s="8">
        <f>IF(ISNA(MATCH(446,'Transfer Engine'!$C$2:$C$679,0)),"",INDEX('Compliance Database'!$L$2:$L$679,MATCH(446,'Transfer Engine'!$C$2:$C$679,0)))</f>
        <v/>
      </c>
      <c r="M455" s="8">
        <f>IF(ISNA(MATCH(446,'Transfer Engine'!$C$2:$C$679,0)),"",INDEX('Compliance Database'!$M$2:$M$679,MATCH(446,'Transfer Engine'!$C$2:$C$679,0)))</f>
        <v/>
      </c>
      <c r="N455" s="8">
        <f>IF(ISNA(MATCH(446,'Transfer Engine'!$C$2:$C$679,0)),"",INDEX('Compliance Database'!$N$2:$N$679,MATCH(446,'Transfer Engine'!$C$2:$C$679,0)))</f>
        <v/>
      </c>
      <c r="O455" s="8">
        <f>IF(ISNA(MATCH(446,'Transfer Engine'!$C$2:$C$679,0)),"",INDEX('Compliance Database'!$O$2:$O$679,MATCH(446,'Transfer Engine'!$C$2:$C$679,0)))</f>
        <v/>
      </c>
      <c r="P455">
        <f>IF(ISNA(MATCH(446,'Transfer Engine'!$C$2:$C$679,0)),"",HYPERLINK(INDEX('Compliance Database'!$P$2:$P$679,MATCH(446,'Transfer Engine'!$C$2:$C$679,0)),"Open PDF"))</f>
        <v/>
      </c>
    </row>
    <row r="456">
      <c r="A456">
        <f>IF(ISNA(MATCH(447,'Transfer Engine'!$C$2:$C$679,0)),"",INDEX('Compliance Database'!$A$2:$A$679,MATCH(447,'Transfer Engine'!$C$2:$C$679,0)))</f>
        <v/>
      </c>
      <c r="B456">
        <f>IF(ISNA(MATCH(447,'Transfer Engine'!$C$2:$C$679,0)),"",INDEX('Compliance Database'!$B$2:$B$679,MATCH(447,'Transfer Engine'!$C$2:$C$679,0)))</f>
        <v/>
      </c>
      <c r="C456">
        <f>IF(ISNA(MATCH(447,'Transfer Engine'!$C$2:$C$679,0)),"",INDEX('Compliance Database'!$C$2:$C$679,MATCH(447,'Transfer Engine'!$C$2:$C$679,0)))</f>
        <v/>
      </c>
      <c r="D456" s="8">
        <f>IF(ISNA(MATCH(447,'Transfer Engine'!$C$2:$C$679,0)),"",INDEX('Compliance Database'!$D$2:$D$679,MATCH(447,'Transfer Engine'!$C$2:$C$679,0)))</f>
        <v/>
      </c>
      <c r="E456">
        <f>IF(ISNA(MATCH(447,'Transfer Engine'!$C$2:$C$679,0)),"",INDEX('Compliance Database'!$E$2:$E$679,MATCH(447,'Transfer Engine'!$C$2:$C$679,0)))</f>
        <v/>
      </c>
      <c r="F456">
        <f>IF(ISNA(MATCH(447,'Transfer Engine'!$C$2:$C$679,0)),"",INDEX('Compliance Database'!$F$2:$F$679,MATCH(447,'Transfer Engine'!$C$2:$C$679,0)))</f>
        <v/>
      </c>
      <c r="G456">
        <f>IF(ISNA(MATCH(447,'Transfer Engine'!$C$2:$C$679,0)),"",INDEX('Compliance Database'!$G$2:$G$679,MATCH(447,'Transfer Engine'!$C$2:$C$679,0)))</f>
        <v/>
      </c>
      <c r="H456">
        <f>IF(ISNA(MATCH(447,'Transfer Engine'!$C$2:$C$679,0)),"",INDEX('Compliance Database'!$H$2:$H$679,MATCH(447,'Transfer Engine'!$C$2:$C$679,0)))</f>
        <v/>
      </c>
      <c r="I456" s="8">
        <f>IF(ISNA(MATCH(447,'Transfer Engine'!$C$2:$C$679,0)),"",INDEX('Compliance Database'!$I$2:$I$679,MATCH(447,'Transfer Engine'!$C$2:$C$679,0)))</f>
        <v/>
      </c>
      <c r="J456" s="8">
        <f>IF(ISNA(MATCH(447,'Transfer Engine'!$C$2:$C$679,0)),"",INDEX('Compliance Database'!$J$2:$J$679,MATCH(447,'Transfer Engine'!$C$2:$C$679,0)))</f>
        <v/>
      </c>
      <c r="K456">
        <f>IF(ISNA(MATCH(447,'Transfer Engine'!$C$2:$C$679,0)),"",INDEX('Compliance Database'!$K$2:$K$679,MATCH(447,'Transfer Engine'!$C$2:$C$679,0)))</f>
        <v/>
      </c>
      <c r="L456" s="8">
        <f>IF(ISNA(MATCH(447,'Transfer Engine'!$C$2:$C$679,0)),"",INDEX('Compliance Database'!$L$2:$L$679,MATCH(447,'Transfer Engine'!$C$2:$C$679,0)))</f>
        <v/>
      </c>
      <c r="M456" s="8">
        <f>IF(ISNA(MATCH(447,'Transfer Engine'!$C$2:$C$679,0)),"",INDEX('Compliance Database'!$M$2:$M$679,MATCH(447,'Transfer Engine'!$C$2:$C$679,0)))</f>
        <v/>
      </c>
      <c r="N456" s="8">
        <f>IF(ISNA(MATCH(447,'Transfer Engine'!$C$2:$C$679,0)),"",INDEX('Compliance Database'!$N$2:$N$679,MATCH(447,'Transfer Engine'!$C$2:$C$679,0)))</f>
        <v/>
      </c>
      <c r="O456" s="8">
        <f>IF(ISNA(MATCH(447,'Transfer Engine'!$C$2:$C$679,0)),"",INDEX('Compliance Database'!$O$2:$O$679,MATCH(447,'Transfer Engine'!$C$2:$C$679,0)))</f>
        <v/>
      </c>
      <c r="P456">
        <f>IF(ISNA(MATCH(447,'Transfer Engine'!$C$2:$C$679,0)),"",HYPERLINK(INDEX('Compliance Database'!$P$2:$P$679,MATCH(447,'Transfer Engine'!$C$2:$C$679,0)),"Open PDF"))</f>
        <v/>
      </c>
    </row>
    <row r="457">
      <c r="A457">
        <f>IF(ISNA(MATCH(448,'Transfer Engine'!$C$2:$C$679,0)),"",INDEX('Compliance Database'!$A$2:$A$679,MATCH(448,'Transfer Engine'!$C$2:$C$679,0)))</f>
        <v/>
      </c>
      <c r="B457">
        <f>IF(ISNA(MATCH(448,'Transfer Engine'!$C$2:$C$679,0)),"",INDEX('Compliance Database'!$B$2:$B$679,MATCH(448,'Transfer Engine'!$C$2:$C$679,0)))</f>
        <v/>
      </c>
      <c r="C457">
        <f>IF(ISNA(MATCH(448,'Transfer Engine'!$C$2:$C$679,0)),"",INDEX('Compliance Database'!$C$2:$C$679,MATCH(448,'Transfer Engine'!$C$2:$C$679,0)))</f>
        <v/>
      </c>
      <c r="D457" s="8">
        <f>IF(ISNA(MATCH(448,'Transfer Engine'!$C$2:$C$679,0)),"",INDEX('Compliance Database'!$D$2:$D$679,MATCH(448,'Transfer Engine'!$C$2:$C$679,0)))</f>
        <v/>
      </c>
      <c r="E457">
        <f>IF(ISNA(MATCH(448,'Transfer Engine'!$C$2:$C$679,0)),"",INDEX('Compliance Database'!$E$2:$E$679,MATCH(448,'Transfer Engine'!$C$2:$C$679,0)))</f>
        <v/>
      </c>
      <c r="F457">
        <f>IF(ISNA(MATCH(448,'Transfer Engine'!$C$2:$C$679,0)),"",INDEX('Compliance Database'!$F$2:$F$679,MATCH(448,'Transfer Engine'!$C$2:$C$679,0)))</f>
        <v/>
      </c>
      <c r="G457">
        <f>IF(ISNA(MATCH(448,'Transfer Engine'!$C$2:$C$679,0)),"",INDEX('Compliance Database'!$G$2:$G$679,MATCH(448,'Transfer Engine'!$C$2:$C$679,0)))</f>
        <v/>
      </c>
      <c r="H457">
        <f>IF(ISNA(MATCH(448,'Transfer Engine'!$C$2:$C$679,0)),"",INDEX('Compliance Database'!$H$2:$H$679,MATCH(448,'Transfer Engine'!$C$2:$C$679,0)))</f>
        <v/>
      </c>
      <c r="I457" s="8">
        <f>IF(ISNA(MATCH(448,'Transfer Engine'!$C$2:$C$679,0)),"",INDEX('Compliance Database'!$I$2:$I$679,MATCH(448,'Transfer Engine'!$C$2:$C$679,0)))</f>
        <v/>
      </c>
      <c r="J457" s="8">
        <f>IF(ISNA(MATCH(448,'Transfer Engine'!$C$2:$C$679,0)),"",INDEX('Compliance Database'!$J$2:$J$679,MATCH(448,'Transfer Engine'!$C$2:$C$679,0)))</f>
        <v/>
      </c>
      <c r="K457">
        <f>IF(ISNA(MATCH(448,'Transfer Engine'!$C$2:$C$679,0)),"",INDEX('Compliance Database'!$K$2:$K$679,MATCH(448,'Transfer Engine'!$C$2:$C$679,0)))</f>
        <v/>
      </c>
      <c r="L457" s="8">
        <f>IF(ISNA(MATCH(448,'Transfer Engine'!$C$2:$C$679,0)),"",INDEX('Compliance Database'!$L$2:$L$679,MATCH(448,'Transfer Engine'!$C$2:$C$679,0)))</f>
        <v/>
      </c>
      <c r="M457" s="8">
        <f>IF(ISNA(MATCH(448,'Transfer Engine'!$C$2:$C$679,0)),"",INDEX('Compliance Database'!$M$2:$M$679,MATCH(448,'Transfer Engine'!$C$2:$C$679,0)))</f>
        <v/>
      </c>
      <c r="N457" s="8">
        <f>IF(ISNA(MATCH(448,'Transfer Engine'!$C$2:$C$679,0)),"",INDEX('Compliance Database'!$N$2:$N$679,MATCH(448,'Transfer Engine'!$C$2:$C$679,0)))</f>
        <v/>
      </c>
      <c r="O457" s="8">
        <f>IF(ISNA(MATCH(448,'Transfer Engine'!$C$2:$C$679,0)),"",INDEX('Compliance Database'!$O$2:$O$679,MATCH(448,'Transfer Engine'!$C$2:$C$679,0)))</f>
        <v/>
      </c>
      <c r="P457">
        <f>IF(ISNA(MATCH(448,'Transfer Engine'!$C$2:$C$679,0)),"",HYPERLINK(INDEX('Compliance Database'!$P$2:$P$679,MATCH(448,'Transfer Engine'!$C$2:$C$679,0)),"Open PDF"))</f>
        <v/>
      </c>
    </row>
    <row r="458">
      <c r="A458">
        <f>IF(ISNA(MATCH(449,'Transfer Engine'!$C$2:$C$679,0)),"",INDEX('Compliance Database'!$A$2:$A$679,MATCH(449,'Transfer Engine'!$C$2:$C$679,0)))</f>
        <v/>
      </c>
      <c r="B458">
        <f>IF(ISNA(MATCH(449,'Transfer Engine'!$C$2:$C$679,0)),"",INDEX('Compliance Database'!$B$2:$B$679,MATCH(449,'Transfer Engine'!$C$2:$C$679,0)))</f>
        <v/>
      </c>
      <c r="C458">
        <f>IF(ISNA(MATCH(449,'Transfer Engine'!$C$2:$C$679,0)),"",INDEX('Compliance Database'!$C$2:$C$679,MATCH(449,'Transfer Engine'!$C$2:$C$679,0)))</f>
        <v/>
      </c>
      <c r="D458" s="8">
        <f>IF(ISNA(MATCH(449,'Transfer Engine'!$C$2:$C$679,0)),"",INDEX('Compliance Database'!$D$2:$D$679,MATCH(449,'Transfer Engine'!$C$2:$C$679,0)))</f>
        <v/>
      </c>
      <c r="E458">
        <f>IF(ISNA(MATCH(449,'Transfer Engine'!$C$2:$C$679,0)),"",INDEX('Compliance Database'!$E$2:$E$679,MATCH(449,'Transfer Engine'!$C$2:$C$679,0)))</f>
        <v/>
      </c>
      <c r="F458">
        <f>IF(ISNA(MATCH(449,'Transfer Engine'!$C$2:$C$679,0)),"",INDEX('Compliance Database'!$F$2:$F$679,MATCH(449,'Transfer Engine'!$C$2:$C$679,0)))</f>
        <v/>
      </c>
      <c r="G458">
        <f>IF(ISNA(MATCH(449,'Transfer Engine'!$C$2:$C$679,0)),"",INDEX('Compliance Database'!$G$2:$G$679,MATCH(449,'Transfer Engine'!$C$2:$C$679,0)))</f>
        <v/>
      </c>
      <c r="H458">
        <f>IF(ISNA(MATCH(449,'Transfer Engine'!$C$2:$C$679,0)),"",INDEX('Compliance Database'!$H$2:$H$679,MATCH(449,'Transfer Engine'!$C$2:$C$679,0)))</f>
        <v/>
      </c>
      <c r="I458" s="8">
        <f>IF(ISNA(MATCH(449,'Transfer Engine'!$C$2:$C$679,0)),"",INDEX('Compliance Database'!$I$2:$I$679,MATCH(449,'Transfer Engine'!$C$2:$C$679,0)))</f>
        <v/>
      </c>
      <c r="J458" s="8">
        <f>IF(ISNA(MATCH(449,'Transfer Engine'!$C$2:$C$679,0)),"",INDEX('Compliance Database'!$J$2:$J$679,MATCH(449,'Transfer Engine'!$C$2:$C$679,0)))</f>
        <v/>
      </c>
      <c r="K458">
        <f>IF(ISNA(MATCH(449,'Transfer Engine'!$C$2:$C$679,0)),"",INDEX('Compliance Database'!$K$2:$K$679,MATCH(449,'Transfer Engine'!$C$2:$C$679,0)))</f>
        <v/>
      </c>
      <c r="L458" s="8">
        <f>IF(ISNA(MATCH(449,'Transfer Engine'!$C$2:$C$679,0)),"",INDEX('Compliance Database'!$L$2:$L$679,MATCH(449,'Transfer Engine'!$C$2:$C$679,0)))</f>
        <v/>
      </c>
      <c r="M458" s="8">
        <f>IF(ISNA(MATCH(449,'Transfer Engine'!$C$2:$C$679,0)),"",INDEX('Compliance Database'!$M$2:$M$679,MATCH(449,'Transfer Engine'!$C$2:$C$679,0)))</f>
        <v/>
      </c>
      <c r="N458" s="8">
        <f>IF(ISNA(MATCH(449,'Transfer Engine'!$C$2:$C$679,0)),"",INDEX('Compliance Database'!$N$2:$N$679,MATCH(449,'Transfer Engine'!$C$2:$C$679,0)))</f>
        <v/>
      </c>
      <c r="O458" s="8">
        <f>IF(ISNA(MATCH(449,'Transfer Engine'!$C$2:$C$679,0)),"",INDEX('Compliance Database'!$O$2:$O$679,MATCH(449,'Transfer Engine'!$C$2:$C$679,0)))</f>
        <v/>
      </c>
      <c r="P458">
        <f>IF(ISNA(MATCH(449,'Transfer Engine'!$C$2:$C$679,0)),"",HYPERLINK(INDEX('Compliance Database'!$P$2:$P$679,MATCH(449,'Transfer Engine'!$C$2:$C$679,0)),"Open PDF"))</f>
        <v/>
      </c>
    </row>
    <row r="459">
      <c r="A459">
        <f>IF(ISNA(MATCH(450,'Transfer Engine'!$C$2:$C$679,0)),"",INDEX('Compliance Database'!$A$2:$A$679,MATCH(450,'Transfer Engine'!$C$2:$C$679,0)))</f>
        <v/>
      </c>
      <c r="B459">
        <f>IF(ISNA(MATCH(450,'Transfer Engine'!$C$2:$C$679,0)),"",INDEX('Compliance Database'!$B$2:$B$679,MATCH(450,'Transfer Engine'!$C$2:$C$679,0)))</f>
        <v/>
      </c>
      <c r="C459">
        <f>IF(ISNA(MATCH(450,'Transfer Engine'!$C$2:$C$679,0)),"",INDEX('Compliance Database'!$C$2:$C$679,MATCH(450,'Transfer Engine'!$C$2:$C$679,0)))</f>
        <v/>
      </c>
      <c r="D459" s="8">
        <f>IF(ISNA(MATCH(450,'Transfer Engine'!$C$2:$C$679,0)),"",INDEX('Compliance Database'!$D$2:$D$679,MATCH(450,'Transfer Engine'!$C$2:$C$679,0)))</f>
        <v/>
      </c>
      <c r="E459">
        <f>IF(ISNA(MATCH(450,'Transfer Engine'!$C$2:$C$679,0)),"",INDEX('Compliance Database'!$E$2:$E$679,MATCH(450,'Transfer Engine'!$C$2:$C$679,0)))</f>
        <v/>
      </c>
      <c r="F459">
        <f>IF(ISNA(MATCH(450,'Transfer Engine'!$C$2:$C$679,0)),"",INDEX('Compliance Database'!$F$2:$F$679,MATCH(450,'Transfer Engine'!$C$2:$C$679,0)))</f>
        <v/>
      </c>
      <c r="G459">
        <f>IF(ISNA(MATCH(450,'Transfer Engine'!$C$2:$C$679,0)),"",INDEX('Compliance Database'!$G$2:$G$679,MATCH(450,'Transfer Engine'!$C$2:$C$679,0)))</f>
        <v/>
      </c>
      <c r="H459">
        <f>IF(ISNA(MATCH(450,'Transfer Engine'!$C$2:$C$679,0)),"",INDEX('Compliance Database'!$H$2:$H$679,MATCH(450,'Transfer Engine'!$C$2:$C$679,0)))</f>
        <v/>
      </c>
      <c r="I459" s="8">
        <f>IF(ISNA(MATCH(450,'Transfer Engine'!$C$2:$C$679,0)),"",INDEX('Compliance Database'!$I$2:$I$679,MATCH(450,'Transfer Engine'!$C$2:$C$679,0)))</f>
        <v/>
      </c>
      <c r="J459" s="8">
        <f>IF(ISNA(MATCH(450,'Transfer Engine'!$C$2:$C$679,0)),"",INDEX('Compliance Database'!$J$2:$J$679,MATCH(450,'Transfer Engine'!$C$2:$C$679,0)))</f>
        <v/>
      </c>
      <c r="K459">
        <f>IF(ISNA(MATCH(450,'Transfer Engine'!$C$2:$C$679,0)),"",INDEX('Compliance Database'!$K$2:$K$679,MATCH(450,'Transfer Engine'!$C$2:$C$679,0)))</f>
        <v/>
      </c>
      <c r="L459" s="8">
        <f>IF(ISNA(MATCH(450,'Transfer Engine'!$C$2:$C$679,0)),"",INDEX('Compliance Database'!$L$2:$L$679,MATCH(450,'Transfer Engine'!$C$2:$C$679,0)))</f>
        <v/>
      </c>
      <c r="M459" s="8">
        <f>IF(ISNA(MATCH(450,'Transfer Engine'!$C$2:$C$679,0)),"",INDEX('Compliance Database'!$M$2:$M$679,MATCH(450,'Transfer Engine'!$C$2:$C$679,0)))</f>
        <v/>
      </c>
      <c r="N459" s="8">
        <f>IF(ISNA(MATCH(450,'Transfer Engine'!$C$2:$C$679,0)),"",INDEX('Compliance Database'!$N$2:$N$679,MATCH(450,'Transfer Engine'!$C$2:$C$679,0)))</f>
        <v/>
      </c>
      <c r="O459" s="8">
        <f>IF(ISNA(MATCH(450,'Transfer Engine'!$C$2:$C$679,0)),"",INDEX('Compliance Database'!$O$2:$O$679,MATCH(450,'Transfer Engine'!$C$2:$C$679,0)))</f>
        <v/>
      </c>
      <c r="P459">
        <f>IF(ISNA(MATCH(450,'Transfer Engine'!$C$2:$C$679,0)),"",HYPERLINK(INDEX('Compliance Database'!$P$2:$P$679,MATCH(450,'Transfer Engine'!$C$2:$C$679,0)),"Open PDF"))</f>
        <v/>
      </c>
    </row>
    <row r="460">
      <c r="A460">
        <f>IF(ISNA(MATCH(451,'Transfer Engine'!$C$2:$C$679,0)),"",INDEX('Compliance Database'!$A$2:$A$679,MATCH(451,'Transfer Engine'!$C$2:$C$679,0)))</f>
        <v/>
      </c>
      <c r="B460">
        <f>IF(ISNA(MATCH(451,'Transfer Engine'!$C$2:$C$679,0)),"",INDEX('Compliance Database'!$B$2:$B$679,MATCH(451,'Transfer Engine'!$C$2:$C$679,0)))</f>
        <v/>
      </c>
      <c r="C460">
        <f>IF(ISNA(MATCH(451,'Transfer Engine'!$C$2:$C$679,0)),"",INDEX('Compliance Database'!$C$2:$C$679,MATCH(451,'Transfer Engine'!$C$2:$C$679,0)))</f>
        <v/>
      </c>
      <c r="D460" s="8">
        <f>IF(ISNA(MATCH(451,'Transfer Engine'!$C$2:$C$679,0)),"",INDEX('Compliance Database'!$D$2:$D$679,MATCH(451,'Transfer Engine'!$C$2:$C$679,0)))</f>
        <v/>
      </c>
      <c r="E460">
        <f>IF(ISNA(MATCH(451,'Transfer Engine'!$C$2:$C$679,0)),"",INDEX('Compliance Database'!$E$2:$E$679,MATCH(451,'Transfer Engine'!$C$2:$C$679,0)))</f>
        <v/>
      </c>
      <c r="F460">
        <f>IF(ISNA(MATCH(451,'Transfer Engine'!$C$2:$C$679,0)),"",INDEX('Compliance Database'!$F$2:$F$679,MATCH(451,'Transfer Engine'!$C$2:$C$679,0)))</f>
        <v/>
      </c>
      <c r="G460">
        <f>IF(ISNA(MATCH(451,'Transfer Engine'!$C$2:$C$679,0)),"",INDEX('Compliance Database'!$G$2:$G$679,MATCH(451,'Transfer Engine'!$C$2:$C$679,0)))</f>
        <v/>
      </c>
      <c r="H460">
        <f>IF(ISNA(MATCH(451,'Transfer Engine'!$C$2:$C$679,0)),"",INDEX('Compliance Database'!$H$2:$H$679,MATCH(451,'Transfer Engine'!$C$2:$C$679,0)))</f>
        <v/>
      </c>
      <c r="I460" s="8">
        <f>IF(ISNA(MATCH(451,'Transfer Engine'!$C$2:$C$679,0)),"",INDEX('Compliance Database'!$I$2:$I$679,MATCH(451,'Transfer Engine'!$C$2:$C$679,0)))</f>
        <v/>
      </c>
      <c r="J460" s="8">
        <f>IF(ISNA(MATCH(451,'Transfer Engine'!$C$2:$C$679,0)),"",INDEX('Compliance Database'!$J$2:$J$679,MATCH(451,'Transfer Engine'!$C$2:$C$679,0)))</f>
        <v/>
      </c>
      <c r="K460">
        <f>IF(ISNA(MATCH(451,'Transfer Engine'!$C$2:$C$679,0)),"",INDEX('Compliance Database'!$K$2:$K$679,MATCH(451,'Transfer Engine'!$C$2:$C$679,0)))</f>
        <v/>
      </c>
      <c r="L460" s="8">
        <f>IF(ISNA(MATCH(451,'Transfer Engine'!$C$2:$C$679,0)),"",INDEX('Compliance Database'!$L$2:$L$679,MATCH(451,'Transfer Engine'!$C$2:$C$679,0)))</f>
        <v/>
      </c>
      <c r="M460" s="8">
        <f>IF(ISNA(MATCH(451,'Transfer Engine'!$C$2:$C$679,0)),"",INDEX('Compliance Database'!$M$2:$M$679,MATCH(451,'Transfer Engine'!$C$2:$C$679,0)))</f>
        <v/>
      </c>
      <c r="N460" s="8">
        <f>IF(ISNA(MATCH(451,'Transfer Engine'!$C$2:$C$679,0)),"",INDEX('Compliance Database'!$N$2:$N$679,MATCH(451,'Transfer Engine'!$C$2:$C$679,0)))</f>
        <v/>
      </c>
      <c r="O460" s="8">
        <f>IF(ISNA(MATCH(451,'Transfer Engine'!$C$2:$C$679,0)),"",INDEX('Compliance Database'!$O$2:$O$679,MATCH(451,'Transfer Engine'!$C$2:$C$679,0)))</f>
        <v/>
      </c>
      <c r="P460">
        <f>IF(ISNA(MATCH(451,'Transfer Engine'!$C$2:$C$679,0)),"",HYPERLINK(INDEX('Compliance Database'!$P$2:$P$679,MATCH(451,'Transfer Engine'!$C$2:$C$679,0)),"Open PDF"))</f>
        <v/>
      </c>
    </row>
    <row r="461">
      <c r="A461">
        <f>IF(ISNA(MATCH(452,'Transfer Engine'!$C$2:$C$679,0)),"",INDEX('Compliance Database'!$A$2:$A$679,MATCH(452,'Transfer Engine'!$C$2:$C$679,0)))</f>
        <v/>
      </c>
      <c r="B461">
        <f>IF(ISNA(MATCH(452,'Transfer Engine'!$C$2:$C$679,0)),"",INDEX('Compliance Database'!$B$2:$B$679,MATCH(452,'Transfer Engine'!$C$2:$C$679,0)))</f>
        <v/>
      </c>
      <c r="C461">
        <f>IF(ISNA(MATCH(452,'Transfer Engine'!$C$2:$C$679,0)),"",INDEX('Compliance Database'!$C$2:$C$679,MATCH(452,'Transfer Engine'!$C$2:$C$679,0)))</f>
        <v/>
      </c>
      <c r="D461" s="8">
        <f>IF(ISNA(MATCH(452,'Transfer Engine'!$C$2:$C$679,0)),"",INDEX('Compliance Database'!$D$2:$D$679,MATCH(452,'Transfer Engine'!$C$2:$C$679,0)))</f>
        <v/>
      </c>
      <c r="E461">
        <f>IF(ISNA(MATCH(452,'Transfer Engine'!$C$2:$C$679,0)),"",INDEX('Compliance Database'!$E$2:$E$679,MATCH(452,'Transfer Engine'!$C$2:$C$679,0)))</f>
        <v/>
      </c>
      <c r="F461">
        <f>IF(ISNA(MATCH(452,'Transfer Engine'!$C$2:$C$679,0)),"",INDEX('Compliance Database'!$F$2:$F$679,MATCH(452,'Transfer Engine'!$C$2:$C$679,0)))</f>
        <v/>
      </c>
      <c r="G461">
        <f>IF(ISNA(MATCH(452,'Transfer Engine'!$C$2:$C$679,0)),"",INDEX('Compliance Database'!$G$2:$G$679,MATCH(452,'Transfer Engine'!$C$2:$C$679,0)))</f>
        <v/>
      </c>
      <c r="H461">
        <f>IF(ISNA(MATCH(452,'Transfer Engine'!$C$2:$C$679,0)),"",INDEX('Compliance Database'!$H$2:$H$679,MATCH(452,'Transfer Engine'!$C$2:$C$679,0)))</f>
        <v/>
      </c>
      <c r="I461" s="8">
        <f>IF(ISNA(MATCH(452,'Transfer Engine'!$C$2:$C$679,0)),"",INDEX('Compliance Database'!$I$2:$I$679,MATCH(452,'Transfer Engine'!$C$2:$C$679,0)))</f>
        <v/>
      </c>
      <c r="J461" s="8">
        <f>IF(ISNA(MATCH(452,'Transfer Engine'!$C$2:$C$679,0)),"",INDEX('Compliance Database'!$J$2:$J$679,MATCH(452,'Transfer Engine'!$C$2:$C$679,0)))</f>
        <v/>
      </c>
      <c r="K461">
        <f>IF(ISNA(MATCH(452,'Transfer Engine'!$C$2:$C$679,0)),"",INDEX('Compliance Database'!$K$2:$K$679,MATCH(452,'Transfer Engine'!$C$2:$C$679,0)))</f>
        <v/>
      </c>
      <c r="L461" s="8">
        <f>IF(ISNA(MATCH(452,'Transfer Engine'!$C$2:$C$679,0)),"",INDEX('Compliance Database'!$L$2:$L$679,MATCH(452,'Transfer Engine'!$C$2:$C$679,0)))</f>
        <v/>
      </c>
      <c r="M461" s="8">
        <f>IF(ISNA(MATCH(452,'Transfer Engine'!$C$2:$C$679,0)),"",INDEX('Compliance Database'!$M$2:$M$679,MATCH(452,'Transfer Engine'!$C$2:$C$679,0)))</f>
        <v/>
      </c>
      <c r="N461" s="8">
        <f>IF(ISNA(MATCH(452,'Transfer Engine'!$C$2:$C$679,0)),"",INDEX('Compliance Database'!$N$2:$N$679,MATCH(452,'Transfer Engine'!$C$2:$C$679,0)))</f>
        <v/>
      </c>
      <c r="O461" s="8">
        <f>IF(ISNA(MATCH(452,'Transfer Engine'!$C$2:$C$679,0)),"",INDEX('Compliance Database'!$O$2:$O$679,MATCH(452,'Transfer Engine'!$C$2:$C$679,0)))</f>
        <v/>
      </c>
      <c r="P461">
        <f>IF(ISNA(MATCH(452,'Transfer Engine'!$C$2:$C$679,0)),"",HYPERLINK(INDEX('Compliance Database'!$P$2:$P$679,MATCH(452,'Transfer Engine'!$C$2:$C$679,0)),"Open PDF"))</f>
        <v/>
      </c>
    </row>
    <row r="462">
      <c r="A462">
        <f>IF(ISNA(MATCH(453,'Transfer Engine'!$C$2:$C$679,0)),"",INDEX('Compliance Database'!$A$2:$A$679,MATCH(453,'Transfer Engine'!$C$2:$C$679,0)))</f>
        <v/>
      </c>
      <c r="B462">
        <f>IF(ISNA(MATCH(453,'Transfer Engine'!$C$2:$C$679,0)),"",INDEX('Compliance Database'!$B$2:$B$679,MATCH(453,'Transfer Engine'!$C$2:$C$679,0)))</f>
        <v/>
      </c>
      <c r="C462">
        <f>IF(ISNA(MATCH(453,'Transfer Engine'!$C$2:$C$679,0)),"",INDEX('Compliance Database'!$C$2:$C$679,MATCH(453,'Transfer Engine'!$C$2:$C$679,0)))</f>
        <v/>
      </c>
      <c r="D462" s="8">
        <f>IF(ISNA(MATCH(453,'Transfer Engine'!$C$2:$C$679,0)),"",INDEX('Compliance Database'!$D$2:$D$679,MATCH(453,'Transfer Engine'!$C$2:$C$679,0)))</f>
        <v/>
      </c>
      <c r="E462">
        <f>IF(ISNA(MATCH(453,'Transfer Engine'!$C$2:$C$679,0)),"",INDEX('Compliance Database'!$E$2:$E$679,MATCH(453,'Transfer Engine'!$C$2:$C$679,0)))</f>
        <v/>
      </c>
      <c r="F462">
        <f>IF(ISNA(MATCH(453,'Transfer Engine'!$C$2:$C$679,0)),"",INDEX('Compliance Database'!$F$2:$F$679,MATCH(453,'Transfer Engine'!$C$2:$C$679,0)))</f>
        <v/>
      </c>
      <c r="G462">
        <f>IF(ISNA(MATCH(453,'Transfer Engine'!$C$2:$C$679,0)),"",INDEX('Compliance Database'!$G$2:$G$679,MATCH(453,'Transfer Engine'!$C$2:$C$679,0)))</f>
        <v/>
      </c>
      <c r="H462">
        <f>IF(ISNA(MATCH(453,'Transfer Engine'!$C$2:$C$679,0)),"",INDEX('Compliance Database'!$H$2:$H$679,MATCH(453,'Transfer Engine'!$C$2:$C$679,0)))</f>
        <v/>
      </c>
      <c r="I462" s="8">
        <f>IF(ISNA(MATCH(453,'Transfer Engine'!$C$2:$C$679,0)),"",INDEX('Compliance Database'!$I$2:$I$679,MATCH(453,'Transfer Engine'!$C$2:$C$679,0)))</f>
        <v/>
      </c>
      <c r="J462" s="8">
        <f>IF(ISNA(MATCH(453,'Transfer Engine'!$C$2:$C$679,0)),"",INDEX('Compliance Database'!$J$2:$J$679,MATCH(453,'Transfer Engine'!$C$2:$C$679,0)))</f>
        <v/>
      </c>
      <c r="K462">
        <f>IF(ISNA(MATCH(453,'Transfer Engine'!$C$2:$C$679,0)),"",INDEX('Compliance Database'!$K$2:$K$679,MATCH(453,'Transfer Engine'!$C$2:$C$679,0)))</f>
        <v/>
      </c>
      <c r="L462" s="8">
        <f>IF(ISNA(MATCH(453,'Transfer Engine'!$C$2:$C$679,0)),"",INDEX('Compliance Database'!$L$2:$L$679,MATCH(453,'Transfer Engine'!$C$2:$C$679,0)))</f>
        <v/>
      </c>
      <c r="M462" s="8">
        <f>IF(ISNA(MATCH(453,'Transfer Engine'!$C$2:$C$679,0)),"",INDEX('Compliance Database'!$M$2:$M$679,MATCH(453,'Transfer Engine'!$C$2:$C$679,0)))</f>
        <v/>
      </c>
      <c r="N462" s="8">
        <f>IF(ISNA(MATCH(453,'Transfer Engine'!$C$2:$C$679,0)),"",INDEX('Compliance Database'!$N$2:$N$679,MATCH(453,'Transfer Engine'!$C$2:$C$679,0)))</f>
        <v/>
      </c>
      <c r="O462" s="8">
        <f>IF(ISNA(MATCH(453,'Transfer Engine'!$C$2:$C$679,0)),"",INDEX('Compliance Database'!$O$2:$O$679,MATCH(453,'Transfer Engine'!$C$2:$C$679,0)))</f>
        <v/>
      </c>
      <c r="P462">
        <f>IF(ISNA(MATCH(453,'Transfer Engine'!$C$2:$C$679,0)),"",HYPERLINK(INDEX('Compliance Database'!$P$2:$P$679,MATCH(453,'Transfer Engine'!$C$2:$C$679,0)),"Open PDF"))</f>
        <v/>
      </c>
    </row>
    <row r="463">
      <c r="A463">
        <f>IF(ISNA(MATCH(454,'Transfer Engine'!$C$2:$C$679,0)),"",INDEX('Compliance Database'!$A$2:$A$679,MATCH(454,'Transfer Engine'!$C$2:$C$679,0)))</f>
        <v/>
      </c>
      <c r="B463">
        <f>IF(ISNA(MATCH(454,'Transfer Engine'!$C$2:$C$679,0)),"",INDEX('Compliance Database'!$B$2:$B$679,MATCH(454,'Transfer Engine'!$C$2:$C$679,0)))</f>
        <v/>
      </c>
      <c r="C463">
        <f>IF(ISNA(MATCH(454,'Transfer Engine'!$C$2:$C$679,0)),"",INDEX('Compliance Database'!$C$2:$C$679,MATCH(454,'Transfer Engine'!$C$2:$C$679,0)))</f>
        <v/>
      </c>
      <c r="D463" s="8">
        <f>IF(ISNA(MATCH(454,'Transfer Engine'!$C$2:$C$679,0)),"",INDEX('Compliance Database'!$D$2:$D$679,MATCH(454,'Transfer Engine'!$C$2:$C$679,0)))</f>
        <v/>
      </c>
      <c r="E463">
        <f>IF(ISNA(MATCH(454,'Transfer Engine'!$C$2:$C$679,0)),"",INDEX('Compliance Database'!$E$2:$E$679,MATCH(454,'Transfer Engine'!$C$2:$C$679,0)))</f>
        <v/>
      </c>
      <c r="F463">
        <f>IF(ISNA(MATCH(454,'Transfer Engine'!$C$2:$C$679,0)),"",INDEX('Compliance Database'!$F$2:$F$679,MATCH(454,'Transfer Engine'!$C$2:$C$679,0)))</f>
        <v/>
      </c>
      <c r="G463">
        <f>IF(ISNA(MATCH(454,'Transfer Engine'!$C$2:$C$679,0)),"",INDEX('Compliance Database'!$G$2:$G$679,MATCH(454,'Transfer Engine'!$C$2:$C$679,0)))</f>
        <v/>
      </c>
      <c r="H463">
        <f>IF(ISNA(MATCH(454,'Transfer Engine'!$C$2:$C$679,0)),"",INDEX('Compliance Database'!$H$2:$H$679,MATCH(454,'Transfer Engine'!$C$2:$C$679,0)))</f>
        <v/>
      </c>
      <c r="I463" s="8">
        <f>IF(ISNA(MATCH(454,'Transfer Engine'!$C$2:$C$679,0)),"",INDEX('Compliance Database'!$I$2:$I$679,MATCH(454,'Transfer Engine'!$C$2:$C$679,0)))</f>
        <v/>
      </c>
      <c r="J463" s="8">
        <f>IF(ISNA(MATCH(454,'Transfer Engine'!$C$2:$C$679,0)),"",INDEX('Compliance Database'!$J$2:$J$679,MATCH(454,'Transfer Engine'!$C$2:$C$679,0)))</f>
        <v/>
      </c>
      <c r="K463">
        <f>IF(ISNA(MATCH(454,'Transfer Engine'!$C$2:$C$679,0)),"",INDEX('Compliance Database'!$K$2:$K$679,MATCH(454,'Transfer Engine'!$C$2:$C$679,0)))</f>
        <v/>
      </c>
      <c r="L463" s="8">
        <f>IF(ISNA(MATCH(454,'Transfer Engine'!$C$2:$C$679,0)),"",INDEX('Compliance Database'!$L$2:$L$679,MATCH(454,'Transfer Engine'!$C$2:$C$679,0)))</f>
        <v/>
      </c>
      <c r="M463" s="8">
        <f>IF(ISNA(MATCH(454,'Transfer Engine'!$C$2:$C$679,0)),"",INDEX('Compliance Database'!$M$2:$M$679,MATCH(454,'Transfer Engine'!$C$2:$C$679,0)))</f>
        <v/>
      </c>
      <c r="N463" s="8">
        <f>IF(ISNA(MATCH(454,'Transfer Engine'!$C$2:$C$679,0)),"",INDEX('Compliance Database'!$N$2:$N$679,MATCH(454,'Transfer Engine'!$C$2:$C$679,0)))</f>
        <v/>
      </c>
      <c r="O463" s="8">
        <f>IF(ISNA(MATCH(454,'Transfer Engine'!$C$2:$C$679,0)),"",INDEX('Compliance Database'!$O$2:$O$679,MATCH(454,'Transfer Engine'!$C$2:$C$679,0)))</f>
        <v/>
      </c>
      <c r="P463">
        <f>IF(ISNA(MATCH(454,'Transfer Engine'!$C$2:$C$679,0)),"",HYPERLINK(INDEX('Compliance Database'!$P$2:$P$679,MATCH(454,'Transfer Engine'!$C$2:$C$679,0)),"Open PDF"))</f>
        <v/>
      </c>
    </row>
    <row r="464">
      <c r="A464">
        <f>IF(ISNA(MATCH(455,'Transfer Engine'!$C$2:$C$679,0)),"",INDEX('Compliance Database'!$A$2:$A$679,MATCH(455,'Transfer Engine'!$C$2:$C$679,0)))</f>
        <v/>
      </c>
      <c r="B464">
        <f>IF(ISNA(MATCH(455,'Transfer Engine'!$C$2:$C$679,0)),"",INDEX('Compliance Database'!$B$2:$B$679,MATCH(455,'Transfer Engine'!$C$2:$C$679,0)))</f>
        <v/>
      </c>
      <c r="C464">
        <f>IF(ISNA(MATCH(455,'Transfer Engine'!$C$2:$C$679,0)),"",INDEX('Compliance Database'!$C$2:$C$679,MATCH(455,'Transfer Engine'!$C$2:$C$679,0)))</f>
        <v/>
      </c>
      <c r="D464" s="8">
        <f>IF(ISNA(MATCH(455,'Transfer Engine'!$C$2:$C$679,0)),"",INDEX('Compliance Database'!$D$2:$D$679,MATCH(455,'Transfer Engine'!$C$2:$C$679,0)))</f>
        <v/>
      </c>
      <c r="E464">
        <f>IF(ISNA(MATCH(455,'Transfer Engine'!$C$2:$C$679,0)),"",INDEX('Compliance Database'!$E$2:$E$679,MATCH(455,'Transfer Engine'!$C$2:$C$679,0)))</f>
        <v/>
      </c>
      <c r="F464">
        <f>IF(ISNA(MATCH(455,'Transfer Engine'!$C$2:$C$679,0)),"",INDEX('Compliance Database'!$F$2:$F$679,MATCH(455,'Transfer Engine'!$C$2:$C$679,0)))</f>
        <v/>
      </c>
      <c r="G464">
        <f>IF(ISNA(MATCH(455,'Transfer Engine'!$C$2:$C$679,0)),"",INDEX('Compliance Database'!$G$2:$G$679,MATCH(455,'Transfer Engine'!$C$2:$C$679,0)))</f>
        <v/>
      </c>
      <c r="H464">
        <f>IF(ISNA(MATCH(455,'Transfer Engine'!$C$2:$C$679,0)),"",INDEX('Compliance Database'!$H$2:$H$679,MATCH(455,'Transfer Engine'!$C$2:$C$679,0)))</f>
        <v/>
      </c>
      <c r="I464" s="8">
        <f>IF(ISNA(MATCH(455,'Transfer Engine'!$C$2:$C$679,0)),"",INDEX('Compliance Database'!$I$2:$I$679,MATCH(455,'Transfer Engine'!$C$2:$C$679,0)))</f>
        <v/>
      </c>
      <c r="J464" s="8">
        <f>IF(ISNA(MATCH(455,'Transfer Engine'!$C$2:$C$679,0)),"",INDEX('Compliance Database'!$J$2:$J$679,MATCH(455,'Transfer Engine'!$C$2:$C$679,0)))</f>
        <v/>
      </c>
      <c r="K464">
        <f>IF(ISNA(MATCH(455,'Transfer Engine'!$C$2:$C$679,0)),"",INDEX('Compliance Database'!$K$2:$K$679,MATCH(455,'Transfer Engine'!$C$2:$C$679,0)))</f>
        <v/>
      </c>
      <c r="L464" s="8">
        <f>IF(ISNA(MATCH(455,'Transfer Engine'!$C$2:$C$679,0)),"",INDEX('Compliance Database'!$L$2:$L$679,MATCH(455,'Transfer Engine'!$C$2:$C$679,0)))</f>
        <v/>
      </c>
      <c r="M464" s="8">
        <f>IF(ISNA(MATCH(455,'Transfer Engine'!$C$2:$C$679,0)),"",INDEX('Compliance Database'!$M$2:$M$679,MATCH(455,'Transfer Engine'!$C$2:$C$679,0)))</f>
        <v/>
      </c>
      <c r="N464" s="8">
        <f>IF(ISNA(MATCH(455,'Transfer Engine'!$C$2:$C$679,0)),"",INDEX('Compliance Database'!$N$2:$N$679,MATCH(455,'Transfer Engine'!$C$2:$C$679,0)))</f>
        <v/>
      </c>
      <c r="O464" s="8">
        <f>IF(ISNA(MATCH(455,'Transfer Engine'!$C$2:$C$679,0)),"",INDEX('Compliance Database'!$O$2:$O$679,MATCH(455,'Transfer Engine'!$C$2:$C$679,0)))</f>
        <v/>
      </c>
      <c r="P464">
        <f>IF(ISNA(MATCH(455,'Transfer Engine'!$C$2:$C$679,0)),"",HYPERLINK(INDEX('Compliance Database'!$P$2:$P$679,MATCH(455,'Transfer Engine'!$C$2:$C$679,0)),"Open PDF"))</f>
        <v/>
      </c>
    </row>
    <row r="465">
      <c r="A465">
        <f>IF(ISNA(MATCH(456,'Transfer Engine'!$C$2:$C$679,0)),"",INDEX('Compliance Database'!$A$2:$A$679,MATCH(456,'Transfer Engine'!$C$2:$C$679,0)))</f>
        <v/>
      </c>
      <c r="B465">
        <f>IF(ISNA(MATCH(456,'Transfer Engine'!$C$2:$C$679,0)),"",INDEX('Compliance Database'!$B$2:$B$679,MATCH(456,'Transfer Engine'!$C$2:$C$679,0)))</f>
        <v/>
      </c>
      <c r="C465">
        <f>IF(ISNA(MATCH(456,'Transfer Engine'!$C$2:$C$679,0)),"",INDEX('Compliance Database'!$C$2:$C$679,MATCH(456,'Transfer Engine'!$C$2:$C$679,0)))</f>
        <v/>
      </c>
      <c r="D465" s="8">
        <f>IF(ISNA(MATCH(456,'Transfer Engine'!$C$2:$C$679,0)),"",INDEX('Compliance Database'!$D$2:$D$679,MATCH(456,'Transfer Engine'!$C$2:$C$679,0)))</f>
        <v/>
      </c>
      <c r="E465">
        <f>IF(ISNA(MATCH(456,'Transfer Engine'!$C$2:$C$679,0)),"",INDEX('Compliance Database'!$E$2:$E$679,MATCH(456,'Transfer Engine'!$C$2:$C$679,0)))</f>
        <v/>
      </c>
      <c r="F465">
        <f>IF(ISNA(MATCH(456,'Transfer Engine'!$C$2:$C$679,0)),"",INDEX('Compliance Database'!$F$2:$F$679,MATCH(456,'Transfer Engine'!$C$2:$C$679,0)))</f>
        <v/>
      </c>
      <c r="G465">
        <f>IF(ISNA(MATCH(456,'Transfer Engine'!$C$2:$C$679,0)),"",INDEX('Compliance Database'!$G$2:$G$679,MATCH(456,'Transfer Engine'!$C$2:$C$679,0)))</f>
        <v/>
      </c>
      <c r="H465">
        <f>IF(ISNA(MATCH(456,'Transfer Engine'!$C$2:$C$679,0)),"",INDEX('Compliance Database'!$H$2:$H$679,MATCH(456,'Transfer Engine'!$C$2:$C$679,0)))</f>
        <v/>
      </c>
      <c r="I465" s="8">
        <f>IF(ISNA(MATCH(456,'Transfer Engine'!$C$2:$C$679,0)),"",INDEX('Compliance Database'!$I$2:$I$679,MATCH(456,'Transfer Engine'!$C$2:$C$679,0)))</f>
        <v/>
      </c>
      <c r="J465" s="8">
        <f>IF(ISNA(MATCH(456,'Transfer Engine'!$C$2:$C$679,0)),"",INDEX('Compliance Database'!$J$2:$J$679,MATCH(456,'Transfer Engine'!$C$2:$C$679,0)))</f>
        <v/>
      </c>
      <c r="K465">
        <f>IF(ISNA(MATCH(456,'Transfer Engine'!$C$2:$C$679,0)),"",INDEX('Compliance Database'!$K$2:$K$679,MATCH(456,'Transfer Engine'!$C$2:$C$679,0)))</f>
        <v/>
      </c>
      <c r="L465" s="8">
        <f>IF(ISNA(MATCH(456,'Transfer Engine'!$C$2:$C$679,0)),"",INDEX('Compliance Database'!$L$2:$L$679,MATCH(456,'Transfer Engine'!$C$2:$C$679,0)))</f>
        <v/>
      </c>
      <c r="M465" s="8">
        <f>IF(ISNA(MATCH(456,'Transfer Engine'!$C$2:$C$679,0)),"",INDEX('Compliance Database'!$M$2:$M$679,MATCH(456,'Transfer Engine'!$C$2:$C$679,0)))</f>
        <v/>
      </c>
      <c r="N465" s="8">
        <f>IF(ISNA(MATCH(456,'Transfer Engine'!$C$2:$C$679,0)),"",INDEX('Compliance Database'!$N$2:$N$679,MATCH(456,'Transfer Engine'!$C$2:$C$679,0)))</f>
        <v/>
      </c>
      <c r="O465" s="8">
        <f>IF(ISNA(MATCH(456,'Transfer Engine'!$C$2:$C$679,0)),"",INDEX('Compliance Database'!$O$2:$O$679,MATCH(456,'Transfer Engine'!$C$2:$C$679,0)))</f>
        <v/>
      </c>
      <c r="P465">
        <f>IF(ISNA(MATCH(456,'Transfer Engine'!$C$2:$C$679,0)),"",HYPERLINK(INDEX('Compliance Database'!$P$2:$P$679,MATCH(456,'Transfer Engine'!$C$2:$C$679,0)),"Open PDF"))</f>
        <v/>
      </c>
    </row>
    <row r="466">
      <c r="A466">
        <f>IF(ISNA(MATCH(457,'Transfer Engine'!$C$2:$C$679,0)),"",INDEX('Compliance Database'!$A$2:$A$679,MATCH(457,'Transfer Engine'!$C$2:$C$679,0)))</f>
        <v/>
      </c>
      <c r="B466">
        <f>IF(ISNA(MATCH(457,'Transfer Engine'!$C$2:$C$679,0)),"",INDEX('Compliance Database'!$B$2:$B$679,MATCH(457,'Transfer Engine'!$C$2:$C$679,0)))</f>
        <v/>
      </c>
      <c r="C466">
        <f>IF(ISNA(MATCH(457,'Transfer Engine'!$C$2:$C$679,0)),"",INDEX('Compliance Database'!$C$2:$C$679,MATCH(457,'Transfer Engine'!$C$2:$C$679,0)))</f>
        <v/>
      </c>
      <c r="D466" s="8">
        <f>IF(ISNA(MATCH(457,'Transfer Engine'!$C$2:$C$679,0)),"",INDEX('Compliance Database'!$D$2:$D$679,MATCH(457,'Transfer Engine'!$C$2:$C$679,0)))</f>
        <v/>
      </c>
      <c r="E466">
        <f>IF(ISNA(MATCH(457,'Transfer Engine'!$C$2:$C$679,0)),"",INDEX('Compliance Database'!$E$2:$E$679,MATCH(457,'Transfer Engine'!$C$2:$C$679,0)))</f>
        <v/>
      </c>
      <c r="F466">
        <f>IF(ISNA(MATCH(457,'Transfer Engine'!$C$2:$C$679,0)),"",INDEX('Compliance Database'!$F$2:$F$679,MATCH(457,'Transfer Engine'!$C$2:$C$679,0)))</f>
        <v/>
      </c>
      <c r="G466">
        <f>IF(ISNA(MATCH(457,'Transfer Engine'!$C$2:$C$679,0)),"",INDEX('Compliance Database'!$G$2:$G$679,MATCH(457,'Transfer Engine'!$C$2:$C$679,0)))</f>
        <v/>
      </c>
      <c r="H466">
        <f>IF(ISNA(MATCH(457,'Transfer Engine'!$C$2:$C$679,0)),"",INDEX('Compliance Database'!$H$2:$H$679,MATCH(457,'Transfer Engine'!$C$2:$C$679,0)))</f>
        <v/>
      </c>
      <c r="I466" s="8">
        <f>IF(ISNA(MATCH(457,'Transfer Engine'!$C$2:$C$679,0)),"",INDEX('Compliance Database'!$I$2:$I$679,MATCH(457,'Transfer Engine'!$C$2:$C$679,0)))</f>
        <v/>
      </c>
      <c r="J466" s="8">
        <f>IF(ISNA(MATCH(457,'Transfer Engine'!$C$2:$C$679,0)),"",INDEX('Compliance Database'!$J$2:$J$679,MATCH(457,'Transfer Engine'!$C$2:$C$679,0)))</f>
        <v/>
      </c>
      <c r="K466">
        <f>IF(ISNA(MATCH(457,'Transfer Engine'!$C$2:$C$679,0)),"",INDEX('Compliance Database'!$K$2:$K$679,MATCH(457,'Transfer Engine'!$C$2:$C$679,0)))</f>
        <v/>
      </c>
      <c r="L466" s="8">
        <f>IF(ISNA(MATCH(457,'Transfer Engine'!$C$2:$C$679,0)),"",INDEX('Compliance Database'!$L$2:$L$679,MATCH(457,'Transfer Engine'!$C$2:$C$679,0)))</f>
        <v/>
      </c>
      <c r="M466" s="8">
        <f>IF(ISNA(MATCH(457,'Transfer Engine'!$C$2:$C$679,0)),"",INDEX('Compliance Database'!$M$2:$M$679,MATCH(457,'Transfer Engine'!$C$2:$C$679,0)))</f>
        <v/>
      </c>
      <c r="N466" s="8">
        <f>IF(ISNA(MATCH(457,'Transfer Engine'!$C$2:$C$679,0)),"",INDEX('Compliance Database'!$N$2:$N$679,MATCH(457,'Transfer Engine'!$C$2:$C$679,0)))</f>
        <v/>
      </c>
      <c r="O466" s="8">
        <f>IF(ISNA(MATCH(457,'Transfer Engine'!$C$2:$C$679,0)),"",INDEX('Compliance Database'!$O$2:$O$679,MATCH(457,'Transfer Engine'!$C$2:$C$679,0)))</f>
        <v/>
      </c>
      <c r="P466">
        <f>IF(ISNA(MATCH(457,'Transfer Engine'!$C$2:$C$679,0)),"",HYPERLINK(INDEX('Compliance Database'!$P$2:$P$679,MATCH(457,'Transfer Engine'!$C$2:$C$679,0)),"Open PDF"))</f>
        <v/>
      </c>
    </row>
    <row r="467">
      <c r="A467">
        <f>IF(ISNA(MATCH(458,'Transfer Engine'!$C$2:$C$679,0)),"",INDEX('Compliance Database'!$A$2:$A$679,MATCH(458,'Transfer Engine'!$C$2:$C$679,0)))</f>
        <v/>
      </c>
      <c r="B467">
        <f>IF(ISNA(MATCH(458,'Transfer Engine'!$C$2:$C$679,0)),"",INDEX('Compliance Database'!$B$2:$B$679,MATCH(458,'Transfer Engine'!$C$2:$C$679,0)))</f>
        <v/>
      </c>
      <c r="C467">
        <f>IF(ISNA(MATCH(458,'Transfer Engine'!$C$2:$C$679,0)),"",INDEX('Compliance Database'!$C$2:$C$679,MATCH(458,'Transfer Engine'!$C$2:$C$679,0)))</f>
        <v/>
      </c>
      <c r="D467" s="8">
        <f>IF(ISNA(MATCH(458,'Transfer Engine'!$C$2:$C$679,0)),"",INDEX('Compliance Database'!$D$2:$D$679,MATCH(458,'Transfer Engine'!$C$2:$C$679,0)))</f>
        <v/>
      </c>
      <c r="E467">
        <f>IF(ISNA(MATCH(458,'Transfer Engine'!$C$2:$C$679,0)),"",INDEX('Compliance Database'!$E$2:$E$679,MATCH(458,'Transfer Engine'!$C$2:$C$679,0)))</f>
        <v/>
      </c>
      <c r="F467">
        <f>IF(ISNA(MATCH(458,'Transfer Engine'!$C$2:$C$679,0)),"",INDEX('Compliance Database'!$F$2:$F$679,MATCH(458,'Transfer Engine'!$C$2:$C$679,0)))</f>
        <v/>
      </c>
      <c r="G467">
        <f>IF(ISNA(MATCH(458,'Transfer Engine'!$C$2:$C$679,0)),"",INDEX('Compliance Database'!$G$2:$G$679,MATCH(458,'Transfer Engine'!$C$2:$C$679,0)))</f>
        <v/>
      </c>
      <c r="H467">
        <f>IF(ISNA(MATCH(458,'Transfer Engine'!$C$2:$C$679,0)),"",INDEX('Compliance Database'!$H$2:$H$679,MATCH(458,'Transfer Engine'!$C$2:$C$679,0)))</f>
        <v/>
      </c>
      <c r="I467" s="8">
        <f>IF(ISNA(MATCH(458,'Transfer Engine'!$C$2:$C$679,0)),"",INDEX('Compliance Database'!$I$2:$I$679,MATCH(458,'Transfer Engine'!$C$2:$C$679,0)))</f>
        <v/>
      </c>
      <c r="J467" s="8">
        <f>IF(ISNA(MATCH(458,'Transfer Engine'!$C$2:$C$679,0)),"",INDEX('Compliance Database'!$J$2:$J$679,MATCH(458,'Transfer Engine'!$C$2:$C$679,0)))</f>
        <v/>
      </c>
      <c r="K467">
        <f>IF(ISNA(MATCH(458,'Transfer Engine'!$C$2:$C$679,0)),"",INDEX('Compliance Database'!$K$2:$K$679,MATCH(458,'Transfer Engine'!$C$2:$C$679,0)))</f>
        <v/>
      </c>
      <c r="L467" s="8">
        <f>IF(ISNA(MATCH(458,'Transfer Engine'!$C$2:$C$679,0)),"",INDEX('Compliance Database'!$L$2:$L$679,MATCH(458,'Transfer Engine'!$C$2:$C$679,0)))</f>
        <v/>
      </c>
      <c r="M467" s="8">
        <f>IF(ISNA(MATCH(458,'Transfer Engine'!$C$2:$C$679,0)),"",INDEX('Compliance Database'!$M$2:$M$679,MATCH(458,'Transfer Engine'!$C$2:$C$679,0)))</f>
        <v/>
      </c>
      <c r="N467" s="8">
        <f>IF(ISNA(MATCH(458,'Transfer Engine'!$C$2:$C$679,0)),"",INDEX('Compliance Database'!$N$2:$N$679,MATCH(458,'Transfer Engine'!$C$2:$C$679,0)))</f>
        <v/>
      </c>
      <c r="O467" s="8">
        <f>IF(ISNA(MATCH(458,'Transfer Engine'!$C$2:$C$679,0)),"",INDEX('Compliance Database'!$O$2:$O$679,MATCH(458,'Transfer Engine'!$C$2:$C$679,0)))</f>
        <v/>
      </c>
      <c r="P467">
        <f>IF(ISNA(MATCH(458,'Transfer Engine'!$C$2:$C$679,0)),"",HYPERLINK(INDEX('Compliance Database'!$P$2:$P$679,MATCH(458,'Transfer Engine'!$C$2:$C$679,0)),"Open PDF"))</f>
        <v/>
      </c>
    </row>
    <row r="468">
      <c r="A468">
        <f>IF(ISNA(MATCH(459,'Transfer Engine'!$C$2:$C$679,0)),"",INDEX('Compliance Database'!$A$2:$A$679,MATCH(459,'Transfer Engine'!$C$2:$C$679,0)))</f>
        <v/>
      </c>
      <c r="B468">
        <f>IF(ISNA(MATCH(459,'Transfer Engine'!$C$2:$C$679,0)),"",INDEX('Compliance Database'!$B$2:$B$679,MATCH(459,'Transfer Engine'!$C$2:$C$679,0)))</f>
        <v/>
      </c>
      <c r="C468">
        <f>IF(ISNA(MATCH(459,'Transfer Engine'!$C$2:$C$679,0)),"",INDEX('Compliance Database'!$C$2:$C$679,MATCH(459,'Transfer Engine'!$C$2:$C$679,0)))</f>
        <v/>
      </c>
      <c r="D468" s="8">
        <f>IF(ISNA(MATCH(459,'Transfer Engine'!$C$2:$C$679,0)),"",INDEX('Compliance Database'!$D$2:$D$679,MATCH(459,'Transfer Engine'!$C$2:$C$679,0)))</f>
        <v/>
      </c>
      <c r="E468">
        <f>IF(ISNA(MATCH(459,'Transfer Engine'!$C$2:$C$679,0)),"",INDEX('Compliance Database'!$E$2:$E$679,MATCH(459,'Transfer Engine'!$C$2:$C$679,0)))</f>
        <v/>
      </c>
      <c r="F468">
        <f>IF(ISNA(MATCH(459,'Transfer Engine'!$C$2:$C$679,0)),"",INDEX('Compliance Database'!$F$2:$F$679,MATCH(459,'Transfer Engine'!$C$2:$C$679,0)))</f>
        <v/>
      </c>
      <c r="G468">
        <f>IF(ISNA(MATCH(459,'Transfer Engine'!$C$2:$C$679,0)),"",INDEX('Compliance Database'!$G$2:$G$679,MATCH(459,'Transfer Engine'!$C$2:$C$679,0)))</f>
        <v/>
      </c>
      <c r="H468">
        <f>IF(ISNA(MATCH(459,'Transfer Engine'!$C$2:$C$679,0)),"",INDEX('Compliance Database'!$H$2:$H$679,MATCH(459,'Transfer Engine'!$C$2:$C$679,0)))</f>
        <v/>
      </c>
      <c r="I468" s="8">
        <f>IF(ISNA(MATCH(459,'Transfer Engine'!$C$2:$C$679,0)),"",INDEX('Compliance Database'!$I$2:$I$679,MATCH(459,'Transfer Engine'!$C$2:$C$679,0)))</f>
        <v/>
      </c>
      <c r="J468" s="8">
        <f>IF(ISNA(MATCH(459,'Transfer Engine'!$C$2:$C$679,0)),"",INDEX('Compliance Database'!$J$2:$J$679,MATCH(459,'Transfer Engine'!$C$2:$C$679,0)))</f>
        <v/>
      </c>
      <c r="K468">
        <f>IF(ISNA(MATCH(459,'Transfer Engine'!$C$2:$C$679,0)),"",INDEX('Compliance Database'!$K$2:$K$679,MATCH(459,'Transfer Engine'!$C$2:$C$679,0)))</f>
        <v/>
      </c>
      <c r="L468" s="8">
        <f>IF(ISNA(MATCH(459,'Transfer Engine'!$C$2:$C$679,0)),"",INDEX('Compliance Database'!$L$2:$L$679,MATCH(459,'Transfer Engine'!$C$2:$C$679,0)))</f>
        <v/>
      </c>
      <c r="M468" s="8">
        <f>IF(ISNA(MATCH(459,'Transfer Engine'!$C$2:$C$679,0)),"",INDEX('Compliance Database'!$M$2:$M$679,MATCH(459,'Transfer Engine'!$C$2:$C$679,0)))</f>
        <v/>
      </c>
      <c r="N468" s="8">
        <f>IF(ISNA(MATCH(459,'Transfer Engine'!$C$2:$C$679,0)),"",INDEX('Compliance Database'!$N$2:$N$679,MATCH(459,'Transfer Engine'!$C$2:$C$679,0)))</f>
        <v/>
      </c>
      <c r="O468" s="8">
        <f>IF(ISNA(MATCH(459,'Transfer Engine'!$C$2:$C$679,0)),"",INDEX('Compliance Database'!$O$2:$O$679,MATCH(459,'Transfer Engine'!$C$2:$C$679,0)))</f>
        <v/>
      </c>
      <c r="P468">
        <f>IF(ISNA(MATCH(459,'Transfer Engine'!$C$2:$C$679,0)),"",HYPERLINK(INDEX('Compliance Database'!$P$2:$P$679,MATCH(459,'Transfer Engine'!$C$2:$C$679,0)),"Open PDF"))</f>
        <v/>
      </c>
    </row>
    <row r="469">
      <c r="A469">
        <f>IF(ISNA(MATCH(460,'Transfer Engine'!$C$2:$C$679,0)),"",INDEX('Compliance Database'!$A$2:$A$679,MATCH(460,'Transfer Engine'!$C$2:$C$679,0)))</f>
        <v/>
      </c>
      <c r="B469">
        <f>IF(ISNA(MATCH(460,'Transfer Engine'!$C$2:$C$679,0)),"",INDEX('Compliance Database'!$B$2:$B$679,MATCH(460,'Transfer Engine'!$C$2:$C$679,0)))</f>
        <v/>
      </c>
      <c r="C469">
        <f>IF(ISNA(MATCH(460,'Transfer Engine'!$C$2:$C$679,0)),"",INDEX('Compliance Database'!$C$2:$C$679,MATCH(460,'Transfer Engine'!$C$2:$C$679,0)))</f>
        <v/>
      </c>
      <c r="D469" s="8">
        <f>IF(ISNA(MATCH(460,'Transfer Engine'!$C$2:$C$679,0)),"",INDEX('Compliance Database'!$D$2:$D$679,MATCH(460,'Transfer Engine'!$C$2:$C$679,0)))</f>
        <v/>
      </c>
      <c r="E469">
        <f>IF(ISNA(MATCH(460,'Transfer Engine'!$C$2:$C$679,0)),"",INDEX('Compliance Database'!$E$2:$E$679,MATCH(460,'Transfer Engine'!$C$2:$C$679,0)))</f>
        <v/>
      </c>
      <c r="F469">
        <f>IF(ISNA(MATCH(460,'Transfer Engine'!$C$2:$C$679,0)),"",INDEX('Compliance Database'!$F$2:$F$679,MATCH(460,'Transfer Engine'!$C$2:$C$679,0)))</f>
        <v/>
      </c>
      <c r="G469">
        <f>IF(ISNA(MATCH(460,'Transfer Engine'!$C$2:$C$679,0)),"",INDEX('Compliance Database'!$G$2:$G$679,MATCH(460,'Transfer Engine'!$C$2:$C$679,0)))</f>
        <v/>
      </c>
      <c r="H469">
        <f>IF(ISNA(MATCH(460,'Transfer Engine'!$C$2:$C$679,0)),"",INDEX('Compliance Database'!$H$2:$H$679,MATCH(460,'Transfer Engine'!$C$2:$C$679,0)))</f>
        <v/>
      </c>
      <c r="I469" s="8">
        <f>IF(ISNA(MATCH(460,'Transfer Engine'!$C$2:$C$679,0)),"",INDEX('Compliance Database'!$I$2:$I$679,MATCH(460,'Transfer Engine'!$C$2:$C$679,0)))</f>
        <v/>
      </c>
      <c r="J469" s="8">
        <f>IF(ISNA(MATCH(460,'Transfer Engine'!$C$2:$C$679,0)),"",INDEX('Compliance Database'!$J$2:$J$679,MATCH(460,'Transfer Engine'!$C$2:$C$679,0)))</f>
        <v/>
      </c>
      <c r="K469">
        <f>IF(ISNA(MATCH(460,'Transfer Engine'!$C$2:$C$679,0)),"",INDEX('Compliance Database'!$K$2:$K$679,MATCH(460,'Transfer Engine'!$C$2:$C$679,0)))</f>
        <v/>
      </c>
      <c r="L469" s="8">
        <f>IF(ISNA(MATCH(460,'Transfer Engine'!$C$2:$C$679,0)),"",INDEX('Compliance Database'!$L$2:$L$679,MATCH(460,'Transfer Engine'!$C$2:$C$679,0)))</f>
        <v/>
      </c>
      <c r="M469" s="8">
        <f>IF(ISNA(MATCH(460,'Transfer Engine'!$C$2:$C$679,0)),"",INDEX('Compliance Database'!$M$2:$M$679,MATCH(460,'Transfer Engine'!$C$2:$C$679,0)))</f>
        <v/>
      </c>
      <c r="N469" s="8">
        <f>IF(ISNA(MATCH(460,'Transfer Engine'!$C$2:$C$679,0)),"",INDEX('Compliance Database'!$N$2:$N$679,MATCH(460,'Transfer Engine'!$C$2:$C$679,0)))</f>
        <v/>
      </c>
      <c r="O469" s="8">
        <f>IF(ISNA(MATCH(460,'Transfer Engine'!$C$2:$C$679,0)),"",INDEX('Compliance Database'!$O$2:$O$679,MATCH(460,'Transfer Engine'!$C$2:$C$679,0)))</f>
        <v/>
      </c>
      <c r="P469">
        <f>IF(ISNA(MATCH(460,'Transfer Engine'!$C$2:$C$679,0)),"",HYPERLINK(INDEX('Compliance Database'!$P$2:$P$679,MATCH(460,'Transfer Engine'!$C$2:$C$679,0)),"Open PDF"))</f>
        <v/>
      </c>
    </row>
    <row r="470">
      <c r="A470">
        <f>IF(ISNA(MATCH(461,'Transfer Engine'!$C$2:$C$679,0)),"",INDEX('Compliance Database'!$A$2:$A$679,MATCH(461,'Transfer Engine'!$C$2:$C$679,0)))</f>
        <v/>
      </c>
      <c r="B470">
        <f>IF(ISNA(MATCH(461,'Transfer Engine'!$C$2:$C$679,0)),"",INDEX('Compliance Database'!$B$2:$B$679,MATCH(461,'Transfer Engine'!$C$2:$C$679,0)))</f>
        <v/>
      </c>
      <c r="C470">
        <f>IF(ISNA(MATCH(461,'Transfer Engine'!$C$2:$C$679,0)),"",INDEX('Compliance Database'!$C$2:$C$679,MATCH(461,'Transfer Engine'!$C$2:$C$679,0)))</f>
        <v/>
      </c>
      <c r="D470" s="8">
        <f>IF(ISNA(MATCH(461,'Transfer Engine'!$C$2:$C$679,0)),"",INDEX('Compliance Database'!$D$2:$D$679,MATCH(461,'Transfer Engine'!$C$2:$C$679,0)))</f>
        <v/>
      </c>
      <c r="E470">
        <f>IF(ISNA(MATCH(461,'Transfer Engine'!$C$2:$C$679,0)),"",INDEX('Compliance Database'!$E$2:$E$679,MATCH(461,'Transfer Engine'!$C$2:$C$679,0)))</f>
        <v/>
      </c>
      <c r="F470">
        <f>IF(ISNA(MATCH(461,'Transfer Engine'!$C$2:$C$679,0)),"",INDEX('Compliance Database'!$F$2:$F$679,MATCH(461,'Transfer Engine'!$C$2:$C$679,0)))</f>
        <v/>
      </c>
      <c r="G470">
        <f>IF(ISNA(MATCH(461,'Transfer Engine'!$C$2:$C$679,0)),"",INDEX('Compliance Database'!$G$2:$G$679,MATCH(461,'Transfer Engine'!$C$2:$C$679,0)))</f>
        <v/>
      </c>
      <c r="H470">
        <f>IF(ISNA(MATCH(461,'Transfer Engine'!$C$2:$C$679,0)),"",INDEX('Compliance Database'!$H$2:$H$679,MATCH(461,'Transfer Engine'!$C$2:$C$679,0)))</f>
        <v/>
      </c>
      <c r="I470" s="8">
        <f>IF(ISNA(MATCH(461,'Transfer Engine'!$C$2:$C$679,0)),"",INDEX('Compliance Database'!$I$2:$I$679,MATCH(461,'Transfer Engine'!$C$2:$C$679,0)))</f>
        <v/>
      </c>
      <c r="J470" s="8">
        <f>IF(ISNA(MATCH(461,'Transfer Engine'!$C$2:$C$679,0)),"",INDEX('Compliance Database'!$J$2:$J$679,MATCH(461,'Transfer Engine'!$C$2:$C$679,0)))</f>
        <v/>
      </c>
      <c r="K470">
        <f>IF(ISNA(MATCH(461,'Transfer Engine'!$C$2:$C$679,0)),"",INDEX('Compliance Database'!$K$2:$K$679,MATCH(461,'Transfer Engine'!$C$2:$C$679,0)))</f>
        <v/>
      </c>
      <c r="L470" s="8">
        <f>IF(ISNA(MATCH(461,'Transfer Engine'!$C$2:$C$679,0)),"",INDEX('Compliance Database'!$L$2:$L$679,MATCH(461,'Transfer Engine'!$C$2:$C$679,0)))</f>
        <v/>
      </c>
      <c r="M470" s="8">
        <f>IF(ISNA(MATCH(461,'Transfer Engine'!$C$2:$C$679,0)),"",INDEX('Compliance Database'!$M$2:$M$679,MATCH(461,'Transfer Engine'!$C$2:$C$679,0)))</f>
        <v/>
      </c>
      <c r="N470" s="8">
        <f>IF(ISNA(MATCH(461,'Transfer Engine'!$C$2:$C$679,0)),"",INDEX('Compliance Database'!$N$2:$N$679,MATCH(461,'Transfer Engine'!$C$2:$C$679,0)))</f>
        <v/>
      </c>
      <c r="O470" s="8">
        <f>IF(ISNA(MATCH(461,'Transfer Engine'!$C$2:$C$679,0)),"",INDEX('Compliance Database'!$O$2:$O$679,MATCH(461,'Transfer Engine'!$C$2:$C$679,0)))</f>
        <v/>
      </c>
      <c r="P470">
        <f>IF(ISNA(MATCH(461,'Transfer Engine'!$C$2:$C$679,0)),"",HYPERLINK(INDEX('Compliance Database'!$P$2:$P$679,MATCH(461,'Transfer Engine'!$C$2:$C$679,0)),"Open PDF"))</f>
        <v/>
      </c>
    </row>
    <row r="471">
      <c r="A471">
        <f>IF(ISNA(MATCH(462,'Transfer Engine'!$C$2:$C$679,0)),"",INDEX('Compliance Database'!$A$2:$A$679,MATCH(462,'Transfer Engine'!$C$2:$C$679,0)))</f>
        <v/>
      </c>
      <c r="B471">
        <f>IF(ISNA(MATCH(462,'Transfer Engine'!$C$2:$C$679,0)),"",INDEX('Compliance Database'!$B$2:$B$679,MATCH(462,'Transfer Engine'!$C$2:$C$679,0)))</f>
        <v/>
      </c>
      <c r="C471">
        <f>IF(ISNA(MATCH(462,'Transfer Engine'!$C$2:$C$679,0)),"",INDEX('Compliance Database'!$C$2:$C$679,MATCH(462,'Transfer Engine'!$C$2:$C$679,0)))</f>
        <v/>
      </c>
      <c r="D471" s="8">
        <f>IF(ISNA(MATCH(462,'Transfer Engine'!$C$2:$C$679,0)),"",INDEX('Compliance Database'!$D$2:$D$679,MATCH(462,'Transfer Engine'!$C$2:$C$679,0)))</f>
        <v/>
      </c>
      <c r="E471">
        <f>IF(ISNA(MATCH(462,'Transfer Engine'!$C$2:$C$679,0)),"",INDEX('Compliance Database'!$E$2:$E$679,MATCH(462,'Transfer Engine'!$C$2:$C$679,0)))</f>
        <v/>
      </c>
      <c r="F471">
        <f>IF(ISNA(MATCH(462,'Transfer Engine'!$C$2:$C$679,0)),"",INDEX('Compliance Database'!$F$2:$F$679,MATCH(462,'Transfer Engine'!$C$2:$C$679,0)))</f>
        <v/>
      </c>
      <c r="G471">
        <f>IF(ISNA(MATCH(462,'Transfer Engine'!$C$2:$C$679,0)),"",INDEX('Compliance Database'!$G$2:$G$679,MATCH(462,'Transfer Engine'!$C$2:$C$679,0)))</f>
        <v/>
      </c>
      <c r="H471">
        <f>IF(ISNA(MATCH(462,'Transfer Engine'!$C$2:$C$679,0)),"",INDEX('Compliance Database'!$H$2:$H$679,MATCH(462,'Transfer Engine'!$C$2:$C$679,0)))</f>
        <v/>
      </c>
      <c r="I471" s="8">
        <f>IF(ISNA(MATCH(462,'Transfer Engine'!$C$2:$C$679,0)),"",INDEX('Compliance Database'!$I$2:$I$679,MATCH(462,'Transfer Engine'!$C$2:$C$679,0)))</f>
        <v/>
      </c>
      <c r="J471" s="8">
        <f>IF(ISNA(MATCH(462,'Transfer Engine'!$C$2:$C$679,0)),"",INDEX('Compliance Database'!$J$2:$J$679,MATCH(462,'Transfer Engine'!$C$2:$C$679,0)))</f>
        <v/>
      </c>
      <c r="K471">
        <f>IF(ISNA(MATCH(462,'Transfer Engine'!$C$2:$C$679,0)),"",INDEX('Compliance Database'!$K$2:$K$679,MATCH(462,'Transfer Engine'!$C$2:$C$679,0)))</f>
        <v/>
      </c>
      <c r="L471" s="8">
        <f>IF(ISNA(MATCH(462,'Transfer Engine'!$C$2:$C$679,0)),"",INDEX('Compliance Database'!$L$2:$L$679,MATCH(462,'Transfer Engine'!$C$2:$C$679,0)))</f>
        <v/>
      </c>
      <c r="M471" s="8">
        <f>IF(ISNA(MATCH(462,'Transfer Engine'!$C$2:$C$679,0)),"",INDEX('Compliance Database'!$M$2:$M$679,MATCH(462,'Transfer Engine'!$C$2:$C$679,0)))</f>
        <v/>
      </c>
      <c r="N471" s="8">
        <f>IF(ISNA(MATCH(462,'Transfer Engine'!$C$2:$C$679,0)),"",INDEX('Compliance Database'!$N$2:$N$679,MATCH(462,'Transfer Engine'!$C$2:$C$679,0)))</f>
        <v/>
      </c>
      <c r="O471" s="8">
        <f>IF(ISNA(MATCH(462,'Transfer Engine'!$C$2:$C$679,0)),"",INDEX('Compliance Database'!$O$2:$O$679,MATCH(462,'Transfer Engine'!$C$2:$C$679,0)))</f>
        <v/>
      </c>
      <c r="P471">
        <f>IF(ISNA(MATCH(462,'Transfer Engine'!$C$2:$C$679,0)),"",HYPERLINK(INDEX('Compliance Database'!$P$2:$P$679,MATCH(462,'Transfer Engine'!$C$2:$C$679,0)),"Open PDF"))</f>
        <v/>
      </c>
    </row>
    <row r="472">
      <c r="A472">
        <f>IF(ISNA(MATCH(463,'Transfer Engine'!$C$2:$C$679,0)),"",INDEX('Compliance Database'!$A$2:$A$679,MATCH(463,'Transfer Engine'!$C$2:$C$679,0)))</f>
        <v/>
      </c>
      <c r="B472">
        <f>IF(ISNA(MATCH(463,'Transfer Engine'!$C$2:$C$679,0)),"",INDEX('Compliance Database'!$B$2:$B$679,MATCH(463,'Transfer Engine'!$C$2:$C$679,0)))</f>
        <v/>
      </c>
      <c r="C472">
        <f>IF(ISNA(MATCH(463,'Transfer Engine'!$C$2:$C$679,0)),"",INDEX('Compliance Database'!$C$2:$C$679,MATCH(463,'Transfer Engine'!$C$2:$C$679,0)))</f>
        <v/>
      </c>
      <c r="D472" s="8">
        <f>IF(ISNA(MATCH(463,'Transfer Engine'!$C$2:$C$679,0)),"",INDEX('Compliance Database'!$D$2:$D$679,MATCH(463,'Transfer Engine'!$C$2:$C$679,0)))</f>
        <v/>
      </c>
      <c r="E472">
        <f>IF(ISNA(MATCH(463,'Transfer Engine'!$C$2:$C$679,0)),"",INDEX('Compliance Database'!$E$2:$E$679,MATCH(463,'Transfer Engine'!$C$2:$C$679,0)))</f>
        <v/>
      </c>
      <c r="F472">
        <f>IF(ISNA(MATCH(463,'Transfer Engine'!$C$2:$C$679,0)),"",INDEX('Compliance Database'!$F$2:$F$679,MATCH(463,'Transfer Engine'!$C$2:$C$679,0)))</f>
        <v/>
      </c>
      <c r="G472">
        <f>IF(ISNA(MATCH(463,'Transfer Engine'!$C$2:$C$679,0)),"",INDEX('Compliance Database'!$G$2:$G$679,MATCH(463,'Transfer Engine'!$C$2:$C$679,0)))</f>
        <v/>
      </c>
      <c r="H472">
        <f>IF(ISNA(MATCH(463,'Transfer Engine'!$C$2:$C$679,0)),"",INDEX('Compliance Database'!$H$2:$H$679,MATCH(463,'Transfer Engine'!$C$2:$C$679,0)))</f>
        <v/>
      </c>
      <c r="I472" s="8">
        <f>IF(ISNA(MATCH(463,'Transfer Engine'!$C$2:$C$679,0)),"",INDEX('Compliance Database'!$I$2:$I$679,MATCH(463,'Transfer Engine'!$C$2:$C$679,0)))</f>
        <v/>
      </c>
      <c r="J472" s="8">
        <f>IF(ISNA(MATCH(463,'Transfer Engine'!$C$2:$C$679,0)),"",INDEX('Compliance Database'!$J$2:$J$679,MATCH(463,'Transfer Engine'!$C$2:$C$679,0)))</f>
        <v/>
      </c>
      <c r="K472">
        <f>IF(ISNA(MATCH(463,'Transfer Engine'!$C$2:$C$679,0)),"",INDEX('Compliance Database'!$K$2:$K$679,MATCH(463,'Transfer Engine'!$C$2:$C$679,0)))</f>
        <v/>
      </c>
      <c r="L472" s="8">
        <f>IF(ISNA(MATCH(463,'Transfer Engine'!$C$2:$C$679,0)),"",INDEX('Compliance Database'!$L$2:$L$679,MATCH(463,'Transfer Engine'!$C$2:$C$679,0)))</f>
        <v/>
      </c>
      <c r="M472" s="8">
        <f>IF(ISNA(MATCH(463,'Transfer Engine'!$C$2:$C$679,0)),"",INDEX('Compliance Database'!$M$2:$M$679,MATCH(463,'Transfer Engine'!$C$2:$C$679,0)))</f>
        <v/>
      </c>
      <c r="N472" s="8">
        <f>IF(ISNA(MATCH(463,'Transfer Engine'!$C$2:$C$679,0)),"",INDEX('Compliance Database'!$N$2:$N$679,MATCH(463,'Transfer Engine'!$C$2:$C$679,0)))</f>
        <v/>
      </c>
      <c r="O472" s="8">
        <f>IF(ISNA(MATCH(463,'Transfer Engine'!$C$2:$C$679,0)),"",INDEX('Compliance Database'!$O$2:$O$679,MATCH(463,'Transfer Engine'!$C$2:$C$679,0)))</f>
        <v/>
      </c>
      <c r="P472">
        <f>IF(ISNA(MATCH(463,'Transfer Engine'!$C$2:$C$679,0)),"",HYPERLINK(INDEX('Compliance Database'!$P$2:$P$679,MATCH(463,'Transfer Engine'!$C$2:$C$679,0)),"Open PDF"))</f>
        <v/>
      </c>
    </row>
    <row r="473">
      <c r="A473">
        <f>IF(ISNA(MATCH(464,'Transfer Engine'!$C$2:$C$679,0)),"",INDEX('Compliance Database'!$A$2:$A$679,MATCH(464,'Transfer Engine'!$C$2:$C$679,0)))</f>
        <v/>
      </c>
      <c r="B473">
        <f>IF(ISNA(MATCH(464,'Transfer Engine'!$C$2:$C$679,0)),"",INDEX('Compliance Database'!$B$2:$B$679,MATCH(464,'Transfer Engine'!$C$2:$C$679,0)))</f>
        <v/>
      </c>
      <c r="C473">
        <f>IF(ISNA(MATCH(464,'Transfer Engine'!$C$2:$C$679,0)),"",INDEX('Compliance Database'!$C$2:$C$679,MATCH(464,'Transfer Engine'!$C$2:$C$679,0)))</f>
        <v/>
      </c>
      <c r="D473" s="8">
        <f>IF(ISNA(MATCH(464,'Transfer Engine'!$C$2:$C$679,0)),"",INDEX('Compliance Database'!$D$2:$D$679,MATCH(464,'Transfer Engine'!$C$2:$C$679,0)))</f>
        <v/>
      </c>
      <c r="E473">
        <f>IF(ISNA(MATCH(464,'Transfer Engine'!$C$2:$C$679,0)),"",INDEX('Compliance Database'!$E$2:$E$679,MATCH(464,'Transfer Engine'!$C$2:$C$679,0)))</f>
        <v/>
      </c>
      <c r="F473">
        <f>IF(ISNA(MATCH(464,'Transfer Engine'!$C$2:$C$679,0)),"",INDEX('Compliance Database'!$F$2:$F$679,MATCH(464,'Transfer Engine'!$C$2:$C$679,0)))</f>
        <v/>
      </c>
      <c r="G473">
        <f>IF(ISNA(MATCH(464,'Transfer Engine'!$C$2:$C$679,0)),"",INDEX('Compliance Database'!$G$2:$G$679,MATCH(464,'Transfer Engine'!$C$2:$C$679,0)))</f>
        <v/>
      </c>
      <c r="H473">
        <f>IF(ISNA(MATCH(464,'Transfer Engine'!$C$2:$C$679,0)),"",INDEX('Compliance Database'!$H$2:$H$679,MATCH(464,'Transfer Engine'!$C$2:$C$679,0)))</f>
        <v/>
      </c>
      <c r="I473" s="8">
        <f>IF(ISNA(MATCH(464,'Transfer Engine'!$C$2:$C$679,0)),"",INDEX('Compliance Database'!$I$2:$I$679,MATCH(464,'Transfer Engine'!$C$2:$C$679,0)))</f>
        <v/>
      </c>
      <c r="J473" s="8">
        <f>IF(ISNA(MATCH(464,'Transfer Engine'!$C$2:$C$679,0)),"",INDEX('Compliance Database'!$J$2:$J$679,MATCH(464,'Transfer Engine'!$C$2:$C$679,0)))</f>
        <v/>
      </c>
      <c r="K473">
        <f>IF(ISNA(MATCH(464,'Transfer Engine'!$C$2:$C$679,0)),"",INDEX('Compliance Database'!$K$2:$K$679,MATCH(464,'Transfer Engine'!$C$2:$C$679,0)))</f>
        <v/>
      </c>
      <c r="L473" s="8">
        <f>IF(ISNA(MATCH(464,'Transfer Engine'!$C$2:$C$679,0)),"",INDEX('Compliance Database'!$L$2:$L$679,MATCH(464,'Transfer Engine'!$C$2:$C$679,0)))</f>
        <v/>
      </c>
      <c r="M473" s="8">
        <f>IF(ISNA(MATCH(464,'Transfer Engine'!$C$2:$C$679,0)),"",INDEX('Compliance Database'!$M$2:$M$679,MATCH(464,'Transfer Engine'!$C$2:$C$679,0)))</f>
        <v/>
      </c>
      <c r="N473" s="8">
        <f>IF(ISNA(MATCH(464,'Transfer Engine'!$C$2:$C$679,0)),"",INDEX('Compliance Database'!$N$2:$N$679,MATCH(464,'Transfer Engine'!$C$2:$C$679,0)))</f>
        <v/>
      </c>
      <c r="O473" s="8">
        <f>IF(ISNA(MATCH(464,'Transfer Engine'!$C$2:$C$679,0)),"",INDEX('Compliance Database'!$O$2:$O$679,MATCH(464,'Transfer Engine'!$C$2:$C$679,0)))</f>
        <v/>
      </c>
      <c r="P473">
        <f>IF(ISNA(MATCH(464,'Transfer Engine'!$C$2:$C$679,0)),"",HYPERLINK(INDEX('Compliance Database'!$P$2:$P$679,MATCH(464,'Transfer Engine'!$C$2:$C$679,0)),"Open PDF"))</f>
        <v/>
      </c>
    </row>
    <row r="474">
      <c r="A474">
        <f>IF(ISNA(MATCH(465,'Transfer Engine'!$C$2:$C$679,0)),"",INDEX('Compliance Database'!$A$2:$A$679,MATCH(465,'Transfer Engine'!$C$2:$C$679,0)))</f>
        <v/>
      </c>
      <c r="B474">
        <f>IF(ISNA(MATCH(465,'Transfer Engine'!$C$2:$C$679,0)),"",INDEX('Compliance Database'!$B$2:$B$679,MATCH(465,'Transfer Engine'!$C$2:$C$679,0)))</f>
        <v/>
      </c>
      <c r="C474">
        <f>IF(ISNA(MATCH(465,'Transfer Engine'!$C$2:$C$679,0)),"",INDEX('Compliance Database'!$C$2:$C$679,MATCH(465,'Transfer Engine'!$C$2:$C$679,0)))</f>
        <v/>
      </c>
      <c r="D474" s="8">
        <f>IF(ISNA(MATCH(465,'Transfer Engine'!$C$2:$C$679,0)),"",INDEX('Compliance Database'!$D$2:$D$679,MATCH(465,'Transfer Engine'!$C$2:$C$679,0)))</f>
        <v/>
      </c>
      <c r="E474">
        <f>IF(ISNA(MATCH(465,'Transfer Engine'!$C$2:$C$679,0)),"",INDEX('Compliance Database'!$E$2:$E$679,MATCH(465,'Transfer Engine'!$C$2:$C$679,0)))</f>
        <v/>
      </c>
      <c r="F474">
        <f>IF(ISNA(MATCH(465,'Transfer Engine'!$C$2:$C$679,0)),"",INDEX('Compliance Database'!$F$2:$F$679,MATCH(465,'Transfer Engine'!$C$2:$C$679,0)))</f>
        <v/>
      </c>
      <c r="G474">
        <f>IF(ISNA(MATCH(465,'Transfer Engine'!$C$2:$C$679,0)),"",INDEX('Compliance Database'!$G$2:$G$679,MATCH(465,'Transfer Engine'!$C$2:$C$679,0)))</f>
        <v/>
      </c>
      <c r="H474">
        <f>IF(ISNA(MATCH(465,'Transfer Engine'!$C$2:$C$679,0)),"",INDEX('Compliance Database'!$H$2:$H$679,MATCH(465,'Transfer Engine'!$C$2:$C$679,0)))</f>
        <v/>
      </c>
      <c r="I474" s="8">
        <f>IF(ISNA(MATCH(465,'Transfer Engine'!$C$2:$C$679,0)),"",INDEX('Compliance Database'!$I$2:$I$679,MATCH(465,'Transfer Engine'!$C$2:$C$679,0)))</f>
        <v/>
      </c>
      <c r="J474" s="8">
        <f>IF(ISNA(MATCH(465,'Transfer Engine'!$C$2:$C$679,0)),"",INDEX('Compliance Database'!$J$2:$J$679,MATCH(465,'Transfer Engine'!$C$2:$C$679,0)))</f>
        <v/>
      </c>
      <c r="K474">
        <f>IF(ISNA(MATCH(465,'Transfer Engine'!$C$2:$C$679,0)),"",INDEX('Compliance Database'!$K$2:$K$679,MATCH(465,'Transfer Engine'!$C$2:$C$679,0)))</f>
        <v/>
      </c>
      <c r="L474" s="8">
        <f>IF(ISNA(MATCH(465,'Transfer Engine'!$C$2:$C$679,0)),"",INDEX('Compliance Database'!$L$2:$L$679,MATCH(465,'Transfer Engine'!$C$2:$C$679,0)))</f>
        <v/>
      </c>
      <c r="M474" s="8">
        <f>IF(ISNA(MATCH(465,'Transfer Engine'!$C$2:$C$679,0)),"",INDEX('Compliance Database'!$M$2:$M$679,MATCH(465,'Transfer Engine'!$C$2:$C$679,0)))</f>
        <v/>
      </c>
      <c r="N474" s="8">
        <f>IF(ISNA(MATCH(465,'Transfer Engine'!$C$2:$C$679,0)),"",INDEX('Compliance Database'!$N$2:$N$679,MATCH(465,'Transfer Engine'!$C$2:$C$679,0)))</f>
        <v/>
      </c>
      <c r="O474" s="8">
        <f>IF(ISNA(MATCH(465,'Transfer Engine'!$C$2:$C$679,0)),"",INDEX('Compliance Database'!$O$2:$O$679,MATCH(465,'Transfer Engine'!$C$2:$C$679,0)))</f>
        <v/>
      </c>
      <c r="P474">
        <f>IF(ISNA(MATCH(465,'Transfer Engine'!$C$2:$C$679,0)),"",HYPERLINK(INDEX('Compliance Database'!$P$2:$P$679,MATCH(465,'Transfer Engine'!$C$2:$C$679,0)),"Open PDF"))</f>
        <v/>
      </c>
    </row>
    <row r="475">
      <c r="A475">
        <f>IF(ISNA(MATCH(466,'Transfer Engine'!$C$2:$C$679,0)),"",INDEX('Compliance Database'!$A$2:$A$679,MATCH(466,'Transfer Engine'!$C$2:$C$679,0)))</f>
        <v/>
      </c>
      <c r="B475">
        <f>IF(ISNA(MATCH(466,'Transfer Engine'!$C$2:$C$679,0)),"",INDEX('Compliance Database'!$B$2:$B$679,MATCH(466,'Transfer Engine'!$C$2:$C$679,0)))</f>
        <v/>
      </c>
      <c r="C475">
        <f>IF(ISNA(MATCH(466,'Transfer Engine'!$C$2:$C$679,0)),"",INDEX('Compliance Database'!$C$2:$C$679,MATCH(466,'Transfer Engine'!$C$2:$C$679,0)))</f>
        <v/>
      </c>
      <c r="D475" s="8">
        <f>IF(ISNA(MATCH(466,'Transfer Engine'!$C$2:$C$679,0)),"",INDEX('Compliance Database'!$D$2:$D$679,MATCH(466,'Transfer Engine'!$C$2:$C$679,0)))</f>
        <v/>
      </c>
      <c r="E475">
        <f>IF(ISNA(MATCH(466,'Transfer Engine'!$C$2:$C$679,0)),"",INDEX('Compliance Database'!$E$2:$E$679,MATCH(466,'Transfer Engine'!$C$2:$C$679,0)))</f>
        <v/>
      </c>
      <c r="F475">
        <f>IF(ISNA(MATCH(466,'Transfer Engine'!$C$2:$C$679,0)),"",INDEX('Compliance Database'!$F$2:$F$679,MATCH(466,'Transfer Engine'!$C$2:$C$679,0)))</f>
        <v/>
      </c>
      <c r="G475">
        <f>IF(ISNA(MATCH(466,'Transfer Engine'!$C$2:$C$679,0)),"",INDEX('Compliance Database'!$G$2:$G$679,MATCH(466,'Transfer Engine'!$C$2:$C$679,0)))</f>
        <v/>
      </c>
      <c r="H475">
        <f>IF(ISNA(MATCH(466,'Transfer Engine'!$C$2:$C$679,0)),"",INDEX('Compliance Database'!$H$2:$H$679,MATCH(466,'Transfer Engine'!$C$2:$C$679,0)))</f>
        <v/>
      </c>
      <c r="I475" s="8">
        <f>IF(ISNA(MATCH(466,'Transfer Engine'!$C$2:$C$679,0)),"",INDEX('Compliance Database'!$I$2:$I$679,MATCH(466,'Transfer Engine'!$C$2:$C$679,0)))</f>
        <v/>
      </c>
      <c r="J475" s="8">
        <f>IF(ISNA(MATCH(466,'Transfer Engine'!$C$2:$C$679,0)),"",INDEX('Compliance Database'!$J$2:$J$679,MATCH(466,'Transfer Engine'!$C$2:$C$679,0)))</f>
        <v/>
      </c>
      <c r="K475">
        <f>IF(ISNA(MATCH(466,'Transfer Engine'!$C$2:$C$679,0)),"",INDEX('Compliance Database'!$K$2:$K$679,MATCH(466,'Transfer Engine'!$C$2:$C$679,0)))</f>
        <v/>
      </c>
      <c r="L475" s="8">
        <f>IF(ISNA(MATCH(466,'Transfer Engine'!$C$2:$C$679,0)),"",INDEX('Compliance Database'!$L$2:$L$679,MATCH(466,'Transfer Engine'!$C$2:$C$679,0)))</f>
        <v/>
      </c>
      <c r="M475" s="8">
        <f>IF(ISNA(MATCH(466,'Transfer Engine'!$C$2:$C$679,0)),"",INDEX('Compliance Database'!$M$2:$M$679,MATCH(466,'Transfer Engine'!$C$2:$C$679,0)))</f>
        <v/>
      </c>
      <c r="N475" s="8">
        <f>IF(ISNA(MATCH(466,'Transfer Engine'!$C$2:$C$679,0)),"",INDEX('Compliance Database'!$N$2:$N$679,MATCH(466,'Transfer Engine'!$C$2:$C$679,0)))</f>
        <v/>
      </c>
      <c r="O475" s="8">
        <f>IF(ISNA(MATCH(466,'Transfer Engine'!$C$2:$C$679,0)),"",INDEX('Compliance Database'!$O$2:$O$679,MATCH(466,'Transfer Engine'!$C$2:$C$679,0)))</f>
        <v/>
      </c>
      <c r="P475">
        <f>IF(ISNA(MATCH(466,'Transfer Engine'!$C$2:$C$679,0)),"",HYPERLINK(INDEX('Compliance Database'!$P$2:$P$679,MATCH(466,'Transfer Engine'!$C$2:$C$679,0)),"Open PDF"))</f>
        <v/>
      </c>
    </row>
    <row r="476">
      <c r="A476">
        <f>IF(ISNA(MATCH(467,'Transfer Engine'!$C$2:$C$679,0)),"",INDEX('Compliance Database'!$A$2:$A$679,MATCH(467,'Transfer Engine'!$C$2:$C$679,0)))</f>
        <v/>
      </c>
      <c r="B476">
        <f>IF(ISNA(MATCH(467,'Transfer Engine'!$C$2:$C$679,0)),"",INDEX('Compliance Database'!$B$2:$B$679,MATCH(467,'Transfer Engine'!$C$2:$C$679,0)))</f>
        <v/>
      </c>
      <c r="C476">
        <f>IF(ISNA(MATCH(467,'Transfer Engine'!$C$2:$C$679,0)),"",INDEX('Compliance Database'!$C$2:$C$679,MATCH(467,'Transfer Engine'!$C$2:$C$679,0)))</f>
        <v/>
      </c>
      <c r="D476" s="8">
        <f>IF(ISNA(MATCH(467,'Transfer Engine'!$C$2:$C$679,0)),"",INDEX('Compliance Database'!$D$2:$D$679,MATCH(467,'Transfer Engine'!$C$2:$C$679,0)))</f>
        <v/>
      </c>
      <c r="E476">
        <f>IF(ISNA(MATCH(467,'Transfer Engine'!$C$2:$C$679,0)),"",INDEX('Compliance Database'!$E$2:$E$679,MATCH(467,'Transfer Engine'!$C$2:$C$679,0)))</f>
        <v/>
      </c>
      <c r="F476">
        <f>IF(ISNA(MATCH(467,'Transfer Engine'!$C$2:$C$679,0)),"",INDEX('Compliance Database'!$F$2:$F$679,MATCH(467,'Transfer Engine'!$C$2:$C$679,0)))</f>
        <v/>
      </c>
      <c r="G476">
        <f>IF(ISNA(MATCH(467,'Transfer Engine'!$C$2:$C$679,0)),"",INDEX('Compliance Database'!$G$2:$G$679,MATCH(467,'Transfer Engine'!$C$2:$C$679,0)))</f>
        <v/>
      </c>
      <c r="H476">
        <f>IF(ISNA(MATCH(467,'Transfer Engine'!$C$2:$C$679,0)),"",INDEX('Compliance Database'!$H$2:$H$679,MATCH(467,'Transfer Engine'!$C$2:$C$679,0)))</f>
        <v/>
      </c>
      <c r="I476" s="8">
        <f>IF(ISNA(MATCH(467,'Transfer Engine'!$C$2:$C$679,0)),"",INDEX('Compliance Database'!$I$2:$I$679,MATCH(467,'Transfer Engine'!$C$2:$C$679,0)))</f>
        <v/>
      </c>
      <c r="J476" s="8">
        <f>IF(ISNA(MATCH(467,'Transfer Engine'!$C$2:$C$679,0)),"",INDEX('Compliance Database'!$J$2:$J$679,MATCH(467,'Transfer Engine'!$C$2:$C$679,0)))</f>
        <v/>
      </c>
      <c r="K476">
        <f>IF(ISNA(MATCH(467,'Transfer Engine'!$C$2:$C$679,0)),"",INDEX('Compliance Database'!$K$2:$K$679,MATCH(467,'Transfer Engine'!$C$2:$C$679,0)))</f>
        <v/>
      </c>
      <c r="L476" s="8">
        <f>IF(ISNA(MATCH(467,'Transfer Engine'!$C$2:$C$679,0)),"",INDEX('Compliance Database'!$L$2:$L$679,MATCH(467,'Transfer Engine'!$C$2:$C$679,0)))</f>
        <v/>
      </c>
      <c r="M476" s="8">
        <f>IF(ISNA(MATCH(467,'Transfer Engine'!$C$2:$C$679,0)),"",INDEX('Compliance Database'!$M$2:$M$679,MATCH(467,'Transfer Engine'!$C$2:$C$679,0)))</f>
        <v/>
      </c>
      <c r="N476" s="8">
        <f>IF(ISNA(MATCH(467,'Transfer Engine'!$C$2:$C$679,0)),"",INDEX('Compliance Database'!$N$2:$N$679,MATCH(467,'Transfer Engine'!$C$2:$C$679,0)))</f>
        <v/>
      </c>
      <c r="O476" s="8">
        <f>IF(ISNA(MATCH(467,'Transfer Engine'!$C$2:$C$679,0)),"",INDEX('Compliance Database'!$O$2:$O$679,MATCH(467,'Transfer Engine'!$C$2:$C$679,0)))</f>
        <v/>
      </c>
      <c r="P476">
        <f>IF(ISNA(MATCH(467,'Transfer Engine'!$C$2:$C$679,0)),"",HYPERLINK(INDEX('Compliance Database'!$P$2:$P$679,MATCH(467,'Transfer Engine'!$C$2:$C$679,0)),"Open PDF"))</f>
        <v/>
      </c>
    </row>
    <row r="477">
      <c r="A477">
        <f>IF(ISNA(MATCH(468,'Transfer Engine'!$C$2:$C$679,0)),"",INDEX('Compliance Database'!$A$2:$A$679,MATCH(468,'Transfer Engine'!$C$2:$C$679,0)))</f>
        <v/>
      </c>
      <c r="B477">
        <f>IF(ISNA(MATCH(468,'Transfer Engine'!$C$2:$C$679,0)),"",INDEX('Compliance Database'!$B$2:$B$679,MATCH(468,'Transfer Engine'!$C$2:$C$679,0)))</f>
        <v/>
      </c>
      <c r="C477">
        <f>IF(ISNA(MATCH(468,'Transfer Engine'!$C$2:$C$679,0)),"",INDEX('Compliance Database'!$C$2:$C$679,MATCH(468,'Transfer Engine'!$C$2:$C$679,0)))</f>
        <v/>
      </c>
      <c r="D477" s="8">
        <f>IF(ISNA(MATCH(468,'Transfer Engine'!$C$2:$C$679,0)),"",INDEX('Compliance Database'!$D$2:$D$679,MATCH(468,'Transfer Engine'!$C$2:$C$679,0)))</f>
        <v/>
      </c>
      <c r="E477">
        <f>IF(ISNA(MATCH(468,'Transfer Engine'!$C$2:$C$679,0)),"",INDEX('Compliance Database'!$E$2:$E$679,MATCH(468,'Transfer Engine'!$C$2:$C$679,0)))</f>
        <v/>
      </c>
      <c r="F477">
        <f>IF(ISNA(MATCH(468,'Transfer Engine'!$C$2:$C$679,0)),"",INDEX('Compliance Database'!$F$2:$F$679,MATCH(468,'Transfer Engine'!$C$2:$C$679,0)))</f>
        <v/>
      </c>
      <c r="G477">
        <f>IF(ISNA(MATCH(468,'Transfer Engine'!$C$2:$C$679,0)),"",INDEX('Compliance Database'!$G$2:$G$679,MATCH(468,'Transfer Engine'!$C$2:$C$679,0)))</f>
        <v/>
      </c>
      <c r="H477">
        <f>IF(ISNA(MATCH(468,'Transfer Engine'!$C$2:$C$679,0)),"",INDEX('Compliance Database'!$H$2:$H$679,MATCH(468,'Transfer Engine'!$C$2:$C$679,0)))</f>
        <v/>
      </c>
      <c r="I477" s="8">
        <f>IF(ISNA(MATCH(468,'Transfer Engine'!$C$2:$C$679,0)),"",INDEX('Compliance Database'!$I$2:$I$679,MATCH(468,'Transfer Engine'!$C$2:$C$679,0)))</f>
        <v/>
      </c>
      <c r="J477" s="8">
        <f>IF(ISNA(MATCH(468,'Transfer Engine'!$C$2:$C$679,0)),"",INDEX('Compliance Database'!$J$2:$J$679,MATCH(468,'Transfer Engine'!$C$2:$C$679,0)))</f>
        <v/>
      </c>
      <c r="K477">
        <f>IF(ISNA(MATCH(468,'Transfer Engine'!$C$2:$C$679,0)),"",INDEX('Compliance Database'!$K$2:$K$679,MATCH(468,'Transfer Engine'!$C$2:$C$679,0)))</f>
        <v/>
      </c>
      <c r="L477" s="8">
        <f>IF(ISNA(MATCH(468,'Transfer Engine'!$C$2:$C$679,0)),"",INDEX('Compliance Database'!$L$2:$L$679,MATCH(468,'Transfer Engine'!$C$2:$C$679,0)))</f>
        <v/>
      </c>
      <c r="M477" s="8">
        <f>IF(ISNA(MATCH(468,'Transfer Engine'!$C$2:$C$679,0)),"",INDEX('Compliance Database'!$M$2:$M$679,MATCH(468,'Transfer Engine'!$C$2:$C$679,0)))</f>
        <v/>
      </c>
      <c r="N477" s="8">
        <f>IF(ISNA(MATCH(468,'Transfer Engine'!$C$2:$C$679,0)),"",INDEX('Compliance Database'!$N$2:$N$679,MATCH(468,'Transfer Engine'!$C$2:$C$679,0)))</f>
        <v/>
      </c>
      <c r="O477" s="8">
        <f>IF(ISNA(MATCH(468,'Transfer Engine'!$C$2:$C$679,0)),"",INDEX('Compliance Database'!$O$2:$O$679,MATCH(468,'Transfer Engine'!$C$2:$C$679,0)))</f>
        <v/>
      </c>
      <c r="P477">
        <f>IF(ISNA(MATCH(468,'Transfer Engine'!$C$2:$C$679,0)),"",HYPERLINK(INDEX('Compliance Database'!$P$2:$P$679,MATCH(468,'Transfer Engine'!$C$2:$C$679,0)),"Open PDF"))</f>
        <v/>
      </c>
    </row>
    <row r="478">
      <c r="A478">
        <f>IF(ISNA(MATCH(469,'Transfer Engine'!$C$2:$C$679,0)),"",INDEX('Compliance Database'!$A$2:$A$679,MATCH(469,'Transfer Engine'!$C$2:$C$679,0)))</f>
        <v/>
      </c>
      <c r="B478">
        <f>IF(ISNA(MATCH(469,'Transfer Engine'!$C$2:$C$679,0)),"",INDEX('Compliance Database'!$B$2:$B$679,MATCH(469,'Transfer Engine'!$C$2:$C$679,0)))</f>
        <v/>
      </c>
      <c r="C478">
        <f>IF(ISNA(MATCH(469,'Transfer Engine'!$C$2:$C$679,0)),"",INDEX('Compliance Database'!$C$2:$C$679,MATCH(469,'Transfer Engine'!$C$2:$C$679,0)))</f>
        <v/>
      </c>
      <c r="D478" s="8">
        <f>IF(ISNA(MATCH(469,'Transfer Engine'!$C$2:$C$679,0)),"",INDEX('Compliance Database'!$D$2:$D$679,MATCH(469,'Transfer Engine'!$C$2:$C$679,0)))</f>
        <v/>
      </c>
      <c r="E478">
        <f>IF(ISNA(MATCH(469,'Transfer Engine'!$C$2:$C$679,0)),"",INDEX('Compliance Database'!$E$2:$E$679,MATCH(469,'Transfer Engine'!$C$2:$C$679,0)))</f>
        <v/>
      </c>
      <c r="F478">
        <f>IF(ISNA(MATCH(469,'Transfer Engine'!$C$2:$C$679,0)),"",INDEX('Compliance Database'!$F$2:$F$679,MATCH(469,'Transfer Engine'!$C$2:$C$679,0)))</f>
        <v/>
      </c>
      <c r="G478">
        <f>IF(ISNA(MATCH(469,'Transfer Engine'!$C$2:$C$679,0)),"",INDEX('Compliance Database'!$G$2:$G$679,MATCH(469,'Transfer Engine'!$C$2:$C$679,0)))</f>
        <v/>
      </c>
      <c r="H478">
        <f>IF(ISNA(MATCH(469,'Transfer Engine'!$C$2:$C$679,0)),"",INDEX('Compliance Database'!$H$2:$H$679,MATCH(469,'Transfer Engine'!$C$2:$C$679,0)))</f>
        <v/>
      </c>
      <c r="I478" s="8">
        <f>IF(ISNA(MATCH(469,'Transfer Engine'!$C$2:$C$679,0)),"",INDEX('Compliance Database'!$I$2:$I$679,MATCH(469,'Transfer Engine'!$C$2:$C$679,0)))</f>
        <v/>
      </c>
      <c r="J478" s="8">
        <f>IF(ISNA(MATCH(469,'Transfer Engine'!$C$2:$C$679,0)),"",INDEX('Compliance Database'!$J$2:$J$679,MATCH(469,'Transfer Engine'!$C$2:$C$679,0)))</f>
        <v/>
      </c>
      <c r="K478">
        <f>IF(ISNA(MATCH(469,'Transfer Engine'!$C$2:$C$679,0)),"",INDEX('Compliance Database'!$K$2:$K$679,MATCH(469,'Transfer Engine'!$C$2:$C$679,0)))</f>
        <v/>
      </c>
      <c r="L478" s="8">
        <f>IF(ISNA(MATCH(469,'Transfer Engine'!$C$2:$C$679,0)),"",INDEX('Compliance Database'!$L$2:$L$679,MATCH(469,'Transfer Engine'!$C$2:$C$679,0)))</f>
        <v/>
      </c>
      <c r="M478" s="8">
        <f>IF(ISNA(MATCH(469,'Transfer Engine'!$C$2:$C$679,0)),"",INDEX('Compliance Database'!$M$2:$M$679,MATCH(469,'Transfer Engine'!$C$2:$C$679,0)))</f>
        <v/>
      </c>
      <c r="N478" s="8">
        <f>IF(ISNA(MATCH(469,'Transfer Engine'!$C$2:$C$679,0)),"",INDEX('Compliance Database'!$N$2:$N$679,MATCH(469,'Transfer Engine'!$C$2:$C$679,0)))</f>
        <v/>
      </c>
      <c r="O478" s="8">
        <f>IF(ISNA(MATCH(469,'Transfer Engine'!$C$2:$C$679,0)),"",INDEX('Compliance Database'!$O$2:$O$679,MATCH(469,'Transfer Engine'!$C$2:$C$679,0)))</f>
        <v/>
      </c>
      <c r="P478">
        <f>IF(ISNA(MATCH(469,'Transfer Engine'!$C$2:$C$679,0)),"",HYPERLINK(INDEX('Compliance Database'!$P$2:$P$679,MATCH(469,'Transfer Engine'!$C$2:$C$679,0)),"Open PDF"))</f>
        <v/>
      </c>
    </row>
    <row r="479">
      <c r="A479">
        <f>IF(ISNA(MATCH(470,'Transfer Engine'!$C$2:$C$679,0)),"",INDEX('Compliance Database'!$A$2:$A$679,MATCH(470,'Transfer Engine'!$C$2:$C$679,0)))</f>
        <v/>
      </c>
      <c r="B479">
        <f>IF(ISNA(MATCH(470,'Transfer Engine'!$C$2:$C$679,0)),"",INDEX('Compliance Database'!$B$2:$B$679,MATCH(470,'Transfer Engine'!$C$2:$C$679,0)))</f>
        <v/>
      </c>
      <c r="C479">
        <f>IF(ISNA(MATCH(470,'Transfer Engine'!$C$2:$C$679,0)),"",INDEX('Compliance Database'!$C$2:$C$679,MATCH(470,'Transfer Engine'!$C$2:$C$679,0)))</f>
        <v/>
      </c>
      <c r="D479" s="8">
        <f>IF(ISNA(MATCH(470,'Transfer Engine'!$C$2:$C$679,0)),"",INDEX('Compliance Database'!$D$2:$D$679,MATCH(470,'Transfer Engine'!$C$2:$C$679,0)))</f>
        <v/>
      </c>
      <c r="E479">
        <f>IF(ISNA(MATCH(470,'Transfer Engine'!$C$2:$C$679,0)),"",INDEX('Compliance Database'!$E$2:$E$679,MATCH(470,'Transfer Engine'!$C$2:$C$679,0)))</f>
        <v/>
      </c>
      <c r="F479">
        <f>IF(ISNA(MATCH(470,'Transfer Engine'!$C$2:$C$679,0)),"",INDEX('Compliance Database'!$F$2:$F$679,MATCH(470,'Transfer Engine'!$C$2:$C$679,0)))</f>
        <v/>
      </c>
      <c r="G479">
        <f>IF(ISNA(MATCH(470,'Transfer Engine'!$C$2:$C$679,0)),"",INDEX('Compliance Database'!$G$2:$G$679,MATCH(470,'Transfer Engine'!$C$2:$C$679,0)))</f>
        <v/>
      </c>
      <c r="H479">
        <f>IF(ISNA(MATCH(470,'Transfer Engine'!$C$2:$C$679,0)),"",INDEX('Compliance Database'!$H$2:$H$679,MATCH(470,'Transfer Engine'!$C$2:$C$679,0)))</f>
        <v/>
      </c>
      <c r="I479" s="8">
        <f>IF(ISNA(MATCH(470,'Transfer Engine'!$C$2:$C$679,0)),"",INDEX('Compliance Database'!$I$2:$I$679,MATCH(470,'Transfer Engine'!$C$2:$C$679,0)))</f>
        <v/>
      </c>
      <c r="J479" s="8">
        <f>IF(ISNA(MATCH(470,'Transfer Engine'!$C$2:$C$679,0)),"",INDEX('Compliance Database'!$J$2:$J$679,MATCH(470,'Transfer Engine'!$C$2:$C$679,0)))</f>
        <v/>
      </c>
      <c r="K479">
        <f>IF(ISNA(MATCH(470,'Transfer Engine'!$C$2:$C$679,0)),"",INDEX('Compliance Database'!$K$2:$K$679,MATCH(470,'Transfer Engine'!$C$2:$C$679,0)))</f>
        <v/>
      </c>
      <c r="L479" s="8">
        <f>IF(ISNA(MATCH(470,'Transfer Engine'!$C$2:$C$679,0)),"",INDEX('Compliance Database'!$L$2:$L$679,MATCH(470,'Transfer Engine'!$C$2:$C$679,0)))</f>
        <v/>
      </c>
      <c r="M479" s="8">
        <f>IF(ISNA(MATCH(470,'Transfer Engine'!$C$2:$C$679,0)),"",INDEX('Compliance Database'!$M$2:$M$679,MATCH(470,'Transfer Engine'!$C$2:$C$679,0)))</f>
        <v/>
      </c>
      <c r="N479" s="8">
        <f>IF(ISNA(MATCH(470,'Transfer Engine'!$C$2:$C$679,0)),"",INDEX('Compliance Database'!$N$2:$N$679,MATCH(470,'Transfer Engine'!$C$2:$C$679,0)))</f>
        <v/>
      </c>
      <c r="O479" s="8">
        <f>IF(ISNA(MATCH(470,'Transfer Engine'!$C$2:$C$679,0)),"",INDEX('Compliance Database'!$O$2:$O$679,MATCH(470,'Transfer Engine'!$C$2:$C$679,0)))</f>
        <v/>
      </c>
      <c r="P479">
        <f>IF(ISNA(MATCH(470,'Transfer Engine'!$C$2:$C$679,0)),"",HYPERLINK(INDEX('Compliance Database'!$P$2:$P$679,MATCH(470,'Transfer Engine'!$C$2:$C$679,0)),"Open PDF"))</f>
        <v/>
      </c>
    </row>
    <row r="480">
      <c r="A480">
        <f>IF(ISNA(MATCH(471,'Transfer Engine'!$C$2:$C$679,0)),"",INDEX('Compliance Database'!$A$2:$A$679,MATCH(471,'Transfer Engine'!$C$2:$C$679,0)))</f>
        <v/>
      </c>
      <c r="B480">
        <f>IF(ISNA(MATCH(471,'Transfer Engine'!$C$2:$C$679,0)),"",INDEX('Compliance Database'!$B$2:$B$679,MATCH(471,'Transfer Engine'!$C$2:$C$679,0)))</f>
        <v/>
      </c>
      <c r="C480">
        <f>IF(ISNA(MATCH(471,'Transfer Engine'!$C$2:$C$679,0)),"",INDEX('Compliance Database'!$C$2:$C$679,MATCH(471,'Transfer Engine'!$C$2:$C$679,0)))</f>
        <v/>
      </c>
      <c r="D480" s="8">
        <f>IF(ISNA(MATCH(471,'Transfer Engine'!$C$2:$C$679,0)),"",INDEX('Compliance Database'!$D$2:$D$679,MATCH(471,'Transfer Engine'!$C$2:$C$679,0)))</f>
        <v/>
      </c>
      <c r="E480">
        <f>IF(ISNA(MATCH(471,'Transfer Engine'!$C$2:$C$679,0)),"",INDEX('Compliance Database'!$E$2:$E$679,MATCH(471,'Transfer Engine'!$C$2:$C$679,0)))</f>
        <v/>
      </c>
      <c r="F480">
        <f>IF(ISNA(MATCH(471,'Transfer Engine'!$C$2:$C$679,0)),"",INDEX('Compliance Database'!$F$2:$F$679,MATCH(471,'Transfer Engine'!$C$2:$C$679,0)))</f>
        <v/>
      </c>
      <c r="G480">
        <f>IF(ISNA(MATCH(471,'Transfer Engine'!$C$2:$C$679,0)),"",INDEX('Compliance Database'!$G$2:$G$679,MATCH(471,'Transfer Engine'!$C$2:$C$679,0)))</f>
        <v/>
      </c>
      <c r="H480">
        <f>IF(ISNA(MATCH(471,'Transfer Engine'!$C$2:$C$679,0)),"",INDEX('Compliance Database'!$H$2:$H$679,MATCH(471,'Transfer Engine'!$C$2:$C$679,0)))</f>
        <v/>
      </c>
      <c r="I480" s="8">
        <f>IF(ISNA(MATCH(471,'Transfer Engine'!$C$2:$C$679,0)),"",INDEX('Compliance Database'!$I$2:$I$679,MATCH(471,'Transfer Engine'!$C$2:$C$679,0)))</f>
        <v/>
      </c>
      <c r="J480" s="8">
        <f>IF(ISNA(MATCH(471,'Transfer Engine'!$C$2:$C$679,0)),"",INDEX('Compliance Database'!$J$2:$J$679,MATCH(471,'Transfer Engine'!$C$2:$C$679,0)))</f>
        <v/>
      </c>
      <c r="K480">
        <f>IF(ISNA(MATCH(471,'Transfer Engine'!$C$2:$C$679,0)),"",INDEX('Compliance Database'!$K$2:$K$679,MATCH(471,'Transfer Engine'!$C$2:$C$679,0)))</f>
        <v/>
      </c>
      <c r="L480" s="8">
        <f>IF(ISNA(MATCH(471,'Transfer Engine'!$C$2:$C$679,0)),"",INDEX('Compliance Database'!$L$2:$L$679,MATCH(471,'Transfer Engine'!$C$2:$C$679,0)))</f>
        <v/>
      </c>
      <c r="M480" s="8">
        <f>IF(ISNA(MATCH(471,'Transfer Engine'!$C$2:$C$679,0)),"",INDEX('Compliance Database'!$M$2:$M$679,MATCH(471,'Transfer Engine'!$C$2:$C$679,0)))</f>
        <v/>
      </c>
      <c r="N480" s="8">
        <f>IF(ISNA(MATCH(471,'Transfer Engine'!$C$2:$C$679,0)),"",INDEX('Compliance Database'!$N$2:$N$679,MATCH(471,'Transfer Engine'!$C$2:$C$679,0)))</f>
        <v/>
      </c>
      <c r="O480" s="8">
        <f>IF(ISNA(MATCH(471,'Transfer Engine'!$C$2:$C$679,0)),"",INDEX('Compliance Database'!$O$2:$O$679,MATCH(471,'Transfer Engine'!$C$2:$C$679,0)))</f>
        <v/>
      </c>
      <c r="P480">
        <f>IF(ISNA(MATCH(471,'Transfer Engine'!$C$2:$C$679,0)),"",HYPERLINK(INDEX('Compliance Database'!$P$2:$P$679,MATCH(471,'Transfer Engine'!$C$2:$C$679,0)),"Open PDF"))</f>
        <v/>
      </c>
    </row>
    <row r="481">
      <c r="A481">
        <f>IF(ISNA(MATCH(472,'Transfer Engine'!$C$2:$C$679,0)),"",INDEX('Compliance Database'!$A$2:$A$679,MATCH(472,'Transfer Engine'!$C$2:$C$679,0)))</f>
        <v/>
      </c>
      <c r="B481">
        <f>IF(ISNA(MATCH(472,'Transfer Engine'!$C$2:$C$679,0)),"",INDEX('Compliance Database'!$B$2:$B$679,MATCH(472,'Transfer Engine'!$C$2:$C$679,0)))</f>
        <v/>
      </c>
      <c r="C481">
        <f>IF(ISNA(MATCH(472,'Transfer Engine'!$C$2:$C$679,0)),"",INDEX('Compliance Database'!$C$2:$C$679,MATCH(472,'Transfer Engine'!$C$2:$C$679,0)))</f>
        <v/>
      </c>
      <c r="D481" s="8">
        <f>IF(ISNA(MATCH(472,'Transfer Engine'!$C$2:$C$679,0)),"",INDEX('Compliance Database'!$D$2:$D$679,MATCH(472,'Transfer Engine'!$C$2:$C$679,0)))</f>
        <v/>
      </c>
      <c r="E481">
        <f>IF(ISNA(MATCH(472,'Transfer Engine'!$C$2:$C$679,0)),"",INDEX('Compliance Database'!$E$2:$E$679,MATCH(472,'Transfer Engine'!$C$2:$C$679,0)))</f>
        <v/>
      </c>
      <c r="F481">
        <f>IF(ISNA(MATCH(472,'Transfer Engine'!$C$2:$C$679,0)),"",INDEX('Compliance Database'!$F$2:$F$679,MATCH(472,'Transfer Engine'!$C$2:$C$679,0)))</f>
        <v/>
      </c>
      <c r="G481">
        <f>IF(ISNA(MATCH(472,'Transfer Engine'!$C$2:$C$679,0)),"",INDEX('Compliance Database'!$G$2:$G$679,MATCH(472,'Transfer Engine'!$C$2:$C$679,0)))</f>
        <v/>
      </c>
      <c r="H481">
        <f>IF(ISNA(MATCH(472,'Transfer Engine'!$C$2:$C$679,0)),"",INDEX('Compliance Database'!$H$2:$H$679,MATCH(472,'Transfer Engine'!$C$2:$C$679,0)))</f>
        <v/>
      </c>
      <c r="I481" s="8">
        <f>IF(ISNA(MATCH(472,'Transfer Engine'!$C$2:$C$679,0)),"",INDEX('Compliance Database'!$I$2:$I$679,MATCH(472,'Transfer Engine'!$C$2:$C$679,0)))</f>
        <v/>
      </c>
      <c r="J481" s="8">
        <f>IF(ISNA(MATCH(472,'Transfer Engine'!$C$2:$C$679,0)),"",INDEX('Compliance Database'!$J$2:$J$679,MATCH(472,'Transfer Engine'!$C$2:$C$679,0)))</f>
        <v/>
      </c>
      <c r="K481">
        <f>IF(ISNA(MATCH(472,'Transfer Engine'!$C$2:$C$679,0)),"",INDEX('Compliance Database'!$K$2:$K$679,MATCH(472,'Transfer Engine'!$C$2:$C$679,0)))</f>
        <v/>
      </c>
      <c r="L481" s="8">
        <f>IF(ISNA(MATCH(472,'Transfer Engine'!$C$2:$C$679,0)),"",INDEX('Compliance Database'!$L$2:$L$679,MATCH(472,'Transfer Engine'!$C$2:$C$679,0)))</f>
        <v/>
      </c>
      <c r="M481" s="8">
        <f>IF(ISNA(MATCH(472,'Transfer Engine'!$C$2:$C$679,0)),"",INDEX('Compliance Database'!$M$2:$M$679,MATCH(472,'Transfer Engine'!$C$2:$C$679,0)))</f>
        <v/>
      </c>
      <c r="N481" s="8">
        <f>IF(ISNA(MATCH(472,'Transfer Engine'!$C$2:$C$679,0)),"",INDEX('Compliance Database'!$N$2:$N$679,MATCH(472,'Transfer Engine'!$C$2:$C$679,0)))</f>
        <v/>
      </c>
      <c r="O481" s="8">
        <f>IF(ISNA(MATCH(472,'Transfer Engine'!$C$2:$C$679,0)),"",INDEX('Compliance Database'!$O$2:$O$679,MATCH(472,'Transfer Engine'!$C$2:$C$679,0)))</f>
        <v/>
      </c>
      <c r="P481">
        <f>IF(ISNA(MATCH(472,'Transfer Engine'!$C$2:$C$679,0)),"",HYPERLINK(INDEX('Compliance Database'!$P$2:$P$679,MATCH(472,'Transfer Engine'!$C$2:$C$679,0)),"Open PDF"))</f>
        <v/>
      </c>
    </row>
    <row r="482">
      <c r="A482">
        <f>IF(ISNA(MATCH(473,'Transfer Engine'!$C$2:$C$679,0)),"",INDEX('Compliance Database'!$A$2:$A$679,MATCH(473,'Transfer Engine'!$C$2:$C$679,0)))</f>
        <v/>
      </c>
      <c r="B482">
        <f>IF(ISNA(MATCH(473,'Transfer Engine'!$C$2:$C$679,0)),"",INDEX('Compliance Database'!$B$2:$B$679,MATCH(473,'Transfer Engine'!$C$2:$C$679,0)))</f>
        <v/>
      </c>
      <c r="C482">
        <f>IF(ISNA(MATCH(473,'Transfer Engine'!$C$2:$C$679,0)),"",INDEX('Compliance Database'!$C$2:$C$679,MATCH(473,'Transfer Engine'!$C$2:$C$679,0)))</f>
        <v/>
      </c>
      <c r="D482" s="8">
        <f>IF(ISNA(MATCH(473,'Transfer Engine'!$C$2:$C$679,0)),"",INDEX('Compliance Database'!$D$2:$D$679,MATCH(473,'Transfer Engine'!$C$2:$C$679,0)))</f>
        <v/>
      </c>
      <c r="E482">
        <f>IF(ISNA(MATCH(473,'Transfer Engine'!$C$2:$C$679,0)),"",INDEX('Compliance Database'!$E$2:$E$679,MATCH(473,'Transfer Engine'!$C$2:$C$679,0)))</f>
        <v/>
      </c>
      <c r="F482">
        <f>IF(ISNA(MATCH(473,'Transfer Engine'!$C$2:$C$679,0)),"",INDEX('Compliance Database'!$F$2:$F$679,MATCH(473,'Transfer Engine'!$C$2:$C$679,0)))</f>
        <v/>
      </c>
      <c r="G482">
        <f>IF(ISNA(MATCH(473,'Transfer Engine'!$C$2:$C$679,0)),"",INDEX('Compliance Database'!$G$2:$G$679,MATCH(473,'Transfer Engine'!$C$2:$C$679,0)))</f>
        <v/>
      </c>
      <c r="H482">
        <f>IF(ISNA(MATCH(473,'Transfer Engine'!$C$2:$C$679,0)),"",INDEX('Compliance Database'!$H$2:$H$679,MATCH(473,'Transfer Engine'!$C$2:$C$679,0)))</f>
        <v/>
      </c>
      <c r="I482" s="8">
        <f>IF(ISNA(MATCH(473,'Transfer Engine'!$C$2:$C$679,0)),"",INDEX('Compliance Database'!$I$2:$I$679,MATCH(473,'Transfer Engine'!$C$2:$C$679,0)))</f>
        <v/>
      </c>
      <c r="J482" s="8">
        <f>IF(ISNA(MATCH(473,'Transfer Engine'!$C$2:$C$679,0)),"",INDEX('Compliance Database'!$J$2:$J$679,MATCH(473,'Transfer Engine'!$C$2:$C$679,0)))</f>
        <v/>
      </c>
      <c r="K482">
        <f>IF(ISNA(MATCH(473,'Transfer Engine'!$C$2:$C$679,0)),"",INDEX('Compliance Database'!$K$2:$K$679,MATCH(473,'Transfer Engine'!$C$2:$C$679,0)))</f>
        <v/>
      </c>
      <c r="L482" s="8">
        <f>IF(ISNA(MATCH(473,'Transfer Engine'!$C$2:$C$679,0)),"",INDEX('Compliance Database'!$L$2:$L$679,MATCH(473,'Transfer Engine'!$C$2:$C$679,0)))</f>
        <v/>
      </c>
      <c r="M482" s="8">
        <f>IF(ISNA(MATCH(473,'Transfer Engine'!$C$2:$C$679,0)),"",INDEX('Compliance Database'!$M$2:$M$679,MATCH(473,'Transfer Engine'!$C$2:$C$679,0)))</f>
        <v/>
      </c>
      <c r="N482" s="8">
        <f>IF(ISNA(MATCH(473,'Transfer Engine'!$C$2:$C$679,0)),"",INDEX('Compliance Database'!$N$2:$N$679,MATCH(473,'Transfer Engine'!$C$2:$C$679,0)))</f>
        <v/>
      </c>
      <c r="O482" s="8">
        <f>IF(ISNA(MATCH(473,'Transfer Engine'!$C$2:$C$679,0)),"",INDEX('Compliance Database'!$O$2:$O$679,MATCH(473,'Transfer Engine'!$C$2:$C$679,0)))</f>
        <v/>
      </c>
      <c r="P482">
        <f>IF(ISNA(MATCH(473,'Transfer Engine'!$C$2:$C$679,0)),"",HYPERLINK(INDEX('Compliance Database'!$P$2:$P$679,MATCH(473,'Transfer Engine'!$C$2:$C$679,0)),"Open PDF"))</f>
        <v/>
      </c>
    </row>
    <row r="483">
      <c r="A483">
        <f>IF(ISNA(MATCH(474,'Transfer Engine'!$C$2:$C$679,0)),"",INDEX('Compliance Database'!$A$2:$A$679,MATCH(474,'Transfer Engine'!$C$2:$C$679,0)))</f>
        <v/>
      </c>
      <c r="B483">
        <f>IF(ISNA(MATCH(474,'Transfer Engine'!$C$2:$C$679,0)),"",INDEX('Compliance Database'!$B$2:$B$679,MATCH(474,'Transfer Engine'!$C$2:$C$679,0)))</f>
        <v/>
      </c>
      <c r="C483">
        <f>IF(ISNA(MATCH(474,'Transfer Engine'!$C$2:$C$679,0)),"",INDEX('Compliance Database'!$C$2:$C$679,MATCH(474,'Transfer Engine'!$C$2:$C$679,0)))</f>
        <v/>
      </c>
      <c r="D483" s="8">
        <f>IF(ISNA(MATCH(474,'Transfer Engine'!$C$2:$C$679,0)),"",INDEX('Compliance Database'!$D$2:$D$679,MATCH(474,'Transfer Engine'!$C$2:$C$679,0)))</f>
        <v/>
      </c>
      <c r="E483">
        <f>IF(ISNA(MATCH(474,'Transfer Engine'!$C$2:$C$679,0)),"",INDEX('Compliance Database'!$E$2:$E$679,MATCH(474,'Transfer Engine'!$C$2:$C$679,0)))</f>
        <v/>
      </c>
      <c r="F483">
        <f>IF(ISNA(MATCH(474,'Transfer Engine'!$C$2:$C$679,0)),"",INDEX('Compliance Database'!$F$2:$F$679,MATCH(474,'Transfer Engine'!$C$2:$C$679,0)))</f>
        <v/>
      </c>
      <c r="G483">
        <f>IF(ISNA(MATCH(474,'Transfer Engine'!$C$2:$C$679,0)),"",INDEX('Compliance Database'!$G$2:$G$679,MATCH(474,'Transfer Engine'!$C$2:$C$679,0)))</f>
        <v/>
      </c>
      <c r="H483">
        <f>IF(ISNA(MATCH(474,'Transfer Engine'!$C$2:$C$679,0)),"",INDEX('Compliance Database'!$H$2:$H$679,MATCH(474,'Transfer Engine'!$C$2:$C$679,0)))</f>
        <v/>
      </c>
      <c r="I483" s="8">
        <f>IF(ISNA(MATCH(474,'Transfer Engine'!$C$2:$C$679,0)),"",INDEX('Compliance Database'!$I$2:$I$679,MATCH(474,'Transfer Engine'!$C$2:$C$679,0)))</f>
        <v/>
      </c>
      <c r="J483" s="8">
        <f>IF(ISNA(MATCH(474,'Transfer Engine'!$C$2:$C$679,0)),"",INDEX('Compliance Database'!$J$2:$J$679,MATCH(474,'Transfer Engine'!$C$2:$C$679,0)))</f>
        <v/>
      </c>
      <c r="K483">
        <f>IF(ISNA(MATCH(474,'Transfer Engine'!$C$2:$C$679,0)),"",INDEX('Compliance Database'!$K$2:$K$679,MATCH(474,'Transfer Engine'!$C$2:$C$679,0)))</f>
        <v/>
      </c>
      <c r="L483" s="8">
        <f>IF(ISNA(MATCH(474,'Transfer Engine'!$C$2:$C$679,0)),"",INDEX('Compliance Database'!$L$2:$L$679,MATCH(474,'Transfer Engine'!$C$2:$C$679,0)))</f>
        <v/>
      </c>
      <c r="M483" s="8">
        <f>IF(ISNA(MATCH(474,'Transfer Engine'!$C$2:$C$679,0)),"",INDEX('Compliance Database'!$M$2:$M$679,MATCH(474,'Transfer Engine'!$C$2:$C$679,0)))</f>
        <v/>
      </c>
      <c r="N483" s="8">
        <f>IF(ISNA(MATCH(474,'Transfer Engine'!$C$2:$C$679,0)),"",INDEX('Compliance Database'!$N$2:$N$679,MATCH(474,'Transfer Engine'!$C$2:$C$679,0)))</f>
        <v/>
      </c>
      <c r="O483" s="8">
        <f>IF(ISNA(MATCH(474,'Transfer Engine'!$C$2:$C$679,0)),"",INDEX('Compliance Database'!$O$2:$O$679,MATCH(474,'Transfer Engine'!$C$2:$C$679,0)))</f>
        <v/>
      </c>
      <c r="P483">
        <f>IF(ISNA(MATCH(474,'Transfer Engine'!$C$2:$C$679,0)),"",HYPERLINK(INDEX('Compliance Database'!$P$2:$P$679,MATCH(474,'Transfer Engine'!$C$2:$C$679,0)),"Open PDF"))</f>
        <v/>
      </c>
    </row>
    <row r="484">
      <c r="A484">
        <f>IF(ISNA(MATCH(475,'Transfer Engine'!$C$2:$C$679,0)),"",INDEX('Compliance Database'!$A$2:$A$679,MATCH(475,'Transfer Engine'!$C$2:$C$679,0)))</f>
        <v/>
      </c>
      <c r="B484">
        <f>IF(ISNA(MATCH(475,'Transfer Engine'!$C$2:$C$679,0)),"",INDEX('Compliance Database'!$B$2:$B$679,MATCH(475,'Transfer Engine'!$C$2:$C$679,0)))</f>
        <v/>
      </c>
      <c r="C484">
        <f>IF(ISNA(MATCH(475,'Transfer Engine'!$C$2:$C$679,0)),"",INDEX('Compliance Database'!$C$2:$C$679,MATCH(475,'Transfer Engine'!$C$2:$C$679,0)))</f>
        <v/>
      </c>
      <c r="D484" s="8">
        <f>IF(ISNA(MATCH(475,'Transfer Engine'!$C$2:$C$679,0)),"",INDEX('Compliance Database'!$D$2:$D$679,MATCH(475,'Transfer Engine'!$C$2:$C$679,0)))</f>
        <v/>
      </c>
      <c r="E484">
        <f>IF(ISNA(MATCH(475,'Transfer Engine'!$C$2:$C$679,0)),"",INDEX('Compliance Database'!$E$2:$E$679,MATCH(475,'Transfer Engine'!$C$2:$C$679,0)))</f>
        <v/>
      </c>
      <c r="F484">
        <f>IF(ISNA(MATCH(475,'Transfer Engine'!$C$2:$C$679,0)),"",INDEX('Compliance Database'!$F$2:$F$679,MATCH(475,'Transfer Engine'!$C$2:$C$679,0)))</f>
        <v/>
      </c>
      <c r="G484">
        <f>IF(ISNA(MATCH(475,'Transfer Engine'!$C$2:$C$679,0)),"",INDEX('Compliance Database'!$G$2:$G$679,MATCH(475,'Transfer Engine'!$C$2:$C$679,0)))</f>
        <v/>
      </c>
      <c r="H484">
        <f>IF(ISNA(MATCH(475,'Transfer Engine'!$C$2:$C$679,0)),"",INDEX('Compliance Database'!$H$2:$H$679,MATCH(475,'Transfer Engine'!$C$2:$C$679,0)))</f>
        <v/>
      </c>
      <c r="I484" s="8">
        <f>IF(ISNA(MATCH(475,'Transfer Engine'!$C$2:$C$679,0)),"",INDEX('Compliance Database'!$I$2:$I$679,MATCH(475,'Transfer Engine'!$C$2:$C$679,0)))</f>
        <v/>
      </c>
      <c r="J484" s="8">
        <f>IF(ISNA(MATCH(475,'Transfer Engine'!$C$2:$C$679,0)),"",INDEX('Compliance Database'!$J$2:$J$679,MATCH(475,'Transfer Engine'!$C$2:$C$679,0)))</f>
        <v/>
      </c>
      <c r="K484">
        <f>IF(ISNA(MATCH(475,'Transfer Engine'!$C$2:$C$679,0)),"",INDEX('Compliance Database'!$K$2:$K$679,MATCH(475,'Transfer Engine'!$C$2:$C$679,0)))</f>
        <v/>
      </c>
      <c r="L484" s="8">
        <f>IF(ISNA(MATCH(475,'Transfer Engine'!$C$2:$C$679,0)),"",INDEX('Compliance Database'!$L$2:$L$679,MATCH(475,'Transfer Engine'!$C$2:$C$679,0)))</f>
        <v/>
      </c>
      <c r="M484" s="8">
        <f>IF(ISNA(MATCH(475,'Transfer Engine'!$C$2:$C$679,0)),"",INDEX('Compliance Database'!$M$2:$M$679,MATCH(475,'Transfer Engine'!$C$2:$C$679,0)))</f>
        <v/>
      </c>
      <c r="N484" s="8">
        <f>IF(ISNA(MATCH(475,'Transfer Engine'!$C$2:$C$679,0)),"",INDEX('Compliance Database'!$N$2:$N$679,MATCH(475,'Transfer Engine'!$C$2:$C$679,0)))</f>
        <v/>
      </c>
      <c r="O484" s="8">
        <f>IF(ISNA(MATCH(475,'Transfer Engine'!$C$2:$C$679,0)),"",INDEX('Compliance Database'!$O$2:$O$679,MATCH(475,'Transfer Engine'!$C$2:$C$679,0)))</f>
        <v/>
      </c>
      <c r="P484">
        <f>IF(ISNA(MATCH(475,'Transfer Engine'!$C$2:$C$679,0)),"",HYPERLINK(INDEX('Compliance Database'!$P$2:$P$679,MATCH(475,'Transfer Engine'!$C$2:$C$679,0)),"Open PDF"))</f>
        <v/>
      </c>
    </row>
    <row r="485">
      <c r="A485">
        <f>IF(ISNA(MATCH(476,'Transfer Engine'!$C$2:$C$679,0)),"",INDEX('Compliance Database'!$A$2:$A$679,MATCH(476,'Transfer Engine'!$C$2:$C$679,0)))</f>
        <v/>
      </c>
      <c r="B485">
        <f>IF(ISNA(MATCH(476,'Transfer Engine'!$C$2:$C$679,0)),"",INDEX('Compliance Database'!$B$2:$B$679,MATCH(476,'Transfer Engine'!$C$2:$C$679,0)))</f>
        <v/>
      </c>
      <c r="C485">
        <f>IF(ISNA(MATCH(476,'Transfer Engine'!$C$2:$C$679,0)),"",INDEX('Compliance Database'!$C$2:$C$679,MATCH(476,'Transfer Engine'!$C$2:$C$679,0)))</f>
        <v/>
      </c>
      <c r="D485" s="8">
        <f>IF(ISNA(MATCH(476,'Transfer Engine'!$C$2:$C$679,0)),"",INDEX('Compliance Database'!$D$2:$D$679,MATCH(476,'Transfer Engine'!$C$2:$C$679,0)))</f>
        <v/>
      </c>
      <c r="E485">
        <f>IF(ISNA(MATCH(476,'Transfer Engine'!$C$2:$C$679,0)),"",INDEX('Compliance Database'!$E$2:$E$679,MATCH(476,'Transfer Engine'!$C$2:$C$679,0)))</f>
        <v/>
      </c>
      <c r="F485">
        <f>IF(ISNA(MATCH(476,'Transfer Engine'!$C$2:$C$679,0)),"",INDEX('Compliance Database'!$F$2:$F$679,MATCH(476,'Transfer Engine'!$C$2:$C$679,0)))</f>
        <v/>
      </c>
      <c r="G485">
        <f>IF(ISNA(MATCH(476,'Transfer Engine'!$C$2:$C$679,0)),"",INDEX('Compliance Database'!$G$2:$G$679,MATCH(476,'Transfer Engine'!$C$2:$C$679,0)))</f>
        <v/>
      </c>
      <c r="H485">
        <f>IF(ISNA(MATCH(476,'Transfer Engine'!$C$2:$C$679,0)),"",INDEX('Compliance Database'!$H$2:$H$679,MATCH(476,'Transfer Engine'!$C$2:$C$679,0)))</f>
        <v/>
      </c>
      <c r="I485" s="8">
        <f>IF(ISNA(MATCH(476,'Transfer Engine'!$C$2:$C$679,0)),"",INDEX('Compliance Database'!$I$2:$I$679,MATCH(476,'Transfer Engine'!$C$2:$C$679,0)))</f>
        <v/>
      </c>
      <c r="J485" s="8">
        <f>IF(ISNA(MATCH(476,'Transfer Engine'!$C$2:$C$679,0)),"",INDEX('Compliance Database'!$J$2:$J$679,MATCH(476,'Transfer Engine'!$C$2:$C$679,0)))</f>
        <v/>
      </c>
      <c r="K485">
        <f>IF(ISNA(MATCH(476,'Transfer Engine'!$C$2:$C$679,0)),"",INDEX('Compliance Database'!$K$2:$K$679,MATCH(476,'Transfer Engine'!$C$2:$C$679,0)))</f>
        <v/>
      </c>
      <c r="L485" s="8">
        <f>IF(ISNA(MATCH(476,'Transfer Engine'!$C$2:$C$679,0)),"",INDEX('Compliance Database'!$L$2:$L$679,MATCH(476,'Transfer Engine'!$C$2:$C$679,0)))</f>
        <v/>
      </c>
      <c r="M485" s="8">
        <f>IF(ISNA(MATCH(476,'Transfer Engine'!$C$2:$C$679,0)),"",INDEX('Compliance Database'!$M$2:$M$679,MATCH(476,'Transfer Engine'!$C$2:$C$679,0)))</f>
        <v/>
      </c>
      <c r="N485" s="8">
        <f>IF(ISNA(MATCH(476,'Transfer Engine'!$C$2:$C$679,0)),"",INDEX('Compliance Database'!$N$2:$N$679,MATCH(476,'Transfer Engine'!$C$2:$C$679,0)))</f>
        <v/>
      </c>
      <c r="O485" s="8">
        <f>IF(ISNA(MATCH(476,'Transfer Engine'!$C$2:$C$679,0)),"",INDEX('Compliance Database'!$O$2:$O$679,MATCH(476,'Transfer Engine'!$C$2:$C$679,0)))</f>
        <v/>
      </c>
      <c r="P485">
        <f>IF(ISNA(MATCH(476,'Transfer Engine'!$C$2:$C$679,0)),"",HYPERLINK(INDEX('Compliance Database'!$P$2:$P$679,MATCH(476,'Transfer Engine'!$C$2:$C$679,0)),"Open PDF"))</f>
        <v/>
      </c>
    </row>
    <row r="486">
      <c r="A486">
        <f>IF(ISNA(MATCH(477,'Transfer Engine'!$C$2:$C$679,0)),"",INDEX('Compliance Database'!$A$2:$A$679,MATCH(477,'Transfer Engine'!$C$2:$C$679,0)))</f>
        <v/>
      </c>
      <c r="B486">
        <f>IF(ISNA(MATCH(477,'Transfer Engine'!$C$2:$C$679,0)),"",INDEX('Compliance Database'!$B$2:$B$679,MATCH(477,'Transfer Engine'!$C$2:$C$679,0)))</f>
        <v/>
      </c>
      <c r="C486">
        <f>IF(ISNA(MATCH(477,'Transfer Engine'!$C$2:$C$679,0)),"",INDEX('Compliance Database'!$C$2:$C$679,MATCH(477,'Transfer Engine'!$C$2:$C$679,0)))</f>
        <v/>
      </c>
      <c r="D486" s="8">
        <f>IF(ISNA(MATCH(477,'Transfer Engine'!$C$2:$C$679,0)),"",INDEX('Compliance Database'!$D$2:$D$679,MATCH(477,'Transfer Engine'!$C$2:$C$679,0)))</f>
        <v/>
      </c>
      <c r="E486">
        <f>IF(ISNA(MATCH(477,'Transfer Engine'!$C$2:$C$679,0)),"",INDEX('Compliance Database'!$E$2:$E$679,MATCH(477,'Transfer Engine'!$C$2:$C$679,0)))</f>
        <v/>
      </c>
      <c r="F486">
        <f>IF(ISNA(MATCH(477,'Transfer Engine'!$C$2:$C$679,0)),"",INDEX('Compliance Database'!$F$2:$F$679,MATCH(477,'Transfer Engine'!$C$2:$C$679,0)))</f>
        <v/>
      </c>
      <c r="G486">
        <f>IF(ISNA(MATCH(477,'Transfer Engine'!$C$2:$C$679,0)),"",INDEX('Compliance Database'!$G$2:$G$679,MATCH(477,'Transfer Engine'!$C$2:$C$679,0)))</f>
        <v/>
      </c>
      <c r="H486">
        <f>IF(ISNA(MATCH(477,'Transfer Engine'!$C$2:$C$679,0)),"",INDEX('Compliance Database'!$H$2:$H$679,MATCH(477,'Transfer Engine'!$C$2:$C$679,0)))</f>
        <v/>
      </c>
      <c r="I486" s="8">
        <f>IF(ISNA(MATCH(477,'Transfer Engine'!$C$2:$C$679,0)),"",INDEX('Compliance Database'!$I$2:$I$679,MATCH(477,'Transfer Engine'!$C$2:$C$679,0)))</f>
        <v/>
      </c>
      <c r="J486" s="8">
        <f>IF(ISNA(MATCH(477,'Transfer Engine'!$C$2:$C$679,0)),"",INDEX('Compliance Database'!$J$2:$J$679,MATCH(477,'Transfer Engine'!$C$2:$C$679,0)))</f>
        <v/>
      </c>
      <c r="K486">
        <f>IF(ISNA(MATCH(477,'Transfer Engine'!$C$2:$C$679,0)),"",INDEX('Compliance Database'!$K$2:$K$679,MATCH(477,'Transfer Engine'!$C$2:$C$679,0)))</f>
        <v/>
      </c>
      <c r="L486" s="8">
        <f>IF(ISNA(MATCH(477,'Transfer Engine'!$C$2:$C$679,0)),"",INDEX('Compliance Database'!$L$2:$L$679,MATCH(477,'Transfer Engine'!$C$2:$C$679,0)))</f>
        <v/>
      </c>
      <c r="M486" s="8">
        <f>IF(ISNA(MATCH(477,'Transfer Engine'!$C$2:$C$679,0)),"",INDEX('Compliance Database'!$M$2:$M$679,MATCH(477,'Transfer Engine'!$C$2:$C$679,0)))</f>
        <v/>
      </c>
      <c r="N486" s="8">
        <f>IF(ISNA(MATCH(477,'Transfer Engine'!$C$2:$C$679,0)),"",INDEX('Compliance Database'!$N$2:$N$679,MATCH(477,'Transfer Engine'!$C$2:$C$679,0)))</f>
        <v/>
      </c>
      <c r="O486" s="8">
        <f>IF(ISNA(MATCH(477,'Transfer Engine'!$C$2:$C$679,0)),"",INDEX('Compliance Database'!$O$2:$O$679,MATCH(477,'Transfer Engine'!$C$2:$C$679,0)))</f>
        <v/>
      </c>
      <c r="P486">
        <f>IF(ISNA(MATCH(477,'Transfer Engine'!$C$2:$C$679,0)),"",HYPERLINK(INDEX('Compliance Database'!$P$2:$P$679,MATCH(477,'Transfer Engine'!$C$2:$C$679,0)),"Open PDF"))</f>
        <v/>
      </c>
    </row>
    <row r="487">
      <c r="A487">
        <f>IF(ISNA(MATCH(478,'Transfer Engine'!$C$2:$C$679,0)),"",INDEX('Compliance Database'!$A$2:$A$679,MATCH(478,'Transfer Engine'!$C$2:$C$679,0)))</f>
        <v/>
      </c>
      <c r="B487">
        <f>IF(ISNA(MATCH(478,'Transfer Engine'!$C$2:$C$679,0)),"",INDEX('Compliance Database'!$B$2:$B$679,MATCH(478,'Transfer Engine'!$C$2:$C$679,0)))</f>
        <v/>
      </c>
      <c r="C487">
        <f>IF(ISNA(MATCH(478,'Transfer Engine'!$C$2:$C$679,0)),"",INDEX('Compliance Database'!$C$2:$C$679,MATCH(478,'Transfer Engine'!$C$2:$C$679,0)))</f>
        <v/>
      </c>
      <c r="D487" s="8">
        <f>IF(ISNA(MATCH(478,'Transfer Engine'!$C$2:$C$679,0)),"",INDEX('Compliance Database'!$D$2:$D$679,MATCH(478,'Transfer Engine'!$C$2:$C$679,0)))</f>
        <v/>
      </c>
      <c r="E487">
        <f>IF(ISNA(MATCH(478,'Transfer Engine'!$C$2:$C$679,0)),"",INDEX('Compliance Database'!$E$2:$E$679,MATCH(478,'Transfer Engine'!$C$2:$C$679,0)))</f>
        <v/>
      </c>
      <c r="F487">
        <f>IF(ISNA(MATCH(478,'Transfer Engine'!$C$2:$C$679,0)),"",INDEX('Compliance Database'!$F$2:$F$679,MATCH(478,'Transfer Engine'!$C$2:$C$679,0)))</f>
        <v/>
      </c>
      <c r="G487">
        <f>IF(ISNA(MATCH(478,'Transfer Engine'!$C$2:$C$679,0)),"",INDEX('Compliance Database'!$G$2:$G$679,MATCH(478,'Transfer Engine'!$C$2:$C$679,0)))</f>
        <v/>
      </c>
      <c r="H487">
        <f>IF(ISNA(MATCH(478,'Transfer Engine'!$C$2:$C$679,0)),"",INDEX('Compliance Database'!$H$2:$H$679,MATCH(478,'Transfer Engine'!$C$2:$C$679,0)))</f>
        <v/>
      </c>
      <c r="I487" s="8">
        <f>IF(ISNA(MATCH(478,'Transfer Engine'!$C$2:$C$679,0)),"",INDEX('Compliance Database'!$I$2:$I$679,MATCH(478,'Transfer Engine'!$C$2:$C$679,0)))</f>
        <v/>
      </c>
      <c r="J487" s="8">
        <f>IF(ISNA(MATCH(478,'Transfer Engine'!$C$2:$C$679,0)),"",INDEX('Compliance Database'!$J$2:$J$679,MATCH(478,'Transfer Engine'!$C$2:$C$679,0)))</f>
        <v/>
      </c>
      <c r="K487">
        <f>IF(ISNA(MATCH(478,'Transfer Engine'!$C$2:$C$679,0)),"",INDEX('Compliance Database'!$K$2:$K$679,MATCH(478,'Transfer Engine'!$C$2:$C$679,0)))</f>
        <v/>
      </c>
      <c r="L487" s="8">
        <f>IF(ISNA(MATCH(478,'Transfer Engine'!$C$2:$C$679,0)),"",INDEX('Compliance Database'!$L$2:$L$679,MATCH(478,'Transfer Engine'!$C$2:$C$679,0)))</f>
        <v/>
      </c>
      <c r="M487" s="8">
        <f>IF(ISNA(MATCH(478,'Transfer Engine'!$C$2:$C$679,0)),"",INDEX('Compliance Database'!$M$2:$M$679,MATCH(478,'Transfer Engine'!$C$2:$C$679,0)))</f>
        <v/>
      </c>
      <c r="N487" s="8">
        <f>IF(ISNA(MATCH(478,'Transfer Engine'!$C$2:$C$679,0)),"",INDEX('Compliance Database'!$N$2:$N$679,MATCH(478,'Transfer Engine'!$C$2:$C$679,0)))</f>
        <v/>
      </c>
      <c r="O487" s="8">
        <f>IF(ISNA(MATCH(478,'Transfer Engine'!$C$2:$C$679,0)),"",INDEX('Compliance Database'!$O$2:$O$679,MATCH(478,'Transfer Engine'!$C$2:$C$679,0)))</f>
        <v/>
      </c>
      <c r="P487">
        <f>IF(ISNA(MATCH(478,'Transfer Engine'!$C$2:$C$679,0)),"",HYPERLINK(INDEX('Compliance Database'!$P$2:$P$679,MATCH(478,'Transfer Engine'!$C$2:$C$679,0)),"Open PDF"))</f>
        <v/>
      </c>
    </row>
    <row r="488">
      <c r="A488">
        <f>IF(ISNA(MATCH(479,'Transfer Engine'!$C$2:$C$679,0)),"",INDEX('Compliance Database'!$A$2:$A$679,MATCH(479,'Transfer Engine'!$C$2:$C$679,0)))</f>
        <v/>
      </c>
      <c r="B488">
        <f>IF(ISNA(MATCH(479,'Transfer Engine'!$C$2:$C$679,0)),"",INDEX('Compliance Database'!$B$2:$B$679,MATCH(479,'Transfer Engine'!$C$2:$C$679,0)))</f>
        <v/>
      </c>
      <c r="C488">
        <f>IF(ISNA(MATCH(479,'Transfer Engine'!$C$2:$C$679,0)),"",INDEX('Compliance Database'!$C$2:$C$679,MATCH(479,'Transfer Engine'!$C$2:$C$679,0)))</f>
        <v/>
      </c>
      <c r="D488" s="8">
        <f>IF(ISNA(MATCH(479,'Transfer Engine'!$C$2:$C$679,0)),"",INDEX('Compliance Database'!$D$2:$D$679,MATCH(479,'Transfer Engine'!$C$2:$C$679,0)))</f>
        <v/>
      </c>
      <c r="E488">
        <f>IF(ISNA(MATCH(479,'Transfer Engine'!$C$2:$C$679,0)),"",INDEX('Compliance Database'!$E$2:$E$679,MATCH(479,'Transfer Engine'!$C$2:$C$679,0)))</f>
        <v/>
      </c>
      <c r="F488">
        <f>IF(ISNA(MATCH(479,'Transfer Engine'!$C$2:$C$679,0)),"",INDEX('Compliance Database'!$F$2:$F$679,MATCH(479,'Transfer Engine'!$C$2:$C$679,0)))</f>
        <v/>
      </c>
      <c r="G488">
        <f>IF(ISNA(MATCH(479,'Transfer Engine'!$C$2:$C$679,0)),"",INDEX('Compliance Database'!$G$2:$G$679,MATCH(479,'Transfer Engine'!$C$2:$C$679,0)))</f>
        <v/>
      </c>
      <c r="H488">
        <f>IF(ISNA(MATCH(479,'Transfer Engine'!$C$2:$C$679,0)),"",INDEX('Compliance Database'!$H$2:$H$679,MATCH(479,'Transfer Engine'!$C$2:$C$679,0)))</f>
        <v/>
      </c>
      <c r="I488" s="8">
        <f>IF(ISNA(MATCH(479,'Transfer Engine'!$C$2:$C$679,0)),"",INDEX('Compliance Database'!$I$2:$I$679,MATCH(479,'Transfer Engine'!$C$2:$C$679,0)))</f>
        <v/>
      </c>
      <c r="J488" s="8">
        <f>IF(ISNA(MATCH(479,'Transfer Engine'!$C$2:$C$679,0)),"",INDEX('Compliance Database'!$J$2:$J$679,MATCH(479,'Transfer Engine'!$C$2:$C$679,0)))</f>
        <v/>
      </c>
      <c r="K488">
        <f>IF(ISNA(MATCH(479,'Transfer Engine'!$C$2:$C$679,0)),"",INDEX('Compliance Database'!$K$2:$K$679,MATCH(479,'Transfer Engine'!$C$2:$C$679,0)))</f>
        <v/>
      </c>
      <c r="L488" s="8">
        <f>IF(ISNA(MATCH(479,'Transfer Engine'!$C$2:$C$679,0)),"",INDEX('Compliance Database'!$L$2:$L$679,MATCH(479,'Transfer Engine'!$C$2:$C$679,0)))</f>
        <v/>
      </c>
      <c r="M488" s="8">
        <f>IF(ISNA(MATCH(479,'Transfer Engine'!$C$2:$C$679,0)),"",INDEX('Compliance Database'!$M$2:$M$679,MATCH(479,'Transfer Engine'!$C$2:$C$679,0)))</f>
        <v/>
      </c>
      <c r="N488" s="8">
        <f>IF(ISNA(MATCH(479,'Transfer Engine'!$C$2:$C$679,0)),"",INDEX('Compliance Database'!$N$2:$N$679,MATCH(479,'Transfer Engine'!$C$2:$C$679,0)))</f>
        <v/>
      </c>
      <c r="O488" s="8">
        <f>IF(ISNA(MATCH(479,'Transfer Engine'!$C$2:$C$679,0)),"",INDEX('Compliance Database'!$O$2:$O$679,MATCH(479,'Transfer Engine'!$C$2:$C$679,0)))</f>
        <v/>
      </c>
      <c r="P488">
        <f>IF(ISNA(MATCH(479,'Transfer Engine'!$C$2:$C$679,0)),"",HYPERLINK(INDEX('Compliance Database'!$P$2:$P$679,MATCH(479,'Transfer Engine'!$C$2:$C$679,0)),"Open PDF"))</f>
        <v/>
      </c>
    </row>
    <row r="489">
      <c r="A489">
        <f>IF(ISNA(MATCH(480,'Transfer Engine'!$C$2:$C$679,0)),"",INDEX('Compliance Database'!$A$2:$A$679,MATCH(480,'Transfer Engine'!$C$2:$C$679,0)))</f>
        <v/>
      </c>
      <c r="B489">
        <f>IF(ISNA(MATCH(480,'Transfer Engine'!$C$2:$C$679,0)),"",INDEX('Compliance Database'!$B$2:$B$679,MATCH(480,'Transfer Engine'!$C$2:$C$679,0)))</f>
        <v/>
      </c>
      <c r="C489">
        <f>IF(ISNA(MATCH(480,'Transfer Engine'!$C$2:$C$679,0)),"",INDEX('Compliance Database'!$C$2:$C$679,MATCH(480,'Transfer Engine'!$C$2:$C$679,0)))</f>
        <v/>
      </c>
      <c r="D489" s="8">
        <f>IF(ISNA(MATCH(480,'Transfer Engine'!$C$2:$C$679,0)),"",INDEX('Compliance Database'!$D$2:$D$679,MATCH(480,'Transfer Engine'!$C$2:$C$679,0)))</f>
        <v/>
      </c>
      <c r="E489">
        <f>IF(ISNA(MATCH(480,'Transfer Engine'!$C$2:$C$679,0)),"",INDEX('Compliance Database'!$E$2:$E$679,MATCH(480,'Transfer Engine'!$C$2:$C$679,0)))</f>
        <v/>
      </c>
      <c r="F489">
        <f>IF(ISNA(MATCH(480,'Transfer Engine'!$C$2:$C$679,0)),"",INDEX('Compliance Database'!$F$2:$F$679,MATCH(480,'Transfer Engine'!$C$2:$C$679,0)))</f>
        <v/>
      </c>
      <c r="G489">
        <f>IF(ISNA(MATCH(480,'Transfer Engine'!$C$2:$C$679,0)),"",INDEX('Compliance Database'!$G$2:$G$679,MATCH(480,'Transfer Engine'!$C$2:$C$679,0)))</f>
        <v/>
      </c>
      <c r="H489">
        <f>IF(ISNA(MATCH(480,'Transfer Engine'!$C$2:$C$679,0)),"",INDEX('Compliance Database'!$H$2:$H$679,MATCH(480,'Transfer Engine'!$C$2:$C$679,0)))</f>
        <v/>
      </c>
      <c r="I489" s="8">
        <f>IF(ISNA(MATCH(480,'Transfer Engine'!$C$2:$C$679,0)),"",INDEX('Compliance Database'!$I$2:$I$679,MATCH(480,'Transfer Engine'!$C$2:$C$679,0)))</f>
        <v/>
      </c>
      <c r="J489" s="8">
        <f>IF(ISNA(MATCH(480,'Transfer Engine'!$C$2:$C$679,0)),"",INDEX('Compliance Database'!$J$2:$J$679,MATCH(480,'Transfer Engine'!$C$2:$C$679,0)))</f>
        <v/>
      </c>
      <c r="K489">
        <f>IF(ISNA(MATCH(480,'Transfer Engine'!$C$2:$C$679,0)),"",INDEX('Compliance Database'!$K$2:$K$679,MATCH(480,'Transfer Engine'!$C$2:$C$679,0)))</f>
        <v/>
      </c>
      <c r="L489" s="8">
        <f>IF(ISNA(MATCH(480,'Transfer Engine'!$C$2:$C$679,0)),"",INDEX('Compliance Database'!$L$2:$L$679,MATCH(480,'Transfer Engine'!$C$2:$C$679,0)))</f>
        <v/>
      </c>
      <c r="M489" s="8">
        <f>IF(ISNA(MATCH(480,'Transfer Engine'!$C$2:$C$679,0)),"",INDEX('Compliance Database'!$M$2:$M$679,MATCH(480,'Transfer Engine'!$C$2:$C$679,0)))</f>
        <v/>
      </c>
      <c r="N489" s="8">
        <f>IF(ISNA(MATCH(480,'Transfer Engine'!$C$2:$C$679,0)),"",INDEX('Compliance Database'!$N$2:$N$679,MATCH(480,'Transfer Engine'!$C$2:$C$679,0)))</f>
        <v/>
      </c>
      <c r="O489" s="8">
        <f>IF(ISNA(MATCH(480,'Transfer Engine'!$C$2:$C$679,0)),"",INDEX('Compliance Database'!$O$2:$O$679,MATCH(480,'Transfer Engine'!$C$2:$C$679,0)))</f>
        <v/>
      </c>
      <c r="P489">
        <f>IF(ISNA(MATCH(480,'Transfer Engine'!$C$2:$C$679,0)),"",HYPERLINK(INDEX('Compliance Database'!$P$2:$P$679,MATCH(480,'Transfer Engine'!$C$2:$C$679,0)),"Open PDF"))</f>
        <v/>
      </c>
    </row>
    <row r="490">
      <c r="A490">
        <f>IF(ISNA(MATCH(481,'Transfer Engine'!$C$2:$C$679,0)),"",INDEX('Compliance Database'!$A$2:$A$679,MATCH(481,'Transfer Engine'!$C$2:$C$679,0)))</f>
        <v/>
      </c>
      <c r="B490">
        <f>IF(ISNA(MATCH(481,'Transfer Engine'!$C$2:$C$679,0)),"",INDEX('Compliance Database'!$B$2:$B$679,MATCH(481,'Transfer Engine'!$C$2:$C$679,0)))</f>
        <v/>
      </c>
      <c r="C490">
        <f>IF(ISNA(MATCH(481,'Transfer Engine'!$C$2:$C$679,0)),"",INDEX('Compliance Database'!$C$2:$C$679,MATCH(481,'Transfer Engine'!$C$2:$C$679,0)))</f>
        <v/>
      </c>
      <c r="D490" s="8">
        <f>IF(ISNA(MATCH(481,'Transfer Engine'!$C$2:$C$679,0)),"",INDEX('Compliance Database'!$D$2:$D$679,MATCH(481,'Transfer Engine'!$C$2:$C$679,0)))</f>
        <v/>
      </c>
      <c r="E490">
        <f>IF(ISNA(MATCH(481,'Transfer Engine'!$C$2:$C$679,0)),"",INDEX('Compliance Database'!$E$2:$E$679,MATCH(481,'Transfer Engine'!$C$2:$C$679,0)))</f>
        <v/>
      </c>
      <c r="F490">
        <f>IF(ISNA(MATCH(481,'Transfer Engine'!$C$2:$C$679,0)),"",INDEX('Compliance Database'!$F$2:$F$679,MATCH(481,'Transfer Engine'!$C$2:$C$679,0)))</f>
        <v/>
      </c>
      <c r="G490">
        <f>IF(ISNA(MATCH(481,'Transfer Engine'!$C$2:$C$679,0)),"",INDEX('Compliance Database'!$G$2:$G$679,MATCH(481,'Transfer Engine'!$C$2:$C$679,0)))</f>
        <v/>
      </c>
      <c r="H490">
        <f>IF(ISNA(MATCH(481,'Transfer Engine'!$C$2:$C$679,0)),"",INDEX('Compliance Database'!$H$2:$H$679,MATCH(481,'Transfer Engine'!$C$2:$C$679,0)))</f>
        <v/>
      </c>
      <c r="I490" s="8">
        <f>IF(ISNA(MATCH(481,'Transfer Engine'!$C$2:$C$679,0)),"",INDEX('Compliance Database'!$I$2:$I$679,MATCH(481,'Transfer Engine'!$C$2:$C$679,0)))</f>
        <v/>
      </c>
      <c r="J490" s="8">
        <f>IF(ISNA(MATCH(481,'Transfer Engine'!$C$2:$C$679,0)),"",INDEX('Compliance Database'!$J$2:$J$679,MATCH(481,'Transfer Engine'!$C$2:$C$679,0)))</f>
        <v/>
      </c>
      <c r="K490">
        <f>IF(ISNA(MATCH(481,'Transfer Engine'!$C$2:$C$679,0)),"",INDEX('Compliance Database'!$K$2:$K$679,MATCH(481,'Transfer Engine'!$C$2:$C$679,0)))</f>
        <v/>
      </c>
      <c r="L490" s="8">
        <f>IF(ISNA(MATCH(481,'Transfer Engine'!$C$2:$C$679,0)),"",INDEX('Compliance Database'!$L$2:$L$679,MATCH(481,'Transfer Engine'!$C$2:$C$679,0)))</f>
        <v/>
      </c>
      <c r="M490" s="8">
        <f>IF(ISNA(MATCH(481,'Transfer Engine'!$C$2:$C$679,0)),"",INDEX('Compliance Database'!$M$2:$M$679,MATCH(481,'Transfer Engine'!$C$2:$C$679,0)))</f>
        <v/>
      </c>
      <c r="N490" s="8">
        <f>IF(ISNA(MATCH(481,'Transfer Engine'!$C$2:$C$679,0)),"",INDEX('Compliance Database'!$N$2:$N$679,MATCH(481,'Transfer Engine'!$C$2:$C$679,0)))</f>
        <v/>
      </c>
      <c r="O490" s="8">
        <f>IF(ISNA(MATCH(481,'Transfer Engine'!$C$2:$C$679,0)),"",INDEX('Compliance Database'!$O$2:$O$679,MATCH(481,'Transfer Engine'!$C$2:$C$679,0)))</f>
        <v/>
      </c>
      <c r="P490">
        <f>IF(ISNA(MATCH(481,'Transfer Engine'!$C$2:$C$679,0)),"",HYPERLINK(INDEX('Compliance Database'!$P$2:$P$679,MATCH(481,'Transfer Engine'!$C$2:$C$679,0)),"Open PDF"))</f>
        <v/>
      </c>
    </row>
    <row r="491">
      <c r="A491">
        <f>IF(ISNA(MATCH(482,'Transfer Engine'!$C$2:$C$679,0)),"",INDEX('Compliance Database'!$A$2:$A$679,MATCH(482,'Transfer Engine'!$C$2:$C$679,0)))</f>
        <v/>
      </c>
      <c r="B491">
        <f>IF(ISNA(MATCH(482,'Transfer Engine'!$C$2:$C$679,0)),"",INDEX('Compliance Database'!$B$2:$B$679,MATCH(482,'Transfer Engine'!$C$2:$C$679,0)))</f>
        <v/>
      </c>
      <c r="C491">
        <f>IF(ISNA(MATCH(482,'Transfer Engine'!$C$2:$C$679,0)),"",INDEX('Compliance Database'!$C$2:$C$679,MATCH(482,'Transfer Engine'!$C$2:$C$679,0)))</f>
        <v/>
      </c>
      <c r="D491" s="8">
        <f>IF(ISNA(MATCH(482,'Transfer Engine'!$C$2:$C$679,0)),"",INDEX('Compliance Database'!$D$2:$D$679,MATCH(482,'Transfer Engine'!$C$2:$C$679,0)))</f>
        <v/>
      </c>
      <c r="E491">
        <f>IF(ISNA(MATCH(482,'Transfer Engine'!$C$2:$C$679,0)),"",INDEX('Compliance Database'!$E$2:$E$679,MATCH(482,'Transfer Engine'!$C$2:$C$679,0)))</f>
        <v/>
      </c>
      <c r="F491">
        <f>IF(ISNA(MATCH(482,'Transfer Engine'!$C$2:$C$679,0)),"",INDEX('Compliance Database'!$F$2:$F$679,MATCH(482,'Transfer Engine'!$C$2:$C$679,0)))</f>
        <v/>
      </c>
      <c r="G491">
        <f>IF(ISNA(MATCH(482,'Transfer Engine'!$C$2:$C$679,0)),"",INDEX('Compliance Database'!$G$2:$G$679,MATCH(482,'Transfer Engine'!$C$2:$C$679,0)))</f>
        <v/>
      </c>
      <c r="H491">
        <f>IF(ISNA(MATCH(482,'Transfer Engine'!$C$2:$C$679,0)),"",INDEX('Compliance Database'!$H$2:$H$679,MATCH(482,'Transfer Engine'!$C$2:$C$679,0)))</f>
        <v/>
      </c>
      <c r="I491" s="8">
        <f>IF(ISNA(MATCH(482,'Transfer Engine'!$C$2:$C$679,0)),"",INDEX('Compliance Database'!$I$2:$I$679,MATCH(482,'Transfer Engine'!$C$2:$C$679,0)))</f>
        <v/>
      </c>
      <c r="J491" s="8">
        <f>IF(ISNA(MATCH(482,'Transfer Engine'!$C$2:$C$679,0)),"",INDEX('Compliance Database'!$J$2:$J$679,MATCH(482,'Transfer Engine'!$C$2:$C$679,0)))</f>
        <v/>
      </c>
      <c r="K491">
        <f>IF(ISNA(MATCH(482,'Transfer Engine'!$C$2:$C$679,0)),"",INDEX('Compliance Database'!$K$2:$K$679,MATCH(482,'Transfer Engine'!$C$2:$C$679,0)))</f>
        <v/>
      </c>
      <c r="L491" s="8">
        <f>IF(ISNA(MATCH(482,'Transfer Engine'!$C$2:$C$679,0)),"",INDEX('Compliance Database'!$L$2:$L$679,MATCH(482,'Transfer Engine'!$C$2:$C$679,0)))</f>
        <v/>
      </c>
      <c r="M491" s="8">
        <f>IF(ISNA(MATCH(482,'Transfer Engine'!$C$2:$C$679,0)),"",INDEX('Compliance Database'!$M$2:$M$679,MATCH(482,'Transfer Engine'!$C$2:$C$679,0)))</f>
        <v/>
      </c>
      <c r="N491" s="8">
        <f>IF(ISNA(MATCH(482,'Transfer Engine'!$C$2:$C$679,0)),"",INDEX('Compliance Database'!$N$2:$N$679,MATCH(482,'Transfer Engine'!$C$2:$C$679,0)))</f>
        <v/>
      </c>
      <c r="O491" s="8">
        <f>IF(ISNA(MATCH(482,'Transfer Engine'!$C$2:$C$679,0)),"",INDEX('Compliance Database'!$O$2:$O$679,MATCH(482,'Transfer Engine'!$C$2:$C$679,0)))</f>
        <v/>
      </c>
      <c r="P491">
        <f>IF(ISNA(MATCH(482,'Transfer Engine'!$C$2:$C$679,0)),"",HYPERLINK(INDEX('Compliance Database'!$P$2:$P$679,MATCH(482,'Transfer Engine'!$C$2:$C$679,0)),"Open PDF"))</f>
        <v/>
      </c>
    </row>
    <row r="492">
      <c r="A492">
        <f>IF(ISNA(MATCH(483,'Transfer Engine'!$C$2:$C$679,0)),"",INDEX('Compliance Database'!$A$2:$A$679,MATCH(483,'Transfer Engine'!$C$2:$C$679,0)))</f>
        <v/>
      </c>
      <c r="B492">
        <f>IF(ISNA(MATCH(483,'Transfer Engine'!$C$2:$C$679,0)),"",INDEX('Compliance Database'!$B$2:$B$679,MATCH(483,'Transfer Engine'!$C$2:$C$679,0)))</f>
        <v/>
      </c>
      <c r="C492">
        <f>IF(ISNA(MATCH(483,'Transfer Engine'!$C$2:$C$679,0)),"",INDEX('Compliance Database'!$C$2:$C$679,MATCH(483,'Transfer Engine'!$C$2:$C$679,0)))</f>
        <v/>
      </c>
      <c r="D492" s="8">
        <f>IF(ISNA(MATCH(483,'Transfer Engine'!$C$2:$C$679,0)),"",INDEX('Compliance Database'!$D$2:$D$679,MATCH(483,'Transfer Engine'!$C$2:$C$679,0)))</f>
        <v/>
      </c>
      <c r="E492">
        <f>IF(ISNA(MATCH(483,'Transfer Engine'!$C$2:$C$679,0)),"",INDEX('Compliance Database'!$E$2:$E$679,MATCH(483,'Transfer Engine'!$C$2:$C$679,0)))</f>
        <v/>
      </c>
      <c r="F492">
        <f>IF(ISNA(MATCH(483,'Transfer Engine'!$C$2:$C$679,0)),"",INDEX('Compliance Database'!$F$2:$F$679,MATCH(483,'Transfer Engine'!$C$2:$C$679,0)))</f>
        <v/>
      </c>
      <c r="G492">
        <f>IF(ISNA(MATCH(483,'Transfer Engine'!$C$2:$C$679,0)),"",INDEX('Compliance Database'!$G$2:$G$679,MATCH(483,'Transfer Engine'!$C$2:$C$679,0)))</f>
        <v/>
      </c>
      <c r="H492">
        <f>IF(ISNA(MATCH(483,'Transfer Engine'!$C$2:$C$679,0)),"",INDEX('Compliance Database'!$H$2:$H$679,MATCH(483,'Transfer Engine'!$C$2:$C$679,0)))</f>
        <v/>
      </c>
      <c r="I492" s="8">
        <f>IF(ISNA(MATCH(483,'Transfer Engine'!$C$2:$C$679,0)),"",INDEX('Compliance Database'!$I$2:$I$679,MATCH(483,'Transfer Engine'!$C$2:$C$679,0)))</f>
        <v/>
      </c>
      <c r="J492" s="8">
        <f>IF(ISNA(MATCH(483,'Transfer Engine'!$C$2:$C$679,0)),"",INDEX('Compliance Database'!$J$2:$J$679,MATCH(483,'Transfer Engine'!$C$2:$C$679,0)))</f>
        <v/>
      </c>
      <c r="K492">
        <f>IF(ISNA(MATCH(483,'Transfer Engine'!$C$2:$C$679,0)),"",INDEX('Compliance Database'!$K$2:$K$679,MATCH(483,'Transfer Engine'!$C$2:$C$679,0)))</f>
        <v/>
      </c>
      <c r="L492" s="8">
        <f>IF(ISNA(MATCH(483,'Transfer Engine'!$C$2:$C$679,0)),"",INDEX('Compliance Database'!$L$2:$L$679,MATCH(483,'Transfer Engine'!$C$2:$C$679,0)))</f>
        <v/>
      </c>
      <c r="M492" s="8">
        <f>IF(ISNA(MATCH(483,'Transfer Engine'!$C$2:$C$679,0)),"",INDEX('Compliance Database'!$M$2:$M$679,MATCH(483,'Transfer Engine'!$C$2:$C$679,0)))</f>
        <v/>
      </c>
      <c r="N492" s="8">
        <f>IF(ISNA(MATCH(483,'Transfer Engine'!$C$2:$C$679,0)),"",INDEX('Compliance Database'!$N$2:$N$679,MATCH(483,'Transfer Engine'!$C$2:$C$679,0)))</f>
        <v/>
      </c>
      <c r="O492" s="8">
        <f>IF(ISNA(MATCH(483,'Transfer Engine'!$C$2:$C$679,0)),"",INDEX('Compliance Database'!$O$2:$O$679,MATCH(483,'Transfer Engine'!$C$2:$C$679,0)))</f>
        <v/>
      </c>
      <c r="P492">
        <f>IF(ISNA(MATCH(483,'Transfer Engine'!$C$2:$C$679,0)),"",HYPERLINK(INDEX('Compliance Database'!$P$2:$P$679,MATCH(483,'Transfer Engine'!$C$2:$C$679,0)),"Open PDF"))</f>
        <v/>
      </c>
    </row>
    <row r="493">
      <c r="A493">
        <f>IF(ISNA(MATCH(484,'Transfer Engine'!$C$2:$C$679,0)),"",INDEX('Compliance Database'!$A$2:$A$679,MATCH(484,'Transfer Engine'!$C$2:$C$679,0)))</f>
        <v/>
      </c>
      <c r="B493">
        <f>IF(ISNA(MATCH(484,'Transfer Engine'!$C$2:$C$679,0)),"",INDEX('Compliance Database'!$B$2:$B$679,MATCH(484,'Transfer Engine'!$C$2:$C$679,0)))</f>
        <v/>
      </c>
      <c r="C493">
        <f>IF(ISNA(MATCH(484,'Transfer Engine'!$C$2:$C$679,0)),"",INDEX('Compliance Database'!$C$2:$C$679,MATCH(484,'Transfer Engine'!$C$2:$C$679,0)))</f>
        <v/>
      </c>
      <c r="D493" s="8">
        <f>IF(ISNA(MATCH(484,'Transfer Engine'!$C$2:$C$679,0)),"",INDEX('Compliance Database'!$D$2:$D$679,MATCH(484,'Transfer Engine'!$C$2:$C$679,0)))</f>
        <v/>
      </c>
      <c r="E493">
        <f>IF(ISNA(MATCH(484,'Transfer Engine'!$C$2:$C$679,0)),"",INDEX('Compliance Database'!$E$2:$E$679,MATCH(484,'Transfer Engine'!$C$2:$C$679,0)))</f>
        <v/>
      </c>
      <c r="F493">
        <f>IF(ISNA(MATCH(484,'Transfer Engine'!$C$2:$C$679,0)),"",INDEX('Compliance Database'!$F$2:$F$679,MATCH(484,'Transfer Engine'!$C$2:$C$679,0)))</f>
        <v/>
      </c>
      <c r="G493">
        <f>IF(ISNA(MATCH(484,'Transfer Engine'!$C$2:$C$679,0)),"",INDEX('Compliance Database'!$G$2:$G$679,MATCH(484,'Transfer Engine'!$C$2:$C$679,0)))</f>
        <v/>
      </c>
      <c r="H493">
        <f>IF(ISNA(MATCH(484,'Transfer Engine'!$C$2:$C$679,0)),"",INDEX('Compliance Database'!$H$2:$H$679,MATCH(484,'Transfer Engine'!$C$2:$C$679,0)))</f>
        <v/>
      </c>
      <c r="I493" s="8">
        <f>IF(ISNA(MATCH(484,'Transfer Engine'!$C$2:$C$679,0)),"",INDEX('Compliance Database'!$I$2:$I$679,MATCH(484,'Transfer Engine'!$C$2:$C$679,0)))</f>
        <v/>
      </c>
      <c r="J493" s="8">
        <f>IF(ISNA(MATCH(484,'Transfer Engine'!$C$2:$C$679,0)),"",INDEX('Compliance Database'!$J$2:$J$679,MATCH(484,'Transfer Engine'!$C$2:$C$679,0)))</f>
        <v/>
      </c>
      <c r="K493">
        <f>IF(ISNA(MATCH(484,'Transfer Engine'!$C$2:$C$679,0)),"",INDEX('Compliance Database'!$K$2:$K$679,MATCH(484,'Transfer Engine'!$C$2:$C$679,0)))</f>
        <v/>
      </c>
      <c r="L493" s="8">
        <f>IF(ISNA(MATCH(484,'Transfer Engine'!$C$2:$C$679,0)),"",INDEX('Compliance Database'!$L$2:$L$679,MATCH(484,'Transfer Engine'!$C$2:$C$679,0)))</f>
        <v/>
      </c>
      <c r="M493" s="8">
        <f>IF(ISNA(MATCH(484,'Transfer Engine'!$C$2:$C$679,0)),"",INDEX('Compliance Database'!$M$2:$M$679,MATCH(484,'Transfer Engine'!$C$2:$C$679,0)))</f>
        <v/>
      </c>
      <c r="N493" s="8">
        <f>IF(ISNA(MATCH(484,'Transfer Engine'!$C$2:$C$679,0)),"",INDEX('Compliance Database'!$N$2:$N$679,MATCH(484,'Transfer Engine'!$C$2:$C$679,0)))</f>
        <v/>
      </c>
      <c r="O493" s="8">
        <f>IF(ISNA(MATCH(484,'Transfer Engine'!$C$2:$C$679,0)),"",INDEX('Compliance Database'!$O$2:$O$679,MATCH(484,'Transfer Engine'!$C$2:$C$679,0)))</f>
        <v/>
      </c>
      <c r="P493">
        <f>IF(ISNA(MATCH(484,'Transfer Engine'!$C$2:$C$679,0)),"",HYPERLINK(INDEX('Compliance Database'!$P$2:$P$679,MATCH(484,'Transfer Engine'!$C$2:$C$679,0)),"Open PDF"))</f>
        <v/>
      </c>
    </row>
    <row r="494">
      <c r="A494">
        <f>IF(ISNA(MATCH(485,'Transfer Engine'!$C$2:$C$679,0)),"",INDEX('Compliance Database'!$A$2:$A$679,MATCH(485,'Transfer Engine'!$C$2:$C$679,0)))</f>
        <v/>
      </c>
      <c r="B494">
        <f>IF(ISNA(MATCH(485,'Transfer Engine'!$C$2:$C$679,0)),"",INDEX('Compliance Database'!$B$2:$B$679,MATCH(485,'Transfer Engine'!$C$2:$C$679,0)))</f>
        <v/>
      </c>
      <c r="C494">
        <f>IF(ISNA(MATCH(485,'Transfer Engine'!$C$2:$C$679,0)),"",INDEX('Compliance Database'!$C$2:$C$679,MATCH(485,'Transfer Engine'!$C$2:$C$679,0)))</f>
        <v/>
      </c>
      <c r="D494" s="8">
        <f>IF(ISNA(MATCH(485,'Transfer Engine'!$C$2:$C$679,0)),"",INDEX('Compliance Database'!$D$2:$D$679,MATCH(485,'Transfer Engine'!$C$2:$C$679,0)))</f>
        <v/>
      </c>
      <c r="E494">
        <f>IF(ISNA(MATCH(485,'Transfer Engine'!$C$2:$C$679,0)),"",INDEX('Compliance Database'!$E$2:$E$679,MATCH(485,'Transfer Engine'!$C$2:$C$679,0)))</f>
        <v/>
      </c>
      <c r="F494">
        <f>IF(ISNA(MATCH(485,'Transfer Engine'!$C$2:$C$679,0)),"",INDEX('Compliance Database'!$F$2:$F$679,MATCH(485,'Transfer Engine'!$C$2:$C$679,0)))</f>
        <v/>
      </c>
      <c r="G494">
        <f>IF(ISNA(MATCH(485,'Transfer Engine'!$C$2:$C$679,0)),"",INDEX('Compliance Database'!$G$2:$G$679,MATCH(485,'Transfer Engine'!$C$2:$C$679,0)))</f>
        <v/>
      </c>
      <c r="H494">
        <f>IF(ISNA(MATCH(485,'Transfer Engine'!$C$2:$C$679,0)),"",INDEX('Compliance Database'!$H$2:$H$679,MATCH(485,'Transfer Engine'!$C$2:$C$679,0)))</f>
        <v/>
      </c>
      <c r="I494" s="8">
        <f>IF(ISNA(MATCH(485,'Transfer Engine'!$C$2:$C$679,0)),"",INDEX('Compliance Database'!$I$2:$I$679,MATCH(485,'Transfer Engine'!$C$2:$C$679,0)))</f>
        <v/>
      </c>
      <c r="J494" s="8">
        <f>IF(ISNA(MATCH(485,'Transfer Engine'!$C$2:$C$679,0)),"",INDEX('Compliance Database'!$J$2:$J$679,MATCH(485,'Transfer Engine'!$C$2:$C$679,0)))</f>
        <v/>
      </c>
      <c r="K494">
        <f>IF(ISNA(MATCH(485,'Transfer Engine'!$C$2:$C$679,0)),"",INDEX('Compliance Database'!$K$2:$K$679,MATCH(485,'Transfer Engine'!$C$2:$C$679,0)))</f>
        <v/>
      </c>
      <c r="L494" s="8">
        <f>IF(ISNA(MATCH(485,'Transfer Engine'!$C$2:$C$679,0)),"",INDEX('Compliance Database'!$L$2:$L$679,MATCH(485,'Transfer Engine'!$C$2:$C$679,0)))</f>
        <v/>
      </c>
      <c r="M494" s="8">
        <f>IF(ISNA(MATCH(485,'Transfer Engine'!$C$2:$C$679,0)),"",INDEX('Compliance Database'!$M$2:$M$679,MATCH(485,'Transfer Engine'!$C$2:$C$679,0)))</f>
        <v/>
      </c>
      <c r="N494" s="8">
        <f>IF(ISNA(MATCH(485,'Transfer Engine'!$C$2:$C$679,0)),"",INDEX('Compliance Database'!$N$2:$N$679,MATCH(485,'Transfer Engine'!$C$2:$C$679,0)))</f>
        <v/>
      </c>
      <c r="O494" s="8">
        <f>IF(ISNA(MATCH(485,'Transfer Engine'!$C$2:$C$679,0)),"",INDEX('Compliance Database'!$O$2:$O$679,MATCH(485,'Transfer Engine'!$C$2:$C$679,0)))</f>
        <v/>
      </c>
      <c r="P494">
        <f>IF(ISNA(MATCH(485,'Transfer Engine'!$C$2:$C$679,0)),"",HYPERLINK(INDEX('Compliance Database'!$P$2:$P$679,MATCH(485,'Transfer Engine'!$C$2:$C$679,0)),"Open PDF"))</f>
        <v/>
      </c>
    </row>
    <row r="495">
      <c r="A495">
        <f>IF(ISNA(MATCH(486,'Transfer Engine'!$C$2:$C$679,0)),"",INDEX('Compliance Database'!$A$2:$A$679,MATCH(486,'Transfer Engine'!$C$2:$C$679,0)))</f>
        <v/>
      </c>
      <c r="B495">
        <f>IF(ISNA(MATCH(486,'Transfer Engine'!$C$2:$C$679,0)),"",INDEX('Compliance Database'!$B$2:$B$679,MATCH(486,'Transfer Engine'!$C$2:$C$679,0)))</f>
        <v/>
      </c>
      <c r="C495">
        <f>IF(ISNA(MATCH(486,'Transfer Engine'!$C$2:$C$679,0)),"",INDEX('Compliance Database'!$C$2:$C$679,MATCH(486,'Transfer Engine'!$C$2:$C$679,0)))</f>
        <v/>
      </c>
      <c r="D495" s="8">
        <f>IF(ISNA(MATCH(486,'Transfer Engine'!$C$2:$C$679,0)),"",INDEX('Compliance Database'!$D$2:$D$679,MATCH(486,'Transfer Engine'!$C$2:$C$679,0)))</f>
        <v/>
      </c>
      <c r="E495">
        <f>IF(ISNA(MATCH(486,'Transfer Engine'!$C$2:$C$679,0)),"",INDEX('Compliance Database'!$E$2:$E$679,MATCH(486,'Transfer Engine'!$C$2:$C$679,0)))</f>
        <v/>
      </c>
      <c r="F495">
        <f>IF(ISNA(MATCH(486,'Transfer Engine'!$C$2:$C$679,0)),"",INDEX('Compliance Database'!$F$2:$F$679,MATCH(486,'Transfer Engine'!$C$2:$C$679,0)))</f>
        <v/>
      </c>
      <c r="G495">
        <f>IF(ISNA(MATCH(486,'Transfer Engine'!$C$2:$C$679,0)),"",INDEX('Compliance Database'!$G$2:$G$679,MATCH(486,'Transfer Engine'!$C$2:$C$679,0)))</f>
        <v/>
      </c>
      <c r="H495">
        <f>IF(ISNA(MATCH(486,'Transfer Engine'!$C$2:$C$679,0)),"",INDEX('Compliance Database'!$H$2:$H$679,MATCH(486,'Transfer Engine'!$C$2:$C$679,0)))</f>
        <v/>
      </c>
      <c r="I495" s="8">
        <f>IF(ISNA(MATCH(486,'Transfer Engine'!$C$2:$C$679,0)),"",INDEX('Compliance Database'!$I$2:$I$679,MATCH(486,'Transfer Engine'!$C$2:$C$679,0)))</f>
        <v/>
      </c>
      <c r="J495" s="8">
        <f>IF(ISNA(MATCH(486,'Transfer Engine'!$C$2:$C$679,0)),"",INDEX('Compliance Database'!$J$2:$J$679,MATCH(486,'Transfer Engine'!$C$2:$C$679,0)))</f>
        <v/>
      </c>
      <c r="K495">
        <f>IF(ISNA(MATCH(486,'Transfer Engine'!$C$2:$C$679,0)),"",INDEX('Compliance Database'!$K$2:$K$679,MATCH(486,'Transfer Engine'!$C$2:$C$679,0)))</f>
        <v/>
      </c>
      <c r="L495" s="8">
        <f>IF(ISNA(MATCH(486,'Transfer Engine'!$C$2:$C$679,0)),"",INDEX('Compliance Database'!$L$2:$L$679,MATCH(486,'Transfer Engine'!$C$2:$C$679,0)))</f>
        <v/>
      </c>
      <c r="M495" s="8">
        <f>IF(ISNA(MATCH(486,'Transfer Engine'!$C$2:$C$679,0)),"",INDEX('Compliance Database'!$M$2:$M$679,MATCH(486,'Transfer Engine'!$C$2:$C$679,0)))</f>
        <v/>
      </c>
      <c r="N495" s="8">
        <f>IF(ISNA(MATCH(486,'Transfer Engine'!$C$2:$C$679,0)),"",INDEX('Compliance Database'!$N$2:$N$679,MATCH(486,'Transfer Engine'!$C$2:$C$679,0)))</f>
        <v/>
      </c>
      <c r="O495" s="8">
        <f>IF(ISNA(MATCH(486,'Transfer Engine'!$C$2:$C$679,0)),"",INDEX('Compliance Database'!$O$2:$O$679,MATCH(486,'Transfer Engine'!$C$2:$C$679,0)))</f>
        <v/>
      </c>
      <c r="P495">
        <f>IF(ISNA(MATCH(486,'Transfer Engine'!$C$2:$C$679,0)),"",HYPERLINK(INDEX('Compliance Database'!$P$2:$P$679,MATCH(486,'Transfer Engine'!$C$2:$C$679,0)),"Open PDF"))</f>
        <v/>
      </c>
    </row>
    <row r="496">
      <c r="A496">
        <f>IF(ISNA(MATCH(487,'Transfer Engine'!$C$2:$C$679,0)),"",INDEX('Compliance Database'!$A$2:$A$679,MATCH(487,'Transfer Engine'!$C$2:$C$679,0)))</f>
        <v/>
      </c>
      <c r="B496">
        <f>IF(ISNA(MATCH(487,'Transfer Engine'!$C$2:$C$679,0)),"",INDEX('Compliance Database'!$B$2:$B$679,MATCH(487,'Transfer Engine'!$C$2:$C$679,0)))</f>
        <v/>
      </c>
      <c r="C496">
        <f>IF(ISNA(MATCH(487,'Transfer Engine'!$C$2:$C$679,0)),"",INDEX('Compliance Database'!$C$2:$C$679,MATCH(487,'Transfer Engine'!$C$2:$C$679,0)))</f>
        <v/>
      </c>
      <c r="D496" s="8">
        <f>IF(ISNA(MATCH(487,'Transfer Engine'!$C$2:$C$679,0)),"",INDEX('Compliance Database'!$D$2:$D$679,MATCH(487,'Transfer Engine'!$C$2:$C$679,0)))</f>
        <v/>
      </c>
      <c r="E496">
        <f>IF(ISNA(MATCH(487,'Transfer Engine'!$C$2:$C$679,0)),"",INDEX('Compliance Database'!$E$2:$E$679,MATCH(487,'Transfer Engine'!$C$2:$C$679,0)))</f>
        <v/>
      </c>
      <c r="F496">
        <f>IF(ISNA(MATCH(487,'Transfer Engine'!$C$2:$C$679,0)),"",INDEX('Compliance Database'!$F$2:$F$679,MATCH(487,'Transfer Engine'!$C$2:$C$679,0)))</f>
        <v/>
      </c>
      <c r="G496">
        <f>IF(ISNA(MATCH(487,'Transfer Engine'!$C$2:$C$679,0)),"",INDEX('Compliance Database'!$G$2:$G$679,MATCH(487,'Transfer Engine'!$C$2:$C$679,0)))</f>
        <v/>
      </c>
      <c r="H496">
        <f>IF(ISNA(MATCH(487,'Transfer Engine'!$C$2:$C$679,0)),"",INDEX('Compliance Database'!$H$2:$H$679,MATCH(487,'Transfer Engine'!$C$2:$C$679,0)))</f>
        <v/>
      </c>
      <c r="I496" s="8">
        <f>IF(ISNA(MATCH(487,'Transfer Engine'!$C$2:$C$679,0)),"",INDEX('Compliance Database'!$I$2:$I$679,MATCH(487,'Transfer Engine'!$C$2:$C$679,0)))</f>
        <v/>
      </c>
      <c r="J496" s="8">
        <f>IF(ISNA(MATCH(487,'Transfer Engine'!$C$2:$C$679,0)),"",INDEX('Compliance Database'!$J$2:$J$679,MATCH(487,'Transfer Engine'!$C$2:$C$679,0)))</f>
        <v/>
      </c>
      <c r="K496">
        <f>IF(ISNA(MATCH(487,'Transfer Engine'!$C$2:$C$679,0)),"",INDEX('Compliance Database'!$K$2:$K$679,MATCH(487,'Transfer Engine'!$C$2:$C$679,0)))</f>
        <v/>
      </c>
      <c r="L496" s="8">
        <f>IF(ISNA(MATCH(487,'Transfer Engine'!$C$2:$C$679,0)),"",INDEX('Compliance Database'!$L$2:$L$679,MATCH(487,'Transfer Engine'!$C$2:$C$679,0)))</f>
        <v/>
      </c>
      <c r="M496" s="8">
        <f>IF(ISNA(MATCH(487,'Transfer Engine'!$C$2:$C$679,0)),"",INDEX('Compliance Database'!$M$2:$M$679,MATCH(487,'Transfer Engine'!$C$2:$C$679,0)))</f>
        <v/>
      </c>
      <c r="N496" s="8">
        <f>IF(ISNA(MATCH(487,'Transfer Engine'!$C$2:$C$679,0)),"",INDEX('Compliance Database'!$N$2:$N$679,MATCH(487,'Transfer Engine'!$C$2:$C$679,0)))</f>
        <v/>
      </c>
      <c r="O496" s="8">
        <f>IF(ISNA(MATCH(487,'Transfer Engine'!$C$2:$C$679,0)),"",INDEX('Compliance Database'!$O$2:$O$679,MATCH(487,'Transfer Engine'!$C$2:$C$679,0)))</f>
        <v/>
      </c>
      <c r="P496">
        <f>IF(ISNA(MATCH(487,'Transfer Engine'!$C$2:$C$679,0)),"",HYPERLINK(INDEX('Compliance Database'!$P$2:$P$679,MATCH(487,'Transfer Engine'!$C$2:$C$679,0)),"Open PDF"))</f>
        <v/>
      </c>
    </row>
    <row r="497">
      <c r="A497">
        <f>IF(ISNA(MATCH(488,'Transfer Engine'!$C$2:$C$679,0)),"",INDEX('Compliance Database'!$A$2:$A$679,MATCH(488,'Transfer Engine'!$C$2:$C$679,0)))</f>
        <v/>
      </c>
      <c r="B497">
        <f>IF(ISNA(MATCH(488,'Transfer Engine'!$C$2:$C$679,0)),"",INDEX('Compliance Database'!$B$2:$B$679,MATCH(488,'Transfer Engine'!$C$2:$C$679,0)))</f>
        <v/>
      </c>
      <c r="C497">
        <f>IF(ISNA(MATCH(488,'Transfer Engine'!$C$2:$C$679,0)),"",INDEX('Compliance Database'!$C$2:$C$679,MATCH(488,'Transfer Engine'!$C$2:$C$679,0)))</f>
        <v/>
      </c>
      <c r="D497" s="8">
        <f>IF(ISNA(MATCH(488,'Transfer Engine'!$C$2:$C$679,0)),"",INDEX('Compliance Database'!$D$2:$D$679,MATCH(488,'Transfer Engine'!$C$2:$C$679,0)))</f>
        <v/>
      </c>
      <c r="E497">
        <f>IF(ISNA(MATCH(488,'Transfer Engine'!$C$2:$C$679,0)),"",INDEX('Compliance Database'!$E$2:$E$679,MATCH(488,'Transfer Engine'!$C$2:$C$679,0)))</f>
        <v/>
      </c>
      <c r="F497">
        <f>IF(ISNA(MATCH(488,'Transfer Engine'!$C$2:$C$679,0)),"",INDEX('Compliance Database'!$F$2:$F$679,MATCH(488,'Transfer Engine'!$C$2:$C$679,0)))</f>
        <v/>
      </c>
      <c r="G497">
        <f>IF(ISNA(MATCH(488,'Transfer Engine'!$C$2:$C$679,0)),"",INDEX('Compliance Database'!$G$2:$G$679,MATCH(488,'Transfer Engine'!$C$2:$C$679,0)))</f>
        <v/>
      </c>
      <c r="H497">
        <f>IF(ISNA(MATCH(488,'Transfer Engine'!$C$2:$C$679,0)),"",INDEX('Compliance Database'!$H$2:$H$679,MATCH(488,'Transfer Engine'!$C$2:$C$679,0)))</f>
        <v/>
      </c>
      <c r="I497" s="8">
        <f>IF(ISNA(MATCH(488,'Transfer Engine'!$C$2:$C$679,0)),"",INDEX('Compliance Database'!$I$2:$I$679,MATCH(488,'Transfer Engine'!$C$2:$C$679,0)))</f>
        <v/>
      </c>
      <c r="J497" s="8">
        <f>IF(ISNA(MATCH(488,'Transfer Engine'!$C$2:$C$679,0)),"",INDEX('Compliance Database'!$J$2:$J$679,MATCH(488,'Transfer Engine'!$C$2:$C$679,0)))</f>
        <v/>
      </c>
      <c r="K497">
        <f>IF(ISNA(MATCH(488,'Transfer Engine'!$C$2:$C$679,0)),"",INDEX('Compliance Database'!$K$2:$K$679,MATCH(488,'Transfer Engine'!$C$2:$C$679,0)))</f>
        <v/>
      </c>
      <c r="L497" s="8">
        <f>IF(ISNA(MATCH(488,'Transfer Engine'!$C$2:$C$679,0)),"",INDEX('Compliance Database'!$L$2:$L$679,MATCH(488,'Transfer Engine'!$C$2:$C$679,0)))</f>
        <v/>
      </c>
      <c r="M497" s="8">
        <f>IF(ISNA(MATCH(488,'Transfer Engine'!$C$2:$C$679,0)),"",INDEX('Compliance Database'!$M$2:$M$679,MATCH(488,'Transfer Engine'!$C$2:$C$679,0)))</f>
        <v/>
      </c>
      <c r="N497" s="8">
        <f>IF(ISNA(MATCH(488,'Transfer Engine'!$C$2:$C$679,0)),"",INDEX('Compliance Database'!$N$2:$N$679,MATCH(488,'Transfer Engine'!$C$2:$C$679,0)))</f>
        <v/>
      </c>
      <c r="O497" s="8">
        <f>IF(ISNA(MATCH(488,'Transfer Engine'!$C$2:$C$679,0)),"",INDEX('Compliance Database'!$O$2:$O$679,MATCH(488,'Transfer Engine'!$C$2:$C$679,0)))</f>
        <v/>
      </c>
      <c r="P497">
        <f>IF(ISNA(MATCH(488,'Transfer Engine'!$C$2:$C$679,0)),"",HYPERLINK(INDEX('Compliance Database'!$P$2:$P$679,MATCH(488,'Transfer Engine'!$C$2:$C$679,0)),"Open PDF"))</f>
        <v/>
      </c>
    </row>
    <row r="498">
      <c r="A498">
        <f>IF(ISNA(MATCH(489,'Transfer Engine'!$C$2:$C$679,0)),"",INDEX('Compliance Database'!$A$2:$A$679,MATCH(489,'Transfer Engine'!$C$2:$C$679,0)))</f>
        <v/>
      </c>
      <c r="B498">
        <f>IF(ISNA(MATCH(489,'Transfer Engine'!$C$2:$C$679,0)),"",INDEX('Compliance Database'!$B$2:$B$679,MATCH(489,'Transfer Engine'!$C$2:$C$679,0)))</f>
        <v/>
      </c>
      <c r="C498">
        <f>IF(ISNA(MATCH(489,'Transfer Engine'!$C$2:$C$679,0)),"",INDEX('Compliance Database'!$C$2:$C$679,MATCH(489,'Transfer Engine'!$C$2:$C$679,0)))</f>
        <v/>
      </c>
      <c r="D498" s="8">
        <f>IF(ISNA(MATCH(489,'Transfer Engine'!$C$2:$C$679,0)),"",INDEX('Compliance Database'!$D$2:$D$679,MATCH(489,'Transfer Engine'!$C$2:$C$679,0)))</f>
        <v/>
      </c>
      <c r="E498">
        <f>IF(ISNA(MATCH(489,'Transfer Engine'!$C$2:$C$679,0)),"",INDEX('Compliance Database'!$E$2:$E$679,MATCH(489,'Transfer Engine'!$C$2:$C$679,0)))</f>
        <v/>
      </c>
      <c r="F498">
        <f>IF(ISNA(MATCH(489,'Transfer Engine'!$C$2:$C$679,0)),"",INDEX('Compliance Database'!$F$2:$F$679,MATCH(489,'Transfer Engine'!$C$2:$C$679,0)))</f>
        <v/>
      </c>
      <c r="G498">
        <f>IF(ISNA(MATCH(489,'Transfer Engine'!$C$2:$C$679,0)),"",INDEX('Compliance Database'!$G$2:$G$679,MATCH(489,'Transfer Engine'!$C$2:$C$679,0)))</f>
        <v/>
      </c>
      <c r="H498">
        <f>IF(ISNA(MATCH(489,'Transfer Engine'!$C$2:$C$679,0)),"",INDEX('Compliance Database'!$H$2:$H$679,MATCH(489,'Transfer Engine'!$C$2:$C$679,0)))</f>
        <v/>
      </c>
      <c r="I498" s="8">
        <f>IF(ISNA(MATCH(489,'Transfer Engine'!$C$2:$C$679,0)),"",INDEX('Compliance Database'!$I$2:$I$679,MATCH(489,'Transfer Engine'!$C$2:$C$679,0)))</f>
        <v/>
      </c>
      <c r="J498" s="8">
        <f>IF(ISNA(MATCH(489,'Transfer Engine'!$C$2:$C$679,0)),"",INDEX('Compliance Database'!$J$2:$J$679,MATCH(489,'Transfer Engine'!$C$2:$C$679,0)))</f>
        <v/>
      </c>
      <c r="K498">
        <f>IF(ISNA(MATCH(489,'Transfer Engine'!$C$2:$C$679,0)),"",INDEX('Compliance Database'!$K$2:$K$679,MATCH(489,'Transfer Engine'!$C$2:$C$679,0)))</f>
        <v/>
      </c>
      <c r="L498" s="8">
        <f>IF(ISNA(MATCH(489,'Transfer Engine'!$C$2:$C$679,0)),"",INDEX('Compliance Database'!$L$2:$L$679,MATCH(489,'Transfer Engine'!$C$2:$C$679,0)))</f>
        <v/>
      </c>
      <c r="M498" s="8">
        <f>IF(ISNA(MATCH(489,'Transfer Engine'!$C$2:$C$679,0)),"",INDEX('Compliance Database'!$M$2:$M$679,MATCH(489,'Transfer Engine'!$C$2:$C$679,0)))</f>
        <v/>
      </c>
      <c r="N498" s="8">
        <f>IF(ISNA(MATCH(489,'Transfer Engine'!$C$2:$C$679,0)),"",INDEX('Compliance Database'!$N$2:$N$679,MATCH(489,'Transfer Engine'!$C$2:$C$679,0)))</f>
        <v/>
      </c>
      <c r="O498" s="8">
        <f>IF(ISNA(MATCH(489,'Transfer Engine'!$C$2:$C$679,0)),"",INDEX('Compliance Database'!$O$2:$O$679,MATCH(489,'Transfer Engine'!$C$2:$C$679,0)))</f>
        <v/>
      </c>
      <c r="P498">
        <f>IF(ISNA(MATCH(489,'Transfer Engine'!$C$2:$C$679,0)),"",HYPERLINK(INDEX('Compliance Database'!$P$2:$P$679,MATCH(489,'Transfer Engine'!$C$2:$C$679,0)),"Open PDF"))</f>
        <v/>
      </c>
    </row>
    <row r="499">
      <c r="A499">
        <f>IF(ISNA(MATCH(490,'Transfer Engine'!$C$2:$C$679,0)),"",INDEX('Compliance Database'!$A$2:$A$679,MATCH(490,'Transfer Engine'!$C$2:$C$679,0)))</f>
        <v/>
      </c>
      <c r="B499">
        <f>IF(ISNA(MATCH(490,'Transfer Engine'!$C$2:$C$679,0)),"",INDEX('Compliance Database'!$B$2:$B$679,MATCH(490,'Transfer Engine'!$C$2:$C$679,0)))</f>
        <v/>
      </c>
      <c r="C499">
        <f>IF(ISNA(MATCH(490,'Transfer Engine'!$C$2:$C$679,0)),"",INDEX('Compliance Database'!$C$2:$C$679,MATCH(490,'Transfer Engine'!$C$2:$C$679,0)))</f>
        <v/>
      </c>
      <c r="D499" s="8">
        <f>IF(ISNA(MATCH(490,'Transfer Engine'!$C$2:$C$679,0)),"",INDEX('Compliance Database'!$D$2:$D$679,MATCH(490,'Transfer Engine'!$C$2:$C$679,0)))</f>
        <v/>
      </c>
      <c r="E499">
        <f>IF(ISNA(MATCH(490,'Transfer Engine'!$C$2:$C$679,0)),"",INDEX('Compliance Database'!$E$2:$E$679,MATCH(490,'Transfer Engine'!$C$2:$C$679,0)))</f>
        <v/>
      </c>
      <c r="F499">
        <f>IF(ISNA(MATCH(490,'Transfer Engine'!$C$2:$C$679,0)),"",INDEX('Compliance Database'!$F$2:$F$679,MATCH(490,'Transfer Engine'!$C$2:$C$679,0)))</f>
        <v/>
      </c>
      <c r="G499">
        <f>IF(ISNA(MATCH(490,'Transfer Engine'!$C$2:$C$679,0)),"",INDEX('Compliance Database'!$G$2:$G$679,MATCH(490,'Transfer Engine'!$C$2:$C$679,0)))</f>
        <v/>
      </c>
      <c r="H499">
        <f>IF(ISNA(MATCH(490,'Transfer Engine'!$C$2:$C$679,0)),"",INDEX('Compliance Database'!$H$2:$H$679,MATCH(490,'Transfer Engine'!$C$2:$C$679,0)))</f>
        <v/>
      </c>
      <c r="I499" s="8">
        <f>IF(ISNA(MATCH(490,'Transfer Engine'!$C$2:$C$679,0)),"",INDEX('Compliance Database'!$I$2:$I$679,MATCH(490,'Transfer Engine'!$C$2:$C$679,0)))</f>
        <v/>
      </c>
      <c r="J499" s="8">
        <f>IF(ISNA(MATCH(490,'Transfer Engine'!$C$2:$C$679,0)),"",INDEX('Compliance Database'!$J$2:$J$679,MATCH(490,'Transfer Engine'!$C$2:$C$679,0)))</f>
        <v/>
      </c>
      <c r="K499">
        <f>IF(ISNA(MATCH(490,'Transfer Engine'!$C$2:$C$679,0)),"",INDEX('Compliance Database'!$K$2:$K$679,MATCH(490,'Transfer Engine'!$C$2:$C$679,0)))</f>
        <v/>
      </c>
      <c r="L499" s="8">
        <f>IF(ISNA(MATCH(490,'Transfer Engine'!$C$2:$C$679,0)),"",INDEX('Compliance Database'!$L$2:$L$679,MATCH(490,'Transfer Engine'!$C$2:$C$679,0)))</f>
        <v/>
      </c>
      <c r="M499" s="8">
        <f>IF(ISNA(MATCH(490,'Transfer Engine'!$C$2:$C$679,0)),"",INDEX('Compliance Database'!$M$2:$M$679,MATCH(490,'Transfer Engine'!$C$2:$C$679,0)))</f>
        <v/>
      </c>
      <c r="N499" s="8">
        <f>IF(ISNA(MATCH(490,'Transfer Engine'!$C$2:$C$679,0)),"",INDEX('Compliance Database'!$N$2:$N$679,MATCH(490,'Transfer Engine'!$C$2:$C$679,0)))</f>
        <v/>
      </c>
      <c r="O499" s="8">
        <f>IF(ISNA(MATCH(490,'Transfer Engine'!$C$2:$C$679,0)),"",INDEX('Compliance Database'!$O$2:$O$679,MATCH(490,'Transfer Engine'!$C$2:$C$679,0)))</f>
        <v/>
      </c>
      <c r="P499">
        <f>IF(ISNA(MATCH(490,'Transfer Engine'!$C$2:$C$679,0)),"",HYPERLINK(INDEX('Compliance Database'!$P$2:$P$679,MATCH(490,'Transfer Engine'!$C$2:$C$679,0)),"Open PDF"))</f>
        <v/>
      </c>
    </row>
    <row r="500">
      <c r="A500">
        <f>IF(ISNA(MATCH(491,'Transfer Engine'!$C$2:$C$679,0)),"",INDEX('Compliance Database'!$A$2:$A$679,MATCH(491,'Transfer Engine'!$C$2:$C$679,0)))</f>
        <v/>
      </c>
      <c r="B500">
        <f>IF(ISNA(MATCH(491,'Transfer Engine'!$C$2:$C$679,0)),"",INDEX('Compliance Database'!$B$2:$B$679,MATCH(491,'Transfer Engine'!$C$2:$C$679,0)))</f>
        <v/>
      </c>
      <c r="C500">
        <f>IF(ISNA(MATCH(491,'Transfer Engine'!$C$2:$C$679,0)),"",INDEX('Compliance Database'!$C$2:$C$679,MATCH(491,'Transfer Engine'!$C$2:$C$679,0)))</f>
        <v/>
      </c>
      <c r="D500" s="8">
        <f>IF(ISNA(MATCH(491,'Transfer Engine'!$C$2:$C$679,0)),"",INDEX('Compliance Database'!$D$2:$D$679,MATCH(491,'Transfer Engine'!$C$2:$C$679,0)))</f>
        <v/>
      </c>
      <c r="E500">
        <f>IF(ISNA(MATCH(491,'Transfer Engine'!$C$2:$C$679,0)),"",INDEX('Compliance Database'!$E$2:$E$679,MATCH(491,'Transfer Engine'!$C$2:$C$679,0)))</f>
        <v/>
      </c>
      <c r="F500">
        <f>IF(ISNA(MATCH(491,'Transfer Engine'!$C$2:$C$679,0)),"",INDEX('Compliance Database'!$F$2:$F$679,MATCH(491,'Transfer Engine'!$C$2:$C$679,0)))</f>
        <v/>
      </c>
      <c r="G500">
        <f>IF(ISNA(MATCH(491,'Transfer Engine'!$C$2:$C$679,0)),"",INDEX('Compliance Database'!$G$2:$G$679,MATCH(491,'Transfer Engine'!$C$2:$C$679,0)))</f>
        <v/>
      </c>
      <c r="H500">
        <f>IF(ISNA(MATCH(491,'Transfer Engine'!$C$2:$C$679,0)),"",INDEX('Compliance Database'!$H$2:$H$679,MATCH(491,'Transfer Engine'!$C$2:$C$679,0)))</f>
        <v/>
      </c>
      <c r="I500" s="8">
        <f>IF(ISNA(MATCH(491,'Transfer Engine'!$C$2:$C$679,0)),"",INDEX('Compliance Database'!$I$2:$I$679,MATCH(491,'Transfer Engine'!$C$2:$C$679,0)))</f>
        <v/>
      </c>
      <c r="J500" s="8">
        <f>IF(ISNA(MATCH(491,'Transfer Engine'!$C$2:$C$679,0)),"",INDEX('Compliance Database'!$J$2:$J$679,MATCH(491,'Transfer Engine'!$C$2:$C$679,0)))</f>
        <v/>
      </c>
      <c r="K500">
        <f>IF(ISNA(MATCH(491,'Transfer Engine'!$C$2:$C$679,0)),"",INDEX('Compliance Database'!$K$2:$K$679,MATCH(491,'Transfer Engine'!$C$2:$C$679,0)))</f>
        <v/>
      </c>
      <c r="L500" s="8">
        <f>IF(ISNA(MATCH(491,'Transfer Engine'!$C$2:$C$679,0)),"",INDEX('Compliance Database'!$L$2:$L$679,MATCH(491,'Transfer Engine'!$C$2:$C$679,0)))</f>
        <v/>
      </c>
      <c r="M500" s="8">
        <f>IF(ISNA(MATCH(491,'Transfer Engine'!$C$2:$C$679,0)),"",INDEX('Compliance Database'!$M$2:$M$679,MATCH(491,'Transfer Engine'!$C$2:$C$679,0)))</f>
        <v/>
      </c>
      <c r="N500" s="8">
        <f>IF(ISNA(MATCH(491,'Transfer Engine'!$C$2:$C$679,0)),"",INDEX('Compliance Database'!$N$2:$N$679,MATCH(491,'Transfer Engine'!$C$2:$C$679,0)))</f>
        <v/>
      </c>
      <c r="O500" s="8">
        <f>IF(ISNA(MATCH(491,'Transfer Engine'!$C$2:$C$679,0)),"",INDEX('Compliance Database'!$O$2:$O$679,MATCH(491,'Transfer Engine'!$C$2:$C$679,0)))</f>
        <v/>
      </c>
      <c r="P500">
        <f>IF(ISNA(MATCH(491,'Transfer Engine'!$C$2:$C$679,0)),"",HYPERLINK(INDEX('Compliance Database'!$P$2:$P$679,MATCH(491,'Transfer Engine'!$C$2:$C$679,0)),"Open PDF"))</f>
        <v/>
      </c>
    </row>
    <row r="501">
      <c r="A501">
        <f>IF(ISNA(MATCH(492,'Transfer Engine'!$C$2:$C$679,0)),"",INDEX('Compliance Database'!$A$2:$A$679,MATCH(492,'Transfer Engine'!$C$2:$C$679,0)))</f>
        <v/>
      </c>
      <c r="B501">
        <f>IF(ISNA(MATCH(492,'Transfer Engine'!$C$2:$C$679,0)),"",INDEX('Compliance Database'!$B$2:$B$679,MATCH(492,'Transfer Engine'!$C$2:$C$679,0)))</f>
        <v/>
      </c>
      <c r="C501">
        <f>IF(ISNA(MATCH(492,'Transfer Engine'!$C$2:$C$679,0)),"",INDEX('Compliance Database'!$C$2:$C$679,MATCH(492,'Transfer Engine'!$C$2:$C$679,0)))</f>
        <v/>
      </c>
      <c r="D501" s="8">
        <f>IF(ISNA(MATCH(492,'Transfer Engine'!$C$2:$C$679,0)),"",INDEX('Compliance Database'!$D$2:$D$679,MATCH(492,'Transfer Engine'!$C$2:$C$679,0)))</f>
        <v/>
      </c>
      <c r="E501">
        <f>IF(ISNA(MATCH(492,'Transfer Engine'!$C$2:$C$679,0)),"",INDEX('Compliance Database'!$E$2:$E$679,MATCH(492,'Transfer Engine'!$C$2:$C$679,0)))</f>
        <v/>
      </c>
      <c r="F501">
        <f>IF(ISNA(MATCH(492,'Transfer Engine'!$C$2:$C$679,0)),"",INDEX('Compliance Database'!$F$2:$F$679,MATCH(492,'Transfer Engine'!$C$2:$C$679,0)))</f>
        <v/>
      </c>
      <c r="G501">
        <f>IF(ISNA(MATCH(492,'Transfer Engine'!$C$2:$C$679,0)),"",INDEX('Compliance Database'!$G$2:$G$679,MATCH(492,'Transfer Engine'!$C$2:$C$679,0)))</f>
        <v/>
      </c>
      <c r="H501">
        <f>IF(ISNA(MATCH(492,'Transfer Engine'!$C$2:$C$679,0)),"",INDEX('Compliance Database'!$H$2:$H$679,MATCH(492,'Transfer Engine'!$C$2:$C$679,0)))</f>
        <v/>
      </c>
      <c r="I501" s="8">
        <f>IF(ISNA(MATCH(492,'Transfer Engine'!$C$2:$C$679,0)),"",INDEX('Compliance Database'!$I$2:$I$679,MATCH(492,'Transfer Engine'!$C$2:$C$679,0)))</f>
        <v/>
      </c>
      <c r="J501" s="8">
        <f>IF(ISNA(MATCH(492,'Transfer Engine'!$C$2:$C$679,0)),"",INDEX('Compliance Database'!$J$2:$J$679,MATCH(492,'Transfer Engine'!$C$2:$C$679,0)))</f>
        <v/>
      </c>
      <c r="K501">
        <f>IF(ISNA(MATCH(492,'Transfer Engine'!$C$2:$C$679,0)),"",INDEX('Compliance Database'!$K$2:$K$679,MATCH(492,'Transfer Engine'!$C$2:$C$679,0)))</f>
        <v/>
      </c>
      <c r="L501" s="8">
        <f>IF(ISNA(MATCH(492,'Transfer Engine'!$C$2:$C$679,0)),"",INDEX('Compliance Database'!$L$2:$L$679,MATCH(492,'Transfer Engine'!$C$2:$C$679,0)))</f>
        <v/>
      </c>
      <c r="M501" s="8">
        <f>IF(ISNA(MATCH(492,'Transfer Engine'!$C$2:$C$679,0)),"",INDEX('Compliance Database'!$M$2:$M$679,MATCH(492,'Transfer Engine'!$C$2:$C$679,0)))</f>
        <v/>
      </c>
      <c r="N501" s="8">
        <f>IF(ISNA(MATCH(492,'Transfer Engine'!$C$2:$C$679,0)),"",INDEX('Compliance Database'!$N$2:$N$679,MATCH(492,'Transfer Engine'!$C$2:$C$679,0)))</f>
        <v/>
      </c>
      <c r="O501" s="8">
        <f>IF(ISNA(MATCH(492,'Transfer Engine'!$C$2:$C$679,0)),"",INDEX('Compliance Database'!$O$2:$O$679,MATCH(492,'Transfer Engine'!$C$2:$C$679,0)))</f>
        <v/>
      </c>
      <c r="P501">
        <f>IF(ISNA(MATCH(492,'Transfer Engine'!$C$2:$C$679,0)),"",HYPERLINK(INDEX('Compliance Database'!$P$2:$P$679,MATCH(492,'Transfer Engine'!$C$2:$C$679,0)),"Open PDF"))</f>
        <v/>
      </c>
    </row>
    <row r="502">
      <c r="A502">
        <f>IF(ISNA(MATCH(493,'Transfer Engine'!$C$2:$C$679,0)),"",INDEX('Compliance Database'!$A$2:$A$679,MATCH(493,'Transfer Engine'!$C$2:$C$679,0)))</f>
        <v/>
      </c>
      <c r="B502">
        <f>IF(ISNA(MATCH(493,'Transfer Engine'!$C$2:$C$679,0)),"",INDEX('Compliance Database'!$B$2:$B$679,MATCH(493,'Transfer Engine'!$C$2:$C$679,0)))</f>
        <v/>
      </c>
      <c r="C502">
        <f>IF(ISNA(MATCH(493,'Transfer Engine'!$C$2:$C$679,0)),"",INDEX('Compliance Database'!$C$2:$C$679,MATCH(493,'Transfer Engine'!$C$2:$C$679,0)))</f>
        <v/>
      </c>
      <c r="D502" s="8">
        <f>IF(ISNA(MATCH(493,'Transfer Engine'!$C$2:$C$679,0)),"",INDEX('Compliance Database'!$D$2:$D$679,MATCH(493,'Transfer Engine'!$C$2:$C$679,0)))</f>
        <v/>
      </c>
      <c r="E502">
        <f>IF(ISNA(MATCH(493,'Transfer Engine'!$C$2:$C$679,0)),"",INDEX('Compliance Database'!$E$2:$E$679,MATCH(493,'Transfer Engine'!$C$2:$C$679,0)))</f>
        <v/>
      </c>
      <c r="F502">
        <f>IF(ISNA(MATCH(493,'Transfer Engine'!$C$2:$C$679,0)),"",INDEX('Compliance Database'!$F$2:$F$679,MATCH(493,'Transfer Engine'!$C$2:$C$679,0)))</f>
        <v/>
      </c>
      <c r="G502">
        <f>IF(ISNA(MATCH(493,'Transfer Engine'!$C$2:$C$679,0)),"",INDEX('Compliance Database'!$G$2:$G$679,MATCH(493,'Transfer Engine'!$C$2:$C$679,0)))</f>
        <v/>
      </c>
      <c r="H502">
        <f>IF(ISNA(MATCH(493,'Transfer Engine'!$C$2:$C$679,0)),"",INDEX('Compliance Database'!$H$2:$H$679,MATCH(493,'Transfer Engine'!$C$2:$C$679,0)))</f>
        <v/>
      </c>
      <c r="I502" s="8">
        <f>IF(ISNA(MATCH(493,'Transfer Engine'!$C$2:$C$679,0)),"",INDEX('Compliance Database'!$I$2:$I$679,MATCH(493,'Transfer Engine'!$C$2:$C$679,0)))</f>
        <v/>
      </c>
      <c r="J502" s="8">
        <f>IF(ISNA(MATCH(493,'Transfer Engine'!$C$2:$C$679,0)),"",INDEX('Compliance Database'!$J$2:$J$679,MATCH(493,'Transfer Engine'!$C$2:$C$679,0)))</f>
        <v/>
      </c>
      <c r="K502">
        <f>IF(ISNA(MATCH(493,'Transfer Engine'!$C$2:$C$679,0)),"",INDEX('Compliance Database'!$K$2:$K$679,MATCH(493,'Transfer Engine'!$C$2:$C$679,0)))</f>
        <v/>
      </c>
      <c r="L502" s="8">
        <f>IF(ISNA(MATCH(493,'Transfer Engine'!$C$2:$C$679,0)),"",INDEX('Compliance Database'!$L$2:$L$679,MATCH(493,'Transfer Engine'!$C$2:$C$679,0)))</f>
        <v/>
      </c>
      <c r="M502" s="8">
        <f>IF(ISNA(MATCH(493,'Transfer Engine'!$C$2:$C$679,0)),"",INDEX('Compliance Database'!$M$2:$M$679,MATCH(493,'Transfer Engine'!$C$2:$C$679,0)))</f>
        <v/>
      </c>
      <c r="N502" s="8">
        <f>IF(ISNA(MATCH(493,'Transfer Engine'!$C$2:$C$679,0)),"",INDEX('Compliance Database'!$N$2:$N$679,MATCH(493,'Transfer Engine'!$C$2:$C$679,0)))</f>
        <v/>
      </c>
      <c r="O502" s="8">
        <f>IF(ISNA(MATCH(493,'Transfer Engine'!$C$2:$C$679,0)),"",INDEX('Compliance Database'!$O$2:$O$679,MATCH(493,'Transfer Engine'!$C$2:$C$679,0)))</f>
        <v/>
      </c>
      <c r="P502">
        <f>IF(ISNA(MATCH(493,'Transfer Engine'!$C$2:$C$679,0)),"",HYPERLINK(INDEX('Compliance Database'!$P$2:$P$679,MATCH(493,'Transfer Engine'!$C$2:$C$679,0)),"Open PDF"))</f>
        <v/>
      </c>
    </row>
    <row r="503">
      <c r="A503">
        <f>IF(ISNA(MATCH(494,'Transfer Engine'!$C$2:$C$679,0)),"",INDEX('Compliance Database'!$A$2:$A$679,MATCH(494,'Transfer Engine'!$C$2:$C$679,0)))</f>
        <v/>
      </c>
      <c r="B503">
        <f>IF(ISNA(MATCH(494,'Transfer Engine'!$C$2:$C$679,0)),"",INDEX('Compliance Database'!$B$2:$B$679,MATCH(494,'Transfer Engine'!$C$2:$C$679,0)))</f>
        <v/>
      </c>
      <c r="C503">
        <f>IF(ISNA(MATCH(494,'Transfer Engine'!$C$2:$C$679,0)),"",INDEX('Compliance Database'!$C$2:$C$679,MATCH(494,'Transfer Engine'!$C$2:$C$679,0)))</f>
        <v/>
      </c>
      <c r="D503" s="8">
        <f>IF(ISNA(MATCH(494,'Transfer Engine'!$C$2:$C$679,0)),"",INDEX('Compliance Database'!$D$2:$D$679,MATCH(494,'Transfer Engine'!$C$2:$C$679,0)))</f>
        <v/>
      </c>
      <c r="E503">
        <f>IF(ISNA(MATCH(494,'Transfer Engine'!$C$2:$C$679,0)),"",INDEX('Compliance Database'!$E$2:$E$679,MATCH(494,'Transfer Engine'!$C$2:$C$679,0)))</f>
        <v/>
      </c>
      <c r="F503">
        <f>IF(ISNA(MATCH(494,'Transfer Engine'!$C$2:$C$679,0)),"",INDEX('Compliance Database'!$F$2:$F$679,MATCH(494,'Transfer Engine'!$C$2:$C$679,0)))</f>
        <v/>
      </c>
      <c r="G503">
        <f>IF(ISNA(MATCH(494,'Transfer Engine'!$C$2:$C$679,0)),"",INDEX('Compliance Database'!$G$2:$G$679,MATCH(494,'Transfer Engine'!$C$2:$C$679,0)))</f>
        <v/>
      </c>
      <c r="H503">
        <f>IF(ISNA(MATCH(494,'Transfer Engine'!$C$2:$C$679,0)),"",INDEX('Compliance Database'!$H$2:$H$679,MATCH(494,'Transfer Engine'!$C$2:$C$679,0)))</f>
        <v/>
      </c>
      <c r="I503" s="8">
        <f>IF(ISNA(MATCH(494,'Transfer Engine'!$C$2:$C$679,0)),"",INDEX('Compliance Database'!$I$2:$I$679,MATCH(494,'Transfer Engine'!$C$2:$C$679,0)))</f>
        <v/>
      </c>
      <c r="J503" s="8">
        <f>IF(ISNA(MATCH(494,'Transfer Engine'!$C$2:$C$679,0)),"",INDEX('Compliance Database'!$J$2:$J$679,MATCH(494,'Transfer Engine'!$C$2:$C$679,0)))</f>
        <v/>
      </c>
      <c r="K503">
        <f>IF(ISNA(MATCH(494,'Transfer Engine'!$C$2:$C$679,0)),"",INDEX('Compliance Database'!$K$2:$K$679,MATCH(494,'Transfer Engine'!$C$2:$C$679,0)))</f>
        <v/>
      </c>
      <c r="L503" s="8">
        <f>IF(ISNA(MATCH(494,'Transfer Engine'!$C$2:$C$679,0)),"",INDEX('Compliance Database'!$L$2:$L$679,MATCH(494,'Transfer Engine'!$C$2:$C$679,0)))</f>
        <v/>
      </c>
      <c r="M503" s="8">
        <f>IF(ISNA(MATCH(494,'Transfer Engine'!$C$2:$C$679,0)),"",INDEX('Compliance Database'!$M$2:$M$679,MATCH(494,'Transfer Engine'!$C$2:$C$679,0)))</f>
        <v/>
      </c>
      <c r="N503" s="8">
        <f>IF(ISNA(MATCH(494,'Transfer Engine'!$C$2:$C$679,0)),"",INDEX('Compliance Database'!$N$2:$N$679,MATCH(494,'Transfer Engine'!$C$2:$C$679,0)))</f>
        <v/>
      </c>
      <c r="O503" s="8">
        <f>IF(ISNA(MATCH(494,'Transfer Engine'!$C$2:$C$679,0)),"",INDEX('Compliance Database'!$O$2:$O$679,MATCH(494,'Transfer Engine'!$C$2:$C$679,0)))</f>
        <v/>
      </c>
      <c r="P503">
        <f>IF(ISNA(MATCH(494,'Transfer Engine'!$C$2:$C$679,0)),"",HYPERLINK(INDEX('Compliance Database'!$P$2:$P$679,MATCH(494,'Transfer Engine'!$C$2:$C$679,0)),"Open PDF"))</f>
        <v/>
      </c>
    </row>
    <row r="504">
      <c r="A504">
        <f>IF(ISNA(MATCH(495,'Transfer Engine'!$C$2:$C$679,0)),"",INDEX('Compliance Database'!$A$2:$A$679,MATCH(495,'Transfer Engine'!$C$2:$C$679,0)))</f>
        <v/>
      </c>
      <c r="B504">
        <f>IF(ISNA(MATCH(495,'Transfer Engine'!$C$2:$C$679,0)),"",INDEX('Compliance Database'!$B$2:$B$679,MATCH(495,'Transfer Engine'!$C$2:$C$679,0)))</f>
        <v/>
      </c>
      <c r="C504">
        <f>IF(ISNA(MATCH(495,'Transfer Engine'!$C$2:$C$679,0)),"",INDEX('Compliance Database'!$C$2:$C$679,MATCH(495,'Transfer Engine'!$C$2:$C$679,0)))</f>
        <v/>
      </c>
      <c r="D504" s="8">
        <f>IF(ISNA(MATCH(495,'Transfer Engine'!$C$2:$C$679,0)),"",INDEX('Compliance Database'!$D$2:$D$679,MATCH(495,'Transfer Engine'!$C$2:$C$679,0)))</f>
        <v/>
      </c>
      <c r="E504">
        <f>IF(ISNA(MATCH(495,'Transfer Engine'!$C$2:$C$679,0)),"",INDEX('Compliance Database'!$E$2:$E$679,MATCH(495,'Transfer Engine'!$C$2:$C$679,0)))</f>
        <v/>
      </c>
      <c r="F504">
        <f>IF(ISNA(MATCH(495,'Transfer Engine'!$C$2:$C$679,0)),"",INDEX('Compliance Database'!$F$2:$F$679,MATCH(495,'Transfer Engine'!$C$2:$C$679,0)))</f>
        <v/>
      </c>
      <c r="G504">
        <f>IF(ISNA(MATCH(495,'Transfer Engine'!$C$2:$C$679,0)),"",INDEX('Compliance Database'!$G$2:$G$679,MATCH(495,'Transfer Engine'!$C$2:$C$679,0)))</f>
        <v/>
      </c>
      <c r="H504">
        <f>IF(ISNA(MATCH(495,'Transfer Engine'!$C$2:$C$679,0)),"",INDEX('Compliance Database'!$H$2:$H$679,MATCH(495,'Transfer Engine'!$C$2:$C$679,0)))</f>
        <v/>
      </c>
      <c r="I504" s="8">
        <f>IF(ISNA(MATCH(495,'Transfer Engine'!$C$2:$C$679,0)),"",INDEX('Compliance Database'!$I$2:$I$679,MATCH(495,'Transfer Engine'!$C$2:$C$679,0)))</f>
        <v/>
      </c>
      <c r="J504" s="8">
        <f>IF(ISNA(MATCH(495,'Transfer Engine'!$C$2:$C$679,0)),"",INDEX('Compliance Database'!$J$2:$J$679,MATCH(495,'Transfer Engine'!$C$2:$C$679,0)))</f>
        <v/>
      </c>
      <c r="K504">
        <f>IF(ISNA(MATCH(495,'Transfer Engine'!$C$2:$C$679,0)),"",INDEX('Compliance Database'!$K$2:$K$679,MATCH(495,'Transfer Engine'!$C$2:$C$679,0)))</f>
        <v/>
      </c>
      <c r="L504" s="8">
        <f>IF(ISNA(MATCH(495,'Transfer Engine'!$C$2:$C$679,0)),"",INDEX('Compliance Database'!$L$2:$L$679,MATCH(495,'Transfer Engine'!$C$2:$C$679,0)))</f>
        <v/>
      </c>
      <c r="M504" s="8">
        <f>IF(ISNA(MATCH(495,'Transfer Engine'!$C$2:$C$679,0)),"",INDEX('Compliance Database'!$M$2:$M$679,MATCH(495,'Transfer Engine'!$C$2:$C$679,0)))</f>
        <v/>
      </c>
      <c r="N504" s="8">
        <f>IF(ISNA(MATCH(495,'Transfer Engine'!$C$2:$C$679,0)),"",INDEX('Compliance Database'!$N$2:$N$679,MATCH(495,'Transfer Engine'!$C$2:$C$679,0)))</f>
        <v/>
      </c>
      <c r="O504" s="8">
        <f>IF(ISNA(MATCH(495,'Transfer Engine'!$C$2:$C$679,0)),"",INDEX('Compliance Database'!$O$2:$O$679,MATCH(495,'Transfer Engine'!$C$2:$C$679,0)))</f>
        <v/>
      </c>
      <c r="P504">
        <f>IF(ISNA(MATCH(495,'Transfer Engine'!$C$2:$C$679,0)),"",HYPERLINK(INDEX('Compliance Database'!$P$2:$P$679,MATCH(495,'Transfer Engine'!$C$2:$C$679,0)),"Open PDF"))</f>
        <v/>
      </c>
    </row>
    <row r="505">
      <c r="A505">
        <f>IF(ISNA(MATCH(496,'Transfer Engine'!$C$2:$C$679,0)),"",INDEX('Compliance Database'!$A$2:$A$679,MATCH(496,'Transfer Engine'!$C$2:$C$679,0)))</f>
        <v/>
      </c>
      <c r="B505">
        <f>IF(ISNA(MATCH(496,'Transfer Engine'!$C$2:$C$679,0)),"",INDEX('Compliance Database'!$B$2:$B$679,MATCH(496,'Transfer Engine'!$C$2:$C$679,0)))</f>
        <v/>
      </c>
      <c r="C505">
        <f>IF(ISNA(MATCH(496,'Transfer Engine'!$C$2:$C$679,0)),"",INDEX('Compliance Database'!$C$2:$C$679,MATCH(496,'Transfer Engine'!$C$2:$C$679,0)))</f>
        <v/>
      </c>
      <c r="D505" s="8">
        <f>IF(ISNA(MATCH(496,'Transfer Engine'!$C$2:$C$679,0)),"",INDEX('Compliance Database'!$D$2:$D$679,MATCH(496,'Transfer Engine'!$C$2:$C$679,0)))</f>
        <v/>
      </c>
      <c r="E505">
        <f>IF(ISNA(MATCH(496,'Transfer Engine'!$C$2:$C$679,0)),"",INDEX('Compliance Database'!$E$2:$E$679,MATCH(496,'Transfer Engine'!$C$2:$C$679,0)))</f>
        <v/>
      </c>
      <c r="F505">
        <f>IF(ISNA(MATCH(496,'Transfer Engine'!$C$2:$C$679,0)),"",INDEX('Compliance Database'!$F$2:$F$679,MATCH(496,'Transfer Engine'!$C$2:$C$679,0)))</f>
        <v/>
      </c>
      <c r="G505">
        <f>IF(ISNA(MATCH(496,'Transfer Engine'!$C$2:$C$679,0)),"",INDEX('Compliance Database'!$G$2:$G$679,MATCH(496,'Transfer Engine'!$C$2:$C$679,0)))</f>
        <v/>
      </c>
      <c r="H505">
        <f>IF(ISNA(MATCH(496,'Transfer Engine'!$C$2:$C$679,0)),"",INDEX('Compliance Database'!$H$2:$H$679,MATCH(496,'Transfer Engine'!$C$2:$C$679,0)))</f>
        <v/>
      </c>
      <c r="I505" s="8">
        <f>IF(ISNA(MATCH(496,'Transfer Engine'!$C$2:$C$679,0)),"",INDEX('Compliance Database'!$I$2:$I$679,MATCH(496,'Transfer Engine'!$C$2:$C$679,0)))</f>
        <v/>
      </c>
      <c r="J505" s="8">
        <f>IF(ISNA(MATCH(496,'Transfer Engine'!$C$2:$C$679,0)),"",INDEX('Compliance Database'!$J$2:$J$679,MATCH(496,'Transfer Engine'!$C$2:$C$679,0)))</f>
        <v/>
      </c>
      <c r="K505">
        <f>IF(ISNA(MATCH(496,'Transfer Engine'!$C$2:$C$679,0)),"",INDEX('Compliance Database'!$K$2:$K$679,MATCH(496,'Transfer Engine'!$C$2:$C$679,0)))</f>
        <v/>
      </c>
      <c r="L505" s="8">
        <f>IF(ISNA(MATCH(496,'Transfer Engine'!$C$2:$C$679,0)),"",INDEX('Compliance Database'!$L$2:$L$679,MATCH(496,'Transfer Engine'!$C$2:$C$679,0)))</f>
        <v/>
      </c>
      <c r="M505" s="8">
        <f>IF(ISNA(MATCH(496,'Transfer Engine'!$C$2:$C$679,0)),"",INDEX('Compliance Database'!$M$2:$M$679,MATCH(496,'Transfer Engine'!$C$2:$C$679,0)))</f>
        <v/>
      </c>
      <c r="N505" s="8">
        <f>IF(ISNA(MATCH(496,'Transfer Engine'!$C$2:$C$679,0)),"",INDEX('Compliance Database'!$N$2:$N$679,MATCH(496,'Transfer Engine'!$C$2:$C$679,0)))</f>
        <v/>
      </c>
      <c r="O505" s="8">
        <f>IF(ISNA(MATCH(496,'Transfer Engine'!$C$2:$C$679,0)),"",INDEX('Compliance Database'!$O$2:$O$679,MATCH(496,'Transfer Engine'!$C$2:$C$679,0)))</f>
        <v/>
      </c>
      <c r="P505">
        <f>IF(ISNA(MATCH(496,'Transfer Engine'!$C$2:$C$679,0)),"",HYPERLINK(INDEX('Compliance Database'!$P$2:$P$679,MATCH(496,'Transfer Engine'!$C$2:$C$679,0)),"Open PDF"))</f>
        <v/>
      </c>
    </row>
    <row r="506">
      <c r="A506">
        <f>IF(ISNA(MATCH(497,'Transfer Engine'!$C$2:$C$679,0)),"",INDEX('Compliance Database'!$A$2:$A$679,MATCH(497,'Transfer Engine'!$C$2:$C$679,0)))</f>
        <v/>
      </c>
      <c r="B506">
        <f>IF(ISNA(MATCH(497,'Transfer Engine'!$C$2:$C$679,0)),"",INDEX('Compliance Database'!$B$2:$B$679,MATCH(497,'Transfer Engine'!$C$2:$C$679,0)))</f>
        <v/>
      </c>
      <c r="C506">
        <f>IF(ISNA(MATCH(497,'Transfer Engine'!$C$2:$C$679,0)),"",INDEX('Compliance Database'!$C$2:$C$679,MATCH(497,'Transfer Engine'!$C$2:$C$679,0)))</f>
        <v/>
      </c>
      <c r="D506" s="8">
        <f>IF(ISNA(MATCH(497,'Transfer Engine'!$C$2:$C$679,0)),"",INDEX('Compliance Database'!$D$2:$D$679,MATCH(497,'Transfer Engine'!$C$2:$C$679,0)))</f>
        <v/>
      </c>
      <c r="E506">
        <f>IF(ISNA(MATCH(497,'Transfer Engine'!$C$2:$C$679,0)),"",INDEX('Compliance Database'!$E$2:$E$679,MATCH(497,'Transfer Engine'!$C$2:$C$679,0)))</f>
        <v/>
      </c>
      <c r="F506">
        <f>IF(ISNA(MATCH(497,'Transfer Engine'!$C$2:$C$679,0)),"",INDEX('Compliance Database'!$F$2:$F$679,MATCH(497,'Transfer Engine'!$C$2:$C$679,0)))</f>
        <v/>
      </c>
      <c r="G506">
        <f>IF(ISNA(MATCH(497,'Transfer Engine'!$C$2:$C$679,0)),"",INDEX('Compliance Database'!$G$2:$G$679,MATCH(497,'Transfer Engine'!$C$2:$C$679,0)))</f>
        <v/>
      </c>
      <c r="H506">
        <f>IF(ISNA(MATCH(497,'Transfer Engine'!$C$2:$C$679,0)),"",INDEX('Compliance Database'!$H$2:$H$679,MATCH(497,'Transfer Engine'!$C$2:$C$679,0)))</f>
        <v/>
      </c>
      <c r="I506" s="8">
        <f>IF(ISNA(MATCH(497,'Transfer Engine'!$C$2:$C$679,0)),"",INDEX('Compliance Database'!$I$2:$I$679,MATCH(497,'Transfer Engine'!$C$2:$C$679,0)))</f>
        <v/>
      </c>
      <c r="J506" s="8">
        <f>IF(ISNA(MATCH(497,'Transfer Engine'!$C$2:$C$679,0)),"",INDEX('Compliance Database'!$J$2:$J$679,MATCH(497,'Transfer Engine'!$C$2:$C$679,0)))</f>
        <v/>
      </c>
      <c r="K506">
        <f>IF(ISNA(MATCH(497,'Transfer Engine'!$C$2:$C$679,0)),"",INDEX('Compliance Database'!$K$2:$K$679,MATCH(497,'Transfer Engine'!$C$2:$C$679,0)))</f>
        <v/>
      </c>
      <c r="L506" s="8">
        <f>IF(ISNA(MATCH(497,'Transfer Engine'!$C$2:$C$679,0)),"",INDEX('Compliance Database'!$L$2:$L$679,MATCH(497,'Transfer Engine'!$C$2:$C$679,0)))</f>
        <v/>
      </c>
      <c r="M506" s="8">
        <f>IF(ISNA(MATCH(497,'Transfer Engine'!$C$2:$C$679,0)),"",INDEX('Compliance Database'!$M$2:$M$679,MATCH(497,'Transfer Engine'!$C$2:$C$679,0)))</f>
        <v/>
      </c>
      <c r="N506" s="8">
        <f>IF(ISNA(MATCH(497,'Transfer Engine'!$C$2:$C$679,0)),"",INDEX('Compliance Database'!$N$2:$N$679,MATCH(497,'Transfer Engine'!$C$2:$C$679,0)))</f>
        <v/>
      </c>
      <c r="O506" s="8">
        <f>IF(ISNA(MATCH(497,'Transfer Engine'!$C$2:$C$679,0)),"",INDEX('Compliance Database'!$O$2:$O$679,MATCH(497,'Transfer Engine'!$C$2:$C$679,0)))</f>
        <v/>
      </c>
      <c r="P506">
        <f>IF(ISNA(MATCH(497,'Transfer Engine'!$C$2:$C$679,0)),"",HYPERLINK(INDEX('Compliance Database'!$P$2:$P$679,MATCH(497,'Transfer Engine'!$C$2:$C$679,0)),"Open PDF"))</f>
        <v/>
      </c>
    </row>
    <row r="507">
      <c r="A507">
        <f>IF(ISNA(MATCH(498,'Transfer Engine'!$C$2:$C$679,0)),"",INDEX('Compliance Database'!$A$2:$A$679,MATCH(498,'Transfer Engine'!$C$2:$C$679,0)))</f>
        <v/>
      </c>
      <c r="B507">
        <f>IF(ISNA(MATCH(498,'Transfer Engine'!$C$2:$C$679,0)),"",INDEX('Compliance Database'!$B$2:$B$679,MATCH(498,'Transfer Engine'!$C$2:$C$679,0)))</f>
        <v/>
      </c>
      <c r="C507">
        <f>IF(ISNA(MATCH(498,'Transfer Engine'!$C$2:$C$679,0)),"",INDEX('Compliance Database'!$C$2:$C$679,MATCH(498,'Transfer Engine'!$C$2:$C$679,0)))</f>
        <v/>
      </c>
      <c r="D507" s="8">
        <f>IF(ISNA(MATCH(498,'Transfer Engine'!$C$2:$C$679,0)),"",INDEX('Compliance Database'!$D$2:$D$679,MATCH(498,'Transfer Engine'!$C$2:$C$679,0)))</f>
        <v/>
      </c>
      <c r="E507">
        <f>IF(ISNA(MATCH(498,'Transfer Engine'!$C$2:$C$679,0)),"",INDEX('Compliance Database'!$E$2:$E$679,MATCH(498,'Transfer Engine'!$C$2:$C$679,0)))</f>
        <v/>
      </c>
      <c r="F507">
        <f>IF(ISNA(MATCH(498,'Transfer Engine'!$C$2:$C$679,0)),"",INDEX('Compliance Database'!$F$2:$F$679,MATCH(498,'Transfer Engine'!$C$2:$C$679,0)))</f>
        <v/>
      </c>
      <c r="G507">
        <f>IF(ISNA(MATCH(498,'Transfer Engine'!$C$2:$C$679,0)),"",INDEX('Compliance Database'!$G$2:$G$679,MATCH(498,'Transfer Engine'!$C$2:$C$679,0)))</f>
        <v/>
      </c>
      <c r="H507">
        <f>IF(ISNA(MATCH(498,'Transfer Engine'!$C$2:$C$679,0)),"",INDEX('Compliance Database'!$H$2:$H$679,MATCH(498,'Transfer Engine'!$C$2:$C$679,0)))</f>
        <v/>
      </c>
      <c r="I507" s="8">
        <f>IF(ISNA(MATCH(498,'Transfer Engine'!$C$2:$C$679,0)),"",INDEX('Compliance Database'!$I$2:$I$679,MATCH(498,'Transfer Engine'!$C$2:$C$679,0)))</f>
        <v/>
      </c>
      <c r="J507" s="8">
        <f>IF(ISNA(MATCH(498,'Transfer Engine'!$C$2:$C$679,0)),"",INDEX('Compliance Database'!$J$2:$J$679,MATCH(498,'Transfer Engine'!$C$2:$C$679,0)))</f>
        <v/>
      </c>
      <c r="K507">
        <f>IF(ISNA(MATCH(498,'Transfer Engine'!$C$2:$C$679,0)),"",INDEX('Compliance Database'!$K$2:$K$679,MATCH(498,'Transfer Engine'!$C$2:$C$679,0)))</f>
        <v/>
      </c>
      <c r="L507" s="8">
        <f>IF(ISNA(MATCH(498,'Transfer Engine'!$C$2:$C$679,0)),"",INDEX('Compliance Database'!$L$2:$L$679,MATCH(498,'Transfer Engine'!$C$2:$C$679,0)))</f>
        <v/>
      </c>
      <c r="M507" s="8">
        <f>IF(ISNA(MATCH(498,'Transfer Engine'!$C$2:$C$679,0)),"",INDEX('Compliance Database'!$M$2:$M$679,MATCH(498,'Transfer Engine'!$C$2:$C$679,0)))</f>
        <v/>
      </c>
      <c r="N507" s="8">
        <f>IF(ISNA(MATCH(498,'Transfer Engine'!$C$2:$C$679,0)),"",INDEX('Compliance Database'!$N$2:$N$679,MATCH(498,'Transfer Engine'!$C$2:$C$679,0)))</f>
        <v/>
      </c>
      <c r="O507" s="8">
        <f>IF(ISNA(MATCH(498,'Transfer Engine'!$C$2:$C$679,0)),"",INDEX('Compliance Database'!$O$2:$O$679,MATCH(498,'Transfer Engine'!$C$2:$C$679,0)))</f>
        <v/>
      </c>
      <c r="P507">
        <f>IF(ISNA(MATCH(498,'Transfer Engine'!$C$2:$C$679,0)),"",HYPERLINK(INDEX('Compliance Database'!$P$2:$P$679,MATCH(498,'Transfer Engine'!$C$2:$C$679,0)),"Open PDF"))</f>
        <v/>
      </c>
    </row>
    <row r="508">
      <c r="A508">
        <f>IF(ISNA(MATCH(499,'Transfer Engine'!$C$2:$C$679,0)),"",INDEX('Compliance Database'!$A$2:$A$679,MATCH(499,'Transfer Engine'!$C$2:$C$679,0)))</f>
        <v/>
      </c>
      <c r="B508">
        <f>IF(ISNA(MATCH(499,'Transfer Engine'!$C$2:$C$679,0)),"",INDEX('Compliance Database'!$B$2:$B$679,MATCH(499,'Transfer Engine'!$C$2:$C$679,0)))</f>
        <v/>
      </c>
      <c r="C508">
        <f>IF(ISNA(MATCH(499,'Transfer Engine'!$C$2:$C$679,0)),"",INDEX('Compliance Database'!$C$2:$C$679,MATCH(499,'Transfer Engine'!$C$2:$C$679,0)))</f>
        <v/>
      </c>
      <c r="D508" s="8">
        <f>IF(ISNA(MATCH(499,'Transfer Engine'!$C$2:$C$679,0)),"",INDEX('Compliance Database'!$D$2:$D$679,MATCH(499,'Transfer Engine'!$C$2:$C$679,0)))</f>
        <v/>
      </c>
      <c r="E508">
        <f>IF(ISNA(MATCH(499,'Transfer Engine'!$C$2:$C$679,0)),"",INDEX('Compliance Database'!$E$2:$E$679,MATCH(499,'Transfer Engine'!$C$2:$C$679,0)))</f>
        <v/>
      </c>
      <c r="F508">
        <f>IF(ISNA(MATCH(499,'Transfer Engine'!$C$2:$C$679,0)),"",INDEX('Compliance Database'!$F$2:$F$679,MATCH(499,'Transfer Engine'!$C$2:$C$679,0)))</f>
        <v/>
      </c>
      <c r="G508">
        <f>IF(ISNA(MATCH(499,'Transfer Engine'!$C$2:$C$679,0)),"",INDEX('Compliance Database'!$G$2:$G$679,MATCH(499,'Transfer Engine'!$C$2:$C$679,0)))</f>
        <v/>
      </c>
      <c r="H508">
        <f>IF(ISNA(MATCH(499,'Transfer Engine'!$C$2:$C$679,0)),"",INDEX('Compliance Database'!$H$2:$H$679,MATCH(499,'Transfer Engine'!$C$2:$C$679,0)))</f>
        <v/>
      </c>
      <c r="I508" s="8">
        <f>IF(ISNA(MATCH(499,'Transfer Engine'!$C$2:$C$679,0)),"",INDEX('Compliance Database'!$I$2:$I$679,MATCH(499,'Transfer Engine'!$C$2:$C$679,0)))</f>
        <v/>
      </c>
      <c r="J508" s="8">
        <f>IF(ISNA(MATCH(499,'Transfer Engine'!$C$2:$C$679,0)),"",INDEX('Compliance Database'!$J$2:$J$679,MATCH(499,'Transfer Engine'!$C$2:$C$679,0)))</f>
        <v/>
      </c>
      <c r="K508">
        <f>IF(ISNA(MATCH(499,'Transfer Engine'!$C$2:$C$679,0)),"",INDEX('Compliance Database'!$K$2:$K$679,MATCH(499,'Transfer Engine'!$C$2:$C$679,0)))</f>
        <v/>
      </c>
      <c r="L508" s="8">
        <f>IF(ISNA(MATCH(499,'Transfer Engine'!$C$2:$C$679,0)),"",INDEX('Compliance Database'!$L$2:$L$679,MATCH(499,'Transfer Engine'!$C$2:$C$679,0)))</f>
        <v/>
      </c>
      <c r="M508" s="8">
        <f>IF(ISNA(MATCH(499,'Transfer Engine'!$C$2:$C$679,0)),"",INDEX('Compliance Database'!$M$2:$M$679,MATCH(499,'Transfer Engine'!$C$2:$C$679,0)))</f>
        <v/>
      </c>
      <c r="N508" s="8">
        <f>IF(ISNA(MATCH(499,'Transfer Engine'!$C$2:$C$679,0)),"",INDEX('Compliance Database'!$N$2:$N$679,MATCH(499,'Transfer Engine'!$C$2:$C$679,0)))</f>
        <v/>
      </c>
      <c r="O508" s="8">
        <f>IF(ISNA(MATCH(499,'Transfer Engine'!$C$2:$C$679,0)),"",INDEX('Compliance Database'!$O$2:$O$679,MATCH(499,'Transfer Engine'!$C$2:$C$679,0)))</f>
        <v/>
      </c>
      <c r="P508">
        <f>IF(ISNA(MATCH(499,'Transfer Engine'!$C$2:$C$679,0)),"",HYPERLINK(INDEX('Compliance Database'!$P$2:$P$679,MATCH(499,'Transfer Engine'!$C$2:$C$679,0)),"Open PDF"))</f>
        <v/>
      </c>
    </row>
    <row r="509">
      <c r="A509">
        <f>IF(ISNA(MATCH(500,'Transfer Engine'!$C$2:$C$679,0)),"",INDEX('Compliance Database'!$A$2:$A$679,MATCH(500,'Transfer Engine'!$C$2:$C$679,0)))</f>
        <v/>
      </c>
      <c r="B509">
        <f>IF(ISNA(MATCH(500,'Transfer Engine'!$C$2:$C$679,0)),"",INDEX('Compliance Database'!$B$2:$B$679,MATCH(500,'Transfer Engine'!$C$2:$C$679,0)))</f>
        <v/>
      </c>
      <c r="C509">
        <f>IF(ISNA(MATCH(500,'Transfer Engine'!$C$2:$C$679,0)),"",INDEX('Compliance Database'!$C$2:$C$679,MATCH(500,'Transfer Engine'!$C$2:$C$679,0)))</f>
        <v/>
      </c>
      <c r="D509" s="8">
        <f>IF(ISNA(MATCH(500,'Transfer Engine'!$C$2:$C$679,0)),"",INDEX('Compliance Database'!$D$2:$D$679,MATCH(500,'Transfer Engine'!$C$2:$C$679,0)))</f>
        <v/>
      </c>
      <c r="E509">
        <f>IF(ISNA(MATCH(500,'Transfer Engine'!$C$2:$C$679,0)),"",INDEX('Compliance Database'!$E$2:$E$679,MATCH(500,'Transfer Engine'!$C$2:$C$679,0)))</f>
        <v/>
      </c>
      <c r="F509">
        <f>IF(ISNA(MATCH(500,'Transfer Engine'!$C$2:$C$679,0)),"",INDEX('Compliance Database'!$F$2:$F$679,MATCH(500,'Transfer Engine'!$C$2:$C$679,0)))</f>
        <v/>
      </c>
      <c r="G509">
        <f>IF(ISNA(MATCH(500,'Transfer Engine'!$C$2:$C$679,0)),"",INDEX('Compliance Database'!$G$2:$G$679,MATCH(500,'Transfer Engine'!$C$2:$C$679,0)))</f>
        <v/>
      </c>
      <c r="H509">
        <f>IF(ISNA(MATCH(500,'Transfer Engine'!$C$2:$C$679,0)),"",INDEX('Compliance Database'!$H$2:$H$679,MATCH(500,'Transfer Engine'!$C$2:$C$679,0)))</f>
        <v/>
      </c>
      <c r="I509" s="8">
        <f>IF(ISNA(MATCH(500,'Transfer Engine'!$C$2:$C$679,0)),"",INDEX('Compliance Database'!$I$2:$I$679,MATCH(500,'Transfer Engine'!$C$2:$C$679,0)))</f>
        <v/>
      </c>
      <c r="J509" s="8">
        <f>IF(ISNA(MATCH(500,'Transfer Engine'!$C$2:$C$679,0)),"",INDEX('Compliance Database'!$J$2:$J$679,MATCH(500,'Transfer Engine'!$C$2:$C$679,0)))</f>
        <v/>
      </c>
      <c r="K509">
        <f>IF(ISNA(MATCH(500,'Transfer Engine'!$C$2:$C$679,0)),"",INDEX('Compliance Database'!$K$2:$K$679,MATCH(500,'Transfer Engine'!$C$2:$C$679,0)))</f>
        <v/>
      </c>
      <c r="L509" s="8">
        <f>IF(ISNA(MATCH(500,'Transfer Engine'!$C$2:$C$679,0)),"",INDEX('Compliance Database'!$L$2:$L$679,MATCH(500,'Transfer Engine'!$C$2:$C$679,0)))</f>
        <v/>
      </c>
      <c r="M509" s="8">
        <f>IF(ISNA(MATCH(500,'Transfer Engine'!$C$2:$C$679,0)),"",INDEX('Compliance Database'!$M$2:$M$679,MATCH(500,'Transfer Engine'!$C$2:$C$679,0)))</f>
        <v/>
      </c>
      <c r="N509" s="8">
        <f>IF(ISNA(MATCH(500,'Transfer Engine'!$C$2:$C$679,0)),"",INDEX('Compliance Database'!$N$2:$N$679,MATCH(500,'Transfer Engine'!$C$2:$C$679,0)))</f>
        <v/>
      </c>
      <c r="O509" s="8">
        <f>IF(ISNA(MATCH(500,'Transfer Engine'!$C$2:$C$679,0)),"",INDEX('Compliance Database'!$O$2:$O$679,MATCH(500,'Transfer Engine'!$C$2:$C$679,0)))</f>
        <v/>
      </c>
      <c r="P509">
        <f>IF(ISNA(MATCH(500,'Transfer Engine'!$C$2:$C$679,0)),"",HYPERLINK(INDEX('Compliance Database'!$P$2:$P$679,MATCH(500,'Transfer Engine'!$C$2:$C$679,0)),"Open PDF"))</f>
        <v/>
      </c>
    </row>
    <row r="510">
      <c r="A510">
        <f>IF(ISNA(MATCH(501,'Transfer Engine'!$C$2:$C$679,0)),"",INDEX('Compliance Database'!$A$2:$A$679,MATCH(501,'Transfer Engine'!$C$2:$C$679,0)))</f>
        <v/>
      </c>
      <c r="B510">
        <f>IF(ISNA(MATCH(501,'Transfer Engine'!$C$2:$C$679,0)),"",INDEX('Compliance Database'!$B$2:$B$679,MATCH(501,'Transfer Engine'!$C$2:$C$679,0)))</f>
        <v/>
      </c>
      <c r="C510">
        <f>IF(ISNA(MATCH(501,'Transfer Engine'!$C$2:$C$679,0)),"",INDEX('Compliance Database'!$C$2:$C$679,MATCH(501,'Transfer Engine'!$C$2:$C$679,0)))</f>
        <v/>
      </c>
      <c r="D510" s="8">
        <f>IF(ISNA(MATCH(501,'Transfer Engine'!$C$2:$C$679,0)),"",INDEX('Compliance Database'!$D$2:$D$679,MATCH(501,'Transfer Engine'!$C$2:$C$679,0)))</f>
        <v/>
      </c>
      <c r="E510">
        <f>IF(ISNA(MATCH(501,'Transfer Engine'!$C$2:$C$679,0)),"",INDEX('Compliance Database'!$E$2:$E$679,MATCH(501,'Transfer Engine'!$C$2:$C$679,0)))</f>
        <v/>
      </c>
      <c r="F510">
        <f>IF(ISNA(MATCH(501,'Transfer Engine'!$C$2:$C$679,0)),"",INDEX('Compliance Database'!$F$2:$F$679,MATCH(501,'Transfer Engine'!$C$2:$C$679,0)))</f>
        <v/>
      </c>
      <c r="G510">
        <f>IF(ISNA(MATCH(501,'Transfer Engine'!$C$2:$C$679,0)),"",INDEX('Compliance Database'!$G$2:$G$679,MATCH(501,'Transfer Engine'!$C$2:$C$679,0)))</f>
        <v/>
      </c>
      <c r="H510">
        <f>IF(ISNA(MATCH(501,'Transfer Engine'!$C$2:$C$679,0)),"",INDEX('Compliance Database'!$H$2:$H$679,MATCH(501,'Transfer Engine'!$C$2:$C$679,0)))</f>
        <v/>
      </c>
      <c r="I510" s="8">
        <f>IF(ISNA(MATCH(501,'Transfer Engine'!$C$2:$C$679,0)),"",INDEX('Compliance Database'!$I$2:$I$679,MATCH(501,'Transfer Engine'!$C$2:$C$679,0)))</f>
        <v/>
      </c>
      <c r="J510" s="8">
        <f>IF(ISNA(MATCH(501,'Transfer Engine'!$C$2:$C$679,0)),"",INDEX('Compliance Database'!$J$2:$J$679,MATCH(501,'Transfer Engine'!$C$2:$C$679,0)))</f>
        <v/>
      </c>
      <c r="K510">
        <f>IF(ISNA(MATCH(501,'Transfer Engine'!$C$2:$C$679,0)),"",INDEX('Compliance Database'!$K$2:$K$679,MATCH(501,'Transfer Engine'!$C$2:$C$679,0)))</f>
        <v/>
      </c>
      <c r="L510" s="8">
        <f>IF(ISNA(MATCH(501,'Transfer Engine'!$C$2:$C$679,0)),"",INDEX('Compliance Database'!$L$2:$L$679,MATCH(501,'Transfer Engine'!$C$2:$C$679,0)))</f>
        <v/>
      </c>
      <c r="M510" s="8">
        <f>IF(ISNA(MATCH(501,'Transfer Engine'!$C$2:$C$679,0)),"",INDEX('Compliance Database'!$M$2:$M$679,MATCH(501,'Transfer Engine'!$C$2:$C$679,0)))</f>
        <v/>
      </c>
      <c r="N510" s="8">
        <f>IF(ISNA(MATCH(501,'Transfer Engine'!$C$2:$C$679,0)),"",INDEX('Compliance Database'!$N$2:$N$679,MATCH(501,'Transfer Engine'!$C$2:$C$679,0)))</f>
        <v/>
      </c>
      <c r="O510" s="8">
        <f>IF(ISNA(MATCH(501,'Transfer Engine'!$C$2:$C$679,0)),"",INDEX('Compliance Database'!$O$2:$O$679,MATCH(501,'Transfer Engine'!$C$2:$C$679,0)))</f>
        <v/>
      </c>
      <c r="P510">
        <f>IF(ISNA(MATCH(501,'Transfer Engine'!$C$2:$C$679,0)),"",HYPERLINK(INDEX('Compliance Database'!$P$2:$P$679,MATCH(501,'Transfer Engine'!$C$2:$C$679,0)),"Open PDF"))</f>
        <v/>
      </c>
    </row>
    <row r="511">
      <c r="A511">
        <f>IF(ISNA(MATCH(502,'Transfer Engine'!$C$2:$C$679,0)),"",INDEX('Compliance Database'!$A$2:$A$679,MATCH(502,'Transfer Engine'!$C$2:$C$679,0)))</f>
        <v/>
      </c>
      <c r="B511">
        <f>IF(ISNA(MATCH(502,'Transfer Engine'!$C$2:$C$679,0)),"",INDEX('Compliance Database'!$B$2:$B$679,MATCH(502,'Transfer Engine'!$C$2:$C$679,0)))</f>
        <v/>
      </c>
      <c r="C511">
        <f>IF(ISNA(MATCH(502,'Transfer Engine'!$C$2:$C$679,0)),"",INDEX('Compliance Database'!$C$2:$C$679,MATCH(502,'Transfer Engine'!$C$2:$C$679,0)))</f>
        <v/>
      </c>
      <c r="D511" s="8">
        <f>IF(ISNA(MATCH(502,'Transfer Engine'!$C$2:$C$679,0)),"",INDEX('Compliance Database'!$D$2:$D$679,MATCH(502,'Transfer Engine'!$C$2:$C$679,0)))</f>
        <v/>
      </c>
      <c r="E511">
        <f>IF(ISNA(MATCH(502,'Transfer Engine'!$C$2:$C$679,0)),"",INDEX('Compliance Database'!$E$2:$E$679,MATCH(502,'Transfer Engine'!$C$2:$C$679,0)))</f>
        <v/>
      </c>
      <c r="F511">
        <f>IF(ISNA(MATCH(502,'Transfer Engine'!$C$2:$C$679,0)),"",INDEX('Compliance Database'!$F$2:$F$679,MATCH(502,'Transfer Engine'!$C$2:$C$679,0)))</f>
        <v/>
      </c>
      <c r="G511">
        <f>IF(ISNA(MATCH(502,'Transfer Engine'!$C$2:$C$679,0)),"",INDEX('Compliance Database'!$G$2:$G$679,MATCH(502,'Transfer Engine'!$C$2:$C$679,0)))</f>
        <v/>
      </c>
      <c r="H511">
        <f>IF(ISNA(MATCH(502,'Transfer Engine'!$C$2:$C$679,0)),"",INDEX('Compliance Database'!$H$2:$H$679,MATCH(502,'Transfer Engine'!$C$2:$C$679,0)))</f>
        <v/>
      </c>
      <c r="I511" s="8">
        <f>IF(ISNA(MATCH(502,'Transfer Engine'!$C$2:$C$679,0)),"",INDEX('Compliance Database'!$I$2:$I$679,MATCH(502,'Transfer Engine'!$C$2:$C$679,0)))</f>
        <v/>
      </c>
      <c r="J511" s="8">
        <f>IF(ISNA(MATCH(502,'Transfer Engine'!$C$2:$C$679,0)),"",INDEX('Compliance Database'!$J$2:$J$679,MATCH(502,'Transfer Engine'!$C$2:$C$679,0)))</f>
        <v/>
      </c>
      <c r="K511">
        <f>IF(ISNA(MATCH(502,'Transfer Engine'!$C$2:$C$679,0)),"",INDEX('Compliance Database'!$K$2:$K$679,MATCH(502,'Transfer Engine'!$C$2:$C$679,0)))</f>
        <v/>
      </c>
      <c r="L511" s="8">
        <f>IF(ISNA(MATCH(502,'Transfer Engine'!$C$2:$C$679,0)),"",INDEX('Compliance Database'!$L$2:$L$679,MATCH(502,'Transfer Engine'!$C$2:$C$679,0)))</f>
        <v/>
      </c>
      <c r="M511" s="8">
        <f>IF(ISNA(MATCH(502,'Transfer Engine'!$C$2:$C$679,0)),"",INDEX('Compliance Database'!$M$2:$M$679,MATCH(502,'Transfer Engine'!$C$2:$C$679,0)))</f>
        <v/>
      </c>
      <c r="N511" s="8">
        <f>IF(ISNA(MATCH(502,'Transfer Engine'!$C$2:$C$679,0)),"",INDEX('Compliance Database'!$N$2:$N$679,MATCH(502,'Transfer Engine'!$C$2:$C$679,0)))</f>
        <v/>
      </c>
      <c r="O511" s="8">
        <f>IF(ISNA(MATCH(502,'Transfer Engine'!$C$2:$C$679,0)),"",INDEX('Compliance Database'!$O$2:$O$679,MATCH(502,'Transfer Engine'!$C$2:$C$679,0)))</f>
        <v/>
      </c>
      <c r="P511">
        <f>IF(ISNA(MATCH(502,'Transfer Engine'!$C$2:$C$679,0)),"",HYPERLINK(INDEX('Compliance Database'!$P$2:$P$679,MATCH(502,'Transfer Engine'!$C$2:$C$679,0)),"Open PDF"))</f>
        <v/>
      </c>
    </row>
    <row r="512">
      <c r="A512">
        <f>IF(ISNA(MATCH(503,'Transfer Engine'!$C$2:$C$679,0)),"",INDEX('Compliance Database'!$A$2:$A$679,MATCH(503,'Transfer Engine'!$C$2:$C$679,0)))</f>
        <v/>
      </c>
      <c r="B512">
        <f>IF(ISNA(MATCH(503,'Transfer Engine'!$C$2:$C$679,0)),"",INDEX('Compliance Database'!$B$2:$B$679,MATCH(503,'Transfer Engine'!$C$2:$C$679,0)))</f>
        <v/>
      </c>
      <c r="C512">
        <f>IF(ISNA(MATCH(503,'Transfer Engine'!$C$2:$C$679,0)),"",INDEX('Compliance Database'!$C$2:$C$679,MATCH(503,'Transfer Engine'!$C$2:$C$679,0)))</f>
        <v/>
      </c>
      <c r="D512" s="8">
        <f>IF(ISNA(MATCH(503,'Transfer Engine'!$C$2:$C$679,0)),"",INDEX('Compliance Database'!$D$2:$D$679,MATCH(503,'Transfer Engine'!$C$2:$C$679,0)))</f>
        <v/>
      </c>
      <c r="E512">
        <f>IF(ISNA(MATCH(503,'Transfer Engine'!$C$2:$C$679,0)),"",INDEX('Compliance Database'!$E$2:$E$679,MATCH(503,'Transfer Engine'!$C$2:$C$679,0)))</f>
        <v/>
      </c>
      <c r="F512">
        <f>IF(ISNA(MATCH(503,'Transfer Engine'!$C$2:$C$679,0)),"",INDEX('Compliance Database'!$F$2:$F$679,MATCH(503,'Transfer Engine'!$C$2:$C$679,0)))</f>
        <v/>
      </c>
      <c r="G512">
        <f>IF(ISNA(MATCH(503,'Transfer Engine'!$C$2:$C$679,0)),"",INDEX('Compliance Database'!$G$2:$G$679,MATCH(503,'Transfer Engine'!$C$2:$C$679,0)))</f>
        <v/>
      </c>
      <c r="H512">
        <f>IF(ISNA(MATCH(503,'Transfer Engine'!$C$2:$C$679,0)),"",INDEX('Compliance Database'!$H$2:$H$679,MATCH(503,'Transfer Engine'!$C$2:$C$679,0)))</f>
        <v/>
      </c>
      <c r="I512" s="8">
        <f>IF(ISNA(MATCH(503,'Transfer Engine'!$C$2:$C$679,0)),"",INDEX('Compliance Database'!$I$2:$I$679,MATCH(503,'Transfer Engine'!$C$2:$C$679,0)))</f>
        <v/>
      </c>
      <c r="J512" s="8">
        <f>IF(ISNA(MATCH(503,'Transfer Engine'!$C$2:$C$679,0)),"",INDEX('Compliance Database'!$J$2:$J$679,MATCH(503,'Transfer Engine'!$C$2:$C$679,0)))</f>
        <v/>
      </c>
      <c r="K512">
        <f>IF(ISNA(MATCH(503,'Transfer Engine'!$C$2:$C$679,0)),"",INDEX('Compliance Database'!$K$2:$K$679,MATCH(503,'Transfer Engine'!$C$2:$C$679,0)))</f>
        <v/>
      </c>
      <c r="L512" s="8">
        <f>IF(ISNA(MATCH(503,'Transfer Engine'!$C$2:$C$679,0)),"",INDEX('Compliance Database'!$L$2:$L$679,MATCH(503,'Transfer Engine'!$C$2:$C$679,0)))</f>
        <v/>
      </c>
      <c r="M512" s="8">
        <f>IF(ISNA(MATCH(503,'Transfer Engine'!$C$2:$C$679,0)),"",INDEX('Compliance Database'!$M$2:$M$679,MATCH(503,'Transfer Engine'!$C$2:$C$679,0)))</f>
        <v/>
      </c>
      <c r="N512" s="8">
        <f>IF(ISNA(MATCH(503,'Transfer Engine'!$C$2:$C$679,0)),"",INDEX('Compliance Database'!$N$2:$N$679,MATCH(503,'Transfer Engine'!$C$2:$C$679,0)))</f>
        <v/>
      </c>
      <c r="O512" s="8">
        <f>IF(ISNA(MATCH(503,'Transfer Engine'!$C$2:$C$679,0)),"",INDEX('Compliance Database'!$O$2:$O$679,MATCH(503,'Transfer Engine'!$C$2:$C$679,0)))</f>
        <v/>
      </c>
      <c r="P512">
        <f>IF(ISNA(MATCH(503,'Transfer Engine'!$C$2:$C$679,0)),"",HYPERLINK(INDEX('Compliance Database'!$P$2:$P$679,MATCH(503,'Transfer Engine'!$C$2:$C$679,0)),"Open PDF"))</f>
        <v/>
      </c>
    </row>
    <row r="513">
      <c r="A513">
        <f>IF(ISNA(MATCH(504,'Transfer Engine'!$C$2:$C$679,0)),"",INDEX('Compliance Database'!$A$2:$A$679,MATCH(504,'Transfer Engine'!$C$2:$C$679,0)))</f>
        <v/>
      </c>
      <c r="B513">
        <f>IF(ISNA(MATCH(504,'Transfer Engine'!$C$2:$C$679,0)),"",INDEX('Compliance Database'!$B$2:$B$679,MATCH(504,'Transfer Engine'!$C$2:$C$679,0)))</f>
        <v/>
      </c>
      <c r="C513">
        <f>IF(ISNA(MATCH(504,'Transfer Engine'!$C$2:$C$679,0)),"",INDEX('Compliance Database'!$C$2:$C$679,MATCH(504,'Transfer Engine'!$C$2:$C$679,0)))</f>
        <v/>
      </c>
      <c r="D513" s="8">
        <f>IF(ISNA(MATCH(504,'Transfer Engine'!$C$2:$C$679,0)),"",INDEX('Compliance Database'!$D$2:$D$679,MATCH(504,'Transfer Engine'!$C$2:$C$679,0)))</f>
        <v/>
      </c>
      <c r="E513">
        <f>IF(ISNA(MATCH(504,'Transfer Engine'!$C$2:$C$679,0)),"",INDEX('Compliance Database'!$E$2:$E$679,MATCH(504,'Transfer Engine'!$C$2:$C$679,0)))</f>
        <v/>
      </c>
      <c r="F513">
        <f>IF(ISNA(MATCH(504,'Transfer Engine'!$C$2:$C$679,0)),"",INDEX('Compliance Database'!$F$2:$F$679,MATCH(504,'Transfer Engine'!$C$2:$C$679,0)))</f>
        <v/>
      </c>
      <c r="G513">
        <f>IF(ISNA(MATCH(504,'Transfer Engine'!$C$2:$C$679,0)),"",INDEX('Compliance Database'!$G$2:$G$679,MATCH(504,'Transfer Engine'!$C$2:$C$679,0)))</f>
        <v/>
      </c>
      <c r="H513">
        <f>IF(ISNA(MATCH(504,'Transfer Engine'!$C$2:$C$679,0)),"",INDEX('Compliance Database'!$H$2:$H$679,MATCH(504,'Transfer Engine'!$C$2:$C$679,0)))</f>
        <v/>
      </c>
      <c r="I513" s="8">
        <f>IF(ISNA(MATCH(504,'Transfer Engine'!$C$2:$C$679,0)),"",INDEX('Compliance Database'!$I$2:$I$679,MATCH(504,'Transfer Engine'!$C$2:$C$679,0)))</f>
        <v/>
      </c>
      <c r="J513" s="8">
        <f>IF(ISNA(MATCH(504,'Transfer Engine'!$C$2:$C$679,0)),"",INDEX('Compliance Database'!$J$2:$J$679,MATCH(504,'Transfer Engine'!$C$2:$C$679,0)))</f>
        <v/>
      </c>
      <c r="K513">
        <f>IF(ISNA(MATCH(504,'Transfer Engine'!$C$2:$C$679,0)),"",INDEX('Compliance Database'!$K$2:$K$679,MATCH(504,'Transfer Engine'!$C$2:$C$679,0)))</f>
        <v/>
      </c>
      <c r="L513" s="8">
        <f>IF(ISNA(MATCH(504,'Transfer Engine'!$C$2:$C$679,0)),"",INDEX('Compliance Database'!$L$2:$L$679,MATCH(504,'Transfer Engine'!$C$2:$C$679,0)))</f>
        <v/>
      </c>
      <c r="M513" s="8">
        <f>IF(ISNA(MATCH(504,'Transfer Engine'!$C$2:$C$679,0)),"",INDEX('Compliance Database'!$M$2:$M$679,MATCH(504,'Transfer Engine'!$C$2:$C$679,0)))</f>
        <v/>
      </c>
      <c r="N513" s="8">
        <f>IF(ISNA(MATCH(504,'Transfer Engine'!$C$2:$C$679,0)),"",INDEX('Compliance Database'!$N$2:$N$679,MATCH(504,'Transfer Engine'!$C$2:$C$679,0)))</f>
        <v/>
      </c>
      <c r="O513" s="8">
        <f>IF(ISNA(MATCH(504,'Transfer Engine'!$C$2:$C$679,0)),"",INDEX('Compliance Database'!$O$2:$O$679,MATCH(504,'Transfer Engine'!$C$2:$C$679,0)))</f>
        <v/>
      </c>
      <c r="P513">
        <f>IF(ISNA(MATCH(504,'Transfer Engine'!$C$2:$C$679,0)),"",HYPERLINK(INDEX('Compliance Database'!$P$2:$P$679,MATCH(504,'Transfer Engine'!$C$2:$C$679,0)),"Open PDF"))</f>
        <v/>
      </c>
    </row>
    <row r="514">
      <c r="A514">
        <f>IF(ISNA(MATCH(505,'Transfer Engine'!$C$2:$C$679,0)),"",INDEX('Compliance Database'!$A$2:$A$679,MATCH(505,'Transfer Engine'!$C$2:$C$679,0)))</f>
        <v/>
      </c>
      <c r="B514">
        <f>IF(ISNA(MATCH(505,'Transfer Engine'!$C$2:$C$679,0)),"",INDEX('Compliance Database'!$B$2:$B$679,MATCH(505,'Transfer Engine'!$C$2:$C$679,0)))</f>
        <v/>
      </c>
      <c r="C514">
        <f>IF(ISNA(MATCH(505,'Transfer Engine'!$C$2:$C$679,0)),"",INDEX('Compliance Database'!$C$2:$C$679,MATCH(505,'Transfer Engine'!$C$2:$C$679,0)))</f>
        <v/>
      </c>
      <c r="D514" s="8">
        <f>IF(ISNA(MATCH(505,'Transfer Engine'!$C$2:$C$679,0)),"",INDEX('Compliance Database'!$D$2:$D$679,MATCH(505,'Transfer Engine'!$C$2:$C$679,0)))</f>
        <v/>
      </c>
      <c r="E514">
        <f>IF(ISNA(MATCH(505,'Transfer Engine'!$C$2:$C$679,0)),"",INDEX('Compliance Database'!$E$2:$E$679,MATCH(505,'Transfer Engine'!$C$2:$C$679,0)))</f>
        <v/>
      </c>
      <c r="F514">
        <f>IF(ISNA(MATCH(505,'Transfer Engine'!$C$2:$C$679,0)),"",INDEX('Compliance Database'!$F$2:$F$679,MATCH(505,'Transfer Engine'!$C$2:$C$679,0)))</f>
        <v/>
      </c>
      <c r="G514">
        <f>IF(ISNA(MATCH(505,'Transfer Engine'!$C$2:$C$679,0)),"",INDEX('Compliance Database'!$G$2:$G$679,MATCH(505,'Transfer Engine'!$C$2:$C$679,0)))</f>
        <v/>
      </c>
      <c r="H514">
        <f>IF(ISNA(MATCH(505,'Transfer Engine'!$C$2:$C$679,0)),"",INDEX('Compliance Database'!$H$2:$H$679,MATCH(505,'Transfer Engine'!$C$2:$C$679,0)))</f>
        <v/>
      </c>
      <c r="I514" s="8">
        <f>IF(ISNA(MATCH(505,'Transfer Engine'!$C$2:$C$679,0)),"",INDEX('Compliance Database'!$I$2:$I$679,MATCH(505,'Transfer Engine'!$C$2:$C$679,0)))</f>
        <v/>
      </c>
      <c r="J514" s="8">
        <f>IF(ISNA(MATCH(505,'Transfer Engine'!$C$2:$C$679,0)),"",INDEX('Compliance Database'!$J$2:$J$679,MATCH(505,'Transfer Engine'!$C$2:$C$679,0)))</f>
        <v/>
      </c>
      <c r="K514">
        <f>IF(ISNA(MATCH(505,'Transfer Engine'!$C$2:$C$679,0)),"",INDEX('Compliance Database'!$K$2:$K$679,MATCH(505,'Transfer Engine'!$C$2:$C$679,0)))</f>
        <v/>
      </c>
      <c r="L514" s="8">
        <f>IF(ISNA(MATCH(505,'Transfer Engine'!$C$2:$C$679,0)),"",INDEX('Compliance Database'!$L$2:$L$679,MATCH(505,'Transfer Engine'!$C$2:$C$679,0)))</f>
        <v/>
      </c>
      <c r="M514" s="8">
        <f>IF(ISNA(MATCH(505,'Transfer Engine'!$C$2:$C$679,0)),"",INDEX('Compliance Database'!$M$2:$M$679,MATCH(505,'Transfer Engine'!$C$2:$C$679,0)))</f>
        <v/>
      </c>
      <c r="N514" s="8">
        <f>IF(ISNA(MATCH(505,'Transfer Engine'!$C$2:$C$679,0)),"",INDEX('Compliance Database'!$N$2:$N$679,MATCH(505,'Transfer Engine'!$C$2:$C$679,0)))</f>
        <v/>
      </c>
      <c r="O514" s="8">
        <f>IF(ISNA(MATCH(505,'Transfer Engine'!$C$2:$C$679,0)),"",INDEX('Compliance Database'!$O$2:$O$679,MATCH(505,'Transfer Engine'!$C$2:$C$679,0)))</f>
        <v/>
      </c>
      <c r="P514">
        <f>IF(ISNA(MATCH(505,'Transfer Engine'!$C$2:$C$679,0)),"",HYPERLINK(INDEX('Compliance Database'!$P$2:$P$679,MATCH(505,'Transfer Engine'!$C$2:$C$679,0)),"Open PDF"))</f>
        <v/>
      </c>
    </row>
    <row r="515">
      <c r="A515">
        <f>IF(ISNA(MATCH(506,'Transfer Engine'!$C$2:$C$679,0)),"",INDEX('Compliance Database'!$A$2:$A$679,MATCH(506,'Transfer Engine'!$C$2:$C$679,0)))</f>
        <v/>
      </c>
      <c r="B515">
        <f>IF(ISNA(MATCH(506,'Transfer Engine'!$C$2:$C$679,0)),"",INDEX('Compliance Database'!$B$2:$B$679,MATCH(506,'Transfer Engine'!$C$2:$C$679,0)))</f>
        <v/>
      </c>
      <c r="C515">
        <f>IF(ISNA(MATCH(506,'Transfer Engine'!$C$2:$C$679,0)),"",INDEX('Compliance Database'!$C$2:$C$679,MATCH(506,'Transfer Engine'!$C$2:$C$679,0)))</f>
        <v/>
      </c>
      <c r="D515" s="8">
        <f>IF(ISNA(MATCH(506,'Transfer Engine'!$C$2:$C$679,0)),"",INDEX('Compliance Database'!$D$2:$D$679,MATCH(506,'Transfer Engine'!$C$2:$C$679,0)))</f>
        <v/>
      </c>
      <c r="E515">
        <f>IF(ISNA(MATCH(506,'Transfer Engine'!$C$2:$C$679,0)),"",INDEX('Compliance Database'!$E$2:$E$679,MATCH(506,'Transfer Engine'!$C$2:$C$679,0)))</f>
        <v/>
      </c>
      <c r="F515">
        <f>IF(ISNA(MATCH(506,'Transfer Engine'!$C$2:$C$679,0)),"",INDEX('Compliance Database'!$F$2:$F$679,MATCH(506,'Transfer Engine'!$C$2:$C$679,0)))</f>
        <v/>
      </c>
      <c r="G515">
        <f>IF(ISNA(MATCH(506,'Transfer Engine'!$C$2:$C$679,0)),"",INDEX('Compliance Database'!$G$2:$G$679,MATCH(506,'Transfer Engine'!$C$2:$C$679,0)))</f>
        <v/>
      </c>
      <c r="H515">
        <f>IF(ISNA(MATCH(506,'Transfer Engine'!$C$2:$C$679,0)),"",INDEX('Compliance Database'!$H$2:$H$679,MATCH(506,'Transfer Engine'!$C$2:$C$679,0)))</f>
        <v/>
      </c>
      <c r="I515" s="8">
        <f>IF(ISNA(MATCH(506,'Transfer Engine'!$C$2:$C$679,0)),"",INDEX('Compliance Database'!$I$2:$I$679,MATCH(506,'Transfer Engine'!$C$2:$C$679,0)))</f>
        <v/>
      </c>
      <c r="J515" s="8">
        <f>IF(ISNA(MATCH(506,'Transfer Engine'!$C$2:$C$679,0)),"",INDEX('Compliance Database'!$J$2:$J$679,MATCH(506,'Transfer Engine'!$C$2:$C$679,0)))</f>
        <v/>
      </c>
      <c r="K515">
        <f>IF(ISNA(MATCH(506,'Transfer Engine'!$C$2:$C$679,0)),"",INDEX('Compliance Database'!$K$2:$K$679,MATCH(506,'Transfer Engine'!$C$2:$C$679,0)))</f>
        <v/>
      </c>
      <c r="L515" s="8">
        <f>IF(ISNA(MATCH(506,'Transfer Engine'!$C$2:$C$679,0)),"",INDEX('Compliance Database'!$L$2:$L$679,MATCH(506,'Transfer Engine'!$C$2:$C$679,0)))</f>
        <v/>
      </c>
      <c r="M515" s="8">
        <f>IF(ISNA(MATCH(506,'Transfer Engine'!$C$2:$C$679,0)),"",INDEX('Compliance Database'!$M$2:$M$679,MATCH(506,'Transfer Engine'!$C$2:$C$679,0)))</f>
        <v/>
      </c>
      <c r="N515" s="8">
        <f>IF(ISNA(MATCH(506,'Transfer Engine'!$C$2:$C$679,0)),"",INDEX('Compliance Database'!$N$2:$N$679,MATCH(506,'Transfer Engine'!$C$2:$C$679,0)))</f>
        <v/>
      </c>
      <c r="O515" s="8">
        <f>IF(ISNA(MATCH(506,'Transfer Engine'!$C$2:$C$679,0)),"",INDEX('Compliance Database'!$O$2:$O$679,MATCH(506,'Transfer Engine'!$C$2:$C$679,0)))</f>
        <v/>
      </c>
      <c r="P515">
        <f>IF(ISNA(MATCH(506,'Transfer Engine'!$C$2:$C$679,0)),"",HYPERLINK(INDEX('Compliance Database'!$P$2:$P$679,MATCH(506,'Transfer Engine'!$C$2:$C$679,0)),"Open PDF"))</f>
        <v/>
      </c>
    </row>
    <row r="516">
      <c r="A516">
        <f>IF(ISNA(MATCH(507,'Transfer Engine'!$C$2:$C$679,0)),"",INDEX('Compliance Database'!$A$2:$A$679,MATCH(507,'Transfer Engine'!$C$2:$C$679,0)))</f>
        <v/>
      </c>
      <c r="B516">
        <f>IF(ISNA(MATCH(507,'Transfer Engine'!$C$2:$C$679,0)),"",INDEX('Compliance Database'!$B$2:$B$679,MATCH(507,'Transfer Engine'!$C$2:$C$679,0)))</f>
        <v/>
      </c>
      <c r="C516">
        <f>IF(ISNA(MATCH(507,'Transfer Engine'!$C$2:$C$679,0)),"",INDEX('Compliance Database'!$C$2:$C$679,MATCH(507,'Transfer Engine'!$C$2:$C$679,0)))</f>
        <v/>
      </c>
      <c r="D516" s="8">
        <f>IF(ISNA(MATCH(507,'Transfer Engine'!$C$2:$C$679,0)),"",INDEX('Compliance Database'!$D$2:$D$679,MATCH(507,'Transfer Engine'!$C$2:$C$679,0)))</f>
        <v/>
      </c>
      <c r="E516">
        <f>IF(ISNA(MATCH(507,'Transfer Engine'!$C$2:$C$679,0)),"",INDEX('Compliance Database'!$E$2:$E$679,MATCH(507,'Transfer Engine'!$C$2:$C$679,0)))</f>
        <v/>
      </c>
      <c r="F516">
        <f>IF(ISNA(MATCH(507,'Transfer Engine'!$C$2:$C$679,0)),"",INDEX('Compliance Database'!$F$2:$F$679,MATCH(507,'Transfer Engine'!$C$2:$C$679,0)))</f>
        <v/>
      </c>
      <c r="G516">
        <f>IF(ISNA(MATCH(507,'Transfer Engine'!$C$2:$C$679,0)),"",INDEX('Compliance Database'!$G$2:$G$679,MATCH(507,'Transfer Engine'!$C$2:$C$679,0)))</f>
        <v/>
      </c>
      <c r="H516">
        <f>IF(ISNA(MATCH(507,'Transfer Engine'!$C$2:$C$679,0)),"",INDEX('Compliance Database'!$H$2:$H$679,MATCH(507,'Transfer Engine'!$C$2:$C$679,0)))</f>
        <v/>
      </c>
      <c r="I516" s="8">
        <f>IF(ISNA(MATCH(507,'Transfer Engine'!$C$2:$C$679,0)),"",INDEX('Compliance Database'!$I$2:$I$679,MATCH(507,'Transfer Engine'!$C$2:$C$679,0)))</f>
        <v/>
      </c>
      <c r="J516" s="8">
        <f>IF(ISNA(MATCH(507,'Transfer Engine'!$C$2:$C$679,0)),"",INDEX('Compliance Database'!$J$2:$J$679,MATCH(507,'Transfer Engine'!$C$2:$C$679,0)))</f>
        <v/>
      </c>
      <c r="K516">
        <f>IF(ISNA(MATCH(507,'Transfer Engine'!$C$2:$C$679,0)),"",INDEX('Compliance Database'!$K$2:$K$679,MATCH(507,'Transfer Engine'!$C$2:$C$679,0)))</f>
        <v/>
      </c>
      <c r="L516" s="8">
        <f>IF(ISNA(MATCH(507,'Transfer Engine'!$C$2:$C$679,0)),"",INDEX('Compliance Database'!$L$2:$L$679,MATCH(507,'Transfer Engine'!$C$2:$C$679,0)))</f>
        <v/>
      </c>
      <c r="M516" s="8">
        <f>IF(ISNA(MATCH(507,'Transfer Engine'!$C$2:$C$679,0)),"",INDEX('Compliance Database'!$M$2:$M$679,MATCH(507,'Transfer Engine'!$C$2:$C$679,0)))</f>
        <v/>
      </c>
      <c r="N516" s="8">
        <f>IF(ISNA(MATCH(507,'Transfer Engine'!$C$2:$C$679,0)),"",INDEX('Compliance Database'!$N$2:$N$679,MATCH(507,'Transfer Engine'!$C$2:$C$679,0)))</f>
        <v/>
      </c>
      <c r="O516" s="8">
        <f>IF(ISNA(MATCH(507,'Transfer Engine'!$C$2:$C$679,0)),"",INDEX('Compliance Database'!$O$2:$O$679,MATCH(507,'Transfer Engine'!$C$2:$C$679,0)))</f>
        <v/>
      </c>
      <c r="P516">
        <f>IF(ISNA(MATCH(507,'Transfer Engine'!$C$2:$C$679,0)),"",HYPERLINK(INDEX('Compliance Database'!$P$2:$P$679,MATCH(507,'Transfer Engine'!$C$2:$C$679,0)),"Open PDF"))</f>
        <v/>
      </c>
    </row>
    <row r="517">
      <c r="A517">
        <f>IF(ISNA(MATCH(508,'Transfer Engine'!$C$2:$C$679,0)),"",INDEX('Compliance Database'!$A$2:$A$679,MATCH(508,'Transfer Engine'!$C$2:$C$679,0)))</f>
        <v/>
      </c>
      <c r="B517">
        <f>IF(ISNA(MATCH(508,'Transfer Engine'!$C$2:$C$679,0)),"",INDEX('Compliance Database'!$B$2:$B$679,MATCH(508,'Transfer Engine'!$C$2:$C$679,0)))</f>
        <v/>
      </c>
      <c r="C517">
        <f>IF(ISNA(MATCH(508,'Transfer Engine'!$C$2:$C$679,0)),"",INDEX('Compliance Database'!$C$2:$C$679,MATCH(508,'Transfer Engine'!$C$2:$C$679,0)))</f>
        <v/>
      </c>
      <c r="D517" s="8">
        <f>IF(ISNA(MATCH(508,'Transfer Engine'!$C$2:$C$679,0)),"",INDEX('Compliance Database'!$D$2:$D$679,MATCH(508,'Transfer Engine'!$C$2:$C$679,0)))</f>
        <v/>
      </c>
      <c r="E517">
        <f>IF(ISNA(MATCH(508,'Transfer Engine'!$C$2:$C$679,0)),"",INDEX('Compliance Database'!$E$2:$E$679,MATCH(508,'Transfer Engine'!$C$2:$C$679,0)))</f>
        <v/>
      </c>
      <c r="F517">
        <f>IF(ISNA(MATCH(508,'Transfer Engine'!$C$2:$C$679,0)),"",INDEX('Compliance Database'!$F$2:$F$679,MATCH(508,'Transfer Engine'!$C$2:$C$679,0)))</f>
        <v/>
      </c>
      <c r="G517">
        <f>IF(ISNA(MATCH(508,'Transfer Engine'!$C$2:$C$679,0)),"",INDEX('Compliance Database'!$G$2:$G$679,MATCH(508,'Transfer Engine'!$C$2:$C$679,0)))</f>
        <v/>
      </c>
      <c r="H517">
        <f>IF(ISNA(MATCH(508,'Transfer Engine'!$C$2:$C$679,0)),"",INDEX('Compliance Database'!$H$2:$H$679,MATCH(508,'Transfer Engine'!$C$2:$C$679,0)))</f>
        <v/>
      </c>
      <c r="I517" s="8">
        <f>IF(ISNA(MATCH(508,'Transfer Engine'!$C$2:$C$679,0)),"",INDEX('Compliance Database'!$I$2:$I$679,MATCH(508,'Transfer Engine'!$C$2:$C$679,0)))</f>
        <v/>
      </c>
      <c r="J517" s="8">
        <f>IF(ISNA(MATCH(508,'Transfer Engine'!$C$2:$C$679,0)),"",INDEX('Compliance Database'!$J$2:$J$679,MATCH(508,'Transfer Engine'!$C$2:$C$679,0)))</f>
        <v/>
      </c>
      <c r="K517">
        <f>IF(ISNA(MATCH(508,'Transfer Engine'!$C$2:$C$679,0)),"",INDEX('Compliance Database'!$K$2:$K$679,MATCH(508,'Transfer Engine'!$C$2:$C$679,0)))</f>
        <v/>
      </c>
      <c r="L517" s="8">
        <f>IF(ISNA(MATCH(508,'Transfer Engine'!$C$2:$C$679,0)),"",INDEX('Compliance Database'!$L$2:$L$679,MATCH(508,'Transfer Engine'!$C$2:$C$679,0)))</f>
        <v/>
      </c>
      <c r="M517" s="8">
        <f>IF(ISNA(MATCH(508,'Transfer Engine'!$C$2:$C$679,0)),"",INDEX('Compliance Database'!$M$2:$M$679,MATCH(508,'Transfer Engine'!$C$2:$C$679,0)))</f>
        <v/>
      </c>
      <c r="N517" s="8">
        <f>IF(ISNA(MATCH(508,'Transfer Engine'!$C$2:$C$679,0)),"",INDEX('Compliance Database'!$N$2:$N$679,MATCH(508,'Transfer Engine'!$C$2:$C$679,0)))</f>
        <v/>
      </c>
      <c r="O517" s="8">
        <f>IF(ISNA(MATCH(508,'Transfer Engine'!$C$2:$C$679,0)),"",INDEX('Compliance Database'!$O$2:$O$679,MATCH(508,'Transfer Engine'!$C$2:$C$679,0)))</f>
        <v/>
      </c>
      <c r="P517">
        <f>IF(ISNA(MATCH(508,'Transfer Engine'!$C$2:$C$679,0)),"",HYPERLINK(INDEX('Compliance Database'!$P$2:$P$679,MATCH(508,'Transfer Engine'!$C$2:$C$679,0)),"Open PDF"))</f>
        <v/>
      </c>
    </row>
    <row r="518">
      <c r="A518">
        <f>IF(ISNA(MATCH(509,'Transfer Engine'!$C$2:$C$679,0)),"",INDEX('Compliance Database'!$A$2:$A$679,MATCH(509,'Transfer Engine'!$C$2:$C$679,0)))</f>
        <v/>
      </c>
      <c r="B518">
        <f>IF(ISNA(MATCH(509,'Transfer Engine'!$C$2:$C$679,0)),"",INDEX('Compliance Database'!$B$2:$B$679,MATCH(509,'Transfer Engine'!$C$2:$C$679,0)))</f>
        <v/>
      </c>
      <c r="C518">
        <f>IF(ISNA(MATCH(509,'Transfer Engine'!$C$2:$C$679,0)),"",INDEX('Compliance Database'!$C$2:$C$679,MATCH(509,'Transfer Engine'!$C$2:$C$679,0)))</f>
        <v/>
      </c>
      <c r="D518" s="8">
        <f>IF(ISNA(MATCH(509,'Transfer Engine'!$C$2:$C$679,0)),"",INDEX('Compliance Database'!$D$2:$D$679,MATCH(509,'Transfer Engine'!$C$2:$C$679,0)))</f>
        <v/>
      </c>
      <c r="E518">
        <f>IF(ISNA(MATCH(509,'Transfer Engine'!$C$2:$C$679,0)),"",INDEX('Compliance Database'!$E$2:$E$679,MATCH(509,'Transfer Engine'!$C$2:$C$679,0)))</f>
        <v/>
      </c>
      <c r="F518">
        <f>IF(ISNA(MATCH(509,'Transfer Engine'!$C$2:$C$679,0)),"",INDEX('Compliance Database'!$F$2:$F$679,MATCH(509,'Transfer Engine'!$C$2:$C$679,0)))</f>
        <v/>
      </c>
      <c r="G518">
        <f>IF(ISNA(MATCH(509,'Transfer Engine'!$C$2:$C$679,0)),"",INDEX('Compliance Database'!$G$2:$G$679,MATCH(509,'Transfer Engine'!$C$2:$C$679,0)))</f>
        <v/>
      </c>
      <c r="H518">
        <f>IF(ISNA(MATCH(509,'Transfer Engine'!$C$2:$C$679,0)),"",INDEX('Compliance Database'!$H$2:$H$679,MATCH(509,'Transfer Engine'!$C$2:$C$679,0)))</f>
        <v/>
      </c>
      <c r="I518" s="8">
        <f>IF(ISNA(MATCH(509,'Transfer Engine'!$C$2:$C$679,0)),"",INDEX('Compliance Database'!$I$2:$I$679,MATCH(509,'Transfer Engine'!$C$2:$C$679,0)))</f>
        <v/>
      </c>
      <c r="J518" s="8">
        <f>IF(ISNA(MATCH(509,'Transfer Engine'!$C$2:$C$679,0)),"",INDEX('Compliance Database'!$J$2:$J$679,MATCH(509,'Transfer Engine'!$C$2:$C$679,0)))</f>
        <v/>
      </c>
      <c r="K518">
        <f>IF(ISNA(MATCH(509,'Transfer Engine'!$C$2:$C$679,0)),"",INDEX('Compliance Database'!$K$2:$K$679,MATCH(509,'Transfer Engine'!$C$2:$C$679,0)))</f>
        <v/>
      </c>
      <c r="L518" s="8">
        <f>IF(ISNA(MATCH(509,'Transfer Engine'!$C$2:$C$679,0)),"",INDEX('Compliance Database'!$L$2:$L$679,MATCH(509,'Transfer Engine'!$C$2:$C$679,0)))</f>
        <v/>
      </c>
      <c r="M518" s="8">
        <f>IF(ISNA(MATCH(509,'Transfer Engine'!$C$2:$C$679,0)),"",INDEX('Compliance Database'!$M$2:$M$679,MATCH(509,'Transfer Engine'!$C$2:$C$679,0)))</f>
        <v/>
      </c>
      <c r="N518" s="8">
        <f>IF(ISNA(MATCH(509,'Transfer Engine'!$C$2:$C$679,0)),"",INDEX('Compliance Database'!$N$2:$N$679,MATCH(509,'Transfer Engine'!$C$2:$C$679,0)))</f>
        <v/>
      </c>
      <c r="O518" s="8">
        <f>IF(ISNA(MATCH(509,'Transfer Engine'!$C$2:$C$679,0)),"",INDEX('Compliance Database'!$O$2:$O$679,MATCH(509,'Transfer Engine'!$C$2:$C$679,0)))</f>
        <v/>
      </c>
      <c r="P518">
        <f>IF(ISNA(MATCH(509,'Transfer Engine'!$C$2:$C$679,0)),"",HYPERLINK(INDEX('Compliance Database'!$P$2:$P$679,MATCH(509,'Transfer Engine'!$C$2:$C$679,0)),"Open PDF"))</f>
        <v/>
      </c>
    </row>
    <row r="519">
      <c r="A519">
        <f>IF(ISNA(MATCH(510,'Transfer Engine'!$C$2:$C$679,0)),"",INDEX('Compliance Database'!$A$2:$A$679,MATCH(510,'Transfer Engine'!$C$2:$C$679,0)))</f>
        <v/>
      </c>
      <c r="B519">
        <f>IF(ISNA(MATCH(510,'Transfer Engine'!$C$2:$C$679,0)),"",INDEX('Compliance Database'!$B$2:$B$679,MATCH(510,'Transfer Engine'!$C$2:$C$679,0)))</f>
        <v/>
      </c>
      <c r="C519">
        <f>IF(ISNA(MATCH(510,'Transfer Engine'!$C$2:$C$679,0)),"",INDEX('Compliance Database'!$C$2:$C$679,MATCH(510,'Transfer Engine'!$C$2:$C$679,0)))</f>
        <v/>
      </c>
      <c r="D519" s="8">
        <f>IF(ISNA(MATCH(510,'Transfer Engine'!$C$2:$C$679,0)),"",INDEX('Compliance Database'!$D$2:$D$679,MATCH(510,'Transfer Engine'!$C$2:$C$679,0)))</f>
        <v/>
      </c>
      <c r="E519">
        <f>IF(ISNA(MATCH(510,'Transfer Engine'!$C$2:$C$679,0)),"",INDEX('Compliance Database'!$E$2:$E$679,MATCH(510,'Transfer Engine'!$C$2:$C$679,0)))</f>
        <v/>
      </c>
      <c r="F519">
        <f>IF(ISNA(MATCH(510,'Transfer Engine'!$C$2:$C$679,0)),"",INDEX('Compliance Database'!$F$2:$F$679,MATCH(510,'Transfer Engine'!$C$2:$C$679,0)))</f>
        <v/>
      </c>
      <c r="G519">
        <f>IF(ISNA(MATCH(510,'Transfer Engine'!$C$2:$C$679,0)),"",INDEX('Compliance Database'!$G$2:$G$679,MATCH(510,'Transfer Engine'!$C$2:$C$679,0)))</f>
        <v/>
      </c>
      <c r="H519">
        <f>IF(ISNA(MATCH(510,'Transfer Engine'!$C$2:$C$679,0)),"",INDEX('Compliance Database'!$H$2:$H$679,MATCH(510,'Transfer Engine'!$C$2:$C$679,0)))</f>
        <v/>
      </c>
      <c r="I519" s="8">
        <f>IF(ISNA(MATCH(510,'Transfer Engine'!$C$2:$C$679,0)),"",INDEX('Compliance Database'!$I$2:$I$679,MATCH(510,'Transfer Engine'!$C$2:$C$679,0)))</f>
        <v/>
      </c>
      <c r="J519" s="8">
        <f>IF(ISNA(MATCH(510,'Transfer Engine'!$C$2:$C$679,0)),"",INDEX('Compliance Database'!$J$2:$J$679,MATCH(510,'Transfer Engine'!$C$2:$C$679,0)))</f>
        <v/>
      </c>
      <c r="K519">
        <f>IF(ISNA(MATCH(510,'Transfer Engine'!$C$2:$C$679,0)),"",INDEX('Compliance Database'!$K$2:$K$679,MATCH(510,'Transfer Engine'!$C$2:$C$679,0)))</f>
        <v/>
      </c>
      <c r="L519" s="8">
        <f>IF(ISNA(MATCH(510,'Transfer Engine'!$C$2:$C$679,0)),"",INDEX('Compliance Database'!$L$2:$L$679,MATCH(510,'Transfer Engine'!$C$2:$C$679,0)))</f>
        <v/>
      </c>
      <c r="M519" s="8">
        <f>IF(ISNA(MATCH(510,'Transfer Engine'!$C$2:$C$679,0)),"",INDEX('Compliance Database'!$M$2:$M$679,MATCH(510,'Transfer Engine'!$C$2:$C$679,0)))</f>
        <v/>
      </c>
      <c r="N519" s="8">
        <f>IF(ISNA(MATCH(510,'Transfer Engine'!$C$2:$C$679,0)),"",INDEX('Compliance Database'!$N$2:$N$679,MATCH(510,'Transfer Engine'!$C$2:$C$679,0)))</f>
        <v/>
      </c>
      <c r="O519" s="8">
        <f>IF(ISNA(MATCH(510,'Transfer Engine'!$C$2:$C$679,0)),"",INDEX('Compliance Database'!$O$2:$O$679,MATCH(510,'Transfer Engine'!$C$2:$C$679,0)))</f>
        <v/>
      </c>
      <c r="P519">
        <f>IF(ISNA(MATCH(510,'Transfer Engine'!$C$2:$C$679,0)),"",HYPERLINK(INDEX('Compliance Database'!$P$2:$P$679,MATCH(510,'Transfer Engine'!$C$2:$C$679,0)),"Open PDF"))</f>
        <v/>
      </c>
    </row>
    <row r="520">
      <c r="A520">
        <f>IF(ISNA(MATCH(511,'Transfer Engine'!$C$2:$C$679,0)),"",INDEX('Compliance Database'!$A$2:$A$679,MATCH(511,'Transfer Engine'!$C$2:$C$679,0)))</f>
        <v/>
      </c>
      <c r="B520">
        <f>IF(ISNA(MATCH(511,'Transfer Engine'!$C$2:$C$679,0)),"",INDEX('Compliance Database'!$B$2:$B$679,MATCH(511,'Transfer Engine'!$C$2:$C$679,0)))</f>
        <v/>
      </c>
      <c r="C520">
        <f>IF(ISNA(MATCH(511,'Transfer Engine'!$C$2:$C$679,0)),"",INDEX('Compliance Database'!$C$2:$C$679,MATCH(511,'Transfer Engine'!$C$2:$C$679,0)))</f>
        <v/>
      </c>
      <c r="D520" s="8">
        <f>IF(ISNA(MATCH(511,'Transfer Engine'!$C$2:$C$679,0)),"",INDEX('Compliance Database'!$D$2:$D$679,MATCH(511,'Transfer Engine'!$C$2:$C$679,0)))</f>
        <v/>
      </c>
      <c r="E520">
        <f>IF(ISNA(MATCH(511,'Transfer Engine'!$C$2:$C$679,0)),"",INDEX('Compliance Database'!$E$2:$E$679,MATCH(511,'Transfer Engine'!$C$2:$C$679,0)))</f>
        <v/>
      </c>
      <c r="F520">
        <f>IF(ISNA(MATCH(511,'Transfer Engine'!$C$2:$C$679,0)),"",INDEX('Compliance Database'!$F$2:$F$679,MATCH(511,'Transfer Engine'!$C$2:$C$679,0)))</f>
        <v/>
      </c>
      <c r="G520">
        <f>IF(ISNA(MATCH(511,'Transfer Engine'!$C$2:$C$679,0)),"",INDEX('Compliance Database'!$G$2:$G$679,MATCH(511,'Transfer Engine'!$C$2:$C$679,0)))</f>
        <v/>
      </c>
      <c r="H520">
        <f>IF(ISNA(MATCH(511,'Transfer Engine'!$C$2:$C$679,0)),"",INDEX('Compliance Database'!$H$2:$H$679,MATCH(511,'Transfer Engine'!$C$2:$C$679,0)))</f>
        <v/>
      </c>
      <c r="I520" s="8">
        <f>IF(ISNA(MATCH(511,'Transfer Engine'!$C$2:$C$679,0)),"",INDEX('Compliance Database'!$I$2:$I$679,MATCH(511,'Transfer Engine'!$C$2:$C$679,0)))</f>
        <v/>
      </c>
      <c r="J520" s="8">
        <f>IF(ISNA(MATCH(511,'Transfer Engine'!$C$2:$C$679,0)),"",INDEX('Compliance Database'!$J$2:$J$679,MATCH(511,'Transfer Engine'!$C$2:$C$679,0)))</f>
        <v/>
      </c>
      <c r="K520">
        <f>IF(ISNA(MATCH(511,'Transfer Engine'!$C$2:$C$679,0)),"",INDEX('Compliance Database'!$K$2:$K$679,MATCH(511,'Transfer Engine'!$C$2:$C$679,0)))</f>
        <v/>
      </c>
      <c r="L520" s="8">
        <f>IF(ISNA(MATCH(511,'Transfer Engine'!$C$2:$C$679,0)),"",INDEX('Compliance Database'!$L$2:$L$679,MATCH(511,'Transfer Engine'!$C$2:$C$679,0)))</f>
        <v/>
      </c>
      <c r="M520" s="8">
        <f>IF(ISNA(MATCH(511,'Transfer Engine'!$C$2:$C$679,0)),"",INDEX('Compliance Database'!$M$2:$M$679,MATCH(511,'Transfer Engine'!$C$2:$C$679,0)))</f>
        <v/>
      </c>
      <c r="N520" s="8">
        <f>IF(ISNA(MATCH(511,'Transfer Engine'!$C$2:$C$679,0)),"",INDEX('Compliance Database'!$N$2:$N$679,MATCH(511,'Transfer Engine'!$C$2:$C$679,0)))</f>
        <v/>
      </c>
      <c r="O520" s="8">
        <f>IF(ISNA(MATCH(511,'Transfer Engine'!$C$2:$C$679,0)),"",INDEX('Compliance Database'!$O$2:$O$679,MATCH(511,'Transfer Engine'!$C$2:$C$679,0)))</f>
        <v/>
      </c>
      <c r="P520">
        <f>IF(ISNA(MATCH(511,'Transfer Engine'!$C$2:$C$679,0)),"",HYPERLINK(INDEX('Compliance Database'!$P$2:$P$679,MATCH(511,'Transfer Engine'!$C$2:$C$679,0)),"Open PDF"))</f>
        <v/>
      </c>
    </row>
    <row r="521">
      <c r="A521">
        <f>IF(ISNA(MATCH(512,'Transfer Engine'!$C$2:$C$679,0)),"",INDEX('Compliance Database'!$A$2:$A$679,MATCH(512,'Transfer Engine'!$C$2:$C$679,0)))</f>
        <v/>
      </c>
      <c r="B521">
        <f>IF(ISNA(MATCH(512,'Transfer Engine'!$C$2:$C$679,0)),"",INDEX('Compliance Database'!$B$2:$B$679,MATCH(512,'Transfer Engine'!$C$2:$C$679,0)))</f>
        <v/>
      </c>
      <c r="C521">
        <f>IF(ISNA(MATCH(512,'Transfer Engine'!$C$2:$C$679,0)),"",INDEX('Compliance Database'!$C$2:$C$679,MATCH(512,'Transfer Engine'!$C$2:$C$679,0)))</f>
        <v/>
      </c>
      <c r="D521" s="8">
        <f>IF(ISNA(MATCH(512,'Transfer Engine'!$C$2:$C$679,0)),"",INDEX('Compliance Database'!$D$2:$D$679,MATCH(512,'Transfer Engine'!$C$2:$C$679,0)))</f>
        <v/>
      </c>
      <c r="E521">
        <f>IF(ISNA(MATCH(512,'Transfer Engine'!$C$2:$C$679,0)),"",INDEX('Compliance Database'!$E$2:$E$679,MATCH(512,'Transfer Engine'!$C$2:$C$679,0)))</f>
        <v/>
      </c>
      <c r="F521">
        <f>IF(ISNA(MATCH(512,'Transfer Engine'!$C$2:$C$679,0)),"",INDEX('Compliance Database'!$F$2:$F$679,MATCH(512,'Transfer Engine'!$C$2:$C$679,0)))</f>
        <v/>
      </c>
      <c r="G521">
        <f>IF(ISNA(MATCH(512,'Transfer Engine'!$C$2:$C$679,0)),"",INDEX('Compliance Database'!$G$2:$G$679,MATCH(512,'Transfer Engine'!$C$2:$C$679,0)))</f>
        <v/>
      </c>
      <c r="H521">
        <f>IF(ISNA(MATCH(512,'Transfer Engine'!$C$2:$C$679,0)),"",INDEX('Compliance Database'!$H$2:$H$679,MATCH(512,'Transfer Engine'!$C$2:$C$679,0)))</f>
        <v/>
      </c>
      <c r="I521" s="8">
        <f>IF(ISNA(MATCH(512,'Transfer Engine'!$C$2:$C$679,0)),"",INDEX('Compliance Database'!$I$2:$I$679,MATCH(512,'Transfer Engine'!$C$2:$C$679,0)))</f>
        <v/>
      </c>
      <c r="J521" s="8">
        <f>IF(ISNA(MATCH(512,'Transfer Engine'!$C$2:$C$679,0)),"",INDEX('Compliance Database'!$J$2:$J$679,MATCH(512,'Transfer Engine'!$C$2:$C$679,0)))</f>
        <v/>
      </c>
      <c r="K521">
        <f>IF(ISNA(MATCH(512,'Transfer Engine'!$C$2:$C$679,0)),"",INDEX('Compliance Database'!$K$2:$K$679,MATCH(512,'Transfer Engine'!$C$2:$C$679,0)))</f>
        <v/>
      </c>
      <c r="L521" s="8">
        <f>IF(ISNA(MATCH(512,'Transfer Engine'!$C$2:$C$679,0)),"",INDEX('Compliance Database'!$L$2:$L$679,MATCH(512,'Transfer Engine'!$C$2:$C$679,0)))</f>
        <v/>
      </c>
      <c r="M521" s="8">
        <f>IF(ISNA(MATCH(512,'Transfer Engine'!$C$2:$C$679,0)),"",INDEX('Compliance Database'!$M$2:$M$679,MATCH(512,'Transfer Engine'!$C$2:$C$679,0)))</f>
        <v/>
      </c>
      <c r="N521" s="8">
        <f>IF(ISNA(MATCH(512,'Transfer Engine'!$C$2:$C$679,0)),"",INDEX('Compliance Database'!$N$2:$N$679,MATCH(512,'Transfer Engine'!$C$2:$C$679,0)))</f>
        <v/>
      </c>
      <c r="O521" s="8">
        <f>IF(ISNA(MATCH(512,'Transfer Engine'!$C$2:$C$679,0)),"",INDEX('Compliance Database'!$O$2:$O$679,MATCH(512,'Transfer Engine'!$C$2:$C$679,0)))</f>
        <v/>
      </c>
      <c r="P521">
        <f>IF(ISNA(MATCH(512,'Transfer Engine'!$C$2:$C$679,0)),"",HYPERLINK(INDEX('Compliance Database'!$P$2:$P$679,MATCH(512,'Transfer Engine'!$C$2:$C$679,0)),"Open PDF"))</f>
        <v/>
      </c>
    </row>
    <row r="522">
      <c r="A522">
        <f>IF(ISNA(MATCH(513,'Transfer Engine'!$C$2:$C$679,0)),"",INDEX('Compliance Database'!$A$2:$A$679,MATCH(513,'Transfer Engine'!$C$2:$C$679,0)))</f>
        <v/>
      </c>
      <c r="B522">
        <f>IF(ISNA(MATCH(513,'Transfer Engine'!$C$2:$C$679,0)),"",INDEX('Compliance Database'!$B$2:$B$679,MATCH(513,'Transfer Engine'!$C$2:$C$679,0)))</f>
        <v/>
      </c>
      <c r="C522">
        <f>IF(ISNA(MATCH(513,'Transfer Engine'!$C$2:$C$679,0)),"",INDEX('Compliance Database'!$C$2:$C$679,MATCH(513,'Transfer Engine'!$C$2:$C$679,0)))</f>
        <v/>
      </c>
      <c r="D522" s="8">
        <f>IF(ISNA(MATCH(513,'Transfer Engine'!$C$2:$C$679,0)),"",INDEX('Compliance Database'!$D$2:$D$679,MATCH(513,'Transfer Engine'!$C$2:$C$679,0)))</f>
        <v/>
      </c>
      <c r="E522">
        <f>IF(ISNA(MATCH(513,'Transfer Engine'!$C$2:$C$679,0)),"",INDEX('Compliance Database'!$E$2:$E$679,MATCH(513,'Transfer Engine'!$C$2:$C$679,0)))</f>
        <v/>
      </c>
      <c r="F522">
        <f>IF(ISNA(MATCH(513,'Transfer Engine'!$C$2:$C$679,0)),"",INDEX('Compliance Database'!$F$2:$F$679,MATCH(513,'Transfer Engine'!$C$2:$C$679,0)))</f>
        <v/>
      </c>
      <c r="G522">
        <f>IF(ISNA(MATCH(513,'Transfer Engine'!$C$2:$C$679,0)),"",INDEX('Compliance Database'!$G$2:$G$679,MATCH(513,'Transfer Engine'!$C$2:$C$679,0)))</f>
        <v/>
      </c>
      <c r="H522">
        <f>IF(ISNA(MATCH(513,'Transfer Engine'!$C$2:$C$679,0)),"",INDEX('Compliance Database'!$H$2:$H$679,MATCH(513,'Transfer Engine'!$C$2:$C$679,0)))</f>
        <v/>
      </c>
      <c r="I522" s="8">
        <f>IF(ISNA(MATCH(513,'Transfer Engine'!$C$2:$C$679,0)),"",INDEX('Compliance Database'!$I$2:$I$679,MATCH(513,'Transfer Engine'!$C$2:$C$679,0)))</f>
        <v/>
      </c>
      <c r="J522" s="8">
        <f>IF(ISNA(MATCH(513,'Transfer Engine'!$C$2:$C$679,0)),"",INDEX('Compliance Database'!$J$2:$J$679,MATCH(513,'Transfer Engine'!$C$2:$C$679,0)))</f>
        <v/>
      </c>
      <c r="K522">
        <f>IF(ISNA(MATCH(513,'Transfer Engine'!$C$2:$C$679,0)),"",INDEX('Compliance Database'!$K$2:$K$679,MATCH(513,'Transfer Engine'!$C$2:$C$679,0)))</f>
        <v/>
      </c>
      <c r="L522" s="8">
        <f>IF(ISNA(MATCH(513,'Transfer Engine'!$C$2:$C$679,0)),"",INDEX('Compliance Database'!$L$2:$L$679,MATCH(513,'Transfer Engine'!$C$2:$C$679,0)))</f>
        <v/>
      </c>
      <c r="M522" s="8">
        <f>IF(ISNA(MATCH(513,'Transfer Engine'!$C$2:$C$679,0)),"",INDEX('Compliance Database'!$M$2:$M$679,MATCH(513,'Transfer Engine'!$C$2:$C$679,0)))</f>
        <v/>
      </c>
      <c r="N522" s="8">
        <f>IF(ISNA(MATCH(513,'Transfer Engine'!$C$2:$C$679,0)),"",INDEX('Compliance Database'!$N$2:$N$679,MATCH(513,'Transfer Engine'!$C$2:$C$679,0)))</f>
        <v/>
      </c>
      <c r="O522" s="8">
        <f>IF(ISNA(MATCH(513,'Transfer Engine'!$C$2:$C$679,0)),"",INDEX('Compliance Database'!$O$2:$O$679,MATCH(513,'Transfer Engine'!$C$2:$C$679,0)))</f>
        <v/>
      </c>
      <c r="P522">
        <f>IF(ISNA(MATCH(513,'Transfer Engine'!$C$2:$C$679,0)),"",HYPERLINK(INDEX('Compliance Database'!$P$2:$P$679,MATCH(513,'Transfer Engine'!$C$2:$C$679,0)),"Open PDF"))</f>
        <v/>
      </c>
    </row>
    <row r="523">
      <c r="A523">
        <f>IF(ISNA(MATCH(514,'Transfer Engine'!$C$2:$C$679,0)),"",INDEX('Compliance Database'!$A$2:$A$679,MATCH(514,'Transfer Engine'!$C$2:$C$679,0)))</f>
        <v/>
      </c>
      <c r="B523">
        <f>IF(ISNA(MATCH(514,'Transfer Engine'!$C$2:$C$679,0)),"",INDEX('Compliance Database'!$B$2:$B$679,MATCH(514,'Transfer Engine'!$C$2:$C$679,0)))</f>
        <v/>
      </c>
      <c r="C523">
        <f>IF(ISNA(MATCH(514,'Transfer Engine'!$C$2:$C$679,0)),"",INDEX('Compliance Database'!$C$2:$C$679,MATCH(514,'Transfer Engine'!$C$2:$C$679,0)))</f>
        <v/>
      </c>
      <c r="D523" s="8">
        <f>IF(ISNA(MATCH(514,'Transfer Engine'!$C$2:$C$679,0)),"",INDEX('Compliance Database'!$D$2:$D$679,MATCH(514,'Transfer Engine'!$C$2:$C$679,0)))</f>
        <v/>
      </c>
      <c r="E523">
        <f>IF(ISNA(MATCH(514,'Transfer Engine'!$C$2:$C$679,0)),"",INDEX('Compliance Database'!$E$2:$E$679,MATCH(514,'Transfer Engine'!$C$2:$C$679,0)))</f>
        <v/>
      </c>
      <c r="F523">
        <f>IF(ISNA(MATCH(514,'Transfer Engine'!$C$2:$C$679,0)),"",INDEX('Compliance Database'!$F$2:$F$679,MATCH(514,'Transfer Engine'!$C$2:$C$679,0)))</f>
        <v/>
      </c>
      <c r="G523">
        <f>IF(ISNA(MATCH(514,'Transfer Engine'!$C$2:$C$679,0)),"",INDEX('Compliance Database'!$G$2:$G$679,MATCH(514,'Transfer Engine'!$C$2:$C$679,0)))</f>
        <v/>
      </c>
      <c r="H523">
        <f>IF(ISNA(MATCH(514,'Transfer Engine'!$C$2:$C$679,0)),"",INDEX('Compliance Database'!$H$2:$H$679,MATCH(514,'Transfer Engine'!$C$2:$C$679,0)))</f>
        <v/>
      </c>
      <c r="I523" s="8">
        <f>IF(ISNA(MATCH(514,'Transfer Engine'!$C$2:$C$679,0)),"",INDEX('Compliance Database'!$I$2:$I$679,MATCH(514,'Transfer Engine'!$C$2:$C$679,0)))</f>
        <v/>
      </c>
      <c r="J523" s="8">
        <f>IF(ISNA(MATCH(514,'Transfer Engine'!$C$2:$C$679,0)),"",INDEX('Compliance Database'!$J$2:$J$679,MATCH(514,'Transfer Engine'!$C$2:$C$679,0)))</f>
        <v/>
      </c>
      <c r="K523">
        <f>IF(ISNA(MATCH(514,'Transfer Engine'!$C$2:$C$679,0)),"",INDEX('Compliance Database'!$K$2:$K$679,MATCH(514,'Transfer Engine'!$C$2:$C$679,0)))</f>
        <v/>
      </c>
      <c r="L523" s="8">
        <f>IF(ISNA(MATCH(514,'Transfer Engine'!$C$2:$C$679,0)),"",INDEX('Compliance Database'!$L$2:$L$679,MATCH(514,'Transfer Engine'!$C$2:$C$679,0)))</f>
        <v/>
      </c>
      <c r="M523" s="8">
        <f>IF(ISNA(MATCH(514,'Transfer Engine'!$C$2:$C$679,0)),"",INDEX('Compliance Database'!$M$2:$M$679,MATCH(514,'Transfer Engine'!$C$2:$C$679,0)))</f>
        <v/>
      </c>
      <c r="N523" s="8">
        <f>IF(ISNA(MATCH(514,'Transfer Engine'!$C$2:$C$679,0)),"",INDEX('Compliance Database'!$N$2:$N$679,MATCH(514,'Transfer Engine'!$C$2:$C$679,0)))</f>
        <v/>
      </c>
      <c r="O523" s="8">
        <f>IF(ISNA(MATCH(514,'Transfer Engine'!$C$2:$C$679,0)),"",INDEX('Compliance Database'!$O$2:$O$679,MATCH(514,'Transfer Engine'!$C$2:$C$679,0)))</f>
        <v/>
      </c>
      <c r="P523">
        <f>IF(ISNA(MATCH(514,'Transfer Engine'!$C$2:$C$679,0)),"",HYPERLINK(INDEX('Compliance Database'!$P$2:$P$679,MATCH(514,'Transfer Engine'!$C$2:$C$679,0)),"Open PDF"))</f>
        <v/>
      </c>
    </row>
    <row r="524">
      <c r="A524">
        <f>IF(ISNA(MATCH(515,'Transfer Engine'!$C$2:$C$679,0)),"",INDEX('Compliance Database'!$A$2:$A$679,MATCH(515,'Transfer Engine'!$C$2:$C$679,0)))</f>
        <v/>
      </c>
      <c r="B524">
        <f>IF(ISNA(MATCH(515,'Transfer Engine'!$C$2:$C$679,0)),"",INDEX('Compliance Database'!$B$2:$B$679,MATCH(515,'Transfer Engine'!$C$2:$C$679,0)))</f>
        <v/>
      </c>
      <c r="C524">
        <f>IF(ISNA(MATCH(515,'Transfer Engine'!$C$2:$C$679,0)),"",INDEX('Compliance Database'!$C$2:$C$679,MATCH(515,'Transfer Engine'!$C$2:$C$679,0)))</f>
        <v/>
      </c>
      <c r="D524" s="8">
        <f>IF(ISNA(MATCH(515,'Transfer Engine'!$C$2:$C$679,0)),"",INDEX('Compliance Database'!$D$2:$D$679,MATCH(515,'Transfer Engine'!$C$2:$C$679,0)))</f>
        <v/>
      </c>
      <c r="E524">
        <f>IF(ISNA(MATCH(515,'Transfer Engine'!$C$2:$C$679,0)),"",INDEX('Compliance Database'!$E$2:$E$679,MATCH(515,'Transfer Engine'!$C$2:$C$679,0)))</f>
        <v/>
      </c>
      <c r="F524">
        <f>IF(ISNA(MATCH(515,'Transfer Engine'!$C$2:$C$679,0)),"",INDEX('Compliance Database'!$F$2:$F$679,MATCH(515,'Transfer Engine'!$C$2:$C$679,0)))</f>
        <v/>
      </c>
      <c r="G524">
        <f>IF(ISNA(MATCH(515,'Transfer Engine'!$C$2:$C$679,0)),"",INDEX('Compliance Database'!$G$2:$G$679,MATCH(515,'Transfer Engine'!$C$2:$C$679,0)))</f>
        <v/>
      </c>
      <c r="H524">
        <f>IF(ISNA(MATCH(515,'Transfer Engine'!$C$2:$C$679,0)),"",INDEX('Compliance Database'!$H$2:$H$679,MATCH(515,'Transfer Engine'!$C$2:$C$679,0)))</f>
        <v/>
      </c>
      <c r="I524" s="8">
        <f>IF(ISNA(MATCH(515,'Transfer Engine'!$C$2:$C$679,0)),"",INDEX('Compliance Database'!$I$2:$I$679,MATCH(515,'Transfer Engine'!$C$2:$C$679,0)))</f>
        <v/>
      </c>
      <c r="J524" s="8">
        <f>IF(ISNA(MATCH(515,'Transfer Engine'!$C$2:$C$679,0)),"",INDEX('Compliance Database'!$J$2:$J$679,MATCH(515,'Transfer Engine'!$C$2:$C$679,0)))</f>
        <v/>
      </c>
      <c r="K524">
        <f>IF(ISNA(MATCH(515,'Transfer Engine'!$C$2:$C$679,0)),"",INDEX('Compliance Database'!$K$2:$K$679,MATCH(515,'Transfer Engine'!$C$2:$C$679,0)))</f>
        <v/>
      </c>
      <c r="L524" s="8">
        <f>IF(ISNA(MATCH(515,'Transfer Engine'!$C$2:$C$679,0)),"",INDEX('Compliance Database'!$L$2:$L$679,MATCH(515,'Transfer Engine'!$C$2:$C$679,0)))</f>
        <v/>
      </c>
      <c r="M524" s="8">
        <f>IF(ISNA(MATCH(515,'Transfer Engine'!$C$2:$C$679,0)),"",INDEX('Compliance Database'!$M$2:$M$679,MATCH(515,'Transfer Engine'!$C$2:$C$679,0)))</f>
        <v/>
      </c>
      <c r="N524" s="8">
        <f>IF(ISNA(MATCH(515,'Transfer Engine'!$C$2:$C$679,0)),"",INDEX('Compliance Database'!$N$2:$N$679,MATCH(515,'Transfer Engine'!$C$2:$C$679,0)))</f>
        <v/>
      </c>
      <c r="O524" s="8">
        <f>IF(ISNA(MATCH(515,'Transfer Engine'!$C$2:$C$679,0)),"",INDEX('Compliance Database'!$O$2:$O$679,MATCH(515,'Transfer Engine'!$C$2:$C$679,0)))</f>
        <v/>
      </c>
      <c r="P524">
        <f>IF(ISNA(MATCH(515,'Transfer Engine'!$C$2:$C$679,0)),"",HYPERLINK(INDEX('Compliance Database'!$P$2:$P$679,MATCH(515,'Transfer Engine'!$C$2:$C$679,0)),"Open PDF"))</f>
        <v/>
      </c>
    </row>
    <row r="525">
      <c r="A525">
        <f>IF(ISNA(MATCH(516,'Transfer Engine'!$C$2:$C$679,0)),"",INDEX('Compliance Database'!$A$2:$A$679,MATCH(516,'Transfer Engine'!$C$2:$C$679,0)))</f>
        <v/>
      </c>
      <c r="B525">
        <f>IF(ISNA(MATCH(516,'Transfer Engine'!$C$2:$C$679,0)),"",INDEX('Compliance Database'!$B$2:$B$679,MATCH(516,'Transfer Engine'!$C$2:$C$679,0)))</f>
        <v/>
      </c>
      <c r="C525">
        <f>IF(ISNA(MATCH(516,'Transfer Engine'!$C$2:$C$679,0)),"",INDEX('Compliance Database'!$C$2:$C$679,MATCH(516,'Transfer Engine'!$C$2:$C$679,0)))</f>
        <v/>
      </c>
      <c r="D525" s="8">
        <f>IF(ISNA(MATCH(516,'Transfer Engine'!$C$2:$C$679,0)),"",INDEX('Compliance Database'!$D$2:$D$679,MATCH(516,'Transfer Engine'!$C$2:$C$679,0)))</f>
        <v/>
      </c>
      <c r="E525">
        <f>IF(ISNA(MATCH(516,'Transfer Engine'!$C$2:$C$679,0)),"",INDEX('Compliance Database'!$E$2:$E$679,MATCH(516,'Transfer Engine'!$C$2:$C$679,0)))</f>
        <v/>
      </c>
      <c r="F525">
        <f>IF(ISNA(MATCH(516,'Transfer Engine'!$C$2:$C$679,0)),"",INDEX('Compliance Database'!$F$2:$F$679,MATCH(516,'Transfer Engine'!$C$2:$C$679,0)))</f>
        <v/>
      </c>
      <c r="G525">
        <f>IF(ISNA(MATCH(516,'Transfer Engine'!$C$2:$C$679,0)),"",INDEX('Compliance Database'!$G$2:$G$679,MATCH(516,'Transfer Engine'!$C$2:$C$679,0)))</f>
        <v/>
      </c>
      <c r="H525">
        <f>IF(ISNA(MATCH(516,'Transfer Engine'!$C$2:$C$679,0)),"",INDEX('Compliance Database'!$H$2:$H$679,MATCH(516,'Transfer Engine'!$C$2:$C$679,0)))</f>
        <v/>
      </c>
      <c r="I525" s="8">
        <f>IF(ISNA(MATCH(516,'Transfer Engine'!$C$2:$C$679,0)),"",INDEX('Compliance Database'!$I$2:$I$679,MATCH(516,'Transfer Engine'!$C$2:$C$679,0)))</f>
        <v/>
      </c>
      <c r="J525" s="8">
        <f>IF(ISNA(MATCH(516,'Transfer Engine'!$C$2:$C$679,0)),"",INDEX('Compliance Database'!$J$2:$J$679,MATCH(516,'Transfer Engine'!$C$2:$C$679,0)))</f>
        <v/>
      </c>
      <c r="K525">
        <f>IF(ISNA(MATCH(516,'Transfer Engine'!$C$2:$C$679,0)),"",INDEX('Compliance Database'!$K$2:$K$679,MATCH(516,'Transfer Engine'!$C$2:$C$679,0)))</f>
        <v/>
      </c>
      <c r="L525" s="8">
        <f>IF(ISNA(MATCH(516,'Transfer Engine'!$C$2:$C$679,0)),"",INDEX('Compliance Database'!$L$2:$L$679,MATCH(516,'Transfer Engine'!$C$2:$C$679,0)))</f>
        <v/>
      </c>
      <c r="M525" s="8">
        <f>IF(ISNA(MATCH(516,'Transfer Engine'!$C$2:$C$679,0)),"",INDEX('Compliance Database'!$M$2:$M$679,MATCH(516,'Transfer Engine'!$C$2:$C$679,0)))</f>
        <v/>
      </c>
      <c r="N525" s="8">
        <f>IF(ISNA(MATCH(516,'Transfer Engine'!$C$2:$C$679,0)),"",INDEX('Compliance Database'!$N$2:$N$679,MATCH(516,'Transfer Engine'!$C$2:$C$679,0)))</f>
        <v/>
      </c>
      <c r="O525" s="8">
        <f>IF(ISNA(MATCH(516,'Transfer Engine'!$C$2:$C$679,0)),"",INDEX('Compliance Database'!$O$2:$O$679,MATCH(516,'Transfer Engine'!$C$2:$C$679,0)))</f>
        <v/>
      </c>
      <c r="P525">
        <f>IF(ISNA(MATCH(516,'Transfer Engine'!$C$2:$C$679,0)),"",HYPERLINK(INDEX('Compliance Database'!$P$2:$P$679,MATCH(516,'Transfer Engine'!$C$2:$C$679,0)),"Open PDF"))</f>
        <v/>
      </c>
    </row>
    <row r="526">
      <c r="A526">
        <f>IF(ISNA(MATCH(517,'Transfer Engine'!$C$2:$C$679,0)),"",INDEX('Compliance Database'!$A$2:$A$679,MATCH(517,'Transfer Engine'!$C$2:$C$679,0)))</f>
        <v/>
      </c>
      <c r="B526">
        <f>IF(ISNA(MATCH(517,'Transfer Engine'!$C$2:$C$679,0)),"",INDEX('Compliance Database'!$B$2:$B$679,MATCH(517,'Transfer Engine'!$C$2:$C$679,0)))</f>
        <v/>
      </c>
      <c r="C526">
        <f>IF(ISNA(MATCH(517,'Transfer Engine'!$C$2:$C$679,0)),"",INDEX('Compliance Database'!$C$2:$C$679,MATCH(517,'Transfer Engine'!$C$2:$C$679,0)))</f>
        <v/>
      </c>
      <c r="D526" s="8">
        <f>IF(ISNA(MATCH(517,'Transfer Engine'!$C$2:$C$679,0)),"",INDEX('Compliance Database'!$D$2:$D$679,MATCH(517,'Transfer Engine'!$C$2:$C$679,0)))</f>
        <v/>
      </c>
      <c r="E526">
        <f>IF(ISNA(MATCH(517,'Transfer Engine'!$C$2:$C$679,0)),"",INDEX('Compliance Database'!$E$2:$E$679,MATCH(517,'Transfer Engine'!$C$2:$C$679,0)))</f>
        <v/>
      </c>
      <c r="F526">
        <f>IF(ISNA(MATCH(517,'Transfer Engine'!$C$2:$C$679,0)),"",INDEX('Compliance Database'!$F$2:$F$679,MATCH(517,'Transfer Engine'!$C$2:$C$679,0)))</f>
        <v/>
      </c>
      <c r="G526">
        <f>IF(ISNA(MATCH(517,'Transfer Engine'!$C$2:$C$679,0)),"",INDEX('Compliance Database'!$G$2:$G$679,MATCH(517,'Transfer Engine'!$C$2:$C$679,0)))</f>
        <v/>
      </c>
      <c r="H526">
        <f>IF(ISNA(MATCH(517,'Transfer Engine'!$C$2:$C$679,0)),"",INDEX('Compliance Database'!$H$2:$H$679,MATCH(517,'Transfer Engine'!$C$2:$C$679,0)))</f>
        <v/>
      </c>
      <c r="I526" s="8">
        <f>IF(ISNA(MATCH(517,'Transfer Engine'!$C$2:$C$679,0)),"",INDEX('Compliance Database'!$I$2:$I$679,MATCH(517,'Transfer Engine'!$C$2:$C$679,0)))</f>
        <v/>
      </c>
      <c r="J526" s="8">
        <f>IF(ISNA(MATCH(517,'Transfer Engine'!$C$2:$C$679,0)),"",INDEX('Compliance Database'!$J$2:$J$679,MATCH(517,'Transfer Engine'!$C$2:$C$679,0)))</f>
        <v/>
      </c>
      <c r="K526">
        <f>IF(ISNA(MATCH(517,'Transfer Engine'!$C$2:$C$679,0)),"",INDEX('Compliance Database'!$K$2:$K$679,MATCH(517,'Transfer Engine'!$C$2:$C$679,0)))</f>
        <v/>
      </c>
      <c r="L526" s="8">
        <f>IF(ISNA(MATCH(517,'Transfer Engine'!$C$2:$C$679,0)),"",INDEX('Compliance Database'!$L$2:$L$679,MATCH(517,'Transfer Engine'!$C$2:$C$679,0)))</f>
        <v/>
      </c>
      <c r="M526" s="8">
        <f>IF(ISNA(MATCH(517,'Transfer Engine'!$C$2:$C$679,0)),"",INDEX('Compliance Database'!$M$2:$M$679,MATCH(517,'Transfer Engine'!$C$2:$C$679,0)))</f>
        <v/>
      </c>
      <c r="N526" s="8">
        <f>IF(ISNA(MATCH(517,'Transfer Engine'!$C$2:$C$679,0)),"",INDEX('Compliance Database'!$N$2:$N$679,MATCH(517,'Transfer Engine'!$C$2:$C$679,0)))</f>
        <v/>
      </c>
      <c r="O526" s="8">
        <f>IF(ISNA(MATCH(517,'Transfer Engine'!$C$2:$C$679,0)),"",INDEX('Compliance Database'!$O$2:$O$679,MATCH(517,'Transfer Engine'!$C$2:$C$679,0)))</f>
        <v/>
      </c>
      <c r="P526">
        <f>IF(ISNA(MATCH(517,'Transfer Engine'!$C$2:$C$679,0)),"",HYPERLINK(INDEX('Compliance Database'!$P$2:$P$679,MATCH(517,'Transfer Engine'!$C$2:$C$679,0)),"Open PDF"))</f>
        <v/>
      </c>
    </row>
    <row r="527">
      <c r="A527">
        <f>IF(ISNA(MATCH(518,'Transfer Engine'!$C$2:$C$679,0)),"",INDEX('Compliance Database'!$A$2:$A$679,MATCH(518,'Transfer Engine'!$C$2:$C$679,0)))</f>
        <v/>
      </c>
      <c r="B527">
        <f>IF(ISNA(MATCH(518,'Transfer Engine'!$C$2:$C$679,0)),"",INDEX('Compliance Database'!$B$2:$B$679,MATCH(518,'Transfer Engine'!$C$2:$C$679,0)))</f>
        <v/>
      </c>
      <c r="C527">
        <f>IF(ISNA(MATCH(518,'Transfer Engine'!$C$2:$C$679,0)),"",INDEX('Compliance Database'!$C$2:$C$679,MATCH(518,'Transfer Engine'!$C$2:$C$679,0)))</f>
        <v/>
      </c>
      <c r="D527" s="8">
        <f>IF(ISNA(MATCH(518,'Transfer Engine'!$C$2:$C$679,0)),"",INDEX('Compliance Database'!$D$2:$D$679,MATCH(518,'Transfer Engine'!$C$2:$C$679,0)))</f>
        <v/>
      </c>
      <c r="E527">
        <f>IF(ISNA(MATCH(518,'Transfer Engine'!$C$2:$C$679,0)),"",INDEX('Compliance Database'!$E$2:$E$679,MATCH(518,'Transfer Engine'!$C$2:$C$679,0)))</f>
        <v/>
      </c>
      <c r="F527">
        <f>IF(ISNA(MATCH(518,'Transfer Engine'!$C$2:$C$679,0)),"",INDEX('Compliance Database'!$F$2:$F$679,MATCH(518,'Transfer Engine'!$C$2:$C$679,0)))</f>
        <v/>
      </c>
      <c r="G527">
        <f>IF(ISNA(MATCH(518,'Transfer Engine'!$C$2:$C$679,0)),"",INDEX('Compliance Database'!$G$2:$G$679,MATCH(518,'Transfer Engine'!$C$2:$C$679,0)))</f>
        <v/>
      </c>
      <c r="H527">
        <f>IF(ISNA(MATCH(518,'Transfer Engine'!$C$2:$C$679,0)),"",INDEX('Compliance Database'!$H$2:$H$679,MATCH(518,'Transfer Engine'!$C$2:$C$679,0)))</f>
        <v/>
      </c>
      <c r="I527" s="8">
        <f>IF(ISNA(MATCH(518,'Transfer Engine'!$C$2:$C$679,0)),"",INDEX('Compliance Database'!$I$2:$I$679,MATCH(518,'Transfer Engine'!$C$2:$C$679,0)))</f>
        <v/>
      </c>
      <c r="J527" s="8">
        <f>IF(ISNA(MATCH(518,'Transfer Engine'!$C$2:$C$679,0)),"",INDEX('Compliance Database'!$J$2:$J$679,MATCH(518,'Transfer Engine'!$C$2:$C$679,0)))</f>
        <v/>
      </c>
      <c r="K527">
        <f>IF(ISNA(MATCH(518,'Transfer Engine'!$C$2:$C$679,0)),"",INDEX('Compliance Database'!$K$2:$K$679,MATCH(518,'Transfer Engine'!$C$2:$C$679,0)))</f>
        <v/>
      </c>
      <c r="L527" s="8">
        <f>IF(ISNA(MATCH(518,'Transfer Engine'!$C$2:$C$679,0)),"",INDEX('Compliance Database'!$L$2:$L$679,MATCH(518,'Transfer Engine'!$C$2:$C$679,0)))</f>
        <v/>
      </c>
      <c r="M527" s="8">
        <f>IF(ISNA(MATCH(518,'Transfer Engine'!$C$2:$C$679,0)),"",INDEX('Compliance Database'!$M$2:$M$679,MATCH(518,'Transfer Engine'!$C$2:$C$679,0)))</f>
        <v/>
      </c>
      <c r="N527" s="8">
        <f>IF(ISNA(MATCH(518,'Transfer Engine'!$C$2:$C$679,0)),"",INDEX('Compliance Database'!$N$2:$N$679,MATCH(518,'Transfer Engine'!$C$2:$C$679,0)))</f>
        <v/>
      </c>
      <c r="O527" s="8">
        <f>IF(ISNA(MATCH(518,'Transfer Engine'!$C$2:$C$679,0)),"",INDEX('Compliance Database'!$O$2:$O$679,MATCH(518,'Transfer Engine'!$C$2:$C$679,0)))</f>
        <v/>
      </c>
      <c r="P527">
        <f>IF(ISNA(MATCH(518,'Transfer Engine'!$C$2:$C$679,0)),"",HYPERLINK(INDEX('Compliance Database'!$P$2:$P$679,MATCH(518,'Transfer Engine'!$C$2:$C$679,0)),"Open PDF"))</f>
        <v/>
      </c>
    </row>
    <row r="528">
      <c r="A528">
        <f>IF(ISNA(MATCH(519,'Transfer Engine'!$C$2:$C$679,0)),"",INDEX('Compliance Database'!$A$2:$A$679,MATCH(519,'Transfer Engine'!$C$2:$C$679,0)))</f>
        <v/>
      </c>
      <c r="B528">
        <f>IF(ISNA(MATCH(519,'Transfer Engine'!$C$2:$C$679,0)),"",INDEX('Compliance Database'!$B$2:$B$679,MATCH(519,'Transfer Engine'!$C$2:$C$679,0)))</f>
        <v/>
      </c>
      <c r="C528">
        <f>IF(ISNA(MATCH(519,'Transfer Engine'!$C$2:$C$679,0)),"",INDEX('Compliance Database'!$C$2:$C$679,MATCH(519,'Transfer Engine'!$C$2:$C$679,0)))</f>
        <v/>
      </c>
      <c r="D528" s="8">
        <f>IF(ISNA(MATCH(519,'Transfer Engine'!$C$2:$C$679,0)),"",INDEX('Compliance Database'!$D$2:$D$679,MATCH(519,'Transfer Engine'!$C$2:$C$679,0)))</f>
        <v/>
      </c>
      <c r="E528">
        <f>IF(ISNA(MATCH(519,'Transfer Engine'!$C$2:$C$679,0)),"",INDEX('Compliance Database'!$E$2:$E$679,MATCH(519,'Transfer Engine'!$C$2:$C$679,0)))</f>
        <v/>
      </c>
      <c r="F528">
        <f>IF(ISNA(MATCH(519,'Transfer Engine'!$C$2:$C$679,0)),"",INDEX('Compliance Database'!$F$2:$F$679,MATCH(519,'Transfer Engine'!$C$2:$C$679,0)))</f>
        <v/>
      </c>
      <c r="G528">
        <f>IF(ISNA(MATCH(519,'Transfer Engine'!$C$2:$C$679,0)),"",INDEX('Compliance Database'!$G$2:$G$679,MATCH(519,'Transfer Engine'!$C$2:$C$679,0)))</f>
        <v/>
      </c>
      <c r="H528">
        <f>IF(ISNA(MATCH(519,'Transfer Engine'!$C$2:$C$679,0)),"",INDEX('Compliance Database'!$H$2:$H$679,MATCH(519,'Transfer Engine'!$C$2:$C$679,0)))</f>
        <v/>
      </c>
      <c r="I528" s="8">
        <f>IF(ISNA(MATCH(519,'Transfer Engine'!$C$2:$C$679,0)),"",INDEX('Compliance Database'!$I$2:$I$679,MATCH(519,'Transfer Engine'!$C$2:$C$679,0)))</f>
        <v/>
      </c>
      <c r="J528" s="8">
        <f>IF(ISNA(MATCH(519,'Transfer Engine'!$C$2:$C$679,0)),"",INDEX('Compliance Database'!$J$2:$J$679,MATCH(519,'Transfer Engine'!$C$2:$C$679,0)))</f>
        <v/>
      </c>
      <c r="K528">
        <f>IF(ISNA(MATCH(519,'Transfer Engine'!$C$2:$C$679,0)),"",INDEX('Compliance Database'!$K$2:$K$679,MATCH(519,'Transfer Engine'!$C$2:$C$679,0)))</f>
        <v/>
      </c>
      <c r="L528" s="8">
        <f>IF(ISNA(MATCH(519,'Transfer Engine'!$C$2:$C$679,0)),"",INDEX('Compliance Database'!$L$2:$L$679,MATCH(519,'Transfer Engine'!$C$2:$C$679,0)))</f>
        <v/>
      </c>
      <c r="M528" s="8">
        <f>IF(ISNA(MATCH(519,'Transfer Engine'!$C$2:$C$679,0)),"",INDEX('Compliance Database'!$M$2:$M$679,MATCH(519,'Transfer Engine'!$C$2:$C$679,0)))</f>
        <v/>
      </c>
      <c r="N528" s="8">
        <f>IF(ISNA(MATCH(519,'Transfer Engine'!$C$2:$C$679,0)),"",INDEX('Compliance Database'!$N$2:$N$679,MATCH(519,'Transfer Engine'!$C$2:$C$679,0)))</f>
        <v/>
      </c>
      <c r="O528" s="8">
        <f>IF(ISNA(MATCH(519,'Transfer Engine'!$C$2:$C$679,0)),"",INDEX('Compliance Database'!$O$2:$O$679,MATCH(519,'Transfer Engine'!$C$2:$C$679,0)))</f>
        <v/>
      </c>
      <c r="P528">
        <f>IF(ISNA(MATCH(519,'Transfer Engine'!$C$2:$C$679,0)),"",HYPERLINK(INDEX('Compliance Database'!$P$2:$P$679,MATCH(519,'Transfer Engine'!$C$2:$C$679,0)),"Open PDF"))</f>
        <v/>
      </c>
    </row>
    <row r="529">
      <c r="A529">
        <f>IF(ISNA(MATCH(520,'Transfer Engine'!$C$2:$C$679,0)),"",INDEX('Compliance Database'!$A$2:$A$679,MATCH(520,'Transfer Engine'!$C$2:$C$679,0)))</f>
        <v/>
      </c>
      <c r="B529">
        <f>IF(ISNA(MATCH(520,'Transfer Engine'!$C$2:$C$679,0)),"",INDEX('Compliance Database'!$B$2:$B$679,MATCH(520,'Transfer Engine'!$C$2:$C$679,0)))</f>
        <v/>
      </c>
      <c r="C529">
        <f>IF(ISNA(MATCH(520,'Transfer Engine'!$C$2:$C$679,0)),"",INDEX('Compliance Database'!$C$2:$C$679,MATCH(520,'Transfer Engine'!$C$2:$C$679,0)))</f>
        <v/>
      </c>
      <c r="D529" s="8">
        <f>IF(ISNA(MATCH(520,'Transfer Engine'!$C$2:$C$679,0)),"",INDEX('Compliance Database'!$D$2:$D$679,MATCH(520,'Transfer Engine'!$C$2:$C$679,0)))</f>
        <v/>
      </c>
      <c r="E529">
        <f>IF(ISNA(MATCH(520,'Transfer Engine'!$C$2:$C$679,0)),"",INDEX('Compliance Database'!$E$2:$E$679,MATCH(520,'Transfer Engine'!$C$2:$C$679,0)))</f>
        <v/>
      </c>
      <c r="F529">
        <f>IF(ISNA(MATCH(520,'Transfer Engine'!$C$2:$C$679,0)),"",INDEX('Compliance Database'!$F$2:$F$679,MATCH(520,'Transfer Engine'!$C$2:$C$679,0)))</f>
        <v/>
      </c>
      <c r="G529">
        <f>IF(ISNA(MATCH(520,'Transfer Engine'!$C$2:$C$679,0)),"",INDEX('Compliance Database'!$G$2:$G$679,MATCH(520,'Transfer Engine'!$C$2:$C$679,0)))</f>
        <v/>
      </c>
      <c r="H529">
        <f>IF(ISNA(MATCH(520,'Transfer Engine'!$C$2:$C$679,0)),"",INDEX('Compliance Database'!$H$2:$H$679,MATCH(520,'Transfer Engine'!$C$2:$C$679,0)))</f>
        <v/>
      </c>
      <c r="I529" s="8">
        <f>IF(ISNA(MATCH(520,'Transfer Engine'!$C$2:$C$679,0)),"",INDEX('Compliance Database'!$I$2:$I$679,MATCH(520,'Transfer Engine'!$C$2:$C$679,0)))</f>
        <v/>
      </c>
      <c r="J529" s="8">
        <f>IF(ISNA(MATCH(520,'Transfer Engine'!$C$2:$C$679,0)),"",INDEX('Compliance Database'!$J$2:$J$679,MATCH(520,'Transfer Engine'!$C$2:$C$679,0)))</f>
        <v/>
      </c>
      <c r="K529">
        <f>IF(ISNA(MATCH(520,'Transfer Engine'!$C$2:$C$679,0)),"",INDEX('Compliance Database'!$K$2:$K$679,MATCH(520,'Transfer Engine'!$C$2:$C$679,0)))</f>
        <v/>
      </c>
      <c r="L529" s="8">
        <f>IF(ISNA(MATCH(520,'Transfer Engine'!$C$2:$C$679,0)),"",INDEX('Compliance Database'!$L$2:$L$679,MATCH(520,'Transfer Engine'!$C$2:$C$679,0)))</f>
        <v/>
      </c>
      <c r="M529" s="8">
        <f>IF(ISNA(MATCH(520,'Transfer Engine'!$C$2:$C$679,0)),"",INDEX('Compliance Database'!$M$2:$M$679,MATCH(520,'Transfer Engine'!$C$2:$C$679,0)))</f>
        <v/>
      </c>
      <c r="N529" s="8">
        <f>IF(ISNA(MATCH(520,'Transfer Engine'!$C$2:$C$679,0)),"",INDEX('Compliance Database'!$N$2:$N$679,MATCH(520,'Transfer Engine'!$C$2:$C$679,0)))</f>
        <v/>
      </c>
      <c r="O529" s="8">
        <f>IF(ISNA(MATCH(520,'Transfer Engine'!$C$2:$C$679,0)),"",INDEX('Compliance Database'!$O$2:$O$679,MATCH(520,'Transfer Engine'!$C$2:$C$679,0)))</f>
        <v/>
      </c>
      <c r="P529">
        <f>IF(ISNA(MATCH(520,'Transfer Engine'!$C$2:$C$679,0)),"",HYPERLINK(INDEX('Compliance Database'!$P$2:$P$679,MATCH(520,'Transfer Engine'!$C$2:$C$679,0)),"Open PDF"))</f>
        <v/>
      </c>
    </row>
    <row r="530">
      <c r="A530">
        <f>IF(ISNA(MATCH(521,'Transfer Engine'!$C$2:$C$679,0)),"",INDEX('Compliance Database'!$A$2:$A$679,MATCH(521,'Transfer Engine'!$C$2:$C$679,0)))</f>
        <v/>
      </c>
      <c r="B530">
        <f>IF(ISNA(MATCH(521,'Transfer Engine'!$C$2:$C$679,0)),"",INDEX('Compliance Database'!$B$2:$B$679,MATCH(521,'Transfer Engine'!$C$2:$C$679,0)))</f>
        <v/>
      </c>
      <c r="C530">
        <f>IF(ISNA(MATCH(521,'Transfer Engine'!$C$2:$C$679,0)),"",INDEX('Compliance Database'!$C$2:$C$679,MATCH(521,'Transfer Engine'!$C$2:$C$679,0)))</f>
        <v/>
      </c>
      <c r="D530" s="8">
        <f>IF(ISNA(MATCH(521,'Transfer Engine'!$C$2:$C$679,0)),"",INDEX('Compliance Database'!$D$2:$D$679,MATCH(521,'Transfer Engine'!$C$2:$C$679,0)))</f>
        <v/>
      </c>
      <c r="E530">
        <f>IF(ISNA(MATCH(521,'Transfer Engine'!$C$2:$C$679,0)),"",INDEX('Compliance Database'!$E$2:$E$679,MATCH(521,'Transfer Engine'!$C$2:$C$679,0)))</f>
        <v/>
      </c>
      <c r="F530">
        <f>IF(ISNA(MATCH(521,'Transfer Engine'!$C$2:$C$679,0)),"",INDEX('Compliance Database'!$F$2:$F$679,MATCH(521,'Transfer Engine'!$C$2:$C$679,0)))</f>
        <v/>
      </c>
      <c r="G530">
        <f>IF(ISNA(MATCH(521,'Transfer Engine'!$C$2:$C$679,0)),"",INDEX('Compliance Database'!$G$2:$G$679,MATCH(521,'Transfer Engine'!$C$2:$C$679,0)))</f>
        <v/>
      </c>
      <c r="H530">
        <f>IF(ISNA(MATCH(521,'Transfer Engine'!$C$2:$C$679,0)),"",INDEX('Compliance Database'!$H$2:$H$679,MATCH(521,'Transfer Engine'!$C$2:$C$679,0)))</f>
        <v/>
      </c>
      <c r="I530" s="8">
        <f>IF(ISNA(MATCH(521,'Transfer Engine'!$C$2:$C$679,0)),"",INDEX('Compliance Database'!$I$2:$I$679,MATCH(521,'Transfer Engine'!$C$2:$C$679,0)))</f>
        <v/>
      </c>
      <c r="J530" s="8">
        <f>IF(ISNA(MATCH(521,'Transfer Engine'!$C$2:$C$679,0)),"",INDEX('Compliance Database'!$J$2:$J$679,MATCH(521,'Transfer Engine'!$C$2:$C$679,0)))</f>
        <v/>
      </c>
      <c r="K530">
        <f>IF(ISNA(MATCH(521,'Transfer Engine'!$C$2:$C$679,0)),"",INDEX('Compliance Database'!$K$2:$K$679,MATCH(521,'Transfer Engine'!$C$2:$C$679,0)))</f>
        <v/>
      </c>
      <c r="L530" s="8">
        <f>IF(ISNA(MATCH(521,'Transfer Engine'!$C$2:$C$679,0)),"",INDEX('Compliance Database'!$L$2:$L$679,MATCH(521,'Transfer Engine'!$C$2:$C$679,0)))</f>
        <v/>
      </c>
      <c r="M530" s="8">
        <f>IF(ISNA(MATCH(521,'Transfer Engine'!$C$2:$C$679,0)),"",INDEX('Compliance Database'!$M$2:$M$679,MATCH(521,'Transfer Engine'!$C$2:$C$679,0)))</f>
        <v/>
      </c>
      <c r="N530" s="8">
        <f>IF(ISNA(MATCH(521,'Transfer Engine'!$C$2:$C$679,0)),"",INDEX('Compliance Database'!$N$2:$N$679,MATCH(521,'Transfer Engine'!$C$2:$C$679,0)))</f>
        <v/>
      </c>
      <c r="O530" s="8">
        <f>IF(ISNA(MATCH(521,'Transfer Engine'!$C$2:$C$679,0)),"",INDEX('Compliance Database'!$O$2:$O$679,MATCH(521,'Transfer Engine'!$C$2:$C$679,0)))</f>
        <v/>
      </c>
      <c r="P530">
        <f>IF(ISNA(MATCH(521,'Transfer Engine'!$C$2:$C$679,0)),"",HYPERLINK(INDEX('Compliance Database'!$P$2:$P$679,MATCH(521,'Transfer Engine'!$C$2:$C$679,0)),"Open PDF"))</f>
        <v/>
      </c>
    </row>
    <row r="531">
      <c r="A531">
        <f>IF(ISNA(MATCH(522,'Transfer Engine'!$C$2:$C$679,0)),"",INDEX('Compliance Database'!$A$2:$A$679,MATCH(522,'Transfer Engine'!$C$2:$C$679,0)))</f>
        <v/>
      </c>
      <c r="B531">
        <f>IF(ISNA(MATCH(522,'Transfer Engine'!$C$2:$C$679,0)),"",INDEX('Compliance Database'!$B$2:$B$679,MATCH(522,'Transfer Engine'!$C$2:$C$679,0)))</f>
        <v/>
      </c>
      <c r="C531">
        <f>IF(ISNA(MATCH(522,'Transfer Engine'!$C$2:$C$679,0)),"",INDEX('Compliance Database'!$C$2:$C$679,MATCH(522,'Transfer Engine'!$C$2:$C$679,0)))</f>
        <v/>
      </c>
      <c r="D531" s="8">
        <f>IF(ISNA(MATCH(522,'Transfer Engine'!$C$2:$C$679,0)),"",INDEX('Compliance Database'!$D$2:$D$679,MATCH(522,'Transfer Engine'!$C$2:$C$679,0)))</f>
        <v/>
      </c>
      <c r="E531">
        <f>IF(ISNA(MATCH(522,'Transfer Engine'!$C$2:$C$679,0)),"",INDEX('Compliance Database'!$E$2:$E$679,MATCH(522,'Transfer Engine'!$C$2:$C$679,0)))</f>
        <v/>
      </c>
      <c r="F531">
        <f>IF(ISNA(MATCH(522,'Transfer Engine'!$C$2:$C$679,0)),"",INDEX('Compliance Database'!$F$2:$F$679,MATCH(522,'Transfer Engine'!$C$2:$C$679,0)))</f>
        <v/>
      </c>
      <c r="G531">
        <f>IF(ISNA(MATCH(522,'Transfer Engine'!$C$2:$C$679,0)),"",INDEX('Compliance Database'!$G$2:$G$679,MATCH(522,'Transfer Engine'!$C$2:$C$679,0)))</f>
        <v/>
      </c>
      <c r="H531">
        <f>IF(ISNA(MATCH(522,'Transfer Engine'!$C$2:$C$679,0)),"",INDEX('Compliance Database'!$H$2:$H$679,MATCH(522,'Transfer Engine'!$C$2:$C$679,0)))</f>
        <v/>
      </c>
      <c r="I531" s="8">
        <f>IF(ISNA(MATCH(522,'Transfer Engine'!$C$2:$C$679,0)),"",INDEX('Compliance Database'!$I$2:$I$679,MATCH(522,'Transfer Engine'!$C$2:$C$679,0)))</f>
        <v/>
      </c>
      <c r="J531" s="8">
        <f>IF(ISNA(MATCH(522,'Transfer Engine'!$C$2:$C$679,0)),"",INDEX('Compliance Database'!$J$2:$J$679,MATCH(522,'Transfer Engine'!$C$2:$C$679,0)))</f>
        <v/>
      </c>
      <c r="K531">
        <f>IF(ISNA(MATCH(522,'Transfer Engine'!$C$2:$C$679,0)),"",INDEX('Compliance Database'!$K$2:$K$679,MATCH(522,'Transfer Engine'!$C$2:$C$679,0)))</f>
        <v/>
      </c>
      <c r="L531" s="8">
        <f>IF(ISNA(MATCH(522,'Transfer Engine'!$C$2:$C$679,0)),"",INDEX('Compliance Database'!$L$2:$L$679,MATCH(522,'Transfer Engine'!$C$2:$C$679,0)))</f>
        <v/>
      </c>
      <c r="M531" s="8">
        <f>IF(ISNA(MATCH(522,'Transfer Engine'!$C$2:$C$679,0)),"",INDEX('Compliance Database'!$M$2:$M$679,MATCH(522,'Transfer Engine'!$C$2:$C$679,0)))</f>
        <v/>
      </c>
      <c r="N531" s="8">
        <f>IF(ISNA(MATCH(522,'Transfer Engine'!$C$2:$C$679,0)),"",INDEX('Compliance Database'!$N$2:$N$679,MATCH(522,'Transfer Engine'!$C$2:$C$679,0)))</f>
        <v/>
      </c>
      <c r="O531" s="8">
        <f>IF(ISNA(MATCH(522,'Transfer Engine'!$C$2:$C$679,0)),"",INDEX('Compliance Database'!$O$2:$O$679,MATCH(522,'Transfer Engine'!$C$2:$C$679,0)))</f>
        <v/>
      </c>
      <c r="P531">
        <f>IF(ISNA(MATCH(522,'Transfer Engine'!$C$2:$C$679,0)),"",HYPERLINK(INDEX('Compliance Database'!$P$2:$P$679,MATCH(522,'Transfer Engine'!$C$2:$C$679,0)),"Open PDF"))</f>
        <v/>
      </c>
    </row>
    <row r="532">
      <c r="A532">
        <f>IF(ISNA(MATCH(523,'Transfer Engine'!$C$2:$C$679,0)),"",INDEX('Compliance Database'!$A$2:$A$679,MATCH(523,'Transfer Engine'!$C$2:$C$679,0)))</f>
        <v/>
      </c>
      <c r="B532">
        <f>IF(ISNA(MATCH(523,'Transfer Engine'!$C$2:$C$679,0)),"",INDEX('Compliance Database'!$B$2:$B$679,MATCH(523,'Transfer Engine'!$C$2:$C$679,0)))</f>
        <v/>
      </c>
      <c r="C532">
        <f>IF(ISNA(MATCH(523,'Transfer Engine'!$C$2:$C$679,0)),"",INDEX('Compliance Database'!$C$2:$C$679,MATCH(523,'Transfer Engine'!$C$2:$C$679,0)))</f>
        <v/>
      </c>
      <c r="D532" s="8">
        <f>IF(ISNA(MATCH(523,'Transfer Engine'!$C$2:$C$679,0)),"",INDEX('Compliance Database'!$D$2:$D$679,MATCH(523,'Transfer Engine'!$C$2:$C$679,0)))</f>
        <v/>
      </c>
      <c r="E532">
        <f>IF(ISNA(MATCH(523,'Transfer Engine'!$C$2:$C$679,0)),"",INDEX('Compliance Database'!$E$2:$E$679,MATCH(523,'Transfer Engine'!$C$2:$C$679,0)))</f>
        <v/>
      </c>
      <c r="F532">
        <f>IF(ISNA(MATCH(523,'Transfer Engine'!$C$2:$C$679,0)),"",INDEX('Compliance Database'!$F$2:$F$679,MATCH(523,'Transfer Engine'!$C$2:$C$679,0)))</f>
        <v/>
      </c>
      <c r="G532">
        <f>IF(ISNA(MATCH(523,'Transfer Engine'!$C$2:$C$679,0)),"",INDEX('Compliance Database'!$G$2:$G$679,MATCH(523,'Transfer Engine'!$C$2:$C$679,0)))</f>
        <v/>
      </c>
      <c r="H532">
        <f>IF(ISNA(MATCH(523,'Transfer Engine'!$C$2:$C$679,0)),"",INDEX('Compliance Database'!$H$2:$H$679,MATCH(523,'Transfer Engine'!$C$2:$C$679,0)))</f>
        <v/>
      </c>
      <c r="I532" s="8">
        <f>IF(ISNA(MATCH(523,'Transfer Engine'!$C$2:$C$679,0)),"",INDEX('Compliance Database'!$I$2:$I$679,MATCH(523,'Transfer Engine'!$C$2:$C$679,0)))</f>
        <v/>
      </c>
      <c r="J532" s="8">
        <f>IF(ISNA(MATCH(523,'Transfer Engine'!$C$2:$C$679,0)),"",INDEX('Compliance Database'!$J$2:$J$679,MATCH(523,'Transfer Engine'!$C$2:$C$679,0)))</f>
        <v/>
      </c>
      <c r="K532">
        <f>IF(ISNA(MATCH(523,'Transfer Engine'!$C$2:$C$679,0)),"",INDEX('Compliance Database'!$K$2:$K$679,MATCH(523,'Transfer Engine'!$C$2:$C$679,0)))</f>
        <v/>
      </c>
      <c r="L532" s="8">
        <f>IF(ISNA(MATCH(523,'Transfer Engine'!$C$2:$C$679,0)),"",INDEX('Compliance Database'!$L$2:$L$679,MATCH(523,'Transfer Engine'!$C$2:$C$679,0)))</f>
        <v/>
      </c>
      <c r="M532" s="8">
        <f>IF(ISNA(MATCH(523,'Transfer Engine'!$C$2:$C$679,0)),"",INDEX('Compliance Database'!$M$2:$M$679,MATCH(523,'Transfer Engine'!$C$2:$C$679,0)))</f>
        <v/>
      </c>
      <c r="N532" s="8">
        <f>IF(ISNA(MATCH(523,'Transfer Engine'!$C$2:$C$679,0)),"",INDEX('Compliance Database'!$N$2:$N$679,MATCH(523,'Transfer Engine'!$C$2:$C$679,0)))</f>
        <v/>
      </c>
      <c r="O532" s="8">
        <f>IF(ISNA(MATCH(523,'Transfer Engine'!$C$2:$C$679,0)),"",INDEX('Compliance Database'!$O$2:$O$679,MATCH(523,'Transfer Engine'!$C$2:$C$679,0)))</f>
        <v/>
      </c>
      <c r="P532">
        <f>IF(ISNA(MATCH(523,'Transfer Engine'!$C$2:$C$679,0)),"",HYPERLINK(INDEX('Compliance Database'!$P$2:$P$679,MATCH(523,'Transfer Engine'!$C$2:$C$679,0)),"Open PDF"))</f>
        <v/>
      </c>
    </row>
    <row r="533">
      <c r="A533">
        <f>IF(ISNA(MATCH(524,'Transfer Engine'!$C$2:$C$679,0)),"",INDEX('Compliance Database'!$A$2:$A$679,MATCH(524,'Transfer Engine'!$C$2:$C$679,0)))</f>
        <v/>
      </c>
      <c r="B533">
        <f>IF(ISNA(MATCH(524,'Transfer Engine'!$C$2:$C$679,0)),"",INDEX('Compliance Database'!$B$2:$B$679,MATCH(524,'Transfer Engine'!$C$2:$C$679,0)))</f>
        <v/>
      </c>
      <c r="C533">
        <f>IF(ISNA(MATCH(524,'Transfer Engine'!$C$2:$C$679,0)),"",INDEX('Compliance Database'!$C$2:$C$679,MATCH(524,'Transfer Engine'!$C$2:$C$679,0)))</f>
        <v/>
      </c>
      <c r="D533" s="8">
        <f>IF(ISNA(MATCH(524,'Transfer Engine'!$C$2:$C$679,0)),"",INDEX('Compliance Database'!$D$2:$D$679,MATCH(524,'Transfer Engine'!$C$2:$C$679,0)))</f>
        <v/>
      </c>
      <c r="E533">
        <f>IF(ISNA(MATCH(524,'Transfer Engine'!$C$2:$C$679,0)),"",INDEX('Compliance Database'!$E$2:$E$679,MATCH(524,'Transfer Engine'!$C$2:$C$679,0)))</f>
        <v/>
      </c>
      <c r="F533">
        <f>IF(ISNA(MATCH(524,'Transfer Engine'!$C$2:$C$679,0)),"",INDEX('Compliance Database'!$F$2:$F$679,MATCH(524,'Transfer Engine'!$C$2:$C$679,0)))</f>
        <v/>
      </c>
      <c r="G533">
        <f>IF(ISNA(MATCH(524,'Transfer Engine'!$C$2:$C$679,0)),"",INDEX('Compliance Database'!$G$2:$G$679,MATCH(524,'Transfer Engine'!$C$2:$C$679,0)))</f>
        <v/>
      </c>
      <c r="H533">
        <f>IF(ISNA(MATCH(524,'Transfer Engine'!$C$2:$C$679,0)),"",INDEX('Compliance Database'!$H$2:$H$679,MATCH(524,'Transfer Engine'!$C$2:$C$679,0)))</f>
        <v/>
      </c>
      <c r="I533" s="8">
        <f>IF(ISNA(MATCH(524,'Transfer Engine'!$C$2:$C$679,0)),"",INDEX('Compliance Database'!$I$2:$I$679,MATCH(524,'Transfer Engine'!$C$2:$C$679,0)))</f>
        <v/>
      </c>
      <c r="J533" s="8">
        <f>IF(ISNA(MATCH(524,'Transfer Engine'!$C$2:$C$679,0)),"",INDEX('Compliance Database'!$J$2:$J$679,MATCH(524,'Transfer Engine'!$C$2:$C$679,0)))</f>
        <v/>
      </c>
      <c r="K533">
        <f>IF(ISNA(MATCH(524,'Transfer Engine'!$C$2:$C$679,0)),"",INDEX('Compliance Database'!$K$2:$K$679,MATCH(524,'Transfer Engine'!$C$2:$C$679,0)))</f>
        <v/>
      </c>
      <c r="L533" s="8">
        <f>IF(ISNA(MATCH(524,'Transfer Engine'!$C$2:$C$679,0)),"",INDEX('Compliance Database'!$L$2:$L$679,MATCH(524,'Transfer Engine'!$C$2:$C$679,0)))</f>
        <v/>
      </c>
      <c r="M533" s="8">
        <f>IF(ISNA(MATCH(524,'Transfer Engine'!$C$2:$C$679,0)),"",INDEX('Compliance Database'!$M$2:$M$679,MATCH(524,'Transfer Engine'!$C$2:$C$679,0)))</f>
        <v/>
      </c>
      <c r="N533" s="8">
        <f>IF(ISNA(MATCH(524,'Transfer Engine'!$C$2:$C$679,0)),"",INDEX('Compliance Database'!$N$2:$N$679,MATCH(524,'Transfer Engine'!$C$2:$C$679,0)))</f>
        <v/>
      </c>
      <c r="O533" s="8">
        <f>IF(ISNA(MATCH(524,'Transfer Engine'!$C$2:$C$679,0)),"",INDEX('Compliance Database'!$O$2:$O$679,MATCH(524,'Transfer Engine'!$C$2:$C$679,0)))</f>
        <v/>
      </c>
      <c r="P533">
        <f>IF(ISNA(MATCH(524,'Transfer Engine'!$C$2:$C$679,0)),"",HYPERLINK(INDEX('Compliance Database'!$P$2:$P$679,MATCH(524,'Transfer Engine'!$C$2:$C$679,0)),"Open PDF"))</f>
        <v/>
      </c>
    </row>
    <row r="534">
      <c r="A534">
        <f>IF(ISNA(MATCH(525,'Transfer Engine'!$C$2:$C$679,0)),"",INDEX('Compliance Database'!$A$2:$A$679,MATCH(525,'Transfer Engine'!$C$2:$C$679,0)))</f>
        <v/>
      </c>
      <c r="B534">
        <f>IF(ISNA(MATCH(525,'Transfer Engine'!$C$2:$C$679,0)),"",INDEX('Compliance Database'!$B$2:$B$679,MATCH(525,'Transfer Engine'!$C$2:$C$679,0)))</f>
        <v/>
      </c>
      <c r="C534">
        <f>IF(ISNA(MATCH(525,'Transfer Engine'!$C$2:$C$679,0)),"",INDEX('Compliance Database'!$C$2:$C$679,MATCH(525,'Transfer Engine'!$C$2:$C$679,0)))</f>
        <v/>
      </c>
      <c r="D534" s="8">
        <f>IF(ISNA(MATCH(525,'Transfer Engine'!$C$2:$C$679,0)),"",INDEX('Compliance Database'!$D$2:$D$679,MATCH(525,'Transfer Engine'!$C$2:$C$679,0)))</f>
        <v/>
      </c>
      <c r="E534">
        <f>IF(ISNA(MATCH(525,'Transfer Engine'!$C$2:$C$679,0)),"",INDEX('Compliance Database'!$E$2:$E$679,MATCH(525,'Transfer Engine'!$C$2:$C$679,0)))</f>
        <v/>
      </c>
      <c r="F534">
        <f>IF(ISNA(MATCH(525,'Transfer Engine'!$C$2:$C$679,0)),"",INDEX('Compliance Database'!$F$2:$F$679,MATCH(525,'Transfer Engine'!$C$2:$C$679,0)))</f>
        <v/>
      </c>
      <c r="G534">
        <f>IF(ISNA(MATCH(525,'Transfer Engine'!$C$2:$C$679,0)),"",INDEX('Compliance Database'!$G$2:$G$679,MATCH(525,'Transfer Engine'!$C$2:$C$679,0)))</f>
        <v/>
      </c>
      <c r="H534">
        <f>IF(ISNA(MATCH(525,'Transfer Engine'!$C$2:$C$679,0)),"",INDEX('Compliance Database'!$H$2:$H$679,MATCH(525,'Transfer Engine'!$C$2:$C$679,0)))</f>
        <v/>
      </c>
      <c r="I534" s="8">
        <f>IF(ISNA(MATCH(525,'Transfer Engine'!$C$2:$C$679,0)),"",INDEX('Compliance Database'!$I$2:$I$679,MATCH(525,'Transfer Engine'!$C$2:$C$679,0)))</f>
        <v/>
      </c>
      <c r="J534" s="8">
        <f>IF(ISNA(MATCH(525,'Transfer Engine'!$C$2:$C$679,0)),"",INDEX('Compliance Database'!$J$2:$J$679,MATCH(525,'Transfer Engine'!$C$2:$C$679,0)))</f>
        <v/>
      </c>
      <c r="K534">
        <f>IF(ISNA(MATCH(525,'Transfer Engine'!$C$2:$C$679,0)),"",INDEX('Compliance Database'!$K$2:$K$679,MATCH(525,'Transfer Engine'!$C$2:$C$679,0)))</f>
        <v/>
      </c>
      <c r="L534" s="8">
        <f>IF(ISNA(MATCH(525,'Transfer Engine'!$C$2:$C$679,0)),"",INDEX('Compliance Database'!$L$2:$L$679,MATCH(525,'Transfer Engine'!$C$2:$C$679,0)))</f>
        <v/>
      </c>
      <c r="M534" s="8">
        <f>IF(ISNA(MATCH(525,'Transfer Engine'!$C$2:$C$679,0)),"",INDEX('Compliance Database'!$M$2:$M$679,MATCH(525,'Transfer Engine'!$C$2:$C$679,0)))</f>
        <v/>
      </c>
      <c r="N534" s="8">
        <f>IF(ISNA(MATCH(525,'Transfer Engine'!$C$2:$C$679,0)),"",INDEX('Compliance Database'!$N$2:$N$679,MATCH(525,'Transfer Engine'!$C$2:$C$679,0)))</f>
        <v/>
      </c>
      <c r="O534" s="8">
        <f>IF(ISNA(MATCH(525,'Transfer Engine'!$C$2:$C$679,0)),"",INDEX('Compliance Database'!$O$2:$O$679,MATCH(525,'Transfer Engine'!$C$2:$C$679,0)))</f>
        <v/>
      </c>
      <c r="P534">
        <f>IF(ISNA(MATCH(525,'Transfer Engine'!$C$2:$C$679,0)),"",HYPERLINK(INDEX('Compliance Database'!$P$2:$P$679,MATCH(525,'Transfer Engine'!$C$2:$C$679,0)),"Open PDF"))</f>
        <v/>
      </c>
    </row>
    <row r="535">
      <c r="A535">
        <f>IF(ISNA(MATCH(526,'Transfer Engine'!$C$2:$C$679,0)),"",INDEX('Compliance Database'!$A$2:$A$679,MATCH(526,'Transfer Engine'!$C$2:$C$679,0)))</f>
        <v/>
      </c>
      <c r="B535">
        <f>IF(ISNA(MATCH(526,'Transfer Engine'!$C$2:$C$679,0)),"",INDEX('Compliance Database'!$B$2:$B$679,MATCH(526,'Transfer Engine'!$C$2:$C$679,0)))</f>
        <v/>
      </c>
      <c r="C535">
        <f>IF(ISNA(MATCH(526,'Transfer Engine'!$C$2:$C$679,0)),"",INDEX('Compliance Database'!$C$2:$C$679,MATCH(526,'Transfer Engine'!$C$2:$C$679,0)))</f>
        <v/>
      </c>
      <c r="D535" s="8">
        <f>IF(ISNA(MATCH(526,'Transfer Engine'!$C$2:$C$679,0)),"",INDEX('Compliance Database'!$D$2:$D$679,MATCH(526,'Transfer Engine'!$C$2:$C$679,0)))</f>
        <v/>
      </c>
      <c r="E535">
        <f>IF(ISNA(MATCH(526,'Transfer Engine'!$C$2:$C$679,0)),"",INDEX('Compliance Database'!$E$2:$E$679,MATCH(526,'Transfer Engine'!$C$2:$C$679,0)))</f>
        <v/>
      </c>
      <c r="F535">
        <f>IF(ISNA(MATCH(526,'Transfer Engine'!$C$2:$C$679,0)),"",INDEX('Compliance Database'!$F$2:$F$679,MATCH(526,'Transfer Engine'!$C$2:$C$679,0)))</f>
        <v/>
      </c>
      <c r="G535">
        <f>IF(ISNA(MATCH(526,'Transfer Engine'!$C$2:$C$679,0)),"",INDEX('Compliance Database'!$G$2:$G$679,MATCH(526,'Transfer Engine'!$C$2:$C$679,0)))</f>
        <v/>
      </c>
      <c r="H535">
        <f>IF(ISNA(MATCH(526,'Transfer Engine'!$C$2:$C$679,0)),"",INDEX('Compliance Database'!$H$2:$H$679,MATCH(526,'Transfer Engine'!$C$2:$C$679,0)))</f>
        <v/>
      </c>
      <c r="I535" s="8">
        <f>IF(ISNA(MATCH(526,'Transfer Engine'!$C$2:$C$679,0)),"",INDEX('Compliance Database'!$I$2:$I$679,MATCH(526,'Transfer Engine'!$C$2:$C$679,0)))</f>
        <v/>
      </c>
      <c r="J535" s="8">
        <f>IF(ISNA(MATCH(526,'Transfer Engine'!$C$2:$C$679,0)),"",INDEX('Compliance Database'!$J$2:$J$679,MATCH(526,'Transfer Engine'!$C$2:$C$679,0)))</f>
        <v/>
      </c>
      <c r="K535">
        <f>IF(ISNA(MATCH(526,'Transfer Engine'!$C$2:$C$679,0)),"",INDEX('Compliance Database'!$K$2:$K$679,MATCH(526,'Transfer Engine'!$C$2:$C$679,0)))</f>
        <v/>
      </c>
      <c r="L535" s="8">
        <f>IF(ISNA(MATCH(526,'Transfer Engine'!$C$2:$C$679,0)),"",INDEX('Compliance Database'!$L$2:$L$679,MATCH(526,'Transfer Engine'!$C$2:$C$679,0)))</f>
        <v/>
      </c>
      <c r="M535" s="8">
        <f>IF(ISNA(MATCH(526,'Transfer Engine'!$C$2:$C$679,0)),"",INDEX('Compliance Database'!$M$2:$M$679,MATCH(526,'Transfer Engine'!$C$2:$C$679,0)))</f>
        <v/>
      </c>
      <c r="N535" s="8">
        <f>IF(ISNA(MATCH(526,'Transfer Engine'!$C$2:$C$679,0)),"",INDEX('Compliance Database'!$N$2:$N$679,MATCH(526,'Transfer Engine'!$C$2:$C$679,0)))</f>
        <v/>
      </c>
      <c r="O535" s="8">
        <f>IF(ISNA(MATCH(526,'Transfer Engine'!$C$2:$C$679,0)),"",INDEX('Compliance Database'!$O$2:$O$679,MATCH(526,'Transfer Engine'!$C$2:$C$679,0)))</f>
        <v/>
      </c>
      <c r="P535">
        <f>IF(ISNA(MATCH(526,'Transfer Engine'!$C$2:$C$679,0)),"",HYPERLINK(INDEX('Compliance Database'!$P$2:$P$679,MATCH(526,'Transfer Engine'!$C$2:$C$679,0)),"Open PDF"))</f>
        <v/>
      </c>
    </row>
    <row r="536">
      <c r="A536">
        <f>IF(ISNA(MATCH(527,'Transfer Engine'!$C$2:$C$679,0)),"",INDEX('Compliance Database'!$A$2:$A$679,MATCH(527,'Transfer Engine'!$C$2:$C$679,0)))</f>
        <v/>
      </c>
      <c r="B536">
        <f>IF(ISNA(MATCH(527,'Transfer Engine'!$C$2:$C$679,0)),"",INDEX('Compliance Database'!$B$2:$B$679,MATCH(527,'Transfer Engine'!$C$2:$C$679,0)))</f>
        <v/>
      </c>
      <c r="C536">
        <f>IF(ISNA(MATCH(527,'Transfer Engine'!$C$2:$C$679,0)),"",INDEX('Compliance Database'!$C$2:$C$679,MATCH(527,'Transfer Engine'!$C$2:$C$679,0)))</f>
        <v/>
      </c>
      <c r="D536" s="8">
        <f>IF(ISNA(MATCH(527,'Transfer Engine'!$C$2:$C$679,0)),"",INDEX('Compliance Database'!$D$2:$D$679,MATCH(527,'Transfer Engine'!$C$2:$C$679,0)))</f>
        <v/>
      </c>
      <c r="E536">
        <f>IF(ISNA(MATCH(527,'Transfer Engine'!$C$2:$C$679,0)),"",INDEX('Compliance Database'!$E$2:$E$679,MATCH(527,'Transfer Engine'!$C$2:$C$679,0)))</f>
        <v/>
      </c>
      <c r="F536">
        <f>IF(ISNA(MATCH(527,'Transfer Engine'!$C$2:$C$679,0)),"",INDEX('Compliance Database'!$F$2:$F$679,MATCH(527,'Transfer Engine'!$C$2:$C$679,0)))</f>
        <v/>
      </c>
      <c r="G536">
        <f>IF(ISNA(MATCH(527,'Transfer Engine'!$C$2:$C$679,0)),"",INDEX('Compliance Database'!$G$2:$G$679,MATCH(527,'Transfer Engine'!$C$2:$C$679,0)))</f>
        <v/>
      </c>
      <c r="H536">
        <f>IF(ISNA(MATCH(527,'Transfer Engine'!$C$2:$C$679,0)),"",INDEX('Compliance Database'!$H$2:$H$679,MATCH(527,'Transfer Engine'!$C$2:$C$679,0)))</f>
        <v/>
      </c>
      <c r="I536" s="8">
        <f>IF(ISNA(MATCH(527,'Transfer Engine'!$C$2:$C$679,0)),"",INDEX('Compliance Database'!$I$2:$I$679,MATCH(527,'Transfer Engine'!$C$2:$C$679,0)))</f>
        <v/>
      </c>
      <c r="J536" s="8">
        <f>IF(ISNA(MATCH(527,'Transfer Engine'!$C$2:$C$679,0)),"",INDEX('Compliance Database'!$J$2:$J$679,MATCH(527,'Transfer Engine'!$C$2:$C$679,0)))</f>
        <v/>
      </c>
      <c r="K536">
        <f>IF(ISNA(MATCH(527,'Transfer Engine'!$C$2:$C$679,0)),"",INDEX('Compliance Database'!$K$2:$K$679,MATCH(527,'Transfer Engine'!$C$2:$C$679,0)))</f>
        <v/>
      </c>
      <c r="L536" s="8">
        <f>IF(ISNA(MATCH(527,'Transfer Engine'!$C$2:$C$679,0)),"",INDEX('Compliance Database'!$L$2:$L$679,MATCH(527,'Transfer Engine'!$C$2:$C$679,0)))</f>
        <v/>
      </c>
      <c r="M536" s="8">
        <f>IF(ISNA(MATCH(527,'Transfer Engine'!$C$2:$C$679,0)),"",INDEX('Compliance Database'!$M$2:$M$679,MATCH(527,'Transfer Engine'!$C$2:$C$679,0)))</f>
        <v/>
      </c>
      <c r="N536" s="8">
        <f>IF(ISNA(MATCH(527,'Transfer Engine'!$C$2:$C$679,0)),"",INDEX('Compliance Database'!$N$2:$N$679,MATCH(527,'Transfer Engine'!$C$2:$C$679,0)))</f>
        <v/>
      </c>
      <c r="O536" s="8">
        <f>IF(ISNA(MATCH(527,'Transfer Engine'!$C$2:$C$679,0)),"",INDEX('Compliance Database'!$O$2:$O$679,MATCH(527,'Transfer Engine'!$C$2:$C$679,0)))</f>
        <v/>
      </c>
      <c r="P536">
        <f>IF(ISNA(MATCH(527,'Transfer Engine'!$C$2:$C$679,0)),"",HYPERLINK(INDEX('Compliance Database'!$P$2:$P$679,MATCH(527,'Transfer Engine'!$C$2:$C$679,0)),"Open PDF"))</f>
        <v/>
      </c>
    </row>
    <row r="537">
      <c r="A537">
        <f>IF(ISNA(MATCH(528,'Transfer Engine'!$C$2:$C$679,0)),"",INDEX('Compliance Database'!$A$2:$A$679,MATCH(528,'Transfer Engine'!$C$2:$C$679,0)))</f>
        <v/>
      </c>
      <c r="B537">
        <f>IF(ISNA(MATCH(528,'Transfer Engine'!$C$2:$C$679,0)),"",INDEX('Compliance Database'!$B$2:$B$679,MATCH(528,'Transfer Engine'!$C$2:$C$679,0)))</f>
        <v/>
      </c>
      <c r="C537">
        <f>IF(ISNA(MATCH(528,'Transfer Engine'!$C$2:$C$679,0)),"",INDEX('Compliance Database'!$C$2:$C$679,MATCH(528,'Transfer Engine'!$C$2:$C$679,0)))</f>
        <v/>
      </c>
      <c r="D537" s="8">
        <f>IF(ISNA(MATCH(528,'Transfer Engine'!$C$2:$C$679,0)),"",INDEX('Compliance Database'!$D$2:$D$679,MATCH(528,'Transfer Engine'!$C$2:$C$679,0)))</f>
        <v/>
      </c>
      <c r="E537">
        <f>IF(ISNA(MATCH(528,'Transfer Engine'!$C$2:$C$679,0)),"",INDEX('Compliance Database'!$E$2:$E$679,MATCH(528,'Transfer Engine'!$C$2:$C$679,0)))</f>
        <v/>
      </c>
      <c r="F537">
        <f>IF(ISNA(MATCH(528,'Transfer Engine'!$C$2:$C$679,0)),"",INDEX('Compliance Database'!$F$2:$F$679,MATCH(528,'Transfer Engine'!$C$2:$C$679,0)))</f>
        <v/>
      </c>
      <c r="G537">
        <f>IF(ISNA(MATCH(528,'Transfer Engine'!$C$2:$C$679,0)),"",INDEX('Compliance Database'!$G$2:$G$679,MATCH(528,'Transfer Engine'!$C$2:$C$679,0)))</f>
        <v/>
      </c>
      <c r="H537">
        <f>IF(ISNA(MATCH(528,'Transfer Engine'!$C$2:$C$679,0)),"",INDEX('Compliance Database'!$H$2:$H$679,MATCH(528,'Transfer Engine'!$C$2:$C$679,0)))</f>
        <v/>
      </c>
      <c r="I537" s="8">
        <f>IF(ISNA(MATCH(528,'Transfer Engine'!$C$2:$C$679,0)),"",INDEX('Compliance Database'!$I$2:$I$679,MATCH(528,'Transfer Engine'!$C$2:$C$679,0)))</f>
        <v/>
      </c>
      <c r="J537" s="8">
        <f>IF(ISNA(MATCH(528,'Transfer Engine'!$C$2:$C$679,0)),"",INDEX('Compliance Database'!$J$2:$J$679,MATCH(528,'Transfer Engine'!$C$2:$C$679,0)))</f>
        <v/>
      </c>
      <c r="K537">
        <f>IF(ISNA(MATCH(528,'Transfer Engine'!$C$2:$C$679,0)),"",INDEX('Compliance Database'!$K$2:$K$679,MATCH(528,'Transfer Engine'!$C$2:$C$679,0)))</f>
        <v/>
      </c>
      <c r="L537" s="8">
        <f>IF(ISNA(MATCH(528,'Transfer Engine'!$C$2:$C$679,0)),"",INDEX('Compliance Database'!$L$2:$L$679,MATCH(528,'Transfer Engine'!$C$2:$C$679,0)))</f>
        <v/>
      </c>
      <c r="M537" s="8">
        <f>IF(ISNA(MATCH(528,'Transfer Engine'!$C$2:$C$679,0)),"",INDEX('Compliance Database'!$M$2:$M$679,MATCH(528,'Transfer Engine'!$C$2:$C$679,0)))</f>
        <v/>
      </c>
      <c r="N537" s="8">
        <f>IF(ISNA(MATCH(528,'Transfer Engine'!$C$2:$C$679,0)),"",INDEX('Compliance Database'!$N$2:$N$679,MATCH(528,'Transfer Engine'!$C$2:$C$679,0)))</f>
        <v/>
      </c>
      <c r="O537" s="8">
        <f>IF(ISNA(MATCH(528,'Transfer Engine'!$C$2:$C$679,0)),"",INDEX('Compliance Database'!$O$2:$O$679,MATCH(528,'Transfer Engine'!$C$2:$C$679,0)))</f>
        <v/>
      </c>
      <c r="P537">
        <f>IF(ISNA(MATCH(528,'Transfer Engine'!$C$2:$C$679,0)),"",HYPERLINK(INDEX('Compliance Database'!$P$2:$P$679,MATCH(528,'Transfer Engine'!$C$2:$C$679,0)),"Open PDF"))</f>
        <v/>
      </c>
    </row>
    <row r="538">
      <c r="A538">
        <f>IF(ISNA(MATCH(529,'Transfer Engine'!$C$2:$C$679,0)),"",INDEX('Compliance Database'!$A$2:$A$679,MATCH(529,'Transfer Engine'!$C$2:$C$679,0)))</f>
        <v/>
      </c>
      <c r="B538">
        <f>IF(ISNA(MATCH(529,'Transfer Engine'!$C$2:$C$679,0)),"",INDEX('Compliance Database'!$B$2:$B$679,MATCH(529,'Transfer Engine'!$C$2:$C$679,0)))</f>
        <v/>
      </c>
      <c r="C538">
        <f>IF(ISNA(MATCH(529,'Transfer Engine'!$C$2:$C$679,0)),"",INDEX('Compliance Database'!$C$2:$C$679,MATCH(529,'Transfer Engine'!$C$2:$C$679,0)))</f>
        <v/>
      </c>
      <c r="D538" s="8">
        <f>IF(ISNA(MATCH(529,'Transfer Engine'!$C$2:$C$679,0)),"",INDEX('Compliance Database'!$D$2:$D$679,MATCH(529,'Transfer Engine'!$C$2:$C$679,0)))</f>
        <v/>
      </c>
      <c r="E538">
        <f>IF(ISNA(MATCH(529,'Transfer Engine'!$C$2:$C$679,0)),"",INDEX('Compliance Database'!$E$2:$E$679,MATCH(529,'Transfer Engine'!$C$2:$C$679,0)))</f>
        <v/>
      </c>
      <c r="F538">
        <f>IF(ISNA(MATCH(529,'Transfer Engine'!$C$2:$C$679,0)),"",INDEX('Compliance Database'!$F$2:$F$679,MATCH(529,'Transfer Engine'!$C$2:$C$679,0)))</f>
        <v/>
      </c>
      <c r="G538">
        <f>IF(ISNA(MATCH(529,'Transfer Engine'!$C$2:$C$679,0)),"",INDEX('Compliance Database'!$G$2:$G$679,MATCH(529,'Transfer Engine'!$C$2:$C$679,0)))</f>
        <v/>
      </c>
      <c r="H538">
        <f>IF(ISNA(MATCH(529,'Transfer Engine'!$C$2:$C$679,0)),"",INDEX('Compliance Database'!$H$2:$H$679,MATCH(529,'Transfer Engine'!$C$2:$C$679,0)))</f>
        <v/>
      </c>
      <c r="I538" s="8">
        <f>IF(ISNA(MATCH(529,'Transfer Engine'!$C$2:$C$679,0)),"",INDEX('Compliance Database'!$I$2:$I$679,MATCH(529,'Transfer Engine'!$C$2:$C$679,0)))</f>
        <v/>
      </c>
      <c r="J538" s="8">
        <f>IF(ISNA(MATCH(529,'Transfer Engine'!$C$2:$C$679,0)),"",INDEX('Compliance Database'!$J$2:$J$679,MATCH(529,'Transfer Engine'!$C$2:$C$679,0)))</f>
        <v/>
      </c>
      <c r="K538">
        <f>IF(ISNA(MATCH(529,'Transfer Engine'!$C$2:$C$679,0)),"",INDEX('Compliance Database'!$K$2:$K$679,MATCH(529,'Transfer Engine'!$C$2:$C$679,0)))</f>
        <v/>
      </c>
      <c r="L538" s="8">
        <f>IF(ISNA(MATCH(529,'Transfer Engine'!$C$2:$C$679,0)),"",INDEX('Compliance Database'!$L$2:$L$679,MATCH(529,'Transfer Engine'!$C$2:$C$679,0)))</f>
        <v/>
      </c>
      <c r="M538" s="8">
        <f>IF(ISNA(MATCH(529,'Transfer Engine'!$C$2:$C$679,0)),"",INDEX('Compliance Database'!$M$2:$M$679,MATCH(529,'Transfer Engine'!$C$2:$C$679,0)))</f>
        <v/>
      </c>
      <c r="N538" s="8">
        <f>IF(ISNA(MATCH(529,'Transfer Engine'!$C$2:$C$679,0)),"",INDEX('Compliance Database'!$N$2:$N$679,MATCH(529,'Transfer Engine'!$C$2:$C$679,0)))</f>
        <v/>
      </c>
      <c r="O538" s="8">
        <f>IF(ISNA(MATCH(529,'Transfer Engine'!$C$2:$C$679,0)),"",INDEX('Compliance Database'!$O$2:$O$679,MATCH(529,'Transfer Engine'!$C$2:$C$679,0)))</f>
        <v/>
      </c>
      <c r="P538">
        <f>IF(ISNA(MATCH(529,'Transfer Engine'!$C$2:$C$679,0)),"",HYPERLINK(INDEX('Compliance Database'!$P$2:$P$679,MATCH(529,'Transfer Engine'!$C$2:$C$679,0)),"Open PDF"))</f>
        <v/>
      </c>
    </row>
    <row r="539">
      <c r="A539">
        <f>IF(ISNA(MATCH(530,'Transfer Engine'!$C$2:$C$679,0)),"",INDEX('Compliance Database'!$A$2:$A$679,MATCH(530,'Transfer Engine'!$C$2:$C$679,0)))</f>
        <v/>
      </c>
      <c r="B539">
        <f>IF(ISNA(MATCH(530,'Transfer Engine'!$C$2:$C$679,0)),"",INDEX('Compliance Database'!$B$2:$B$679,MATCH(530,'Transfer Engine'!$C$2:$C$679,0)))</f>
        <v/>
      </c>
      <c r="C539">
        <f>IF(ISNA(MATCH(530,'Transfer Engine'!$C$2:$C$679,0)),"",INDEX('Compliance Database'!$C$2:$C$679,MATCH(530,'Transfer Engine'!$C$2:$C$679,0)))</f>
        <v/>
      </c>
      <c r="D539" s="8">
        <f>IF(ISNA(MATCH(530,'Transfer Engine'!$C$2:$C$679,0)),"",INDEX('Compliance Database'!$D$2:$D$679,MATCH(530,'Transfer Engine'!$C$2:$C$679,0)))</f>
        <v/>
      </c>
      <c r="E539">
        <f>IF(ISNA(MATCH(530,'Transfer Engine'!$C$2:$C$679,0)),"",INDEX('Compliance Database'!$E$2:$E$679,MATCH(530,'Transfer Engine'!$C$2:$C$679,0)))</f>
        <v/>
      </c>
      <c r="F539">
        <f>IF(ISNA(MATCH(530,'Transfer Engine'!$C$2:$C$679,0)),"",INDEX('Compliance Database'!$F$2:$F$679,MATCH(530,'Transfer Engine'!$C$2:$C$679,0)))</f>
        <v/>
      </c>
      <c r="G539">
        <f>IF(ISNA(MATCH(530,'Transfer Engine'!$C$2:$C$679,0)),"",INDEX('Compliance Database'!$G$2:$G$679,MATCH(530,'Transfer Engine'!$C$2:$C$679,0)))</f>
        <v/>
      </c>
      <c r="H539">
        <f>IF(ISNA(MATCH(530,'Transfer Engine'!$C$2:$C$679,0)),"",INDEX('Compliance Database'!$H$2:$H$679,MATCH(530,'Transfer Engine'!$C$2:$C$679,0)))</f>
        <v/>
      </c>
      <c r="I539" s="8">
        <f>IF(ISNA(MATCH(530,'Transfer Engine'!$C$2:$C$679,0)),"",INDEX('Compliance Database'!$I$2:$I$679,MATCH(530,'Transfer Engine'!$C$2:$C$679,0)))</f>
        <v/>
      </c>
      <c r="J539" s="8">
        <f>IF(ISNA(MATCH(530,'Transfer Engine'!$C$2:$C$679,0)),"",INDEX('Compliance Database'!$J$2:$J$679,MATCH(530,'Transfer Engine'!$C$2:$C$679,0)))</f>
        <v/>
      </c>
      <c r="K539">
        <f>IF(ISNA(MATCH(530,'Transfer Engine'!$C$2:$C$679,0)),"",INDEX('Compliance Database'!$K$2:$K$679,MATCH(530,'Transfer Engine'!$C$2:$C$679,0)))</f>
        <v/>
      </c>
      <c r="L539" s="8">
        <f>IF(ISNA(MATCH(530,'Transfer Engine'!$C$2:$C$679,0)),"",INDEX('Compliance Database'!$L$2:$L$679,MATCH(530,'Transfer Engine'!$C$2:$C$679,0)))</f>
        <v/>
      </c>
      <c r="M539" s="8">
        <f>IF(ISNA(MATCH(530,'Transfer Engine'!$C$2:$C$679,0)),"",INDEX('Compliance Database'!$M$2:$M$679,MATCH(530,'Transfer Engine'!$C$2:$C$679,0)))</f>
        <v/>
      </c>
      <c r="N539" s="8">
        <f>IF(ISNA(MATCH(530,'Transfer Engine'!$C$2:$C$679,0)),"",INDEX('Compliance Database'!$N$2:$N$679,MATCH(530,'Transfer Engine'!$C$2:$C$679,0)))</f>
        <v/>
      </c>
      <c r="O539" s="8">
        <f>IF(ISNA(MATCH(530,'Transfer Engine'!$C$2:$C$679,0)),"",INDEX('Compliance Database'!$O$2:$O$679,MATCH(530,'Transfer Engine'!$C$2:$C$679,0)))</f>
        <v/>
      </c>
      <c r="P539">
        <f>IF(ISNA(MATCH(530,'Transfer Engine'!$C$2:$C$679,0)),"",HYPERLINK(INDEX('Compliance Database'!$P$2:$P$679,MATCH(530,'Transfer Engine'!$C$2:$C$679,0)),"Open PDF"))</f>
        <v/>
      </c>
    </row>
    <row r="540">
      <c r="A540">
        <f>IF(ISNA(MATCH(531,'Transfer Engine'!$C$2:$C$679,0)),"",INDEX('Compliance Database'!$A$2:$A$679,MATCH(531,'Transfer Engine'!$C$2:$C$679,0)))</f>
        <v/>
      </c>
      <c r="B540">
        <f>IF(ISNA(MATCH(531,'Transfer Engine'!$C$2:$C$679,0)),"",INDEX('Compliance Database'!$B$2:$B$679,MATCH(531,'Transfer Engine'!$C$2:$C$679,0)))</f>
        <v/>
      </c>
      <c r="C540">
        <f>IF(ISNA(MATCH(531,'Transfer Engine'!$C$2:$C$679,0)),"",INDEX('Compliance Database'!$C$2:$C$679,MATCH(531,'Transfer Engine'!$C$2:$C$679,0)))</f>
        <v/>
      </c>
      <c r="D540" s="8">
        <f>IF(ISNA(MATCH(531,'Transfer Engine'!$C$2:$C$679,0)),"",INDEX('Compliance Database'!$D$2:$D$679,MATCH(531,'Transfer Engine'!$C$2:$C$679,0)))</f>
        <v/>
      </c>
      <c r="E540">
        <f>IF(ISNA(MATCH(531,'Transfer Engine'!$C$2:$C$679,0)),"",INDEX('Compliance Database'!$E$2:$E$679,MATCH(531,'Transfer Engine'!$C$2:$C$679,0)))</f>
        <v/>
      </c>
      <c r="F540">
        <f>IF(ISNA(MATCH(531,'Transfer Engine'!$C$2:$C$679,0)),"",INDEX('Compliance Database'!$F$2:$F$679,MATCH(531,'Transfer Engine'!$C$2:$C$679,0)))</f>
        <v/>
      </c>
      <c r="G540">
        <f>IF(ISNA(MATCH(531,'Transfer Engine'!$C$2:$C$679,0)),"",INDEX('Compliance Database'!$G$2:$G$679,MATCH(531,'Transfer Engine'!$C$2:$C$679,0)))</f>
        <v/>
      </c>
      <c r="H540">
        <f>IF(ISNA(MATCH(531,'Transfer Engine'!$C$2:$C$679,0)),"",INDEX('Compliance Database'!$H$2:$H$679,MATCH(531,'Transfer Engine'!$C$2:$C$679,0)))</f>
        <v/>
      </c>
      <c r="I540" s="8">
        <f>IF(ISNA(MATCH(531,'Transfer Engine'!$C$2:$C$679,0)),"",INDEX('Compliance Database'!$I$2:$I$679,MATCH(531,'Transfer Engine'!$C$2:$C$679,0)))</f>
        <v/>
      </c>
      <c r="J540" s="8">
        <f>IF(ISNA(MATCH(531,'Transfer Engine'!$C$2:$C$679,0)),"",INDEX('Compliance Database'!$J$2:$J$679,MATCH(531,'Transfer Engine'!$C$2:$C$679,0)))</f>
        <v/>
      </c>
      <c r="K540">
        <f>IF(ISNA(MATCH(531,'Transfer Engine'!$C$2:$C$679,0)),"",INDEX('Compliance Database'!$K$2:$K$679,MATCH(531,'Transfer Engine'!$C$2:$C$679,0)))</f>
        <v/>
      </c>
      <c r="L540" s="8">
        <f>IF(ISNA(MATCH(531,'Transfer Engine'!$C$2:$C$679,0)),"",INDEX('Compliance Database'!$L$2:$L$679,MATCH(531,'Transfer Engine'!$C$2:$C$679,0)))</f>
        <v/>
      </c>
      <c r="M540" s="8">
        <f>IF(ISNA(MATCH(531,'Transfer Engine'!$C$2:$C$679,0)),"",INDEX('Compliance Database'!$M$2:$M$679,MATCH(531,'Transfer Engine'!$C$2:$C$679,0)))</f>
        <v/>
      </c>
      <c r="N540" s="8">
        <f>IF(ISNA(MATCH(531,'Transfer Engine'!$C$2:$C$679,0)),"",INDEX('Compliance Database'!$N$2:$N$679,MATCH(531,'Transfer Engine'!$C$2:$C$679,0)))</f>
        <v/>
      </c>
      <c r="O540" s="8">
        <f>IF(ISNA(MATCH(531,'Transfer Engine'!$C$2:$C$679,0)),"",INDEX('Compliance Database'!$O$2:$O$679,MATCH(531,'Transfer Engine'!$C$2:$C$679,0)))</f>
        <v/>
      </c>
      <c r="P540">
        <f>IF(ISNA(MATCH(531,'Transfer Engine'!$C$2:$C$679,0)),"",HYPERLINK(INDEX('Compliance Database'!$P$2:$P$679,MATCH(531,'Transfer Engine'!$C$2:$C$679,0)),"Open PDF"))</f>
        <v/>
      </c>
    </row>
    <row r="541">
      <c r="A541">
        <f>IF(ISNA(MATCH(532,'Transfer Engine'!$C$2:$C$679,0)),"",INDEX('Compliance Database'!$A$2:$A$679,MATCH(532,'Transfer Engine'!$C$2:$C$679,0)))</f>
        <v/>
      </c>
      <c r="B541">
        <f>IF(ISNA(MATCH(532,'Transfer Engine'!$C$2:$C$679,0)),"",INDEX('Compliance Database'!$B$2:$B$679,MATCH(532,'Transfer Engine'!$C$2:$C$679,0)))</f>
        <v/>
      </c>
      <c r="C541">
        <f>IF(ISNA(MATCH(532,'Transfer Engine'!$C$2:$C$679,0)),"",INDEX('Compliance Database'!$C$2:$C$679,MATCH(532,'Transfer Engine'!$C$2:$C$679,0)))</f>
        <v/>
      </c>
      <c r="D541" s="8">
        <f>IF(ISNA(MATCH(532,'Transfer Engine'!$C$2:$C$679,0)),"",INDEX('Compliance Database'!$D$2:$D$679,MATCH(532,'Transfer Engine'!$C$2:$C$679,0)))</f>
        <v/>
      </c>
      <c r="E541">
        <f>IF(ISNA(MATCH(532,'Transfer Engine'!$C$2:$C$679,0)),"",INDEX('Compliance Database'!$E$2:$E$679,MATCH(532,'Transfer Engine'!$C$2:$C$679,0)))</f>
        <v/>
      </c>
      <c r="F541">
        <f>IF(ISNA(MATCH(532,'Transfer Engine'!$C$2:$C$679,0)),"",INDEX('Compliance Database'!$F$2:$F$679,MATCH(532,'Transfer Engine'!$C$2:$C$679,0)))</f>
        <v/>
      </c>
      <c r="G541">
        <f>IF(ISNA(MATCH(532,'Transfer Engine'!$C$2:$C$679,0)),"",INDEX('Compliance Database'!$G$2:$G$679,MATCH(532,'Transfer Engine'!$C$2:$C$679,0)))</f>
        <v/>
      </c>
      <c r="H541">
        <f>IF(ISNA(MATCH(532,'Transfer Engine'!$C$2:$C$679,0)),"",INDEX('Compliance Database'!$H$2:$H$679,MATCH(532,'Transfer Engine'!$C$2:$C$679,0)))</f>
        <v/>
      </c>
      <c r="I541" s="8">
        <f>IF(ISNA(MATCH(532,'Transfer Engine'!$C$2:$C$679,0)),"",INDEX('Compliance Database'!$I$2:$I$679,MATCH(532,'Transfer Engine'!$C$2:$C$679,0)))</f>
        <v/>
      </c>
      <c r="J541" s="8">
        <f>IF(ISNA(MATCH(532,'Transfer Engine'!$C$2:$C$679,0)),"",INDEX('Compliance Database'!$J$2:$J$679,MATCH(532,'Transfer Engine'!$C$2:$C$679,0)))</f>
        <v/>
      </c>
      <c r="K541">
        <f>IF(ISNA(MATCH(532,'Transfer Engine'!$C$2:$C$679,0)),"",INDEX('Compliance Database'!$K$2:$K$679,MATCH(532,'Transfer Engine'!$C$2:$C$679,0)))</f>
        <v/>
      </c>
      <c r="L541" s="8">
        <f>IF(ISNA(MATCH(532,'Transfer Engine'!$C$2:$C$679,0)),"",INDEX('Compliance Database'!$L$2:$L$679,MATCH(532,'Transfer Engine'!$C$2:$C$679,0)))</f>
        <v/>
      </c>
      <c r="M541" s="8">
        <f>IF(ISNA(MATCH(532,'Transfer Engine'!$C$2:$C$679,0)),"",INDEX('Compliance Database'!$M$2:$M$679,MATCH(532,'Transfer Engine'!$C$2:$C$679,0)))</f>
        <v/>
      </c>
      <c r="N541" s="8">
        <f>IF(ISNA(MATCH(532,'Transfer Engine'!$C$2:$C$679,0)),"",INDEX('Compliance Database'!$N$2:$N$679,MATCH(532,'Transfer Engine'!$C$2:$C$679,0)))</f>
        <v/>
      </c>
      <c r="O541" s="8">
        <f>IF(ISNA(MATCH(532,'Transfer Engine'!$C$2:$C$679,0)),"",INDEX('Compliance Database'!$O$2:$O$679,MATCH(532,'Transfer Engine'!$C$2:$C$679,0)))</f>
        <v/>
      </c>
      <c r="P541">
        <f>IF(ISNA(MATCH(532,'Transfer Engine'!$C$2:$C$679,0)),"",HYPERLINK(INDEX('Compliance Database'!$P$2:$P$679,MATCH(532,'Transfer Engine'!$C$2:$C$679,0)),"Open PDF"))</f>
        <v/>
      </c>
    </row>
    <row r="542">
      <c r="A542">
        <f>IF(ISNA(MATCH(533,'Transfer Engine'!$C$2:$C$679,0)),"",INDEX('Compliance Database'!$A$2:$A$679,MATCH(533,'Transfer Engine'!$C$2:$C$679,0)))</f>
        <v/>
      </c>
      <c r="B542">
        <f>IF(ISNA(MATCH(533,'Transfer Engine'!$C$2:$C$679,0)),"",INDEX('Compliance Database'!$B$2:$B$679,MATCH(533,'Transfer Engine'!$C$2:$C$679,0)))</f>
        <v/>
      </c>
      <c r="C542">
        <f>IF(ISNA(MATCH(533,'Transfer Engine'!$C$2:$C$679,0)),"",INDEX('Compliance Database'!$C$2:$C$679,MATCH(533,'Transfer Engine'!$C$2:$C$679,0)))</f>
        <v/>
      </c>
      <c r="D542" s="8">
        <f>IF(ISNA(MATCH(533,'Transfer Engine'!$C$2:$C$679,0)),"",INDEX('Compliance Database'!$D$2:$D$679,MATCH(533,'Transfer Engine'!$C$2:$C$679,0)))</f>
        <v/>
      </c>
      <c r="E542">
        <f>IF(ISNA(MATCH(533,'Transfer Engine'!$C$2:$C$679,0)),"",INDEX('Compliance Database'!$E$2:$E$679,MATCH(533,'Transfer Engine'!$C$2:$C$679,0)))</f>
        <v/>
      </c>
      <c r="F542">
        <f>IF(ISNA(MATCH(533,'Transfer Engine'!$C$2:$C$679,0)),"",INDEX('Compliance Database'!$F$2:$F$679,MATCH(533,'Transfer Engine'!$C$2:$C$679,0)))</f>
        <v/>
      </c>
      <c r="G542">
        <f>IF(ISNA(MATCH(533,'Transfer Engine'!$C$2:$C$679,0)),"",INDEX('Compliance Database'!$G$2:$G$679,MATCH(533,'Transfer Engine'!$C$2:$C$679,0)))</f>
        <v/>
      </c>
      <c r="H542">
        <f>IF(ISNA(MATCH(533,'Transfer Engine'!$C$2:$C$679,0)),"",INDEX('Compliance Database'!$H$2:$H$679,MATCH(533,'Transfer Engine'!$C$2:$C$679,0)))</f>
        <v/>
      </c>
      <c r="I542" s="8">
        <f>IF(ISNA(MATCH(533,'Transfer Engine'!$C$2:$C$679,0)),"",INDEX('Compliance Database'!$I$2:$I$679,MATCH(533,'Transfer Engine'!$C$2:$C$679,0)))</f>
        <v/>
      </c>
      <c r="J542" s="8">
        <f>IF(ISNA(MATCH(533,'Transfer Engine'!$C$2:$C$679,0)),"",INDEX('Compliance Database'!$J$2:$J$679,MATCH(533,'Transfer Engine'!$C$2:$C$679,0)))</f>
        <v/>
      </c>
      <c r="K542">
        <f>IF(ISNA(MATCH(533,'Transfer Engine'!$C$2:$C$679,0)),"",INDEX('Compliance Database'!$K$2:$K$679,MATCH(533,'Transfer Engine'!$C$2:$C$679,0)))</f>
        <v/>
      </c>
      <c r="L542" s="8">
        <f>IF(ISNA(MATCH(533,'Transfer Engine'!$C$2:$C$679,0)),"",INDEX('Compliance Database'!$L$2:$L$679,MATCH(533,'Transfer Engine'!$C$2:$C$679,0)))</f>
        <v/>
      </c>
      <c r="M542" s="8">
        <f>IF(ISNA(MATCH(533,'Transfer Engine'!$C$2:$C$679,0)),"",INDEX('Compliance Database'!$M$2:$M$679,MATCH(533,'Transfer Engine'!$C$2:$C$679,0)))</f>
        <v/>
      </c>
      <c r="N542" s="8">
        <f>IF(ISNA(MATCH(533,'Transfer Engine'!$C$2:$C$679,0)),"",INDEX('Compliance Database'!$N$2:$N$679,MATCH(533,'Transfer Engine'!$C$2:$C$679,0)))</f>
        <v/>
      </c>
      <c r="O542" s="8">
        <f>IF(ISNA(MATCH(533,'Transfer Engine'!$C$2:$C$679,0)),"",INDEX('Compliance Database'!$O$2:$O$679,MATCH(533,'Transfer Engine'!$C$2:$C$679,0)))</f>
        <v/>
      </c>
      <c r="P542">
        <f>IF(ISNA(MATCH(533,'Transfer Engine'!$C$2:$C$679,0)),"",HYPERLINK(INDEX('Compliance Database'!$P$2:$P$679,MATCH(533,'Transfer Engine'!$C$2:$C$679,0)),"Open PDF"))</f>
        <v/>
      </c>
    </row>
    <row r="543">
      <c r="A543">
        <f>IF(ISNA(MATCH(534,'Transfer Engine'!$C$2:$C$679,0)),"",INDEX('Compliance Database'!$A$2:$A$679,MATCH(534,'Transfer Engine'!$C$2:$C$679,0)))</f>
        <v/>
      </c>
      <c r="B543">
        <f>IF(ISNA(MATCH(534,'Transfer Engine'!$C$2:$C$679,0)),"",INDEX('Compliance Database'!$B$2:$B$679,MATCH(534,'Transfer Engine'!$C$2:$C$679,0)))</f>
        <v/>
      </c>
      <c r="C543">
        <f>IF(ISNA(MATCH(534,'Transfer Engine'!$C$2:$C$679,0)),"",INDEX('Compliance Database'!$C$2:$C$679,MATCH(534,'Transfer Engine'!$C$2:$C$679,0)))</f>
        <v/>
      </c>
      <c r="D543" s="8">
        <f>IF(ISNA(MATCH(534,'Transfer Engine'!$C$2:$C$679,0)),"",INDEX('Compliance Database'!$D$2:$D$679,MATCH(534,'Transfer Engine'!$C$2:$C$679,0)))</f>
        <v/>
      </c>
      <c r="E543">
        <f>IF(ISNA(MATCH(534,'Transfer Engine'!$C$2:$C$679,0)),"",INDEX('Compliance Database'!$E$2:$E$679,MATCH(534,'Transfer Engine'!$C$2:$C$679,0)))</f>
        <v/>
      </c>
      <c r="F543">
        <f>IF(ISNA(MATCH(534,'Transfer Engine'!$C$2:$C$679,0)),"",INDEX('Compliance Database'!$F$2:$F$679,MATCH(534,'Transfer Engine'!$C$2:$C$679,0)))</f>
        <v/>
      </c>
      <c r="G543">
        <f>IF(ISNA(MATCH(534,'Transfer Engine'!$C$2:$C$679,0)),"",INDEX('Compliance Database'!$G$2:$G$679,MATCH(534,'Transfer Engine'!$C$2:$C$679,0)))</f>
        <v/>
      </c>
      <c r="H543">
        <f>IF(ISNA(MATCH(534,'Transfer Engine'!$C$2:$C$679,0)),"",INDEX('Compliance Database'!$H$2:$H$679,MATCH(534,'Transfer Engine'!$C$2:$C$679,0)))</f>
        <v/>
      </c>
      <c r="I543" s="8">
        <f>IF(ISNA(MATCH(534,'Transfer Engine'!$C$2:$C$679,0)),"",INDEX('Compliance Database'!$I$2:$I$679,MATCH(534,'Transfer Engine'!$C$2:$C$679,0)))</f>
        <v/>
      </c>
      <c r="J543" s="8">
        <f>IF(ISNA(MATCH(534,'Transfer Engine'!$C$2:$C$679,0)),"",INDEX('Compliance Database'!$J$2:$J$679,MATCH(534,'Transfer Engine'!$C$2:$C$679,0)))</f>
        <v/>
      </c>
      <c r="K543">
        <f>IF(ISNA(MATCH(534,'Transfer Engine'!$C$2:$C$679,0)),"",INDEX('Compliance Database'!$K$2:$K$679,MATCH(534,'Transfer Engine'!$C$2:$C$679,0)))</f>
        <v/>
      </c>
      <c r="L543" s="8">
        <f>IF(ISNA(MATCH(534,'Transfer Engine'!$C$2:$C$679,0)),"",INDEX('Compliance Database'!$L$2:$L$679,MATCH(534,'Transfer Engine'!$C$2:$C$679,0)))</f>
        <v/>
      </c>
      <c r="M543" s="8">
        <f>IF(ISNA(MATCH(534,'Transfer Engine'!$C$2:$C$679,0)),"",INDEX('Compliance Database'!$M$2:$M$679,MATCH(534,'Transfer Engine'!$C$2:$C$679,0)))</f>
        <v/>
      </c>
      <c r="N543" s="8">
        <f>IF(ISNA(MATCH(534,'Transfer Engine'!$C$2:$C$679,0)),"",INDEX('Compliance Database'!$N$2:$N$679,MATCH(534,'Transfer Engine'!$C$2:$C$679,0)))</f>
        <v/>
      </c>
      <c r="O543" s="8">
        <f>IF(ISNA(MATCH(534,'Transfer Engine'!$C$2:$C$679,0)),"",INDEX('Compliance Database'!$O$2:$O$679,MATCH(534,'Transfer Engine'!$C$2:$C$679,0)))</f>
        <v/>
      </c>
      <c r="P543">
        <f>IF(ISNA(MATCH(534,'Transfer Engine'!$C$2:$C$679,0)),"",HYPERLINK(INDEX('Compliance Database'!$P$2:$P$679,MATCH(534,'Transfer Engine'!$C$2:$C$679,0)),"Open PDF"))</f>
        <v/>
      </c>
    </row>
    <row r="544">
      <c r="A544">
        <f>IF(ISNA(MATCH(535,'Transfer Engine'!$C$2:$C$679,0)),"",INDEX('Compliance Database'!$A$2:$A$679,MATCH(535,'Transfer Engine'!$C$2:$C$679,0)))</f>
        <v/>
      </c>
      <c r="B544">
        <f>IF(ISNA(MATCH(535,'Transfer Engine'!$C$2:$C$679,0)),"",INDEX('Compliance Database'!$B$2:$B$679,MATCH(535,'Transfer Engine'!$C$2:$C$679,0)))</f>
        <v/>
      </c>
      <c r="C544">
        <f>IF(ISNA(MATCH(535,'Transfer Engine'!$C$2:$C$679,0)),"",INDEX('Compliance Database'!$C$2:$C$679,MATCH(535,'Transfer Engine'!$C$2:$C$679,0)))</f>
        <v/>
      </c>
      <c r="D544" s="8">
        <f>IF(ISNA(MATCH(535,'Transfer Engine'!$C$2:$C$679,0)),"",INDEX('Compliance Database'!$D$2:$D$679,MATCH(535,'Transfer Engine'!$C$2:$C$679,0)))</f>
        <v/>
      </c>
      <c r="E544">
        <f>IF(ISNA(MATCH(535,'Transfer Engine'!$C$2:$C$679,0)),"",INDEX('Compliance Database'!$E$2:$E$679,MATCH(535,'Transfer Engine'!$C$2:$C$679,0)))</f>
        <v/>
      </c>
      <c r="F544">
        <f>IF(ISNA(MATCH(535,'Transfer Engine'!$C$2:$C$679,0)),"",INDEX('Compliance Database'!$F$2:$F$679,MATCH(535,'Transfer Engine'!$C$2:$C$679,0)))</f>
        <v/>
      </c>
      <c r="G544">
        <f>IF(ISNA(MATCH(535,'Transfer Engine'!$C$2:$C$679,0)),"",INDEX('Compliance Database'!$G$2:$G$679,MATCH(535,'Transfer Engine'!$C$2:$C$679,0)))</f>
        <v/>
      </c>
      <c r="H544">
        <f>IF(ISNA(MATCH(535,'Transfer Engine'!$C$2:$C$679,0)),"",INDEX('Compliance Database'!$H$2:$H$679,MATCH(535,'Transfer Engine'!$C$2:$C$679,0)))</f>
        <v/>
      </c>
      <c r="I544" s="8">
        <f>IF(ISNA(MATCH(535,'Transfer Engine'!$C$2:$C$679,0)),"",INDEX('Compliance Database'!$I$2:$I$679,MATCH(535,'Transfer Engine'!$C$2:$C$679,0)))</f>
        <v/>
      </c>
      <c r="J544" s="8">
        <f>IF(ISNA(MATCH(535,'Transfer Engine'!$C$2:$C$679,0)),"",INDEX('Compliance Database'!$J$2:$J$679,MATCH(535,'Transfer Engine'!$C$2:$C$679,0)))</f>
        <v/>
      </c>
      <c r="K544">
        <f>IF(ISNA(MATCH(535,'Transfer Engine'!$C$2:$C$679,0)),"",INDEX('Compliance Database'!$K$2:$K$679,MATCH(535,'Transfer Engine'!$C$2:$C$679,0)))</f>
        <v/>
      </c>
      <c r="L544" s="8">
        <f>IF(ISNA(MATCH(535,'Transfer Engine'!$C$2:$C$679,0)),"",INDEX('Compliance Database'!$L$2:$L$679,MATCH(535,'Transfer Engine'!$C$2:$C$679,0)))</f>
        <v/>
      </c>
      <c r="M544" s="8">
        <f>IF(ISNA(MATCH(535,'Transfer Engine'!$C$2:$C$679,0)),"",INDEX('Compliance Database'!$M$2:$M$679,MATCH(535,'Transfer Engine'!$C$2:$C$679,0)))</f>
        <v/>
      </c>
      <c r="N544" s="8">
        <f>IF(ISNA(MATCH(535,'Transfer Engine'!$C$2:$C$679,0)),"",INDEX('Compliance Database'!$N$2:$N$679,MATCH(535,'Transfer Engine'!$C$2:$C$679,0)))</f>
        <v/>
      </c>
      <c r="O544" s="8">
        <f>IF(ISNA(MATCH(535,'Transfer Engine'!$C$2:$C$679,0)),"",INDEX('Compliance Database'!$O$2:$O$679,MATCH(535,'Transfer Engine'!$C$2:$C$679,0)))</f>
        <v/>
      </c>
      <c r="P544">
        <f>IF(ISNA(MATCH(535,'Transfer Engine'!$C$2:$C$679,0)),"",HYPERLINK(INDEX('Compliance Database'!$P$2:$P$679,MATCH(535,'Transfer Engine'!$C$2:$C$679,0)),"Open PDF"))</f>
        <v/>
      </c>
    </row>
    <row r="545">
      <c r="A545">
        <f>IF(ISNA(MATCH(536,'Transfer Engine'!$C$2:$C$679,0)),"",INDEX('Compliance Database'!$A$2:$A$679,MATCH(536,'Transfer Engine'!$C$2:$C$679,0)))</f>
        <v/>
      </c>
      <c r="B545">
        <f>IF(ISNA(MATCH(536,'Transfer Engine'!$C$2:$C$679,0)),"",INDEX('Compliance Database'!$B$2:$B$679,MATCH(536,'Transfer Engine'!$C$2:$C$679,0)))</f>
        <v/>
      </c>
      <c r="C545">
        <f>IF(ISNA(MATCH(536,'Transfer Engine'!$C$2:$C$679,0)),"",INDEX('Compliance Database'!$C$2:$C$679,MATCH(536,'Transfer Engine'!$C$2:$C$679,0)))</f>
        <v/>
      </c>
      <c r="D545" s="8">
        <f>IF(ISNA(MATCH(536,'Transfer Engine'!$C$2:$C$679,0)),"",INDEX('Compliance Database'!$D$2:$D$679,MATCH(536,'Transfer Engine'!$C$2:$C$679,0)))</f>
        <v/>
      </c>
      <c r="E545">
        <f>IF(ISNA(MATCH(536,'Transfer Engine'!$C$2:$C$679,0)),"",INDEX('Compliance Database'!$E$2:$E$679,MATCH(536,'Transfer Engine'!$C$2:$C$679,0)))</f>
        <v/>
      </c>
      <c r="F545">
        <f>IF(ISNA(MATCH(536,'Transfer Engine'!$C$2:$C$679,0)),"",INDEX('Compliance Database'!$F$2:$F$679,MATCH(536,'Transfer Engine'!$C$2:$C$679,0)))</f>
        <v/>
      </c>
      <c r="G545">
        <f>IF(ISNA(MATCH(536,'Transfer Engine'!$C$2:$C$679,0)),"",INDEX('Compliance Database'!$G$2:$G$679,MATCH(536,'Transfer Engine'!$C$2:$C$679,0)))</f>
        <v/>
      </c>
      <c r="H545">
        <f>IF(ISNA(MATCH(536,'Transfer Engine'!$C$2:$C$679,0)),"",INDEX('Compliance Database'!$H$2:$H$679,MATCH(536,'Transfer Engine'!$C$2:$C$679,0)))</f>
        <v/>
      </c>
      <c r="I545" s="8">
        <f>IF(ISNA(MATCH(536,'Transfer Engine'!$C$2:$C$679,0)),"",INDEX('Compliance Database'!$I$2:$I$679,MATCH(536,'Transfer Engine'!$C$2:$C$679,0)))</f>
        <v/>
      </c>
      <c r="J545" s="8">
        <f>IF(ISNA(MATCH(536,'Transfer Engine'!$C$2:$C$679,0)),"",INDEX('Compliance Database'!$J$2:$J$679,MATCH(536,'Transfer Engine'!$C$2:$C$679,0)))</f>
        <v/>
      </c>
      <c r="K545">
        <f>IF(ISNA(MATCH(536,'Transfer Engine'!$C$2:$C$679,0)),"",INDEX('Compliance Database'!$K$2:$K$679,MATCH(536,'Transfer Engine'!$C$2:$C$679,0)))</f>
        <v/>
      </c>
      <c r="L545" s="8">
        <f>IF(ISNA(MATCH(536,'Transfer Engine'!$C$2:$C$679,0)),"",INDEX('Compliance Database'!$L$2:$L$679,MATCH(536,'Transfer Engine'!$C$2:$C$679,0)))</f>
        <v/>
      </c>
      <c r="M545" s="8">
        <f>IF(ISNA(MATCH(536,'Transfer Engine'!$C$2:$C$679,0)),"",INDEX('Compliance Database'!$M$2:$M$679,MATCH(536,'Transfer Engine'!$C$2:$C$679,0)))</f>
        <v/>
      </c>
      <c r="N545" s="8">
        <f>IF(ISNA(MATCH(536,'Transfer Engine'!$C$2:$C$679,0)),"",INDEX('Compliance Database'!$N$2:$N$679,MATCH(536,'Transfer Engine'!$C$2:$C$679,0)))</f>
        <v/>
      </c>
      <c r="O545" s="8">
        <f>IF(ISNA(MATCH(536,'Transfer Engine'!$C$2:$C$679,0)),"",INDEX('Compliance Database'!$O$2:$O$679,MATCH(536,'Transfer Engine'!$C$2:$C$679,0)))</f>
        <v/>
      </c>
      <c r="P545">
        <f>IF(ISNA(MATCH(536,'Transfer Engine'!$C$2:$C$679,0)),"",HYPERLINK(INDEX('Compliance Database'!$P$2:$P$679,MATCH(536,'Transfer Engine'!$C$2:$C$679,0)),"Open PDF"))</f>
        <v/>
      </c>
    </row>
    <row r="546">
      <c r="A546">
        <f>IF(ISNA(MATCH(537,'Transfer Engine'!$C$2:$C$679,0)),"",INDEX('Compliance Database'!$A$2:$A$679,MATCH(537,'Transfer Engine'!$C$2:$C$679,0)))</f>
        <v/>
      </c>
      <c r="B546">
        <f>IF(ISNA(MATCH(537,'Transfer Engine'!$C$2:$C$679,0)),"",INDEX('Compliance Database'!$B$2:$B$679,MATCH(537,'Transfer Engine'!$C$2:$C$679,0)))</f>
        <v/>
      </c>
      <c r="C546">
        <f>IF(ISNA(MATCH(537,'Transfer Engine'!$C$2:$C$679,0)),"",INDEX('Compliance Database'!$C$2:$C$679,MATCH(537,'Transfer Engine'!$C$2:$C$679,0)))</f>
        <v/>
      </c>
      <c r="D546" s="8">
        <f>IF(ISNA(MATCH(537,'Transfer Engine'!$C$2:$C$679,0)),"",INDEX('Compliance Database'!$D$2:$D$679,MATCH(537,'Transfer Engine'!$C$2:$C$679,0)))</f>
        <v/>
      </c>
      <c r="E546">
        <f>IF(ISNA(MATCH(537,'Transfer Engine'!$C$2:$C$679,0)),"",INDEX('Compliance Database'!$E$2:$E$679,MATCH(537,'Transfer Engine'!$C$2:$C$679,0)))</f>
        <v/>
      </c>
      <c r="F546">
        <f>IF(ISNA(MATCH(537,'Transfer Engine'!$C$2:$C$679,0)),"",INDEX('Compliance Database'!$F$2:$F$679,MATCH(537,'Transfer Engine'!$C$2:$C$679,0)))</f>
        <v/>
      </c>
      <c r="G546">
        <f>IF(ISNA(MATCH(537,'Transfer Engine'!$C$2:$C$679,0)),"",INDEX('Compliance Database'!$G$2:$G$679,MATCH(537,'Transfer Engine'!$C$2:$C$679,0)))</f>
        <v/>
      </c>
      <c r="H546">
        <f>IF(ISNA(MATCH(537,'Transfer Engine'!$C$2:$C$679,0)),"",INDEX('Compliance Database'!$H$2:$H$679,MATCH(537,'Transfer Engine'!$C$2:$C$679,0)))</f>
        <v/>
      </c>
      <c r="I546" s="8">
        <f>IF(ISNA(MATCH(537,'Transfer Engine'!$C$2:$C$679,0)),"",INDEX('Compliance Database'!$I$2:$I$679,MATCH(537,'Transfer Engine'!$C$2:$C$679,0)))</f>
        <v/>
      </c>
      <c r="J546" s="8">
        <f>IF(ISNA(MATCH(537,'Transfer Engine'!$C$2:$C$679,0)),"",INDEX('Compliance Database'!$J$2:$J$679,MATCH(537,'Transfer Engine'!$C$2:$C$679,0)))</f>
        <v/>
      </c>
      <c r="K546">
        <f>IF(ISNA(MATCH(537,'Transfer Engine'!$C$2:$C$679,0)),"",INDEX('Compliance Database'!$K$2:$K$679,MATCH(537,'Transfer Engine'!$C$2:$C$679,0)))</f>
        <v/>
      </c>
      <c r="L546" s="8">
        <f>IF(ISNA(MATCH(537,'Transfer Engine'!$C$2:$C$679,0)),"",INDEX('Compliance Database'!$L$2:$L$679,MATCH(537,'Transfer Engine'!$C$2:$C$679,0)))</f>
        <v/>
      </c>
      <c r="M546" s="8">
        <f>IF(ISNA(MATCH(537,'Transfer Engine'!$C$2:$C$679,0)),"",INDEX('Compliance Database'!$M$2:$M$679,MATCH(537,'Transfer Engine'!$C$2:$C$679,0)))</f>
        <v/>
      </c>
      <c r="N546" s="8">
        <f>IF(ISNA(MATCH(537,'Transfer Engine'!$C$2:$C$679,0)),"",INDEX('Compliance Database'!$N$2:$N$679,MATCH(537,'Transfer Engine'!$C$2:$C$679,0)))</f>
        <v/>
      </c>
      <c r="O546" s="8">
        <f>IF(ISNA(MATCH(537,'Transfer Engine'!$C$2:$C$679,0)),"",INDEX('Compliance Database'!$O$2:$O$679,MATCH(537,'Transfer Engine'!$C$2:$C$679,0)))</f>
        <v/>
      </c>
      <c r="P546">
        <f>IF(ISNA(MATCH(537,'Transfer Engine'!$C$2:$C$679,0)),"",HYPERLINK(INDEX('Compliance Database'!$P$2:$P$679,MATCH(537,'Transfer Engine'!$C$2:$C$679,0)),"Open PDF"))</f>
        <v/>
      </c>
    </row>
    <row r="547">
      <c r="A547">
        <f>IF(ISNA(MATCH(538,'Transfer Engine'!$C$2:$C$679,0)),"",INDEX('Compliance Database'!$A$2:$A$679,MATCH(538,'Transfer Engine'!$C$2:$C$679,0)))</f>
        <v/>
      </c>
      <c r="B547">
        <f>IF(ISNA(MATCH(538,'Transfer Engine'!$C$2:$C$679,0)),"",INDEX('Compliance Database'!$B$2:$B$679,MATCH(538,'Transfer Engine'!$C$2:$C$679,0)))</f>
        <v/>
      </c>
      <c r="C547">
        <f>IF(ISNA(MATCH(538,'Transfer Engine'!$C$2:$C$679,0)),"",INDEX('Compliance Database'!$C$2:$C$679,MATCH(538,'Transfer Engine'!$C$2:$C$679,0)))</f>
        <v/>
      </c>
      <c r="D547" s="8">
        <f>IF(ISNA(MATCH(538,'Transfer Engine'!$C$2:$C$679,0)),"",INDEX('Compliance Database'!$D$2:$D$679,MATCH(538,'Transfer Engine'!$C$2:$C$679,0)))</f>
        <v/>
      </c>
      <c r="E547">
        <f>IF(ISNA(MATCH(538,'Transfer Engine'!$C$2:$C$679,0)),"",INDEX('Compliance Database'!$E$2:$E$679,MATCH(538,'Transfer Engine'!$C$2:$C$679,0)))</f>
        <v/>
      </c>
      <c r="F547">
        <f>IF(ISNA(MATCH(538,'Transfer Engine'!$C$2:$C$679,0)),"",INDEX('Compliance Database'!$F$2:$F$679,MATCH(538,'Transfer Engine'!$C$2:$C$679,0)))</f>
        <v/>
      </c>
      <c r="G547">
        <f>IF(ISNA(MATCH(538,'Transfer Engine'!$C$2:$C$679,0)),"",INDEX('Compliance Database'!$G$2:$G$679,MATCH(538,'Transfer Engine'!$C$2:$C$679,0)))</f>
        <v/>
      </c>
      <c r="H547">
        <f>IF(ISNA(MATCH(538,'Transfer Engine'!$C$2:$C$679,0)),"",INDEX('Compliance Database'!$H$2:$H$679,MATCH(538,'Transfer Engine'!$C$2:$C$679,0)))</f>
        <v/>
      </c>
      <c r="I547" s="8">
        <f>IF(ISNA(MATCH(538,'Transfer Engine'!$C$2:$C$679,0)),"",INDEX('Compliance Database'!$I$2:$I$679,MATCH(538,'Transfer Engine'!$C$2:$C$679,0)))</f>
        <v/>
      </c>
      <c r="J547" s="8">
        <f>IF(ISNA(MATCH(538,'Transfer Engine'!$C$2:$C$679,0)),"",INDEX('Compliance Database'!$J$2:$J$679,MATCH(538,'Transfer Engine'!$C$2:$C$679,0)))</f>
        <v/>
      </c>
      <c r="K547">
        <f>IF(ISNA(MATCH(538,'Transfer Engine'!$C$2:$C$679,0)),"",INDEX('Compliance Database'!$K$2:$K$679,MATCH(538,'Transfer Engine'!$C$2:$C$679,0)))</f>
        <v/>
      </c>
      <c r="L547" s="8">
        <f>IF(ISNA(MATCH(538,'Transfer Engine'!$C$2:$C$679,0)),"",INDEX('Compliance Database'!$L$2:$L$679,MATCH(538,'Transfer Engine'!$C$2:$C$679,0)))</f>
        <v/>
      </c>
      <c r="M547" s="8">
        <f>IF(ISNA(MATCH(538,'Transfer Engine'!$C$2:$C$679,0)),"",INDEX('Compliance Database'!$M$2:$M$679,MATCH(538,'Transfer Engine'!$C$2:$C$679,0)))</f>
        <v/>
      </c>
      <c r="N547" s="8">
        <f>IF(ISNA(MATCH(538,'Transfer Engine'!$C$2:$C$679,0)),"",INDEX('Compliance Database'!$N$2:$N$679,MATCH(538,'Transfer Engine'!$C$2:$C$679,0)))</f>
        <v/>
      </c>
      <c r="O547" s="8">
        <f>IF(ISNA(MATCH(538,'Transfer Engine'!$C$2:$C$679,0)),"",INDEX('Compliance Database'!$O$2:$O$679,MATCH(538,'Transfer Engine'!$C$2:$C$679,0)))</f>
        <v/>
      </c>
      <c r="P547">
        <f>IF(ISNA(MATCH(538,'Transfer Engine'!$C$2:$C$679,0)),"",HYPERLINK(INDEX('Compliance Database'!$P$2:$P$679,MATCH(538,'Transfer Engine'!$C$2:$C$679,0)),"Open PDF"))</f>
        <v/>
      </c>
    </row>
    <row r="548">
      <c r="A548">
        <f>IF(ISNA(MATCH(539,'Transfer Engine'!$C$2:$C$679,0)),"",INDEX('Compliance Database'!$A$2:$A$679,MATCH(539,'Transfer Engine'!$C$2:$C$679,0)))</f>
        <v/>
      </c>
      <c r="B548">
        <f>IF(ISNA(MATCH(539,'Transfer Engine'!$C$2:$C$679,0)),"",INDEX('Compliance Database'!$B$2:$B$679,MATCH(539,'Transfer Engine'!$C$2:$C$679,0)))</f>
        <v/>
      </c>
      <c r="C548">
        <f>IF(ISNA(MATCH(539,'Transfer Engine'!$C$2:$C$679,0)),"",INDEX('Compliance Database'!$C$2:$C$679,MATCH(539,'Transfer Engine'!$C$2:$C$679,0)))</f>
        <v/>
      </c>
      <c r="D548" s="8">
        <f>IF(ISNA(MATCH(539,'Transfer Engine'!$C$2:$C$679,0)),"",INDEX('Compliance Database'!$D$2:$D$679,MATCH(539,'Transfer Engine'!$C$2:$C$679,0)))</f>
        <v/>
      </c>
      <c r="E548">
        <f>IF(ISNA(MATCH(539,'Transfer Engine'!$C$2:$C$679,0)),"",INDEX('Compliance Database'!$E$2:$E$679,MATCH(539,'Transfer Engine'!$C$2:$C$679,0)))</f>
        <v/>
      </c>
      <c r="F548">
        <f>IF(ISNA(MATCH(539,'Transfer Engine'!$C$2:$C$679,0)),"",INDEX('Compliance Database'!$F$2:$F$679,MATCH(539,'Transfer Engine'!$C$2:$C$679,0)))</f>
        <v/>
      </c>
      <c r="G548">
        <f>IF(ISNA(MATCH(539,'Transfer Engine'!$C$2:$C$679,0)),"",INDEX('Compliance Database'!$G$2:$G$679,MATCH(539,'Transfer Engine'!$C$2:$C$679,0)))</f>
        <v/>
      </c>
      <c r="H548">
        <f>IF(ISNA(MATCH(539,'Transfer Engine'!$C$2:$C$679,0)),"",INDEX('Compliance Database'!$H$2:$H$679,MATCH(539,'Transfer Engine'!$C$2:$C$679,0)))</f>
        <v/>
      </c>
      <c r="I548" s="8">
        <f>IF(ISNA(MATCH(539,'Transfer Engine'!$C$2:$C$679,0)),"",INDEX('Compliance Database'!$I$2:$I$679,MATCH(539,'Transfer Engine'!$C$2:$C$679,0)))</f>
        <v/>
      </c>
      <c r="J548" s="8">
        <f>IF(ISNA(MATCH(539,'Transfer Engine'!$C$2:$C$679,0)),"",INDEX('Compliance Database'!$J$2:$J$679,MATCH(539,'Transfer Engine'!$C$2:$C$679,0)))</f>
        <v/>
      </c>
      <c r="K548">
        <f>IF(ISNA(MATCH(539,'Transfer Engine'!$C$2:$C$679,0)),"",INDEX('Compliance Database'!$K$2:$K$679,MATCH(539,'Transfer Engine'!$C$2:$C$679,0)))</f>
        <v/>
      </c>
      <c r="L548" s="8">
        <f>IF(ISNA(MATCH(539,'Transfer Engine'!$C$2:$C$679,0)),"",INDEX('Compliance Database'!$L$2:$L$679,MATCH(539,'Transfer Engine'!$C$2:$C$679,0)))</f>
        <v/>
      </c>
      <c r="M548" s="8">
        <f>IF(ISNA(MATCH(539,'Transfer Engine'!$C$2:$C$679,0)),"",INDEX('Compliance Database'!$M$2:$M$679,MATCH(539,'Transfer Engine'!$C$2:$C$679,0)))</f>
        <v/>
      </c>
      <c r="N548" s="8">
        <f>IF(ISNA(MATCH(539,'Transfer Engine'!$C$2:$C$679,0)),"",INDEX('Compliance Database'!$N$2:$N$679,MATCH(539,'Transfer Engine'!$C$2:$C$679,0)))</f>
        <v/>
      </c>
      <c r="O548" s="8">
        <f>IF(ISNA(MATCH(539,'Transfer Engine'!$C$2:$C$679,0)),"",INDEX('Compliance Database'!$O$2:$O$679,MATCH(539,'Transfer Engine'!$C$2:$C$679,0)))</f>
        <v/>
      </c>
      <c r="P548">
        <f>IF(ISNA(MATCH(539,'Transfer Engine'!$C$2:$C$679,0)),"",HYPERLINK(INDEX('Compliance Database'!$P$2:$P$679,MATCH(539,'Transfer Engine'!$C$2:$C$679,0)),"Open PDF"))</f>
        <v/>
      </c>
    </row>
    <row r="549">
      <c r="A549">
        <f>IF(ISNA(MATCH(540,'Transfer Engine'!$C$2:$C$679,0)),"",INDEX('Compliance Database'!$A$2:$A$679,MATCH(540,'Transfer Engine'!$C$2:$C$679,0)))</f>
        <v/>
      </c>
      <c r="B549">
        <f>IF(ISNA(MATCH(540,'Transfer Engine'!$C$2:$C$679,0)),"",INDEX('Compliance Database'!$B$2:$B$679,MATCH(540,'Transfer Engine'!$C$2:$C$679,0)))</f>
        <v/>
      </c>
      <c r="C549">
        <f>IF(ISNA(MATCH(540,'Transfer Engine'!$C$2:$C$679,0)),"",INDEX('Compliance Database'!$C$2:$C$679,MATCH(540,'Transfer Engine'!$C$2:$C$679,0)))</f>
        <v/>
      </c>
      <c r="D549" s="8">
        <f>IF(ISNA(MATCH(540,'Transfer Engine'!$C$2:$C$679,0)),"",INDEX('Compliance Database'!$D$2:$D$679,MATCH(540,'Transfer Engine'!$C$2:$C$679,0)))</f>
        <v/>
      </c>
      <c r="E549">
        <f>IF(ISNA(MATCH(540,'Transfer Engine'!$C$2:$C$679,0)),"",INDEX('Compliance Database'!$E$2:$E$679,MATCH(540,'Transfer Engine'!$C$2:$C$679,0)))</f>
        <v/>
      </c>
      <c r="F549">
        <f>IF(ISNA(MATCH(540,'Transfer Engine'!$C$2:$C$679,0)),"",INDEX('Compliance Database'!$F$2:$F$679,MATCH(540,'Transfer Engine'!$C$2:$C$679,0)))</f>
        <v/>
      </c>
      <c r="G549">
        <f>IF(ISNA(MATCH(540,'Transfer Engine'!$C$2:$C$679,0)),"",INDEX('Compliance Database'!$G$2:$G$679,MATCH(540,'Transfer Engine'!$C$2:$C$679,0)))</f>
        <v/>
      </c>
      <c r="H549">
        <f>IF(ISNA(MATCH(540,'Transfer Engine'!$C$2:$C$679,0)),"",INDEX('Compliance Database'!$H$2:$H$679,MATCH(540,'Transfer Engine'!$C$2:$C$679,0)))</f>
        <v/>
      </c>
      <c r="I549" s="8">
        <f>IF(ISNA(MATCH(540,'Transfer Engine'!$C$2:$C$679,0)),"",INDEX('Compliance Database'!$I$2:$I$679,MATCH(540,'Transfer Engine'!$C$2:$C$679,0)))</f>
        <v/>
      </c>
      <c r="J549" s="8">
        <f>IF(ISNA(MATCH(540,'Transfer Engine'!$C$2:$C$679,0)),"",INDEX('Compliance Database'!$J$2:$J$679,MATCH(540,'Transfer Engine'!$C$2:$C$679,0)))</f>
        <v/>
      </c>
      <c r="K549">
        <f>IF(ISNA(MATCH(540,'Transfer Engine'!$C$2:$C$679,0)),"",INDEX('Compliance Database'!$K$2:$K$679,MATCH(540,'Transfer Engine'!$C$2:$C$679,0)))</f>
        <v/>
      </c>
      <c r="L549" s="8">
        <f>IF(ISNA(MATCH(540,'Transfer Engine'!$C$2:$C$679,0)),"",INDEX('Compliance Database'!$L$2:$L$679,MATCH(540,'Transfer Engine'!$C$2:$C$679,0)))</f>
        <v/>
      </c>
      <c r="M549" s="8">
        <f>IF(ISNA(MATCH(540,'Transfer Engine'!$C$2:$C$679,0)),"",INDEX('Compliance Database'!$M$2:$M$679,MATCH(540,'Transfer Engine'!$C$2:$C$679,0)))</f>
        <v/>
      </c>
      <c r="N549" s="8">
        <f>IF(ISNA(MATCH(540,'Transfer Engine'!$C$2:$C$679,0)),"",INDEX('Compliance Database'!$N$2:$N$679,MATCH(540,'Transfer Engine'!$C$2:$C$679,0)))</f>
        <v/>
      </c>
      <c r="O549" s="8">
        <f>IF(ISNA(MATCH(540,'Transfer Engine'!$C$2:$C$679,0)),"",INDEX('Compliance Database'!$O$2:$O$679,MATCH(540,'Transfer Engine'!$C$2:$C$679,0)))</f>
        <v/>
      </c>
      <c r="P549">
        <f>IF(ISNA(MATCH(540,'Transfer Engine'!$C$2:$C$679,0)),"",HYPERLINK(INDEX('Compliance Database'!$P$2:$P$679,MATCH(540,'Transfer Engine'!$C$2:$C$679,0)),"Open PDF"))</f>
        <v/>
      </c>
    </row>
    <row r="550">
      <c r="A550">
        <f>IF(ISNA(MATCH(541,'Transfer Engine'!$C$2:$C$679,0)),"",INDEX('Compliance Database'!$A$2:$A$679,MATCH(541,'Transfer Engine'!$C$2:$C$679,0)))</f>
        <v/>
      </c>
      <c r="B550">
        <f>IF(ISNA(MATCH(541,'Transfer Engine'!$C$2:$C$679,0)),"",INDEX('Compliance Database'!$B$2:$B$679,MATCH(541,'Transfer Engine'!$C$2:$C$679,0)))</f>
        <v/>
      </c>
      <c r="C550">
        <f>IF(ISNA(MATCH(541,'Transfer Engine'!$C$2:$C$679,0)),"",INDEX('Compliance Database'!$C$2:$C$679,MATCH(541,'Transfer Engine'!$C$2:$C$679,0)))</f>
        <v/>
      </c>
      <c r="D550" s="8">
        <f>IF(ISNA(MATCH(541,'Transfer Engine'!$C$2:$C$679,0)),"",INDEX('Compliance Database'!$D$2:$D$679,MATCH(541,'Transfer Engine'!$C$2:$C$679,0)))</f>
        <v/>
      </c>
      <c r="E550">
        <f>IF(ISNA(MATCH(541,'Transfer Engine'!$C$2:$C$679,0)),"",INDEX('Compliance Database'!$E$2:$E$679,MATCH(541,'Transfer Engine'!$C$2:$C$679,0)))</f>
        <v/>
      </c>
      <c r="F550">
        <f>IF(ISNA(MATCH(541,'Transfer Engine'!$C$2:$C$679,0)),"",INDEX('Compliance Database'!$F$2:$F$679,MATCH(541,'Transfer Engine'!$C$2:$C$679,0)))</f>
        <v/>
      </c>
      <c r="G550">
        <f>IF(ISNA(MATCH(541,'Transfer Engine'!$C$2:$C$679,0)),"",INDEX('Compliance Database'!$G$2:$G$679,MATCH(541,'Transfer Engine'!$C$2:$C$679,0)))</f>
        <v/>
      </c>
      <c r="H550">
        <f>IF(ISNA(MATCH(541,'Transfer Engine'!$C$2:$C$679,0)),"",INDEX('Compliance Database'!$H$2:$H$679,MATCH(541,'Transfer Engine'!$C$2:$C$679,0)))</f>
        <v/>
      </c>
      <c r="I550" s="8">
        <f>IF(ISNA(MATCH(541,'Transfer Engine'!$C$2:$C$679,0)),"",INDEX('Compliance Database'!$I$2:$I$679,MATCH(541,'Transfer Engine'!$C$2:$C$679,0)))</f>
        <v/>
      </c>
      <c r="J550" s="8">
        <f>IF(ISNA(MATCH(541,'Transfer Engine'!$C$2:$C$679,0)),"",INDEX('Compliance Database'!$J$2:$J$679,MATCH(541,'Transfer Engine'!$C$2:$C$679,0)))</f>
        <v/>
      </c>
      <c r="K550">
        <f>IF(ISNA(MATCH(541,'Transfer Engine'!$C$2:$C$679,0)),"",INDEX('Compliance Database'!$K$2:$K$679,MATCH(541,'Transfer Engine'!$C$2:$C$679,0)))</f>
        <v/>
      </c>
      <c r="L550" s="8">
        <f>IF(ISNA(MATCH(541,'Transfer Engine'!$C$2:$C$679,0)),"",INDEX('Compliance Database'!$L$2:$L$679,MATCH(541,'Transfer Engine'!$C$2:$C$679,0)))</f>
        <v/>
      </c>
      <c r="M550" s="8">
        <f>IF(ISNA(MATCH(541,'Transfer Engine'!$C$2:$C$679,0)),"",INDEX('Compliance Database'!$M$2:$M$679,MATCH(541,'Transfer Engine'!$C$2:$C$679,0)))</f>
        <v/>
      </c>
      <c r="N550" s="8">
        <f>IF(ISNA(MATCH(541,'Transfer Engine'!$C$2:$C$679,0)),"",INDEX('Compliance Database'!$N$2:$N$679,MATCH(541,'Transfer Engine'!$C$2:$C$679,0)))</f>
        <v/>
      </c>
      <c r="O550" s="8">
        <f>IF(ISNA(MATCH(541,'Transfer Engine'!$C$2:$C$679,0)),"",INDEX('Compliance Database'!$O$2:$O$679,MATCH(541,'Transfer Engine'!$C$2:$C$679,0)))</f>
        <v/>
      </c>
      <c r="P550">
        <f>IF(ISNA(MATCH(541,'Transfer Engine'!$C$2:$C$679,0)),"",HYPERLINK(INDEX('Compliance Database'!$P$2:$P$679,MATCH(541,'Transfer Engine'!$C$2:$C$679,0)),"Open PDF"))</f>
        <v/>
      </c>
    </row>
    <row r="551">
      <c r="A551">
        <f>IF(ISNA(MATCH(542,'Transfer Engine'!$C$2:$C$679,0)),"",INDEX('Compliance Database'!$A$2:$A$679,MATCH(542,'Transfer Engine'!$C$2:$C$679,0)))</f>
        <v/>
      </c>
      <c r="B551">
        <f>IF(ISNA(MATCH(542,'Transfer Engine'!$C$2:$C$679,0)),"",INDEX('Compliance Database'!$B$2:$B$679,MATCH(542,'Transfer Engine'!$C$2:$C$679,0)))</f>
        <v/>
      </c>
      <c r="C551">
        <f>IF(ISNA(MATCH(542,'Transfer Engine'!$C$2:$C$679,0)),"",INDEX('Compliance Database'!$C$2:$C$679,MATCH(542,'Transfer Engine'!$C$2:$C$679,0)))</f>
        <v/>
      </c>
      <c r="D551" s="8">
        <f>IF(ISNA(MATCH(542,'Transfer Engine'!$C$2:$C$679,0)),"",INDEX('Compliance Database'!$D$2:$D$679,MATCH(542,'Transfer Engine'!$C$2:$C$679,0)))</f>
        <v/>
      </c>
      <c r="E551">
        <f>IF(ISNA(MATCH(542,'Transfer Engine'!$C$2:$C$679,0)),"",INDEX('Compliance Database'!$E$2:$E$679,MATCH(542,'Transfer Engine'!$C$2:$C$679,0)))</f>
        <v/>
      </c>
      <c r="F551">
        <f>IF(ISNA(MATCH(542,'Transfer Engine'!$C$2:$C$679,0)),"",INDEX('Compliance Database'!$F$2:$F$679,MATCH(542,'Transfer Engine'!$C$2:$C$679,0)))</f>
        <v/>
      </c>
      <c r="G551">
        <f>IF(ISNA(MATCH(542,'Transfer Engine'!$C$2:$C$679,0)),"",INDEX('Compliance Database'!$G$2:$G$679,MATCH(542,'Transfer Engine'!$C$2:$C$679,0)))</f>
        <v/>
      </c>
      <c r="H551">
        <f>IF(ISNA(MATCH(542,'Transfer Engine'!$C$2:$C$679,0)),"",INDEX('Compliance Database'!$H$2:$H$679,MATCH(542,'Transfer Engine'!$C$2:$C$679,0)))</f>
        <v/>
      </c>
      <c r="I551" s="8">
        <f>IF(ISNA(MATCH(542,'Transfer Engine'!$C$2:$C$679,0)),"",INDEX('Compliance Database'!$I$2:$I$679,MATCH(542,'Transfer Engine'!$C$2:$C$679,0)))</f>
        <v/>
      </c>
      <c r="J551" s="8">
        <f>IF(ISNA(MATCH(542,'Transfer Engine'!$C$2:$C$679,0)),"",INDEX('Compliance Database'!$J$2:$J$679,MATCH(542,'Transfer Engine'!$C$2:$C$679,0)))</f>
        <v/>
      </c>
      <c r="K551">
        <f>IF(ISNA(MATCH(542,'Transfer Engine'!$C$2:$C$679,0)),"",INDEX('Compliance Database'!$K$2:$K$679,MATCH(542,'Transfer Engine'!$C$2:$C$679,0)))</f>
        <v/>
      </c>
      <c r="L551" s="8">
        <f>IF(ISNA(MATCH(542,'Transfer Engine'!$C$2:$C$679,0)),"",INDEX('Compliance Database'!$L$2:$L$679,MATCH(542,'Transfer Engine'!$C$2:$C$679,0)))</f>
        <v/>
      </c>
      <c r="M551" s="8">
        <f>IF(ISNA(MATCH(542,'Transfer Engine'!$C$2:$C$679,0)),"",INDEX('Compliance Database'!$M$2:$M$679,MATCH(542,'Transfer Engine'!$C$2:$C$679,0)))</f>
        <v/>
      </c>
      <c r="N551" s="8">
        <f>IF(ISNA(MATCH(542,'Transfer Engine'!$C$2:$C$679,0)),"",INDEX('Compliance Database'!$N$2:$N$679,MATCH(542,'Transfer Engine'!$C$2:$C$679,0)))</f>
        <v/>
      </c>
      <c r="O551" s="8">
        <f>IF(ISNA(MATCH(542,'Transfer Engine'!$C$2:$C$679,0)),"",INDEX('Compliance Database'!$O$2:$O$679,MATCH(542,'Transfer Engine'!$C$2:$C$679,0)))</f>
        <v/>
      </c>
      <c r="P551">
        <f>IF(ISNA(MATCH(542,'Transfer Engine'!$C$2:$C$679,0)),"",HYPERLINK(INDEX('Compliance Database'!$P$2:$P$679,MATCH(542,'Transfer Engine'!$C$2:$C$679,0)),"Open PDF"))</f>
        <v/>
      </c>
    </row>
    <row r="552">
      <c r="A552">
        <f>IF(ISNA(MATCH(543,'Transfer Engine'!$C$2:$C$679,0)),"",INDEX('Compliance Database'!$A$2:$A$679,MATCH(543,'Transfer Engine'!$C$2:$C$679,0)))</f>
        <v/>
      </c>
      <c r="B552">
        <f>IF(ISNA(MATCH(543,'Transfer Engine'!$C$2:$C$679,0)),"",INDEX('Compliance Database'!$B$2:$B$679,MATCH(543,'Transfer Engine'!$C$2:$C$679,0)))</f>
        <v/>
      </c>
      <c r="C552">
        <f>IF(ISNA(MATCH(543,'Transfer Engine'!$C$2:$C$679,0)),"",INDEX('Compliance Database'!$C$2:$C$679,MATCH(543,'Transfer Engine'!$C$2:$C$679,0)))</f>
        <v/>
      </c>
      <c r="D552" s="8">
        <f>IF(ISNA(MATCH(543,'Transfer Engine'!$C$2:$C$679,0)),"",INDEX('Compliance Database'!$D$2:$D$679,MATCH(543,'Transfer Engine'!$C$2:$C$679,0)))</f>
        <v/>
      </c>
      <c r="E552">
        <f>IF(ISNA(MATCH(543,'Transfer Engine'!$C$2:$C$679,0)),"",INDEX('Compliance Database'!$E$2:$E$679,MATCH(543,'Transfer Engine'!$C$2:$C$679,0)))</f>
        <v/>
      </c>
      <c r="F552">
        <f>IF(ISNA(MATCH(543,'Transfer Engine'!$C$2:$C$679,0)),"",INDEX('Compliance Database'!$F$2:$F$679,MATCH(543,'Transfer Engine'!$C$2:$C$679,0)))</f>
        <v/>
      </c>
      <c r="G552">
        <f>IF(ISNA(MATCH(543,'Transfer Engine'!$C$2:$C$679,0)),"",INDEX('Compliance Database'!$G$2:$G$679,MATCH(543,'Transfer Engine'!$C$2:$C$679,0)))</f>
        <v/>
      </c>
      <c r="H552">
        <f>IF(ISNA(MATCH(543,'Transfer Engine'!$C$2:$C$679,0)),"",INDEX('Compliance Database'!$H$2:$H$679,MATCH(543,'Transfer Engine'!$C$2:$C$679,0)))</f>
        <v/>
      </c>
      <c r="I552" s="8">
        <f>IF(ISNA(MATCH(543,'Transfer Engine'!$C$2:$C$679,0)),"",INDEX('Compliance Database'!$I$2:$I$679,MATCH(543,'Transfer Engine'!$C$2:$C$679,0)))</f>
        <v/>
      </c>
      <c r="J552" s="8">
        <f>IF(ISNA(MATCH(543,'Transfer Engine'!$C$2:$C$679,0)),"",INDEX('Compliance Database'!$J$2:$J$679,MATCH(543,'Transfer Engine'!$C$2:$C$679,0)))</f>
        <v/>
      </c>
      <c r="K552">
        <f>IF(ISNA(MATCH(543,'Transfer Engine'!$C$2:$C$679,0)),"",INDEX('Compliance Database'!$K$2:$K$679,MATCH(543,'Transfer Engine'!$C$2:$C$679,0)))</f>
        <v/>
      </c>
      <c r="L552" s="8">
        <f>IF(ISNA(MATCH(543,'Transfer Engine'!$C$2:$C$679,0)),"",INDEX('Compliance Database'!$L$2:$L$679,MATCH(543,'Transfer Engine'!$C$2:$C$679,0)))</f>
        <v/>
      </c>
      <c r="M552" s="8">
        <f>IF(ISNA(MATCH(543,'Transfer Engine'!$C$2:$C$679,0)),"",INDEX('Compliance Database'!$M$2:$M$679,MATCH(543,'Transfer Engine'!$C$2:$C$679,0)))</f>
        <v/>
      </c>
      <c r="N552" s="8">
        <f>IF(ISNA(MATCH(543,'Transfer Engine'!$C$2:$C$679,0)),"",INDEX('Compliance Database'!$N$2:$N$679,MATCH(543,'Transfer Engine'!$C$2:$C$679,0)))</f>
        <v/>
      </c>
      <c r="O552" s="8">
        <f>IF(ISNA(MATCH(543,'Transfer Engine'!$C$2:$C$679,0)),"",INDEX('Compliance Database'!$O$2:$O$679,MATCH(543,'Transfer Engine'!$C$2:$C$679,0)))</f>
        <v/>
      </c>
      <c r="P552">
        <f>IF(ISNA(MATCH(543,'Transfer Engine'!$C$2:$C$679,0)),"",HYPERLINK(INDEX('Compliance Database'!$P$2:$P$679,MATCH(543,'Transfer Engine'!$C$2:$C$679,0)),"Open PDF"))</f>
        <v/>
      </c>
    </row>
    <row r="553">
      <c r="A553">
        <f>IF(ISNA(MATCH(544,'Transfer Engine'!$C$2:$C$679,0)),"",INDEX('Compliance Database'!$A$2:$A$679,MATCH(544,'Transfer Engine'!$C$2:$C$679,0)))</f>
        <v/>
      </c>
      <c r="B553">
        <f>IF(ISNA(MATCH(544,'Transfer Engine'!$C$2:$C$679,0)),"",INDEX('Compliance Database'!$B$2:$B$679,MATCH(544,'Transfer Engine'!$C$2:$C$679,0)))</f>
        <v/>
      </c>
      <c r="C553">
        <f>IF(ISNA(MATCH(544,'Transfer Engine'!$C$2:$C$679,0)),"",INDEX('Compliance Database'!$C$2:$C$679,MATCH(544,'Transfer Engine'!$C$2:$C$679,0)))</f>
        <v/>
      </c>
      <c r="D553" s="8">
        <f>IF(ISNA(MATCH(544,'Transfer Engine'!$C$2:$C$679,0)),"",INDEX('Compliance Database'!$D$2:$D$679,MATCH(544,'Transfer Engine'!$C$2:$C$679,0)))</f>
        <v/>
      </c>
      <c r="E553">
        <f>IF(ISNA(MATCH(544,'Transfer Engine'!$C$2:$C$679,0)),"",INDEX('Compliance Database'!$E$2:$E$679,MATCH(544,'Transfer Engine'!$C$2:$C$679,0)))</f>
        <v/>
      </c>
      <c r="F553">
        <f>IF(ISNA(MATCH(544,'Transfer Engine'!$C$2:$C$679,0)),"",INDEX('Compliance Database'!$F$2:$F$679,MATCH(544,'Transfer Engine'!$C$2:$C$679,0)))</f>
        <v/>
      </c>
      <c r="G553">
        <f>IF(ISNA(MATCH(544,'Transfer Engine'!$C$2:$C$679,0)),"",INDEX('Compliance Database'!$G$2:$G$679,MATCH(544,'Transfer Engine'!$C$2:$C$679,0)))</f>
        <v/>
      </c>
      <c r="H553">
        <f>IF(ISNA(MATCH(544,'Transfer Engine'!$C$2:$C$679,0)),"",INDEX('Compliance Database'!$H$2:$H$679,MATCH(544,'Transfer Engine'!$C$2:$C$679,0)))</f>
        <v/>
      </c>
      <c r="I553" s="8">
        <f>IF(ISNA(MATCH(544,'Transfer Engine'!$C$2:$C$679,0)),"",INDEX('Compliance Database'!$I$2:$I$679,MATCH(544,'Transfer Engine'!$C$2:$C$679,0)))</f>
        <v/>
      </c>
      <c r="J553" s="8">
        <f>IF(ISNA(MATCH(544,'Transfer Engine'!$C$2:$C$679,0)),"",INDEX('Compliance Database'!$J$2:$J$679,MATCH(544,'Transfer Engine'!$C$2:$C$679,0)))</f>
        <v/>
      </c>
      <c r="K553">
        <f>IF(ISNA(MATCH(544,'Transfer Engine'!$C$2:$C$679,0)),"",INDEX('Compliance Database'!$K$2:$K$679,MATCH(544,'Transfer Engine'!$C$2:$C$679,0)))</f>
        <v/>
      </c>
      <c r="L553" s="8">
        <f>IF(ISNA(MATCH(544,'Transfer Engine'!$C$2:$C$679,0)),"",INDEX('Compliance Database'!$L$2:$L$679,MATCH(544,'Transfer Engine'!$C$2:$C$679,0)))</f>
        <v/>
      </c>
      <c r="M553" s="8">
        <f>IF(ISNA(MATCH(544,'Transfer Engine'!$C$2:$C$679,0)),"",INDEX('Compliance Database'!$M$2:$M$679,MATCH(544,'Transfer Engine'!$C$2:$C$679,0)))</f>
        <v/>
      </c>
      <c r="N553" s="8">
        <f>IF(ISNA(MATCH(544,'Transfer Engine'!$C$2:$C$679,0)),"",INDEX('Compliance Database'!$N$2:$N$679,MATCH(544,'Transfer Engine'!$C$2:$C$679,0)))</f>
        <v/>
      </c>
      <c r="O553" s="8">
        <f>IF(ISNA(MATCH(544,'Transfer Engine'!$C$2:$C$679,0)),"",INDEX('Compliance Database'!$O$2:$O$679,MATCH(544,'Transfer Engine'!$C$2:$C$679,0)))</f>
        <v/>
      </c>
      <c r="P553">
        <f>IF(ISNA(MATCH(544,'Transfer Engine'!$C$2:$C$679,0)),"",HYPERLINK(INDEX('Compliance Database'!$P$2:$P$679,MATCH(544,'Transfer Engine'!$C$2:$C$679,0)),"Open PDF"))</f>
        <v/>
      </c>
    </row>
    <row r="554">
      <c r="A554">
        <f>IF(ISNA(MATCH(545,'Transfer Engine'!$C$2:$C$679,0)),"",INDEX('Compliance Database'!$A$2:$A$679,MATCH(545,'Transfer Engine'!$C$2:$C$679,0)))</f>
        <v/>
      </c>
      <c r="B554">
        <f>IF(ISNA(MATCH(545,'Transfer Engine'!$C$2:$C$679,0)),"",INDEX('Compliance Database'!$B$2:$B$679,MATCH(545,'Transfer Engine'!$C$2:$C$679,0)))</f>
        <v/>
      </c>
      <c r="C554">
        <f>IF(ISNA(MATCH(545,'Transfer Engine'!$C$2:$C$679,0)),"",INDEX('Compliance Database'!$C$2:$C$679,MATCH(545,'Transfer Engine'!$C$2:$C$679,0)))</f>
        <v/>
      </c>
      <c r="D554" s="8">
        <f>IF(ISNA(MATCH(545,'Transfer Engine'!$C$2:$C$679,0)),"",INDEX('Compliance Database'!$D$2:$D$679,MATCH(545,'Transfer Engine'!$C$2:$C$679,0)))</f>
        <v/>
      </c>
      <c r="E554">
        <f>IF(ISNA(MATCH(545,'Transfer Engine'!$C$2:$C$679,0)),"",INDEX('Compliance Database'!$E$2:$E$679,MATCH(545,'Transfer Engine'!$C$2:$C$679,0)))</f>
        <v/>
      </c>
      <c r="F554">
        <f>IF(ISNA(MATCH(545,'Transfer Engine'!$C$2:$C$679,0)),"",INDEX('Compliance Database'!$F$2:$F$679,MATCH(545,'Transfer Engine'!$C$2:$C$679,0)))</f>
        <v/>
      </c>
      <c r="G554">
        <f>IF(ISNA(MATCH(545,'Transfer Engine'!$C$2:$C$679,0)),"",INDEX('Compliance Database'!$G$2:$G$679,MATCH(545,'Transfer Engine'!$C$2:$C$679,0)))</f>
        <v/>
      </c>
      <c r="H554">
        <f>IF(ISNA(MATCH(545,'Transfer Engine'!$C$2:$C$679,0)),"",INDEX('Compliance Database'!$H$2:$H$679,MATCH(545,'Transfer Engine'!$C$2:$C$679,0)))</f>
        <v/>
      </c>
      <c r="I554" s="8">
        <f>IF(ISNA(MATCH(545,'Transfer Engine'!$C$2:$C$679,0)),"",INDEX('Compliance Database'!$I$2:$I$679,MATCH(545,'Transfer Engine'!$C$2:$C$679,0)))</f>
        <v/>
      </c>
      <c r="J554" s="8">
        <f>IF(ISNA(MATCH(545,'Transfer Engine'!$C$2:$C$679,0)),"",INDEX('Compliance Database'!$J$2:$J$679,MATCH(545,'Transfer Engine'!$C$2:$C$679,0)))</f>
        <v/>
      </c>
      <c r="K554">
        <f>IF(ISNA(MATCH(545,'Transfer Engine'!$C$2:$C$679,0)),"",INDEX('Compliance Database'!$K$2:$K$679,MATCH(545,'Transfer Engine'!$C$2:$C$679,0)))</f>
        <v/>
      </c>
      <c r="L554" s="8">
        <f>IF(ISNA(MATCH(545,'Transfer Engine'!$C$2:$C$679,0)),"",INDEX('Compliance Database'!$L$2:$L$679,MATCH(545,'Transfer Engine'!$C$2:$C$679,0)))</f>
        <v/>
      </c>
      <c r="M554" s="8">
        <f>IF(ISNA(MATCH(545,'Transfer Engine'!$C$2:$C$679,0)),"",INDEX('Compliance Database'!$M$2:$M$679,MATCH(545,'Transfer Engine'!$C$2:$C$679,0)))</f>
        <v/>
      </c>
      <c r="N554" s="8">
        <f>IF(ISNA(MATCH(545,'Transfer Engine'!$C$2:$C$679,0)),"",INDEX('Compliance Database'!$N$2:$N$679,MATCH(545,'Transfer Engine'!$C$2:$C$679,0)))</f>
        <v/>
      </c>
      <c r="O554" s="8">
        <f>IF(ISNA(MATCH(545,'Transfer Engine'!$C$2:$C$679,0)),"",INDEX('Compliance Database'!$O$2:$O$679,MATCH(545,'Transfer Engine'!$C$2:$C$679,0)))</f>
        <v/>
      </c>
      <c r="P554">
        <f>IF(ISNA(MATCH(545,'Transfer Engine'!$C$2:$C$679,0)),"",HYPERLINK(INDEX('Compliance Database'!$P$2:$P$679,MATCH(545,'Transfer Engine'!$C$2:$C$679,0)),"Open PDF"))</f>
        <v/>
      </c>
    </row>
    <row r="555">
      <c r="A555">
        <f>IF(ISNA(MATCH(546,'Transfer Engine'!$C$2:$C$679,0)),"",INDEX('Compliance Database'!$A$2:$A$679,MATCH(546,'Transfer Engine'!$C$2:$C$679,0)))</f>
        <v/>
      </c>
      <c r="B555">
        <f>IF(ISNA(MATCH(546,'Transfer Engine'!$C$2:$C$679,0)),"",INDEX('Compliance Database'!$B$2:$B$679,MATCH(546,'Transfer Engine'!$C$2:$C$679,0)))</f>
        <v/>
      </c>
      <c r="C555">
        <f>IF(ISNA(MATCH(546,'Transfer Engine'!$C$2:$C$679,0)),"",INDEX('Compliance Database'!$C$2:$C$679,MATCH(546,'Transfer Engine'!$C$2:$C$679,0)))</f>
        <v/>
      </c>
      <c r="D555" s="8">
        <f>IF(ISNA(MATCH(546,'Transfer Engine'!$C$2:$C$679,0)),"",INDEX('Compliance Database'!$D$2:$D$679,MATCH(546,'Transfer Engine'!$C$2:$C$679,0)))</f>
        <v/>
      </c>
      <c r="E555">
        <f>IF(ISNA(MATCH(546,'Transfer Engine'!$C$2:$C$679,0)),"",INDEX('Compliance Database'!$E$2:$E$679,MATCH(546,'Transfer Engine'!$C$2:$C$679,0)))</f>
        <v/>
      </c>
      <c r="F555">
        <f>IF(ISNA(MATCH(546,'Transfer Engine'!$C$2:$C$679,0)),"",INDEX('Compliance Database'!$F$2:$F$679,MATCH(546,'Transfer Engine'!$C$2:$C$679,0)))</f>
        <v/>
      </c>
      <c r="G555">
        <f>IF(ISNA(MATCH(546,'Transfer Engine'!$C$2:$C$679,0)),"",INDEX('Compliance Database'!$G$2:$G$679,MATCH(546,'Transfer Engine'!$C$2:$C$679,0)))</f>
        <v/>
      </c>
      <c r="H555">
        <f>IF(ISNA(MATCH(546,'Transfer Engine'!$C$2:$C$679,0)),"",INDEX('Compliance Database'!$H$2:$H$679,MATCH(546,'Transfer Engine'!$C$2:$C$679,0)))</f>
        <v/>
      </c>
      <c r="I555" s="8">
        <f>IF(ISNA(MATCH(546,'Transfer Engine'!$C$2:$C$679,0)),"",INDEX('Compliance Database'!$I$2:$I$679,MATCH(546,'Transfer Engine'!$C$2:$C$679,0)))</f>
        <v/>
      </c>
      <c r="J555" s="8">
        <f>IF(ISNA(MATCH(546,'Transfer Engine'!$C$2:$C$679,0)),"",INDEX('Compliance Database'!$J$2:$J$679,MATCH(546,'Transfer Engine'!$C$2:$C$679,0)))</f>
        <v/>
      </c>
      <c r="K555">
        <f>IF(ISNA(MATCH(546,'Transfer Engine'!$C$2:$C$679,0)),"",INDEX('Compliance Database'!$K$2:$K$679,MATCH(546,'Transfer Engine'!$C$2:$C$679,0)))</f>
        <v/>
      </c>
      <c r="L555" s="8">
        <f>IF(ISNA(MATCH(546,'Transfer Engine'!$C$2:$C$679,0)),"",INDEX('Compliance Database'!$L$2:$L$679,MATCH(546,'Transfer Engine'!$C$2:$C$679,0)))</f>
        <v/>
      </c>
      <c r="M555" s="8">
        <f>IF(ISNA(MATCH(546,'Transfer Engine'!$C$2:$C$679,0)),"",INDEX('Compliance Database'!$M$2:$M$679,MATCH(546,'Transfer Engine'!$C$2:$C$679,0)))</f>
        <v/>
      </c>
      <c r="N555" s="8">
        <f>IF(ISNA(MATCH(546,'Transfer Engine'!$C$2:$C$679,0)),"",INDEX('Compliance Database'!$N$2:$N$679,MATCH(546,'Transfer Engine'!$C$2:$C$679,0)))</f>
        <v/>
      </c>
      <c r="O555" s="8">
        <f>IF(ISNA(MATCH(546,'Transfer Engine'!$C$2:$C$679,0)),"",INDEX('Compliance Database'!$O$2:$O$679,MATCH(546,'Transfer Engine'!$C$2:$C$679,0)))</f>
        <v/>
      </c>
      <c r="P555">
        <f>IF(ISNA(MATCH(546,'Transfer Engine'!$C$2:$C$679,0)),"",HYPERLINK(INDEX('Compliance Database'!$P$2:$P$679,MATCH(546,'Transfer Engine'!$C$2:$C$679,0)),"Open PDF"))</f>
        <v/>
      </c>
    </row>
    <row r="556">
      <c r="A556">
        <f>IF(ISNA(MATCH(547,'Transfer Engine'!$C$2:$C$679,0)),"",INDEX('Compliance Database'!$A$2:$A$679,MATCH(547,'Transfer Engine'!$C$2:$C$679,0)))</f>
        <v/>
      </c>
      <c r="B556">
        <f>IF(ISNA(MATCH(547,'Transfer Engine'!$C$2:$C$679,0)),"",INDEX('Compliance Database'!$B$2:$B$679,MATCH(547,'Transfer Engine'!$C$2:$C$679,0)))</f>
        <v/>
      </c>
      <c r="C556">
        <f>IF(ISNA(MATCH(547,'Transfer Engine'!$C$2:$C$679,0)),"",INDEX('Compliance Database'!$C$2:$C$679,MATCH(547,'Transfer Engine'!$C$2:$C$679,0)))</f>
        <v/>
      </c>
      <c r="D556" s="8">
        <f>IF(ISNA(MATCH(547,'Transfer Engine'!$C$2:$C$679,0)),"",INDEX('Compliance Database'!$D$2:$D$679,MATCH(547,'Transfer Engine'!$C$2:$C$679,0)))</f>
        <v/>
      </c>
      <c r="E556">
        <f>IF(ISNA(MATCH(547,'Transfer Engine'!$C$2:$C$679,0)),"",INDEX('Compliance Database'!$E$2:$E$679,MATCH(547,'Transfer Engine'!$C$2:$C$679,0)))</f>
        <v/>
      </c>
      <c r="F556">
        <f>IF(ISNA(MATCH(547,'Transfer Engine'!$C$2:$C$679,0)),"",INDEX('Compliance Database'!$F$2:$F$679,MATCH(547,'Transfer Engine'!$C$2:$C$679,0)))</f>
        <v/>
      </c>
      <c r="G556">
        <f>IF(ISNA(MATCH(547,'Transfer Engine'!$C$2:$C$679,0)),"",INDEX('Compliance Database'!$G$2:$G$679,MATCH(547,'Transfer Engine'!$C$2:$C$679,0)))</f>
        <v/>
      </c>
      <c r="H556">
        <f>IF(ISNA(MATCH(547,'Transfer Engine'!$C$2:$C$679,0)),"",INDEX('Compliance Database'!$H$2:$H$679,MATCH(547,'Transfer Engine'!$C$2:$C$679,0)))</f>
        <v/>
      </c>
      <c r="I556" s="8">
        <f>IF(ISNA(MATCH(547,'Transfer Engine'!$C$2:$C$679,0)),"",INDEX('Compliance Database'!$I$2:$I$679,MATCH(547,'Transfer Engine'!$C$2:$C$679,0)))</f>
        <v/>
      </c>
      <c r="J556" s="8">
        <f>IF(ISNA(MATCH(547,'Transfer Engine'!$C$2:$C$679,0)),"",INDEX('Compliance Database'!$J$2:$J$679,MATCH(547,'Transfer Engine'!$C$2:$C$679,0)))</f>
        <v/>
      </c>
      <c r="K556">
        <f>IF(ISNA(MATCH(547,'Transfer Engine'!$C$2:$C$679,0)),"",INDEX('Compliance Database'!$K$2:$K$679,MATCH(547,'Transfer Engine'!$C$2:$C$679,0)))</f>
        <v/>
      </c>
      <c r="L556" s="8">
        <f>IF(ISNA(MATCH(547,'Transfer Engine'!$C$2:$C$679,0)),"",INDEX('Compliance Database'!$L$2:$L$679,MATCH(547,'Transfer Engine'!$C$2:$C$679,0)))</f>
        <v/>
      </c>
      <c r="M556" s="8">
        <f>IF(ISNA(MATCH(547,'Transfer Engine'!$C$2:$C$679,0)),"",INDEX('Compliance Database'!$M$2:$M$679,MATCH(547,'Transfer Engine'!$C$2:$C$679,0)))</f>
        <v/>
      </c>
      <c r="N556" s="8">
        <f>IF(ISNA(MATCH(547,'Transfer Engine'!$C$2:$C$679,0)),"",INDEX('Compliance Database'!$N$2:$N$679,MATCH(547,'Transfer Engine'!$C$2:$C$679,0)))</f>
        <v/>
      </c>
      <c r="O556" s="8">
        <f>IF(ISNA(MATCH(547,'Transfer Engine'!$C$2:$C$679,0)),"",INDEX('Compliance Database'!$O$2:$O$679,MATCH(547,'Transfer Engine'!$C$2:$C$679,0)))</f>
        <v/>
      </c>
      <c r="P556">
        <f>IF(ISNA(MATCH(547,'Transfer Engine'!$C$2:$C$679,0)),"",HYPERLINK(INDEX('Compliance Database'!$P$2:$P$679,MATCH(547,'Transfer Engine'!$C$2:$C$679,0)),"Open PDF"))</f>
        <v/>
      </c>
    </row>
    <row r="557">
      <c r="A557">
        <f>IF(ISNA(MATCH(548,'Transfer Engine'!$C$2:$C$679,0)),"",INDEX('Compliance Database'!$A$2:$A$679,MATCH(548,'Transfer Engine'!$C$2:$C$679,0)))</f>
        <v/>
      </c>
      <c r="B557">
        <f>IF(ISNA(MATCH(548,'Transfer Engine'!$C$2:$C$679,0)),"",INDEX('Compliance Database'!$B$2:$B$679,MATCH(548,'Transfer Engine'!$C$2:$C$679,0)))</f>
        <v/>
      </c>
      <c r="C557">
        <f>IF(ISNA(MATCH(548,'Transfer Engine'!$C$2:$C$679,0)),"",INDEX('Compliance Database'!$C$2:$C$679,MATCH(548,'Transfer Engine'!$C$2:$C$679,0)))</f>
        <v/>
      </c>
      <c r="D557" s="8">
        <f>IF(ISNA(MATCH(548,'Transfer Engine'!$C$2:$C$679,0)),"",INDEX('Compliance Database'!$D$2:$D$679,MATCH(548,'Transfer Engine'!$C$2:$C$679,0)))</f>
        <v/>
      </c>
      <c r="E557">
        <f>IF(ISNA(MATCH(548,'Transfer Engine'!$C$2:$C$679,0)),"",INDEX('Compliance Database'!$E$2:$E$679,MATCH(548,'Transfer Engine'!$C$2:$C$679,0)))</f>
        <v/>
      </c>
      <c r="F557">
        <f>IF(ISNA(MATCH(548,'Transfer Engine'!$C$2:$C$679,0)),"",INDEX('Compliance Database'!$F$2:$F$679,MATCH(548,'Transfer Engine'!$C$2:$C$679,0)))</f>
        <v/>
      </c>
      <c r="G557">
        <f>IF(ISNA(MATCH(548,'Transfer Engine'!$C$2:$C$679,0)),"",INDEX('Compliance Database'!$G$2:$G$679,MATCH(548,'Transfer Engine'!$C$2:$C$679,0)))</f>
        <v/>
      </c>
      <c r="H557">
        <f>IF(ISNA(MATCH(548,'Transfer Engine'!$C$2:$C$679,0)),"",INDEX('Compliance Database'!$H$2:$H$679,MATCH(548,'Transfer Engine'!$C$2:$C$679,0)))</f>
        <v/>
      </c>
      <c r="I557" s="8">
        <f>IF(ISNA(MATCH(548,'Transfer Engine'!$C$2:$C$679,0)),"",INDEX('Compliance Database'!$I$2:$I$679,MATCH(548,'Transfer Engine'!$C$2:$C$679,0)))</f>
        <v/>
      </c>
      <c r="J557" s="8">
        <f>IF(ISNA(MATCH(548,'Transfer Engine'!$C$2:$C$679,0)),"",INDEX('Compliance Database'!$J$2:$J$679,MATCH(548,'Transfer Engine'!$C$2:$C$679,0)))</f>
        <v/>
      </c>
      <c r="K557">
        <f>IF(ISNA(MATCH(548,'Transfer Engine'!$C$2:$C$679,0)),"",INDEX('Compliance Database'!$K$2:$K$679,MATCH(548,'Transfer Engine'!$C$2:$C$679,0)))</f>
        <v/>
      </c>
      <c r="L557" s="8">
        <f>IF(ISNA(MATCH(548,'Transfer Engine'!$C$2:$C$679,0)),"",INDEX('Compliance Database'!$L$2:$L$679,MATCH(548,'Transfer Engine'!$C$2:$C$679,0)))</f>
        <v/>
      </c>
      <c r="M557" s="8">
        <f>IF(ISNA(MATCH(548,'Transfer Engine'!$C$2:$C$679,0)),"",INDEX('Compliance Database'!$M$2:$M$679,MATCH(548,'Transfer Engine'!$C$2:$C$679,0)))</f>
        <v/>
      </c>
      <c r="N557" s="8">
        <f>IF(ISNA(MATCH(548,'Transfer Engine'!$C$2:$C$679,0)),"",INDEX('Compliance Database'!$N$2:$N$679,MATCH(548,'Transfer Engine'!$C$2:$C$679,0)))</f>
        <v/>
      </c>
      <c r="O557" s="8">
        <f>IF(ISNA(MATCH(548,'Transfer Engine'!$C$2:$C$679,0)),"",INDEX('Compliance Database'!$O$2:$O$679,MATCH(548,'Transfer Engine'!$C$2:$C$679,0)))</f>
        <v/>
      </c>
      <c r="P557">
        <f>IF(ISNA(MATCH(548,'Transfer Engine'!$C$2:$C$679,0)),"",HYPERLINK(INDEX('Compliance Database'!$P$2:$P$679,MATCH(548,'Transfer Engine'!$C$2:$C$679,0)),"Open PDF"))</f>
        <v/>
      </c>
    </row>
    <row r="558">
      <c r="A558">
        <f>IF(ISNA(MATCH(549,'Transfer Engine'!$C$2:$C$679,0)),"",INDEX('Compliance Database'!$A$2:$A$679,MATCH(549,'Transfer Engine'!$C$2:$C$679,0)))</f>
        <v/>
      </c>
      <c r="B558">
        <f>IF(ISNA(MATCH(549,'Transfer Engine'!$C$2:$C$679,0)),"",INDEX('Compliance Database'!$B$2:$B$679,MATCH(549,'Transfer Engine'!$C$2:$C$679,0)))</f>
        <v/>
      </c>
      <c r="C558">
        <f>IF(ISNA(MATCH(549,'Transfer Engine'!$C$2:$C$679,0)),"",INDEX('Compliance Database'!$C$2:$C$679,MATCH(549,'Transfer Engine'!$C$2:$C$679,0)))</f>
        <v/>
      </c>
      <c r="D558" s="8">
        <f>IF(ISNA(MATCH(549,'Transfer Engine'!$C$2:$C$679,0)),"",INDEX('Compliance Database'!$D$2:$D$679,MATCH(549,'Transfer Engine'!$C$2:$C$679,0)))</f>
        <v/>
      </c>
      <c r="E558">
        <f>IF(ISNA(MATCH(549,'Transfer Engine'!$C$2:$C$679,0)),"",INDEX('Compliance Database'!$E$2:$E$679,MATCH(549,'Transfer Engine'!$C$2:$C$679,0)))</f>
        <v/>
      </c>
      <c r="F558">
        <f>IF(ISNA(MATCH(549,'Transfer Engine'!$C$2:$C$679,0)),"",INDEX('Compliance Database'!$F$2:$F$679,MATCH(549,'Transfer Engine'!$C$2:$C$679,0)))</f>
        <v/>
      </c>
      <c r="G558">
        <f>IF(ISNA(MATCH(549,'Transfer Engine'!$C$2:$C$679,0)),"",INDEX('Compliance Database'!$G$2:$G$679,MATCH(549,'Transfer Engine'!$C$2:$C$679,0)))</f>
        <v/>
      </c>
      <c r="H558">
        <f>IF(ISNA(MATCH(549,'Transfer Engine'!$C$2:$C$679,0)),"",INDEX('Compliance Database'!$H$2:$H$679,MATCH(549,'Transfer Engine'!$C$2:$C$679,0)))</f>
        <v/>
      </c>
      <c r="I558" s="8">
        <f>IF(ISNA(MATCH(549,'Transfer Engine'!$C$2:$C$679,0)),"",INDEX('Compliance Database'!$I$2:$I$679,MATCH(549,'Transfer Engine'!$C$2:$C$679,0)))</f>
        <v/>
      </c>
      <c r="J558" s="8">
        <f>IF(ISNA(MATCH(549,'Transfer Engine'!$C$2:$C$679,0)),"",INDEX('Compliance Database'!$J$2:$J$679,MATCH(549,'Transfer Engine'!$C$2:$C$679,0)))</f>
        <v/>
      </c>
      <c r="K558">
        <f>IF(ISNA(MATCH(549,'Transfer Engine'!$C$2:$C$679,0)),"",INDEX('Compliance Database'!$K$2:$K$679,MATCH(549,'Transfer Engine'!$C$2:$C$679,0)))</f>
        <v/>
      </c>
      <c r="L558" s="8">
        <f>IF(ISNA(MATCH(549,'Transfer Engine'!$C$2:$C$679,0)),"",INDEX('Compliance Database'!$L$2:$L$679,MATCH(549,'Transfer Engine'!$C$2:$C$679,0)))</f>
        <v/>
      </c>
      <c r="M558" s="8">
        <f>IF(ISNA(MATCH(549,'Transfer Engine'!$C$2:$C$679,0)),"",INDEX('Compliance Database'!$M$2:$M$679,MATCH(549,'Transfer Engine'!$C$2:$C$679,0)))</f>
        <v/>
      </c>
      <c r="N558" s="8">
        <f>IF(ISNA(MATCH(549,'Transfer Engine'!$C$2:$C$679,0)),"",INDEX('Compliance Database'!$N$2:$N$679,MATCH(549,'Transfer Engine'!$C$2:$C$679,0)))</f>
        <v/>
      </c>
      <c r="O558" s="8">
        <f>IF(ISNA(MATCH(549,'Transfer Engine'!$C$2:$C$679,0)),"",INDEX('Compliance Database'!$O$2:$O$679,MATCH(549,'Transfer Engine'!$C$2:$C$679,0)))</f>
        <v/>
      </c>
      <c r="P558">
        <f>IF(ISNA(MATCH(549,'Transfer Engine'!$C$2:$C$679,0)),"",HYPERLINK(INDEX('Compliance Database'!$P$2:$P$679,MATCH(549,'Transfer Engine'!$C$2:$C$679,0)),"Open PDF"))</f>
        <v/>
      </c>
    </row>
    <row r="559">
      <c r="A559">
        <f>IF(ISNA(MATCH(550,'Transfer Engine'!$C$2:$C$679,0)),"",INDEX('Compliance Database'!$A$2:$A$679,MATCH(550,'Transfer Engine'!$C$2:$C$679,0)))</f>
        <v/>
      </c>
      <c r="B559">
        <f>IF(ISNA(MATCH(550,'Transfer Engine'!$C$2:$C$679,0)),"",INDEX('Compliance Database'!$B$2:$B$679,MATCH(550,'Transfer Engine'!$C$2:$C$679,0)))</f>
        <v/>
      </c>
      <c r="C559">
        <f>IF(ISNA(MATCH(550,'Transfer Engine'!$C$2:$C$679,0)),"",INDEX('Compliance Database'!$C$2:$C$679,MATCH(550,'Transfer Engine'!$C$2:$C$679,0)))</f>
        <v/>
      </c>
      <c r="D559" s="8">
        <f>IF(ISNA(MATCH(550,'Transfer Engine'!$C$2:$C$679,0)),"",INDEX('Compliance Database'!$D$2:$D$679,MATCH(550,'Transfer Engine'!$C$2:$C$679,0)))</f>
        <v/>
      </c>
      <c r="E559">
        <f>IF(ISNA(MATCH(550,'Transfer Engine'!$C$2:$C$679,0)),"",INDEX('Compliance Database'!$E$2:$E$679,MATCH(550,'Transfer Engine'!$C$2:$C$679,0)))</f>
        <v/>
      </c>
      <c r="F559">
        <f>IF(ISNA(MATCH(550,'Transfer Engine'!$C$2:$C$679,0)),"",INDEX('Compliance Database'!$F$2:$F$679,MATCH(550,'Transfer Engine'!$C$2:$C$679,0)))</f>
        <v/>
      </c>
      <c r="G559">
        <f>IF(ISNA(MATCH(550,'Transfer Engine'!$C$2:$C$679,0)),"",INDEX('Compliance Database'!$G$2:$G$679,MATCH(550,'Transfer Engine'!$C$2:$C$679,0)))</f>
        <v/>
      </c>
      <c r="H559">
        <f>IF(ISNA(MATCH(550,'Transfer Engine'!$C$2:$C$679,0)),"",INDEX('Compliance Database'!$H$2:$H$679,MATCH(550,'Transfer Engine'!$C$2:$C$679,0)))</f>
        <v/>
      </c>
      <c r="I559" s="8">
        <f>IF(ISNA(MATCH(550,'Transfer Engine'!$C$2:$C$679,0)),"",INDEX('Compliance Database'!$I$2:$I$679,MATCH(550,'Transfer Engine'!$C$2:$C$679,0)))</f>
        <v/>
      </c>
      <c r="J559" s="8">
        <f>IF(ISNA(MATCH(550,'Transfer Engine'!$C$2:$C$679,0)),"",INDEX('Compliance Database'!$J$2:$J$679,MATCH(550,'Transfer Engine'!$C$2:$C$679,0)))</f>
        <v/>
      </c>
      <c r="K559">
        <f>IF(ISNA(MATCH(550,'Transfer Engine'!$C$2:$C$679,0)),"",INDEX('Compliance Database'!$K$2:$K$679,MATCH(550,'Transfer Engine'!$C$2:$C$679,0)))</f>
        <v/>
      </c>
      <c r="L559" s="8">
        <f>IF(ISNA(MATCH(550,'Transfer Engine'!$C$2:$C$679,0)),"",INDEX('Compliance Database'!$L$2:$L$679,MATCH(550,'Transfer Engine'!$C$2:$C$679,0)))</f>
        <v/>
      </c>
      <c r="M559" s="8">
        <f>IF(ISNA(MATCH(550,'Transfer Engine'!$C$2:$C$679,0)),"",INDEX('Compliance Database'!$M$2:$M$679,MATCH(550,'Transfer Engine'!$C$2:$C$679,0)))</f>
        <v/>
      </c>
      <c r="N559" s="8">
        <f>IF(ISNA(MATCH(550,'Transfer Engine'!$C$2:$C$679,0)),"",INDEX('Compliance Database'!$N$2:$N$679,MATCH(550,'Transfer Engine'!$C$2:$C$679,0)))</f>
        <v/>
      </c>
      <c r="O559" s="8">
        <f>IF(ISNA(MATCH(550,'Transfer Engine'!$C$2:$C$679,0)),"",INDEX('Compliance Database'!$O$2:$O$679,MATCH(550,'Transfer Engine'!$C$2:$C$679,0)))</f>
        <v/>
      </c>
      <c r="P559">
        <f>IF(ISNA(MATCH(550,'Transfer Engine'!$C$2:$C$679,0)),"",HYPERLINK(INDEX('Compliance Database'!$P$2:$P$679,MATCH(550,'Transfer Engine'!$C$2:$C$679,0)),"Open PDF"))</f>
        <v/>
      </c>
    </row>
    <row r="560">
      <c r="A560">
        <f>IF(ISNA(MATCH(551,'Transfer Engine'!$C$2:$C$679,0)),"",INDEX('Compliance Database'!$A$2:$A$679,MATCH(551,'Transfer Engine'!$C$2:$C$679,0)))</f>
        <v/>
      </c>
      <c r="B560">
        <f>IF(ISNA(MATCH(551,'Transfer Engine'!$C$2:$C$679,0)),"",INDEX('Compliance Database'!$B$2:$B$679,MATCH(551,'Transfer Engine'!$C$2:$C$679,0)))</f>
        <v/>
      </c>
      <c r="C560">
        <f>IF(ISNA(MATCH(551,'Transfer Engine'!$C$2:$C$679,0)),"",INDEX('Compliance Database'!$C$2:$C$679,MATCH(551,'Transfer Engine'!$C$2:$C$679,0)))</f>
        <v/>
      </c>
      <c r="D560" s="8">
        <f>IF(ISNA(MATCH(551,'Transfer Engine'!$C$2:$C$679,0)),"",INDEX('Compliance Database'!$D$2:$D$679,MATCH(551,'Transfer Engine'!$C$2:$C$679,0)))</f>
        <v/>
      </c>
      <c r="E560">
        <f>IF(ISNA(MATCH(551,'Transfer Engine'!$C$2:$C$679,0)),"",INDEX('Compliance Database'!$E$2:$E$679,MATCH(551,'Transfer Engine'!$C$2:$C$679,0)))</f>
        <v/>
      </c>
      <c r="F560">
        <f>IF(ISNA(MATCH(551,'Transfer Engine'!$C$2:$C$679,0)),"",INDEX('Compliance Database'!$F$2:$F$679,MATCH(551,'Transfer Engine'!$C$2:$C$679,0)))</f>
        <v/>
      </c>
      <c r="G560">
        <f>IF(ISNA(MATCH(551,'Transfer Engine'!$C$2:$C$679,0)),"",INDEX('Compliance Database'!$G$2:$G$679,MATCH(551,'Transfer Engine'!$C$2:$C$679,0)))</f>
        <v/>
      </c>
      <c r="H560">
        <f>IF(ISNA(MATCH(551,'Transfer Engine'!$C$2:$C$679,0)),"",INDEX('Compliance Database'!$H$2:$H$679,MATCH(551,'Transfer Engine'!$C$2:$C$679,0)))</f>
        <v/>
      </c>
      <c r="I560" s="8">
        <f>IF(ISNA(MATCH(551,'Transfer Engine'!$C$2:$C$679,0)),"",INDEX('Compliance Database'!$I$2:$I$679,MATCH(551,'Transfer Engine'!$C$2:$C$679,0)))</f>
        <v/>
      </c>
      <c r="J560" s="8">
        <f>IF(ISNA(MATCH(551,'Transfer Engine'!$C$2:$C$679,0)),"",INDEX('Compliance Database'!$J$2:$J$679,MATCH(551,'Transfer Engine'!$C$2:$C$679,0)))</f>
        <v/>
      </c>
      <c r="K560">
        <f>IF(ISNA(MATCH(551,'Transfer Engine'!$C$2:$C$679,0)),"",INDEX('Compliance Database'!$K$2:$K$679,MATCH(551,'Transfer Engine'!$C$2:$C$679,0)))</f>
        <v/>
      </c>
      <c r="L560" s="8">
        <f>IF(ISNA(MATCH(551,'Transfer Engine'!$C$2:$C$679,0)),"",INDEX('Compliance Database'!$L$2:$L$679,MATCH(551,'Transfer Engine'!$C$2:$C$679,0)))</f>
        <v/>
      </c>
      <c r="M560" s="8">
        <f>IF(ISNA(MATCH(551,'Transfer Engine'!$C$2:$C$679,0)),"",INDEX('Compliance Database'!$M$2:$M$679,MATCH(551,'Transfer Engine'!$C$2:$C$679,0)))</f>
        <v/>
      </c>
      <c r="N560" s="8">
        <f>IF(ISNA(MATCH(551,'Transfer Engine'!$C$2:$C$679,0)),"",INDEX('Compliance Database'!$N$2:$N$679,MATCH(551,'Transfer Engine'!$C$2:$C$679,0)))</f>
        <v/>
      </c>
      <c r="O560" s="8">
        <f>IF(ISNA(MATCH(551,'Transfer Engine'!$C$2:$C$679,0)),"",INDEX('Compliance Database'!$O$2:$O$679,MATCH(551,'Transfer Engine'!$C$2:$C$679,0)))</f>
        <v/>
      </c>
      <c r="P560">
        <f>IF(ISNA(MATCH(551,'Transfer Engine'!$C$2:$C$679,0)),"",HYPERLINK(INDEX('Compliance Database'!$P$2:$P$679,MATCH(551,'Transfer Engine'!$C$2:$C$679,0)),"Open PDF"))</f>
        <v/>
      </c>
    </row>
    <row r="561">
      <c r="A561">
        <f>IF(ISNA(MATCH(552,'Transfer Engine'!$C$2:$C$679,0)),"",INDEX('Compliance Database'!$A$2:$A$679,MATCH(552,'Transfer Engine'!$C$2:$C$679,0)))</f>
        <v/>
      </c>
      <c r="B561">
        <f>IF(ISNA(MATCH(552,'Transfer Engine'!$C$2:$C$679,0)),"",INDEX('Compliance Database'!$B$2:$B$679,MATCH(552,'Transfer Engine'!$C$2:$C$679,0)))</f>
        <v/>
      </c>
      <c r="C561">
        <f>IF(ISNA(MATCH(552,'Transfer Engine'!$C$2:$C$679,0)),"",INDEX('Compliance Database'!$C$2:$C$679,MATCH(552,'Transfer Engine'!$C$2:$C$679,0)))</f>
        <v/>
      </c>
      <c r="D561" s="8">
        <f>IF(ISNA(MATCH(552,'Transfer Engine'!$C$2:$C$679,0)),"",INDEX('Compliance Database'!$D$2:$D$679,MATCH(552,'Transfer Engine'!$C$2:$C$679,0)))</f>
        <v/>
      </c>
      <c r="E561">
        <f>IF(ISNA(MATCH(552,'Transfer Engine'!$C$2:$C$679,0)),"",INDEX('Compliance Database'!$E$2:$E$679,MATCH(552,'Transfer Engine'!$C$2:$C$679,0)))</f>
        <v/>
      </c>
      <c r="F561">
        <f>IF(ISNA(MATCH(552,'Transfer Engine'!$C$2:$C$679,0)),"",INDEX('Compliance Database'!$F$2:$F$679,MATCH(552,'Transfer Engine'!$C$2:$C$679,0)))</f>
        <v/>
      </c>
      <c r="G561">
        <f>IF(ISNA(MATCH(552,'Transfer Engine'!$C$2:$C$679,0)),"",INDEX('Compliance Database'!$G$2:$G$679,MATCH(552,'Transfer Engine'!$C$2:$C$679,0)))</f>
        <v/>
      </c>
      <c r="H561">
        <f>IF(ISNA(MATCH(552,'Transfer Engine'!$C$2:$C$679,0)),"",INDEX('Compliance Database'!$H$2:$H$679,MATCH(552,'Transfer Engine'!$C$2:$C$679,0)))</f>
        <v/>
      </c>
      <c r="I561" s="8">
        <f>IF(ISNA(MATCH(552,'Transfer Engine'!$C$2:$C$679,0)),"",INDEX('Compliance Database'!$I$2:$I$679,MATCH(552,'Transfer Engine'!$C$2:$C$679,0)))</f>
        <v/>
      </c>
      <c r="J561" s="8">
        <f>IF(ISNA(MATCH(552,'Transfer Engine'!$C$2:$C$679,0)),"",INDEX('Compliance Database'!$J$2:$J$679,MATCH(552,'Transfer Engine'!$C$2:$C$679,0)))</f>
        <v/>
      </c>
      <c r="K561">
        <f>IF(ISNA(MATCH(552,'Transfer Engine'!$C$2:$C$679,0)),"",INDEX('Compliance Database'!$K$2:$K$679,MATCH(552,'Transfer Engine'!$C$2:$C$679,0)))</f>
        <v/>
      </c>
      <c r="L561" s="8">
        <f>IF(ISNA(MATCH(552,'Transfer Engine'!$C$2:$C$679,0)),"",INDEX('Compliance Database'!$L$2:$L$679,MATCH(552,'Transfer Engine'!$C$2:$C$679,0)))</f>
        <v/>
      </c>
      <c r="M561" s="8">
        <f>IF(ISNA(MATCH(552,'Transfer Engine'!$C$2:$C$679,0)),"",INDEX('Compliance Database'!$M$2:$M$679,MATCH(552,'Transfer Engine'!$C$2:$C$679,0)))</f>
        <v/>
      </c>
      <c r="N561" s="8">
        <f>IF(ISNA(MATCH(552,'Transfer Engine'!$C$2:$C$679,0)),"",INDEX('Compliance Database'!$N$2:$N$679,MATCH(552,'Transfer Engine'!$C$2:$C$679,0)))</f>
        <v/>
      </c>
      <c r="O561" s="8">
        <f>IF(ISNA(MATCH(552,'Transfer Engine'!$C$2:$C$679,0)),"",INDEX('Compliance Database'!$O$2:$O$679,MATCH(552,'Transfer Engine'!$C$2:$C$679,0)))</f>
        <v/>
      </c>
      <c r="P561">
        <f>IF(ISNA(MATCH(552,'Transfer Engine'!$C$2:$C$679,0)),"",HYPERLINK(INDEX('Compliance Database'!$P$2:$P$679,MATCH(552,'Transfer Engine'!$C$2:$C$679,0)),"Open PDF"))</f>
        <v/>
      </c>
    </row>
    <row r="562">
      <c r="A562">
        <f>IF(ISNA(MATCH(553,'Transfer Engine'!$C$2:$C$679,0)),"",INDEX('Compliance Database'!$A$2:$A$679,MATCH(553,'Transfer Engine'!$C$2:$C$679,0)))</f>
        <v/>
      </c>
      <c r="B562">
        <f>IF(ISNA(MATCH(553,'Transfer Engine'!$C$2:$C$679,0)),"",INDEX('Compliance Database'!$B$2:$B$679,MATCH(553,'Transfer Engine'!$C$2:$C$679,0)))</f>
        <v/>
      </c>
      <c r="C562">
        <f>IF(ISNA(MATCH(553,'Transfer Engine'!$C$2:$C$679,0)),"",INDEX('Compliance Database'!$C$2:$C$679,MATCH(553,'Transfer Engine'!$C$2:$C$679,0)))</f>
        <v/>
      </c>
      <c r="D562" s="8">
        <f>IF(ISNA(MATCH(553,'Transfer Engine'!$C$2:$C$679,0)),"",INDEX('Compliance Database'!$D$2:$D$679,MATCH(553,'Transfer Engine'!$C$2:$C$679,0)))</f>
        <v/>
      </c>
      <c r="E562">
        <f>IF(ISNA(MATCH(553,'Transfer Engine'!$C$2:$C$679,0)),"",INDEX('Compliance Database'!$E$2:$E$679,MATCH(553,'Transfer Engine'!$C$2:$C$679,0)))</f>
        <v/>
      </c>
      <c r="F562">
        <f>IF(ISNA(MATCH(553,'Transfer Engine'!$C$2:$C$679,0)),"",INDEX('Compliance Database'!$F$2:$F$679,MATCH(553,'Transfer Engine'!$C$2:$C$679,0)))</f>
        <v/>
      </c>
      <c r="G562">
        <f>IF(ISNA(MATCH(553,'Transfer Engine'!$C$2:$C$679,0)),"",INDEX('Compliance Database'!$G$2:$G$679,MATCH(553,'Transfer Engine'!$C$2:$C$679,0)))</f>
        <v/>
      </c>
      <c r="H562">
        <f>IF(ISNA(MATCH(553,'Transfer Engine'!$C$2:$C$679,0)),"",INDEX('Compliance Database'!$H$2:$H$679,MATCH(553,'Transfer Engine'!$C$2:$C$679,0)))</f>
        <v/>
      </c>
      <c r="I562" s="8">
        <f>IF(ISNA(MATCH(553,'Transfer Engine'!$C$2:$C$679,0)),"",INDEX('Compliance Database'!$I$2:$I$679,MATCH(553,'Transfer Engine'!$C$2:$C$679,0)))</f>
        <v/>
      </c>
      <c r="J562" s="8">
        <f>IF(ISNA(MATCH(553,'Transfer Engine'!$C$2:$C$679,0)),"",INDEX('Compliance Database'!$J$2:$J$679,MATCH(553,'Transfer Engine'!$C$2:$C$679,0)))</f>
        <v/>
      </c>
      <c r="K562">
        <f>IF(ISNA(MATCH(553,'Transfer Engine'!$C$2:$C$679,0)),"",INDEX('Compliance Database'!$K$2:$K$679,MATCH(553,'Transfer Engine'!$C$2:$C$679,0)))</f>
        <v/>
      </c>
      <c r="L562" s="8">
        <f>IF(ISNA(MATCH(553,'Transfer Engine'!$C$2:$C$679,0)),"",INDEX('Compliance Database'!$L$2:$L$679,MATCH(553,'Transfer Engine'!$C$2:$C$679,0)))</f>
        <v/>
      </c>
      <c r="M562" s="8">
        <f>IF(ISNA(MATCH(553,'Transfer Engine'!$C$2:$C$679,0)),"",INDEX('Compliance Database'!$M$2:$M$679,MATCH(553,'Transfer Engine'!$C$2:$C$679,0)))</f>
        <v/>
      </c>
      <c r="N562" s="8">
        <f>IF(ISNA(MATCH(553,'Transfer Engine'!$C$2:$C$679,0)),"",INDEX('Compliance Database'!$N$2:$N$679,MATCH(553,'Transfer Engine'!$C$2:$C$679,0)))</f>
        <v/>
      </c>
      <c r="O562" s="8">
        <f>IF(ISNA(MATCH(553,'Transfer Engine'!$C$2:$C$679,0)),"",INDEX('Compliance Database'!$O$2:$O$679,MATCH(553,'Transfer Engine'!$C$2:$C$679,0)))</f>
        <v/>
      </c>
      <c r="P562">
        <f>IF(ISNA(MATCH(553,'Transfer Engine'!$C$2:$C$679,0)),"",HYPERLINK(INDEX('Compliance Database'!$P$2:$P$679,MATCH(553,'Transfer Engine'!$C$2:$C$679,0)),"Open PDF"))</f>
        <v/>
      </c>
    </row>
    <row r="563">
      <c r="A563">
        <f>IF(ISNA(MATCH(554,'Transfer Engine'!$C$2:$C$679,0)),"",INDEX('Compliance Database'!$A$2:$A$679,MATCH(554,'Transfer Engine'!$C$2:$C$679,0)))</f>
        <v/>
      </c>
      <c r="B563">
        <f>IF(ISNA(MATCH(554,'Transfer Engine'!$C$2:$C$679,0)),"",INDEX('Compliance Database'!$B$2:$B$679,MATCH(554,'Transfer Engine'!$C$2:$C$679,0)))</f>
        <v/>
      </c>
      <c r="C563">
        <f>IF(ISNA(MATCH(554,'Transfer Engine'!$C$2:$C$679,0)),"",INDEX('Compliance Database'!$C$2:$C$679,MATCH(554,'Transfer Engine'!$C$2:$C$679,0)))</f>
        <v/>
      </c>
      <c r="D563" s="8">
        <f>IF(ISNA(MATCH(554,'Transfer Engine'!$C$2:$C$679,0)),"",INDEX('Compliance Database'!$D$2:$D$679,MATCH(554,'Transfer Engine'!$C$2:$C$679,0)))</f>
        <v/>
      </c>
      <c r="E563">
        <f>IF(ISNA(MATCH(554,'Transfer Engine'!$C$2:$C$679,0)),"",INDEX('Compliance Database'!$E$2:$E$679,MATCH(554,'Transfer Engine'!$C$2:$C$679,0)))</f>
        <v/>
      </c>
      <c r="F563">
        <f>IF(ISNA(MATCH(554,'Transfer Engine'!$C$2:$C$679,0)),"",INDEX('Compliance Database'!$F$2:$F$679,MATCH(554,'Transfer Engine'!$C$2:$C$679,0)))</f>
        <v/>
      </c>
      <c r="G563">
        <f>IF(ISNA(MATCH(554,'Transfer Engine'!$C$2:$C$679,0)),"",INDEX('Compliance Database'!$G$2:$G$679,MATCH(554,'Transfer Engine'!$C$2:$C$679,0)))</f>
        <v/>
      </c>
      <c r="H563">
        <f>IF(ISNA(MATCH(554,'Transfer Engine'!$C$2:$C$679,0)),"",INDEX('Compliance Database'!$H$2:$H$679,MATCH(554,'Transfer Engine'!$C$2:$C$679,0)))</f>
        <v/>
      </c>
      <c r="I563" s="8">
        <f>IF(ISNA(MATCH(554,'Transfer Engine'!$C$2:$C$679,0)),"",INDEX('Compliance Database'!$I$2:$I$679,MATCH(554,'Transfer Engine'!$C$2:$C$679,0)))</f>
        <v/>
      </c>
      <c r="J563" s="8">
        <f>IF(ISNA(MATCH(554,'Transfer Engine'!$C$2:$C$679,0)),"",INDEX('Compliance Database'!$J$2:$J$679,MATCH(554,'Transfer Engine'!$C$2:$C$679,0)))</f>
        <v/>
      </c>
      <c r="K563">
        <f>IF(ISNA(MATCH(554,'Transfer Engine'!$C$2:$C$679,0)),"",INDEX('Compliance Database'!$K$2:$K$679,MATCH(554,'Transfer Engine'!$C$2:$C$679,0)))</f>
        <v/>
      </c>
      <c r="L563" s="8">
        <f>IF(ISNA(MATCH(554,'Transfer Engine'!$C$2:$C$679,0)),"",INDEX('Compliance Database'!$L$2:$L$679,MATCH(554,'Transfer Engine'!$C$2:$C$679,0)))</f>
        <v/>
      </c>
      <c r="M563" s="8">
        <f>IF(ISNA(MATCH(554,'Transfer Engine'!$C$2:$C$679,0)),"",INDEX('Compliance Database'!$M$2:$M$679,MATCH(554,'Transfer Engine'!$C$2:$C$679,0)))</f>
        <v/>
      </c>
      <c r="N563" s="8">
        <f>IF(ISNA(MATCH(554,'Transfer Engine'!$C$2:$C$679,0)),"",INDEX('Compliance Database'!$N$2:$N$679,MATCH(554,'Transfer Engine'!$C$2:$C$679,0)))</f>
        <v/>
      </c>
      <c r="O563" s="8">
        <f>IF(ISNA(MATCH(554,'Transfer Engine'!$C$2:$C$679,0)),"",INDEX('Compliance Database'!$O$2:$O$679,MATCH(554,'Transfer Engine'!$C$2:$C$679,0)))</f>
        <v/>
      </c>
      <c r="P563">
        <f>IF(ISNA(MATCH(554,'Transfer Engine'!$C$2:$C$679,0)),"",HYPERLINK(INDEX('Compliance Database'!$P$2:$P$679,MATCH(554,'Transfer Engine'!$C$2:$C$679,0)),"Open PDF"))</f>
        <v/>
      </c>
    </row>
    <row r="564">
      <c r="A564">
        <f>IF(ISNA(MATCH(555,'Transfer Engine'!$C$2:$C$679,0)),"",INDEX('Compliance Database'!$A$2:$A$679,MATCH(555,'Transfer Engine'!$C$2:$C$679,0)))</f>
        <v/>
      </c>
      <c r="B564">
        <f>IF(ISNA(MATCH(555,'Transfer Engine'!$C$2:$C$679,0)),"",INDEX('Compliance Database'!$B$2:$B$679,MATCH(555,'Transfer Engine'!$C$2:$C$679,0)))</f>
        <v/>
      </c>
      <c r="C564">
        <f>IF(ISNA(MATCH(555,'Transfer Engine'!$C$2:$C$679,0)),"",INDEX('Compliance Database'!$C$2:$C$679,MATCH(555,'Transfer Engine'!$C$2:$C$679,0)))</f>
        <v/>
      </c>
      <c r="D564" s="8">
        <f>IF(ISNA(MATCH(555,'Transfer Engine'!$C$2:$C$679,0)),"",INDEX('Compliance Database'!$D$2:$D$679,MATCH(555,'Transfer Engine'!$C$2:$C$679,0)))</f>
        <v/>
      </c>
      <c r="E564">
        <f>IF(ISNA(MATCH(555,'Transfer Engine'!$C$2:$C$679,0)),"",INDEX('Compliance Database'!$E$2:$E$679,MATCH(555,'Transfer Engine'!$C$2:$C$679,0)))</f>
        <v/>
      </c>
      <c r="F564">
        <f>IF(ISNA(MATCH(555,'Transfer Engine'!$C$2:$C$679,0)),"",INDEX('Compliance Database'!$F$2:$F$679,MATCH(555,'Transfer Engine'!$C$2:$C$679,0)))</f>
        <v/>
      </c>
      <c r="G564">
        <f>IF(ISNA(MATCH(555,'Transfer Engine'!$C$2:$C$679,0)),"",INDEX('Compliance Database'!$G$2:$G$679,MATCH(555,'Transfer Engine'!$C$2:$C$679,0)))</f>
        <v/>
      </c>
      <c r="H564">
        <f>IF(ISNA(MATCH(555,'Transfer Engine'!$C$2:$C$679,0)),"",INDEX('Compliance Database'!$H$2:$H$679,MATCH(555,'Transfer Engine'!$C$2:$C$679,0)))</f>
        <v/>
      </c>
      <c r="I564" s="8">
        <f>IF(ISNA(MATCH(555,'Transfer Engine'!$C$2:$C$679,0)),"",INDEX('Compliance Database'!$I$2:$I$679,MATCH(555,'Transfer Engine'!$C$2:$C$679,0)))</f>
        <v/>
      </c>
      <c r="J564" s="8">
        <f>IF(ISNA(MATCH(555,'Transfer Engine'!$C$2:$C$679,0)),"",INDEX('Compliance Database'!$J$2:$J$679,MATCH(555,'Transfer Engine'!$C$2:$C$679,0)))</f>
        <v/>
      </c>
      <c r="K564">
        <f>IF(ISNA(MATCH(555,'Transfer Engine'!$C$2:$C$679,0)),"",INDEX('Compliance Database'!$K$2:$K$679,MATCH(555,'Transfer Engine'!$C$2:$C$679,0)))</f>
        <v/>
      </c>
      <c r="L564" s="8">
        <f>IF(ISNA(MATCH(555,'Transfer Engine'!$C$2:$C$679,0)),"",INDEX('Compliance Database'!$L$2:$L$679,MATCH(555,'Transfer Engine'!$C$2:$C$679,0)))</f>
        <v/>
      </c>
      <c r="M564" s="8">
        <f>IF(ISNA(MATCH(555,'Transfer Engine'!$C$2:$C$679,0)),"",INDEX('Compliance Database'!$M$2:$M$679,MATCH(555,'Transfer Engine'!$C$2:$C$679,0)))</f>
        <v/>
      </c>
      <c r="N564" s="8">
        <f>IF(ISNA(MATCH(555,'Transfer Engine'!$C$2:$C$679,0)),"",INDEX('Compliance Database'!$N$2:$N$679,MATCH(555,'Transfer Engine'!$C$2:$C$679,0)))</f>
        <v/>
      </c>
      <c r="O564" s="8">
        <f>IF(ISNA(MATCH(555,'Transfer Engine'!$C$2:$C$679,0)),"",INDEX('Compliance Database'!$O$2:$O$679,MATCH(555,'Transfer Engine'!$C$2:$C$679,0)))</f>
        <v/>
      </c>
      <c r="P564">
        <f>IF(ISNA(MATCH(555,'Transfer Engine'!$C$2:$C$679,0)),"",HYPERLINK(INDEX('Compliance Database'!$P$2:$P$679,MATCH(555,'Transfer Engine'!$C$2:$C$679,0)),"Open PDF"))</f>
        <v/>
      </c>
    </row>
    <row r="565">
      <c r="A565">
        <f>IF(ISNA(MATCH(556,'Transfer Engine'!$C$2:$C$679,0)),"",INDEX('Compliance Database'!$A$2:$A$679,MATCH(556,'Transfer Engine'!$C$2:$C$679,0)))</f>
        <v/>
      </c>
      <c r="B565">
        <f>IF(ISNA(MATCH(556,'Transfer Engine'!$C$2:$C$679,0)),"",INDEX('Compliance Database'!$B$2:$B$679,MATCH(556,'Transfer Engine'!$C$2:$C$679,0)))</f>
        <v/>
      </c>
      <c r="C565">
        <f>IF(ISNA(MATCH(556,'Transfer Engine'!$C$2:$C$679,0)),"",INDEX('Compliance Database'!$C$2:$C$679,MATCH(556,'Transfer Engine'!$C$2:$C$679,0)))</f>
        <v/>
      </c>
      <c r="D565" s="8">
        <f>IF(ISNA(MATCH(556,'Transfer Engine'!$C$2:$C$679,0)),"",INDEX('Compliance Database'!$D$2:$D$679,MATCH(556,'Transfer Engine'!$C$2:$C$679,0)))</f>
        <v/>
      </c>
      <c r="E565">
        <f>IF(ISNA(MATCH(556,'Transfer Engine'!$C$2:$C$679,0)),"",INDEX('Compliance Database'!$E$2:$E$679,MATCH(556,'Transfer Engine'!$C$2:$C$679,0)))</f>
        <v/>
      </c>
      <c r="F565">
        <f>IF(ISNA(MATCH(556,'Transfer Engine'!$C$2:$C$679,0)),"",INDEX('Compliance Database'!$F$2:$F$679,MATCH(556,'Transfer Engine'!$C$2:$C$679,0)))</f>
        <v/>
      </c>
      <c r="G565">
        <f>IF(ISNA(MATCH(556,'Transfer Engine'!$C$2:$C$679,0)),"",INDEX('Compliance Database'!$G$2:$G$679,MATCH(556,'Transfer Engine'!$C$2:$C$679,0)))</f>
        <v/>
      </c>
      <c r="H565">
        <f>IF(ISNA(MATCH(556,'Transfer Engine'!$C$2:$C$679,0)),"",INDEX('Compliance Database'!$H$2:$H$679,MATCH(556,'Transfer Engine'!$C$2:$C$679,0)))</f>
        <v/>
      </c>
      <c r="I565" s="8">
        <f>IF(ISNA(MATCH(556,'Transfer Engine'!$C$2:$C$679,0)),"",INDEX('Compliance Database'!$I$2:$I$679,MATCH(556,'Transfer Engine'!$C$2:$C$679,0)))</f>
        <v/>
      </c>
      <c r="J565" s="8">
        <f>IF(ISNA(MATCH(556,'Transfer Engine'!$C$2:$C$679,0)),"",INDEX('Compliance Database'!$J$2:$J$679,MATCH(556,'Transfer Engine'!$C$2:$C$679,0)))</f>
        <v/>
      </c>
      <c r="K565">
        <f>IF(ISNA(MATCH(556,'Transfer Engine'!$C$2:$C$679,0)),"",INDEX('Compliance Database'!$K$2:$K$679,MATCH(556,'Transfer Engine'!$C$2:$C$679,0)))</f>
        <v/>
      </c>
      <c r="L565" s="8">
        <f>IF(ISNA(MATCH(556,'Transfer Engine'!$C$2:$C$679,0)),"",INDEX('Compliance Database'!$L$2:$L$679,MATCH(556,'Transfer Engine'!$C$2:$C$679,0)))</f>
        <v/>
      </c>
      <c r="M565" s="8">
        <f>IF(ISNA(MATCH(556,'Transfer Engine'!$C$2:$C$679,0)),"",INDEX('Compliance Database'!$M$2:$M$679,MATCH(556,'Transfer Engine'!$C$2:$C$679,0)))</f>
        <v/>
      </c>
      <c r="N565" s="8">
        <f>IF(ISNA(MATCH(556,'Transfer Engine'!$C$2:$C$679,0)),"",INDEX('Compliance Database'!$N$2:$N$679,MATCH(556,'Transfer Engine'!$C$2:$C$679,0)))</f>
        <v/>
      </c>
      <c r="O565" s="8">
        <f>IF(ISNA(MATCH(556,'Transfer Engine'!$C$2:$C$679,0)),"",INDEX('Compliance Database'!$O$2:$O$679,MATCH(556,'Transfer Engine'!$C$2:$C$679,0)))</f>
        <v/>
      </c>
      <c r="P565">
        <f>IF(ISNA(MATCH(556,'Transfer Engine'!$C$2:$C$679,0)),"",HYPERLINK(INDEX('Compliance Database'!$P$2:$P$679,MATCH(556,'Transfer Engine'!$C$2:$C$679,0)),"Open PDF"))</f>
        <v/>
      </c>
    </row>
    <row r="566">
      <c r="A566">
        <f>IF(ISNA(MATCH(557,'Transfer Engine'!$C$2:$C$679,0)),"",INDEX('Compliance Database'!$A$2:$A$679,MATCH(557,'Transfer Engine'!$C$2:$C$679,0)))</f>
        <v/>
      </c>
      <c r="B566">
        <f>IF(ISNA(MATCH(557,'Transfer Engine'!$C$2:$C$679,0)),"",INDEX('Compliance Database'!$B$2:$B$679,MATCH(557,'Transfer Engine'!$C$2:$C$679,0)))</f>
        <v/>
      </c>
      <c r="C566">
        <f>IF(ISNA(MATCH(557,'Transfer Engine'!$C$2:$C$679,0)),"",INDEX('Compliance Database'!$C$2:$C$679,MATCH(557,'Transfer Engine'!$C$2:$C$679,0)))</f>
        <v/>
      </c>
      <c r="D566" s="8">
        <f>IF(ISNA(MATCH(557,'Transfer Engine'!$C$2:$C$679,0)),"",INDEX('Compliance Database'!$D$2:$D$679,MATCH(557,'Transfer Engine'!$C$2:$C$679,0)))</f>
        <v/>
      </c>
      <c r="E566">
        <f>IF(ISNA(MATCH(557,'Transfer Engine'!$C$2:$C$679,0)),"",INDEX('Compliance Database'!$E$2:$E$679,MATCH(557,'Transfer Engine'!$C$2:$C$679,0)))</f>
        <v/>
      </c>
      <c r="F566">
        <f>IF(ISNA(MATCH(557,'Transfer Engine'!$C$2:$C$679,0)),"",INDEX('Compliance Database'!$F$2:$F$679,MATCH(557,'Transfer Engine'!$C$2:$C$679,0)))</f>
        <v/>
      </c>
      <c r="G566">
        <f>IF(ISNA(MATCH(557,'Transfer Engine'!$C$2:$C$679,0)),"",INDEX('Compliance Database'!$G$2:$G$679,MATCH(557,'Transfer Engine'!$C$2:$C$679,0)))</f>
        <v/>
      </c>
      <c r="H566">
        <f>IF(ISNA(MATCH(557,'Transfer Engine'!$C$2:$C$679,0)),"",INDEX('Compliance Database'!$H$2:$H$679,MATCH(557,'Transfer Engine'!$C$2:$C$679,0)))</f>
        <v/>
      </c>
      <c r="I566" s="8">
        <f>IF(ISNA(MATCH(557,'Transfer Engine'!$C$2:$C$679,0)),"",INDEX('Compliance Database'!$I$2:$I$679,MATCH(557,'Transfer Engine'!$C$2:$C$679,0)))</f>
        <v/>
      </c>
      <c r="J566" s="8">
        <f>IF(ISNA(MATCH(557,'Transfer Engine'!$C$2:$C$679,0)),"",INDEX('Compliance Database'!$J$2:$J$679,MATCH(557,'Transfer Engine'!$C$2:$C$679,0)))</f>
        <v/>
      </c>
      <c r="K566">
        <f>IF(ISNA(MATCH(557,'Transfer Engine'!$C$2:$C$679,0)),"",INDEX('Compliance Database'!$K$2:$K$679,MATCH(557,'Transfer Engine'!$C$2:$C$679,0)))</f>
        <v/>
      </c>
      <c r="L566" s="8">
        <f>IF(ISNA(MATCH(557,'Transfer Engine'!$C$2:$C$679,0)),"",INDEX('Compliance Database'!$L$2:$L$679,MATCH(557,'Transfer Engine'!$C$2:$C$679,0)))</f>
        <v/>
      </c>
      <c r="M566" s="8">
        <f>IF(ISNA(MATCH(557,'Transfer Engine'!$C$2:$C$679,0)),"",INDEX('Compliance Database'!$M$2:$M$679,MATCH(557,'Transfer Engine'!$C$2:$C$679,0)))</f>
        <v/>
      </c>
      <c r="N566" s="8">
        <f>IF(ISNA(MATCH(557,'Transfer Engine'!$C$2:$C$679,0)),"",INDEX('Compliance Database'!$N$2:$N$679,MATCH(557,'Transfer Engine'!$C$2:$C$679,0)))</f>
        <v/>
      </c>
      <c r="O566" s="8">
        <f>IF(ISNA(MATCH(557,'Transfer Engine'!$C$2:$C$679,0)),"",INDEX('Compliance Database'!$O$2:$O$679,MATCH(557,'Transfer Engine'!$C$2:$C$679,0)))</f>
        <v/>
      </c>
      <c r="P566">
        <f>IF(ISNA(MATCH(557,'Transfer Engine'!$C$2:$C$679,0)),"",HYPERLINK(INDEX('Compliance Database'!$P$2:$P$679,MATCH(557,'Transfer Engine'!$C$2:$C$679,0)),"Open PDF"))</f>
        <v/>
      </c>
    </row>
    <row r="567">
      <c r="A567">
        <f>IF(ISNA(MATCH(558,'Transfer Engine'!$C$2:$C$679,0)),"",INDEX('Compliance Database'!$A$2:$A$679,MATCH(558,'Transfer Engine'!$C$2:$C$679,0)))</f>
        <v/>
      </c>
      <c r="B567">
        <f>IF(ISNA(MATCH(558,'Transfer Engine'!$C$2:$C$679,0)),"",INDEX('Compliance Database'!$B$2:$B$679,MATCH(558,'Transfer Engine'!$C$2:$C$679,0)))</f>
        <v/>
      </c>
      <c r="C567">
        <f>IF(ISNA(MATCH(558,'Transfer Engine'!$C$2:$C$679,0)),"",INDEX('Compliance Database'!$C$2:$C$679,MATCH(558,'Transfer Engine'!$C$2:$C$679,0)))</f>
        <v/>
      </c>
      <c r="D567" s="8">
        <f>IF(ISNA(MATCH(558,'Transfer Engine'!$C$2:$C$679,0)),"",INDEX('Compliance Database'!$D$2:$D$679,MATCH(558,'Transfer Engine'!$C$2:$C$679,0)))</f>
        <v/>
      </c>
      <c r="E567">
        <f>IF(ISNA(MATCH(558,'Transfer Engine'!$C$2:$C$679,0)),"",INDEX('Compliance Database'!$E$2:$E$679,MATCH(558,'Transfer Engine'!$C$2:$C$679,0)))</f>
        <v/>
      </c>
      <c r="F567">
        <f>IF(ISNA(MATCH(558,'Transfer Engine'!$C$2:$C$679,0)),"",INDEX('Compliance Database'!$F$2:$F$679,MATCH(558,'Transfer Engine'!$C$2:$C$679,0)))</f>
        <v/>
      </c>
      <c r="G567">
        <f>IF(ISNA(MATCH(558,'Transfer Engine'!$C$2:$C$679,0)),"",INDEX('Compliance Database'!$G$2:$G$679,MATCH(558,'Transfer Engine'!$C$2:$C$679,0)))</f>
        <v/>
      </c>
      <c r="H567">
        <f>IF(ISNA(MATCH(558,'Transfer Engine'!$C$2:$C$679,0)),"",INDEX('Compliance Database'!$H$2:$H$679,MATCH(558,'Transfer Engine'!$C$2:$C$679,0)))</f>
        <v/>
      </c>
      <c r="I567" s="8">
        <f>IF(ISNA(MATCH(558,'Transfer Engine'!$C$2:$C$679,0)),"",INDEX('Compliance Database'!$I$2:$I$679,MATCH(558,'Transfer Engine'!$C$2:$C$679,0)))</f>
        <v/>
      </c>
      <c r="J567" s="8">
        <f>IF(ISNA(MATCH(558,'Transfer Engine'!$C$2:$C$679,0)),"",INDEX('Compliance Database'!$J$2:$J$679,MATCH(558,'Transfer Engine'!$C$2:$C$679,0)))</f>
        <v/>
      </c>
      <c r="K567">
        <f>IF(ISNA(MATCH(558,'Transfer Engine'!$C$2:$C$679,0)),"",INDEX('Compliance Database'!$K$2:$K$679,MATCH(558,'Transfer Engine'!$C$2:$C$679,0)))</f>
        <v/>
      </c>
      <c r="L567" s="8">
        <f>IF(ISNA(MATCH(558,'Transfer Engine'!$C$2:$C$679,0)),"",INDEX('Compliance Database'!$L$2:$L$679,MATCH(558,'Transfer Engine'!$C$2:$C$679,0)))</f>
        <v/>
      </c>
      <c r="M567" s="8">
        <f>IF(ISNA(MATCH(558,'Transfer Engine'!$C$2:$C$679,0)),"",INDEX('Compliance Database'!$M$2:$M$679,MATCH(558,'Transfer Engine'!$C$2:$C$679,0)))</f>
        <v/>
      </c>
      <c r="N567" s="8">
        <f>IF(ISNA(MATCH(558,'Transfer Engine'!$C$2:$C$679,0)),"",INDEX('Compliance Database'!$N$2:$N$679,MATCH(558,'Transfer Engine'!$C$2:$C$679,0)))</f>
        <v/>
      </c>
      <c r="O567" s="8">
        <f>IF(ISNA(MATCH(558,'Transfer Engine'!$C$2:$C$679,0)),"",INDEX('Compliance Database'!$O$2:$O$679,MATCH(558,'Transfer Engine'!$C$2:$C$679,0)))</f>
        <v/>
      </c>
      <c r="P567">
        <f>IF(ISNA(MATCH(558,'Transfer Engine'!$C$2:$C$679,0)),"",HYPERLINK(INDEX('Compliance Database'!$P$2:$P$679,MATCH(558,'Transfer Engine'!$C$2:$C$679,0)),"Open PDF"))</f>
        <v/>
      </c>
    </row>
    <row r="568">
      <c r="A568">
        <f>IF(ISNA(MATCH(559,'Transfer Engine'!$C$2:$C$679,0)),"",INDEX('Compliance Database'!$A$2:$A$679,MATCH(559,'Transfer Engine'!$C$2:$C$679,0)))</f>
        <v/>
      </c>
      <c r="B568">
        <f>IF(ISNA(MATCH(559,'Transfer Engine'!$C$2:$C$679,0)),"",INDEX('Compliance Database'!$B$2:$B$679,MATCH(559,'Transfer Engine'!$C$2:$C$679,0)))</f>
        <v/>
      </c>
      <c r="C568">
        <f>IF(ISNA(MATCH(559,'Transfer Engine'!$C$2:$C$679,0)),"",INDEX('Compliance Database'!$C$2:$C$679,MATCH(559,'Transfer Engine'!$C$2:$C$679,0)))</f>
        <v/>
      </c>
      <c r="D568" s="8">
        <f>IF(ISNA(MATCH(559,'Transfer Engine'!$C$2:$C$679,0)),"",INDEX('Compliance Database'!$D$2:$D$679,MATCH(559,'Transfer Engine'!$C$2:$C$679,0)))</f>
        <v/>
      </c>
      <c r="E568">
        <f>IF(ISNA(MATCH(559,'Transfer Engine'!$C$2:$C$679,0)),"",INDEX('Compliance Database'!$E$2:$E$679,MATCH(559,'Transfer Engine'!$C$2:$C$679,0)))</f>
        <v/>
      </c>
      <c r="F568">
        <f>IF(ISNA(MATCH(559,'Transfer Engine'!$C$2:$C$679,0)),"",INDEX('Compliance Database'!$F$2:$F$679,MATCH(559,'Transfer Engine'!$C$2:$C$679,0)))</f>
        <v/>
      </c>
      <c r="G568">
        <f>IF(ISNA(MATCH(559,'Transfer Engine'!$C$2:$C$679,0)),"",INDEX('Compliance Database'!$G$2:$G$679,MATCH(559,'Transfer Engine'!$C$2:$C$679,0)))</f>
        <v/>
      </c>
      <c r="H568">
        <f>IF(ISNA(MATCH(559,'Transfer Engine'!$C$2:$C$679,0)),"",INDEX('Compliance Database'!$H$2:$H$679,MATCH(559,'Transfer Engine'!$C$2:$C$679,0)))</f>
        <v/>
      </c>
      <c r="I568" s="8">
        <f>IF(ISNA(MATCH(559,'Transfer Engine'!$C$2:$C$679,0)),"",INDEX('Compliance Database'!$I$2:$I$679,MATCH(559,'Transfer Engine'!$C$2:$C$679,0)))</f>
        <v/>
      </c>
      <c r="J568" s="8">
        <f>IF(ISNA(MATCH(559,'Transfer Engine'!$C$2:$C$679,0)),"",INDEX('Compliance Database'!$J$2:$J$679,MATCH(559,'Transfer Engine'!$C$2:$C$679,0)))</f>
        <v/>
      </c>
      <c r="K568">
        <f>IF(ISNA(MATCH(559,'Transfer Engine'!$C$2:$C$679,0)),"",INDEX('Compliance Database'!$K$2:$K$679,MATCH(559,'Transfer Engine'!$C$2:$C$679,0)))</f>
        <v/>
      </c>
      <c r="L568" s="8">
        <f>IF(ISNA(MATCH(559,'Transfer Engine'!$C$2:$C$679,0)),"",INDEX('Compliance Database'!$L$2:$L$679,MATCH(559,'Transfer Engine'!$C$2:$C$679,0)))</f>
        <v/>
      </c>
      <c r="M568" s="8">
        <f>IF(ISNA(MATCH(559,'Transfer Engine'!$C$2:$C$679,0)),"",INDEX('Compliance Database'!$M$2:$M$679,MATCH(559,'Transfer Engine'!$C$2:$C$679,0)))</f>
        <v/>
      </c>
      <c r="N568" s="8">
        <f>IF(ISNA(MATCH(559,'Transfer Engine'!$C$2:$C$679,0)),"",INDEX('Compliance Database'!$N$2:$N$679,MATCH(559,'Transfer Engine'!$C$2:$C$679,0)))</f>
        <v/>
      </c>
      <c r="O568" s="8">
        <f>IF(ISNA(MATCH(559,'Transfer Engine'!$C$2:$C$679,0)),"",INDEX('Compliance Database'!$O$2:$O$679,MATCH(559,'Transfer Engine'!$C$2:$C$679,0)))</f>
        <v/>
      </c>
      <c r="P568">
        <f>IF(ISNA(MATCH(559,'Transfer Engine'!$C$2:$C$679,0)),"",HYPERLINK(INDEX('Compliance Database'!$P$2:$P$679,MATCH(559,'Transfer Engine'!$C$2:$C$679,0)),"Open PDF"))</f>
        <v/>
      </c>
    </row>
    <row r="569">
      <c r="A569">
        <f>IF(ISNA(MATCH(560,'Transfer Engine'!$C$2:$C$679,0)),"",INDEX('Compliance Database'!$A$2:$A$679,MATCH(560,'Transfer Engine'!$C$2:$C$679,0)))</f>
        <v/>
      </c>
      <c r="B569">
        <f>IF(ISNA(MATCH(560,'Transfer Engine'!$C$2:$C$679,0)),"",INDEX('Compliance Database'!$B$2:$B$679,MATCH(560,'Transfer Engine'!$C$2:$C$679,0)))</f>
        <v/>
      </c>
      <c r="C569">
        <f>IF(ISNA(MATCH(560,'Transfer Engine'!$C$2:$C$679,0)),"",INDEX('Compliance Database'!$C$2:$C$679,MATCH(560,'Transfer Engine'!$C$2:$C$679,0)))</f>
        <v/>
      </c>
      <c r="D569" s="8">
        <f>IF(ISNA(MATCH(560,'Transfer Engine'!$C$2:$C$679,0)),"",INDEX('Compliance Database'!$D$2:$D$679,MATCH(560,'Transfer Engine'!$C$2:$C$679,0)))</f>
        <v/>
      </c>
      <c r="E569">
        <f>IF(ISNA(MATCH(560,'Transfer Engine'!$C$2:$C$679,0)),"",INDEX('Compliance Database'!$E$2:$E$679,MATCH(560,'Transfer Engine'!$C$2:$C$679,0)))</f>
        <v/>
      </c>
      <c r="F569">
        <f>IF(ISNA(MATCH(560,'Transfer Engine'!$C$2:$C$679,0)),"",INDEX('Compliance Database'!$F$2:$F$679,MATCH(560,'Transfer Engine'!$C$2:$C$679,0)))</f>
        <v/>
      </c>
      <c r="G569">
        <f>IF(ISNA(MATCH(560,'Transfer Engine'!$C$2:$C$679,0)),"",INDEX('Compliance Database'!$G$2:$G$679,MATCH(560,'Transfer Engine'!$C$2:$C$679,0)))</f>
        <v/>
      </c>
      <c r="H569">
        <f>IF(ISNA(MATCH(560,'Transfer Engine'!$C$2:$C$679,0)),"",INDEX('Compliance Database'!$H$2:$H$679,MATCH(560,'Transfer Engine'!$C$2:$C$679,0)))</f>
        <v/>
      </c>
      <c r="I569" s="8">
        <f>IF(ISNA(MATCH(560,'Transfer Engine'!$C$2:$C$679,0)),"",INDEX('Compliance Database'!$I$2:$I$679,MATCH(560,'Transfer Engine'!$C$2:$C$679,0)))</f>
        <v/>
      </c>
      <c r="J569" s="8">
        <f>IF(ISNA(MATCH(560,'Transfer Engine'!$C$2:$C$679,0)),"",INDEX('Compliance Database'!$J$2:$J$679,MATCH(560,'Transfer Engine'!$C$2:$C$679,0)))</f>
        <v/>
      </c>
      <c r="K569">
        <f>IF(ISNA(MATCH(560,'Transfer Engine'!$C$2:$C$679,0)),"",INDEX('Compliance Database'!$K$2:$K$679,MATCH(560,'Transfer Engine'!$C$2:$C$679,0)))</f>
        <v/>
      </c>
      <c r="L569" s="8">
        <f>IF(ISNA(MATCH(560,'Transfer Engine'!$C$2:$C$679,0)),"",INDEX('Compliance Database'!$L$2:$L$679,MATCH(560,'Transfer Engine'!$C$2:$C$679,0)))</f>
        <v/>
      </c>
      <c r="M569" s="8">
        <f>IF(ISNA(MATCH(560,'Transfer Engine'!$C$2:$C$679,0)),"",INDEX('Compliance Database'!$M$2:$M$679,MATCH(560,'Transfer Engine'!$C$2:$C$679,0)))</f>
        <v/>
      </c>
      <c r="N569" s="8">
        <f>IF(ISNA(MATCH(560,'Transfer Engine'!$C$2:$C$679,0)),"",INDEX('Compliance Database'!$N$2:$N$679,MATCH(560,'Transfer Engine'!$C$2:$C$679,0)))</f>
        <v/>
      </c>
      <c r="O569" s="8">
        <f>IF(ISNA(MATCH(560,'Transfer Engine'!$C$2:$C$679,0)),"",INDEX('Compliance Database'!$O$2:$O$679,MATCH(560,'Transfer Engine'!$C$2:$C$679,0)))</f>
        <v/>
      </c>
      <c r="P569">
        <f>IF(ISNA(MATCH(560,'Transfer Engine'!$C$2:$C$679,0)),"",HYPERLINK(INDEX('Compliance Database'!$P$2:$P$679,MATCH(560,'Transfer Engine'!$C$2:$C$679,0)),"Open PDF"))</f>
        <v/>
      </c>
    </row>
    <row r="570">
      <c r="A570">
        <f>IF(ISNA(MATCH(561,'Transfer Engine'!$C$2:$C$679,0)),"",INDEX('Compliance Database'!$A$2:$A$679,MATCH(561,'Transfer Engine'!$C$2:$C$679,0)))</f>
        <v/>
      </c>
      <c r="B570">
        <f>IF(ISNA(MATCH(561,'Transfer Engine'!$C$2:$C$679,0)),"",INDEX('Compliance Database'!$B$2:$B$679,MATCH(561,'Transfer Engine'!$C$2:$C$679,0)))</f>
        <v/>
      </c>
      <c r="C570">
        <f>IF(ISNA(MATCH(561,'Transfer Engine'!$C$2:$C$679,0)),"",INDEX('Compliance Database'!$C$2:$C$679,MATCH(561,'Transfer Engine'!$C$2:$C$679,0)))</f>
        <v/>
      </c>
      <c r="D570" s="8">
        <f>IF(ISNA(MATCH(561,'Transfer Engine'!$C$2:$C$679,0)),"",INDEX('Compliance Database'!$D$2:$D$679,MATCH(561,'Transfer Engine'!$C$2:$C$679,0)))</f>
        <v/>
      </c>
      <c r="E570">
        <f>IF(ISNA(MATCH(561,'Transfer Engine'!$C$2:$C$679,0)),"",INDEX('Compliance Database'!$E$2:$E$679,MATCH(561,'Transfer Engine'!$C$2:$C$679,0)))</f>
        <v/>
      </c>
      <c r="F570">
        <f>IF(ISNA(MATCH(561,'Transfer Engine'!$C$2:$C$679,0)),"",INDEX('Compliance Database'!$F$2:$F$679,MATCH(561,'Transfer Engine'!$C$2:$C$679,0)))</f>
        <v/>
      </c>
      <c r="G570">
        <f>IF(ISNA(MATCH(561,'Transfer Engine'!$C$2:$C$679,0)),"",INDEX('Compliance Database'!$G$2:$G$679,MATCH(561,'Transfer Engine'!$C$2:$C$679,0)))</f>
        <v/>
      </c>
      <c r="H570">
        <f>IF(ISNA(MATCH(561,'Transfer Engine'!$C$2:$C$679,0)),"",INDEX('Compliance Database'!$H$2:$H$679,MATCH(561,'Transfer Engine'!$C$2:$C$679,0)))</f>
        <v/>
      </c>
      <c r="I570" s="8">
        <f>IF(ISNA(MATCH(561,'Transfer Engine'!$C$2:$C$679,0)),"",INDEX('Compliance Database'!$I$2:$I$679,MATCH(561,'Transfer Engine'!$C$2:$C$679,0)))</f>
        <v/>
      </c>
      <c r="J570" s="8">
        <f>IF(ISNA(MATCH(561,'Transfer Engine'!$C$2:$C$679,0)),"",INDEX('Compliance Database'!$J$2:$J$679,MATCH(561,'Transfer Engine'!$C$2:$C$679,0)))</f>
        <v/>
      </c>
      <c r="K570">
        <f>IF(ISNA(MATCH(561,'Transfer Engine'!$C$2:$C$679,0)),"",INDEX('Compliance Database'!$K$2:$K$679,MATCH(561,'Transfer Engine'!$C$2:$C$679,0)))</f>
        <v/>
      </c>
      <c r="L570" s="8">
        <f>IF(ISNA(MATCH(561,'Transfer Engine'!$C$2:$C$679,0)),"",INDEX('Compliance Database'!$L$2:$L$679,MATCH(561,'Transfer Engine'!$C$2:$C$679,0)))</f>
        <v/>
      </c>
      <c r="M570" s="8">
        <f>IF(ISNA(MATCH(561,'Transfer Engine'!$C$2:$C$679,0)),"",INDEX('Compliance Database'!$M$2:$M$679,MATCH(561,'Transfer Engine'!$C$2:$C$679,0)))</f>
        <v/>
      </c>
      <c r="N570" s="8">
        <f>IF(ISNA(MATCH(561,'Transfer Engine'!$C$2:$C$679,0)),"",INDEX('Compliance Database'!$N$2:$N$679,MATCH(561,'Transfer Engine'!$C$2:$C$679,0)))</f>
        <v/>
      </c>
      <c r="O570" s="8">
        <f>IF(ISNA(MATCH(561,'Transfer Engine'!$C$2:$C$679,0)),"",INDEX('Compliance Database'!$O$2:$O$679,MATCH(561,'Transfer Engine'!$C$2:$C$679,0)))</f>
        <v/>
      </c>
      <c r="P570">
        <f>IF(ISNA(MATCH(561,'Transfer Engine'!$C$2:$C$679,0)),"",HYPERLINK(INDEX('Compliance Database'!$P$2:$P$679,MATCH(561,'Transfer Engine'!$C$2:$C$679,0)),"Open PDF"))</f>
        <v/>
      </c>
    </row>
    <row r="571">
      <c r="A571">
        <f>IF(ISNA(MATCH(562,'Transfer Engine'!$C$2:$C$679,0)),"",INDEX('Compliance Database'!$A$2:$A$679,MATCH(562,'Transfer Engine'!$C$2:$C$679,0)))</f>
        <v/>
      </c>
      <c r="B571">
        <f>IF(ISNA(MATCH(562,'Transfer Engine'!$C$2:$C$679,0)),"",INDEX('Compliance Database'!$B$2:$B$679,MATCH(562,'Transfer Engine'!$C$2:$C$679,0)))</f>
        <v/>
      </c>
      <c r="C571">
        <f>IF(ISNA(MATCH(562,'Transfer Engine'!$C$2:$C$679,0)),"",INDEX('Compliance Database'!$C$2:$C$679,MATCH(562,'Transfer Engine'!$C$2:$C$679,0)))</f>
        <v/>
      </c>
      <c r="D571" s="8">
        <f>IF(ISNA(MATCH(562,'Transfer Engine'!$C$2:$C$679,0)),"",INDEX('Compliance Database'!$D$2:$D$679,MATCH(562,'Transfer Engine'!$C$2:$C$679,0)))</f>
        <v/>
      </c>
      <c r="E571">
        <f>IF(ISNA(MATCH(562,'Transfer Engine'!$C$2:$C$679,0)),"",INDEX('Compliance Database'!$E$2:$E$679,MATCH(562,'Transfer Engine'!$C$2:$C$679,0)))</f>
        <v/>
      </c>
      <c r="F571">
        <f>IF(ISNA(MATCH(562,'Transfer Engine'!$C$2:$C$679,0)),"",INDEX('Compliance Database'!$F$2:$F$679,MATCH(562,'Transfer Engine'!$C$2:$C$679,0)))</f>
        <v/>
      </c>
      <c r="G571">
        <f>IF(ISNA(MATCH(562,'Transfer Engine'!$C$2:$C$679,0)),"",INDEX('Compliance Database'!$G$2:$G$679,MATCH(562,'Transfer Engine'!$C$2:$C$679,0)))</f>
        <v/>
      </c>
      <c r="H571">
        <f>IF(ISNA(MATCH(562,'Transfer Engine'!$C$2:$C$679,0)),"",INDEX('Compliance Database'!$H$2:$H$679,MATCH(562,'Transfer Engine'!$C$2:$C$679,0)))</f>
        <v/>
      </c>
      <c r="I571" s="8">
        <f>IF(ISNA(MATCH(562,'Transfer Engine'!$C$2:$C$679,0)),"",INDEX('Compliance Database'!$I$2:$I$679,MATCH(562,'Transfer Engine'!$C$2:$C$679,0)))</f>
        <v/>
      </c>
      <c r="J571" s="8">
        <f>IF(ISNA(MATCH(562,'Transfer Engine'!$C$2:$C$679,0)),"",INDEX('Compliance Database'!$J$2:$J$679,MATCH(562,'Transfer Engine'!$C$2:$C$679,0)))</f>
        <v/>
      </c>
      <c r="K571">
        <f>IF(ISNA(MATCH(562,'Transfer Engine'!$C$2:$C$679,0)),"",INDEX('Compliance Database'!$K$2:$K$679,MATCH(562,'Transfer Engine'!$C$2:$C$679,0)))</f>
        <v/>
      </c>
      <c r="L571" s="8">
        <f>IF(ISNA(MATCH(562,'Transfer Engine'!$C$2:$C$679,0)),"",INDEX('Compliance Database'!$L$2:$L$679,MATCH(562,'Transfer Engine'!$C$2:$C$679,0)))</f>
        <v/>
      </c>
      <c r="M571" s="8">
        <f>IF(ISNA(MATCH(562,'Transfer Engine'!$C$2:$C$679,0)),"",INDEX('Compliance Database'!$M$2:$M$679,MATCH(562,'Transfer Engine'!$C$2:$C$679,0)))</f>
        <v/>
      </c>
      <c r="N571" s="8">
        <f>IF(ISNA(MATCH(562,'Transfer Engine'!$C$2:$C$679,0)),"",INDEX('Compliance Database'!$N$2:$N$679,MATCH(562,'Transfer Engine'!$C$2:$C$679,0)))</f>
        <v/>
      </c>
      <c r="O571" s="8">
        <f>IF(ISNA(MATCH(562,'Transfer Engine'!$C$2:$C$679,0)),"",INDEX('Compliance Database'!$O$2:$O$679,MATCH(562,'Transfer Engine'!$C$2:$C$679,0)))</f>
        <v/>
      </c>
      <c r="P571">
        <f>IF(ISNA(MATCH(562,'Transfer Engine'!$C$2:$C$679,0)),"",HYPERLINK(INDEX('Compliance Database'!$P$2:$P$679,MATCH(562,'Transfer Engine'!$C$2:$C$679,0)),"Open PDF"))</f>
        <v/>
      </c>
    </row>
    <row r="572">
      <c r="A572">
        <f>IF(ISNA(MATCH(563,'Transfer Engine'!$C$2:$C$679,0)),"",INDEX('Compliance Database'!$A$2:$A$679,MATCH(563,'Transfer Engine'!$C$2:$C$679,0)))</f>
        <v/>
      </c>
      <c r="B572">
        <f>IF(ISNA(MATCH(563,'Transfer Engine'!$C$2:$C$679,0)),"",INDEX('Compliance Database'!$B$2:$B$679,MATCH(563,'Transfer Engine'!$C$2:$C$679,0)))</f>
        <v/>
      </c>
      <c r="C572">
        <f>IF(ISNA(MATCH(563,'Transfer Engine'!$C$2:$C$679,0)),"",INDEX('Compliance Database'!$C$2:$C$679,MATCH(563,'Transfer Engine'!$C$2:$C$679,0)))</f>
        <v/>
      </c>
      <c r="D572" s="8">
        <f>IF(ISNA(MATCH(563,'Transfer Engine'!$C$2:$C$679,0)),"",INDEX('Compliance Database'!$D$2:$D$679,MATCH(563,'Transfer Engine'!$C$2:$C$679,0)))</f>
        <v/>
      </c>
      <c r="E572">
        <f>IF(ISNA(MATCH(563,'Transfer Engine'!$C$2:$C$679,0)),"",INDEX('Compliance Database'!$E$2:$E$679,MATCH(563,'Transfer Engine'!$C$2:$C$679,0)))</f>
        <v/>
      </c>
      <c r="F572">
        <f>IF(ISNA(MATCH(563,'Transfer Engine'!$C$2:$C$679,0)),"",INDEX('Compliance Database'!$F$2:$F$679,MATCH(563,'Transfer Engine'!$C$2:$C$679,0)))</f>
        <v/>
      </c>
      <c r="G572">
        <f>IF(ISNA(MATCH(563,'Transfer Engine'!$C$2:$C$679,0)),"",INDEX('Compliance Database'!$G$2:$G$679,MATCH(563,'Transfer Engine'!$C$2:$C$679,0)))</f>
        <v/>
      </c>
      <c r="H572">
        <f>IF(ISNA(MATCH(563,'Transfer Engine'!$C$2:$C$679,0)),"",INDEX('Compliance Database'!$H$2:$H$679,MATCH(563,'Transfer Engine'!$C$2:$C$679,0)))</f>
        <v/>
      </c>
      <c r="I572" s="8">
        <f>IF(ISNA(MATCH(563,'Transfer Engine'!$C$2:$C$679,0)),"",INDEX('Compliance Database'!$I$2:$I$679,MATCH(563,'Transfer Engine'!$C$2:$C$679,0)))</f>
        <v/>
      </c>
      <c r="J572" s="8">
        <f>IF(ISNA(MATCH(563,'Transfer Engine'!$C$2:$C$679,0)),"",INDEX('Compliance Database'!$J$2:$J$679,MATCH(563,'Transfer Engine'!$C$2:$C$679,0)))</f>
        <v/>
      </c>
      <c r="K572">
        <f>IF(ISNA(MATCH(563,'Transfer Engine'!$C$2:$C$679,0)),"",INDEX('Compliance Database'!$K$2:$K$679,MATCH(563,'Transfer Engine'!$C$2:$C$679,0)))</f>
        <v/>
      </c>
      <c r="L572" s="8">
        <f>IF(ISNA(MATCH(563,'Transfer Engine'!$C$2:$C$679,0)),"",INDEX('Compliance Database'!$L$2:$L$679,MATCH(563,'Transfer Engine'!$C$2:$C$679,0)))</f>
        <v/>
      </c>
      <c r="M572" s="8">
        <f>IF(ISNA(MATCH(563,'Transfer Engine'!$C$2:$C$679,0)),"",INDEX('Compliance Database'!$M$2:$M$679,MATCH(563,'Transfer Engine'!$C$2:$C$679,0)))</f>
        <v/>
      </c>
      <c r="N572" s="8">
        <f>IF(ISNA(MATCH(563,'Transfer Engine'!$C$2:$C$679,0)),"",INDEX('Compliance Database'!$N$2:$N$679,MATCH(563,'Transfer Engine'!$C$2:$C$679,0)))</f>
        <v/>
      </c>
      <c r="O572" s="8">
        <f>IF(ISNA(MATCH(563,'Transfer Engine'!$C$2:$C$679,0)),"",INDEX('Compliance Database'!$O$2:$O$679,MATCH(563,'Transfer Engine'!$C$2:$C$679,0)))</f>
        <v/>
      </c>
      <c r="P572">
        <f>IF(ISNA(MATCH(563,'Transfer Engine'!$C$2:$C$679,0)),"",HYPERLINK(INDEX('Compliance Database'!$P$2:$P$679,MATCH(563,'Transfer Engine'!$C$2:$C$679,0)),"Open PDF"))</f>
        <v/>
      </c>
    </row>
    <row r="573">
      <c r="A573">
        <f>IF(ISNA(MATCH(564,'Transfer Engine'!$C$2:$C$679,0)),"",INDEX('Compliance Database'!$A$2:$A$679,MATCH(564,'Transfer Engine'!$C$2:$C$679,0)))</f>
        <v/>
      </c>
      <c r="B573">
        <f>IF(ISNA(MATCH(564,'Transfer Engine'!$C$2:$C$679,0)),"",INDEX('Compliance Database'!$B$2:$B$679,MATCH(564,'Transfer Engine'!$C$2:$C$679,0)))</f>
        <v/>
      </c>
      <c r="C573">
        <f>IF(ISNA(MATCH(564,'Transfer Engine'!$C$2:$C$679,0)),"",INDEX('Compliance Database'!$C$2:$C$679,MATCH(564,'Transfer Engine'!$C$2:$C$679,0)))</f>
        <v/>
      </c>
      <c r="D573" s="8">
        <f>IF(ISNA(MATCH(564,'Transfer Engine'!$C$2:$C$679,0)),"",INDEX('Compliance Database'!$D$2:$D$679,MATCH(564,'Transfer Engine'!$C$2:$C$679,0)))</f>
        <v/>
      </c>
      <c r="E573">
        <f>IF(ISNA(MATCH(564,'Transfer Engine'!$C$2:$C$679,0)),"",INDEX('Compliance Database'!$E$2:$E$679,MATCH(564,'Transfer Engine'!$C$2:$C$679,0)))</f>
        <v/>
      </c>
      <c r="F573">
        <f>IF(ISNA(MATCH(564,'Transfer Engine'!$C$2:$C$679,0)),"",INDEX('Compliance Database'!$F$2:$F$679,MATCH(564,'Transfer Engine'!$C$2:$C$679,0)))</f>
        <v/>
      </c>
      <c r="G573">
        <f>IF(ISNA(MATCH(564,'Transfer Engine'!$C$2:$C$679,0)),"",INDEX('Compliance Database'!$G$2:$G$679,MATCH(564,'Transfer Engine'!$C$2:$C$679,0)))</f>
        <v/>
      </c>
      <c r="H573">
        <f>IF(ISNA(MATCH(564,'Transfer Engine'!$C$2:$C$679,0)),"",INDEX('Compliance Database'!$H$2:$H$679,MATCH(564,'Transfer Engine'!$C$2:$C$679,0)))</f>
        <v/>
      </c>
      <c r="I573" s="8">
        <f>IF(ISNA(MATCH(564,'Transfer Engine'!$C$2:$C$679,0)),"",INDEX('Compliance Database'!$I$2:$I$679,MATCH(564,'Transfer Engine'!$C$2:$C$679,0)))</f>
        <v/>
      </c>
      <c r="J573" s="8">
        <f>IF(ISNA(MATCH(564,'Transfer Engine'!$C$2:$C$679,0)),"",INDEX('Compliance Database'!$J$2:$J$679,MATCH(564,'Transfer Engine'!$C$2:$C$679,0)))</f>
        <v/>
      </c>
      <c r="K573">
        <f>IF(ISNA(MATCH(564,'Transfer Engine'!$C$2:$C$679,0)),"",INDEX('Compliance Database'!$K$2:$K$679,MATCH(564,'Transfer Engine'!$C$2:$C$679,0)))</f>
        <v/>
      </c>
      <c r="L573" s="8">
        <f>IF(ISNA(MATCH(564,'Transfer Engine'!$C$2:$C$679,0)),"",INDEX('Compliance Database'!$L$2:$L$679,MATCH(564,'Transfer Engine'!$C$2:$C$679,0)))</f>
        <v/>
      </c>
      <c r="M573" s="8">
        <f>IF(ISNA(MATCH(564,'Transfer Engine'!$C$2:$C$679,0)),"",INDEX('Compliance Database'!$M$2:$M$679,MATCH(564,'Transfer Engine'!$C$2:$C$679,0)))</f>
        <v/>
      </c>
      <c r="N573" s="8">
        <f>IF(ISNA(MATCH(564,'Transfer Engine'!$C$2:$C$679,0)),"",INDEX('Compliance Database'!$N$2:$N$679,MATCH(564,'Transfer Engine'!$C$2:$C$679,0)))</f>
        <v/>
      </c>
      <c r="O573" s="8">
        <f>IF(ISNA(MATCH(564,'Transfer Engine'!$C$2:$C$679,0)),"",INDEX('Compliance Database'!$O$2:$O$679,MATCH(564,'Transfer Engine'!$C$2:$C$679,0)))</f>
        <v/>
      </c>
      <c r="P573">
        <f>IF(ISNA(MATCH(564,'Transfer Engine'!$C$2:$C$679,0)),"",HYPERLINK(INDEX('Compliance Database'!$P$2:$P$679,MATCH(564,'Transfer Engine'!$C$2:$C$679,0)),"Open PDF"))</f>
        <v/>
      </c>
    </row>
    <row r="574">
      <c r="A574">
        <f>IF(ISNA(MATCH(565,'Transfer Engine'!$C$2:$C$679,0)),"",INDEX('Compliance Database'!$A$2:$A$679,MATCH(565,'Transfer Engine'!$C$2:$C$679,0)))</f>
        <v/>
      </c>
      <c r="B574">
        <f>IF(ISNA(MATCH(565,'Transfer Engine'!$C$2:$C$679,0)),"",INDEX('Compliance Database'!$B$2:$B$679,MATCH(565,'Transfer Engine'!$C$2:$C$679,0)))</f>
        <v/>
      </c>
      <c r="C574">
        <f>IF(ISNA(MATCH(565,'Transfer Engine'!$C$2:$C$679,0)),"",INDEX('Compliance Database'!$C$2:$C$679,MATCH(565,'Transfer Engine'!$C$2:$C$679,0)))</f>
        <v/>
      </c>
      <c r="D574" s="8">
        <f>IF(ISNA(MATCH(565,'Transfer Engine'!$C$2:$C$679,0)),"",INDEX('Compliance Database'!$D$2:$D$679,MATCH(565,'Transfer Engine'!$C$2:$C$679,0)))</f>
        <v/>
      </c>
      <c r="E574">
        <f>IF(ISNA(MATCH(565,'Transfer Engine'!$C$2:$C$679,0)),"",INDEX('Compliance Database'!$E$2:$E$679,MATCH(565,'Transfer Engine'!$C$2:$C$679,0)))</f>
        <v/>
      </c>
      <c r="F574">
        <f>IF(ISNA(MATCH(565,'Transfer Engine'!$C$2:$C$679,0)),"",INDEX('Compliance Database'!$F$2:$F$679,MATCH(565,'Transfer Engine'!$C$2:$C$679,0)))</f>
        <v/>
      </c>
      <c r="G574">
        <f>IF(ISNA(MATCH(565,'Transfer Engine'!$C$2:$C$679,0)),"",INDEX('Compliance Database'!$G$2:$G$679,MATCH(565,'Transfer Engine'!$C$2:$C$679,0)))</f>
        <v/>
      </c>
      <c r="H574">
        <f>IF(ISNA(MATCH(565,'Transfer Engine'!$C$2:$C$679,0)),"",INDEX('Compliance Database'!$H$2:$H$679,MATCH(565,'Transfer Engine'!$C$2:$C$679,0)))</f>
        <v/>
      </c>
      <c r="I574" s="8">
        <f>IF(ISNA(MATCH(565,'Transfer Engine'!$C$2:$C$679,0)),"",INDEX('Compliance Database'!$I$2:$I$679,MATCH(565,'Transfer Engine'!$C$2:$C$679,0)))</f>
        <v/>
      </c>
      <c r="J574" s="8">
        <f>IF(ISNA(MATCH(565,'Transfer Engine'!$C$2:$C$679,0)),"",INDEX('Compliance Database'!$J$2:$J$679,MATCH(565,'Transfer Engine'!$C$2:$C$679,0)))</f>
        <v/>
      </c>
      <c r="K574">
        <f>IF(ISNA(MATCH(565,'Transfer Engine'!$C$2:$C$679,0)),"",INDEX('Compliance Database'!$K$2:$K$679,MATCH(565,'Transfer Engine'!$C$2:$C$679,0)))</f>
        <v/>
      </c>
      <c r="L574" s="8">
        <f>IF(ISNA(MATCH(565,'Transfer Engine'!$C$2:$C$679,0)),"",INDEX('Compliance Database'!$L$2:$L$679,MATCH(565,'Transfer Engine'!$C$2:$C$679,0)))</f>
        <v/>
      </c>
      <c r="M574" s="8">
        <f>IF(ISNA(MATCH(565,'Transfer Engine'!$C$2:$C$679,0)),"",INDEX('Compliance Database'!$M$2:$M$679,MATCH(565,'Transfer Engine'!$C$2:$C$679,0)))</f>
        <v/>
      </c>
      <c r="N574" s="8">
        <f>IF(ISNA(MATCH(565,'Transfer Engine'!$C$2:$C$679,0)),"",INDEX('Compliance Database'!$N$2:$N$679,MATCH(565,'Transfer Engine'!$C$2:$C$679,0)))</f>
        <v/>
      </c>
      <c r="O574" s="8">
        <f>IF(ISNA(MATCH(565,'Transfer Engine'!$C$2:$C$679,0)),"",INDEX('Compliance Database'!$O$2:$O$679,MATCH(565,'Transfer Engine'!$C$2:$C$679,0)))</f>
        <v/>
      </c>
      <c r="P574">
        <f>IF(ISNA(MATCH(565,'Transfer Engine'!$C$2:$C$679,0)),"",HYPERLINK(INDEX('Compliance Database'!$P$2:$P$679,MATCH(565,'Transfer Engine'!$C$2:$C$679,0)),"Open PDF"))</f>
        <v/>
      </c>
    </row>
    <row r="575">
      <c r="A575">
        <f>IF(ISNA(MATCH(566,'Transfer Engine'!$C$2:$C$679,0)),"",INDEX('Compliance Database'!$A$2:$A$679,MATCH(566,'Transfer Engine'!$C$2:$C$679,0)))</f>
        <v/>
      </c>
      <c r="B575">
        <f>IF(ISNA(MATCH(566,'Transfer Engine'!$C$2:$C$679,0)),"",INDEX('Compliance Database'!$B$2:$B$679,MATCH(566,'Transfer Engine'!$C$2:$C$679,0)))</f>
        <v/>
      </c>
      <c r="C575">
        <f>IF(ISNA(MATCH(566,'Transfer Engine'!$C$2:$C$679,0)),"",INDEX('Compliance Database'!$C$2:$C$679,MATCH(566,'Transfer Engine'!$C$2:$C$679,0)))</f>
        <v/>
      </c>
      <c r="D575" s="8">
        <f>IF(ISNA(MATCH(566,'Transfer Engine'!$C$2:$C$679,0)),"",INDEX('Compliance Database'!$D$2:$D$679,MATCH(566,'Transfer Engine'!$C$2:$C$679,0)))</f>
        <v/>
      </c>
      <c r="E575">
        <f>IF(ISNA(MATCH(566,'Transfer Engine'!$C$2:$C$679,0)),"",INDEX('Compliance Database'!$E$2:$E$679,MATCH(566,'Transfer Engine'!$C$2:$C$679,0)))</f>
        <v/>
      </c>
      <c r="F575">
        <f>IF(ISNA(MATCH(566,'Transfer Engine'!$C$2:$C$679,0)),"",INDEX('Compliance Database'!$F$2:$F$679,MATCH(566,'Transfer Engine'!$C$2:$C$679,0)))</f>
        <v/>
      </c>
      <c r="G575">
        <f>IF(ISNA(MATCH(566,'Transfer Engine'!$C$2:$C$679,0)),"",INDEX('Compliance Database'!$G$2:$G$679,MATCH(566,'Transfer Engine'!$C$2:$C$679,0)))</f>
        <v/>
      </c>
      <c r="H575">
        <f>IF(ISNA(MATCH(566,'Transfer Engine'!$C$2:$C$679,0)),"",INDEX('Compliance Database'!$H$2:$H$679,MATCH(566,'Transfer Engine'!$C$2:$C$679,0)))</f>
        <v/>
      </c>
      <c r="I575" s="8">
        <f>IF(ISNA(MATCH(566,'Transfer Engine'!$C$2:$C$679,0)),"",INDEX('Compliance Database'!$I$2:$I$679,MATCH(566,'Transfer Engine'!$C$2:$C$679,0)))</f>
        <v/>
      </c>
      <c r="J575" s="8">
        <f>IF(ISNA(MATCH(566,'Transfer Engine'!$C$2:$C$679,0)),"",INDEX('Compliance Database'!$J$2:$J$679,MATCH(566,'Transfer Engine'!$C$2:$C$679,0)))</f>
        <v/>
      </c>
      <c r="K575">
        <f>IF(ISNA(MATCH(566,'Transfer Engine'!$C$2:$C$679,0)),"",INDEX('Compliance Database'!$K$2:$K$679,MATCH(566,'Transfer Engine'!$C$2:$C$679,0)))</f>
        <v/>
      </c>
      <c r="L575" s="8">
        <f>IF(ISNA(MATCH(566,'Transfer Engine'!$C$2:$C$679,0)),"",INDEX('Compliance Database'!$L$2:$L$679,MATCH(566,'Transfer Engine'!$C$2:$C$679,0)))</f>
        <v/>
      </c>
      <c r="M575" s="8">
        <f>IF(ISNA(MATCH(566,'Transfer Engine'!$C$2:$C$679,0)),"",INDEX('Compliance Database'!$M$2:$M$679,MATCH(566,'Transfer Engine'!$C$2:$C$679,0)))</f>
        <v/>
      </c>
      <c r="N575" s="8">
        <f>IF(ISNA(MATCH(566,'Transfer Engine'!$C$2:$C$679,0)),"",INDEX('Compliance Database'!$N$2:$N$679,MATCH(566,'Transfer Engine'!$C$2:$C$679,0)))</f>
        <v/>
      </c>
      <c r="O575" s="8">
        <f>IF(ISNA(MATCH(566,'Transfer Engine'!$C$2:$C$679,0)),"",INDEX('Compliance Database'!$O$2:$O$679,MATCH(566,'Transfer Engine'!$C$2:$C$679,0)))</f>
        <v/>
      </c>
      <c r="P575">
        <f>IF(ISNA(MATCH(566,'Transfer Engine'!$C$2:$C$679,0)),"",HYPERLINK(INDEX('Compliance Database'!$P$2:$P$679,MATCH(566,'Transfer Engine'!$C$2:$C$679,0)),"Open PDF"))</f>
        <v/>
      </c>
    </row>
    <row r="576">
      <c r="A576">
        <f>IF(ISNA(MATCH(567,'Transfer Engine'!$C$2:$C$679,0)),"",INDEX('Compliance Database'!$A$2:$A$679,MATCH(567,'Transfer Engine'!$C$2:$C$679,0)))</f>
        <v/>
      </c>
      <c r="B576">
        <f>IF(ISNA(MATCH(567,'Transfer Engine'!$C$2:$C$679,0)),"",INDEX('Compliance Database'!$B$2:$B$679,MATCH(567,'Transfer Engine'!$C$2:$C$679,0)))</f>
        <v/>
      </c>
      <c r="C576">
        <f>IF(ISNA(MATCH(567,'Transfer Engine'!$C$2:$C$679,0)),"",INDEX('Compliance Database'!$C$2:$C$679,MATCH(567,'Transfer Engine'!$C$2:$C$679,0)))</f>
        <v/>
      </c>
      <c r="D576" s="8">
        <f>IF(ISNA(MATCH(567,'Transfer Engine'!$C$2:$C$679,0)),"",INDEX('Compliance Database'!$D$2:$D$679,MATCH(567,'Transfer Engine'!$C$2:$C$679,0)))</f>
        <v/>
      </c>
      <c r="E576">
        <f>IF(ISNA(MATCH(567,'Transfer Engine'!$C$2:$C$679,0)),"",INDEX('Compliance Database'!$E$2:$E$679,MATCH(567,'Transfer Engine'!$C$2:$C$679,0)))</f>
        <v/>
      </c>
      <c r="F576">
        <f>IF(ISNA(MATCH(567,'Transfer Engine'!$C$2:$C$679,0)),"",INDEX('Compliance Database'!$F$2:$F$679,MATCH(567,'Transfer Engine'!$C$2:$C$679,0)))</f>
        <v/>
      </c>
      <c r="G576">
        <f>IF(ISNA(MATCH(567,'Transfer Engine'!$C$2:$C$679,0)),"",INDEX('Compliance Database'!$G$2:$G$679,MATCH(567,'Transfer Engine'!$C$2:$C$679,0)))</f>
        <v/>
      </c>
      <c r="H576">
        <f>IF(ISNA(MATCH(567,'Transfer Engine'!$C$2:$C$679,0)),"",INDEX('Compliance Database'!$H$2:$H$679,MATCH(567,'Transfer Engine'!$C$2:$C$679,0)))</f>
        <v/>
      </c>
      <c r="I576" s="8">
        <f>IF(ISNA(MATCH(567,'Transfer Engine'!$C$2:$C$679,0)),"",INDEX('Compliance Database'!$I$2:$I$679,MATCH(567,'Transfer Engine'!$C$2:$C$679,0)))</f>
        <v/>
      </c>
      <c r="J576" s="8">
        <f>IF(ISNA(MATCH(567,'Transfer Engine'!$C$2:$C$679,0)),"",INDEX('Compliance Database'!$J$2:$J$679,MATCH(567,'Transfer Engine'!$C$2:$C$679,0)))</f>
        <v/>
      </c>
      <c r="K576">
        <f>IF(ISNA(MATCH(567,'Transfer Engine'!$C$2:$C$679,0)),"",INDEX('Compliance Database'!$K$2:$K$679,MATCH(567,'Transfer Engine'!$C$2:$C$679,0)))</f>
        <v/>
      </c>
      <c r="L576" s="8">
        <f>IF(ISNA(MATCH(567,'Transfer Engine'!$C$2:$C$679,0)),"",INDEX('Compliance Database'!$L$2:$L$679,MATCH(567,'Transfer Engine'!$C$2:$C$679,0)))</f>
        <v/>
      </c>
      <c r="M576" s="8">
        <f>IF(ISNA(MATCH(567,'Transfer Engine'!$C$2:$C$679,0)),"",INDEX('Compliance Database'!$M$2:$M$679,MATCH(567,'Transfer Engine'!$C$2:$C$679,0)))</f>
        <v/>
      </c>
      <c r="N576" s="8">
        <f>IF(ISNA(MATCH(567,'Transfer Engine'!$C$2:$C$679,0)),"",INDEX('Compliance Database'!$N$2:$N$679,MATCH(567,'Transfer Engine'!$C$2:$C$679,0)))</f>
        <v/>
      </c>
      <c r="O576" s="8">
        <f>IF(ISNA(MATCH(567,'Transfer Engine'!$C$2:$C$679,0)),"",INDEX('Compliance Database'!$O$2:$O$679,MATCH(567,'Transfer Engine'!$C$2:$C$679,0)))</f>
        <v/>
      </c>
      <c r="P576">
        <f>IF(ISNA(MATCH(567,'Transfer Engine'!$C$2:$C$679,0)),"",HYPERLINK(INDEX('Compliance Database'!$P$2:$P$679,MATCH(567,'Transfer Engine'!$C$2:$C$679,0)),"Open PDF"))</f>
        <v/>
      </c>
    </row>
    <row r="577">
      <c r="A577">
        <f>IF(ISNA(MATCH(568,'Transfer Engine'!$C$2:$C$679,0)),"",INDEX('Compliance Database'!$A$2:$A$679,MATCH(568,'Transfer Engine'!$C$2:$C$679,0)))</f>
        <v/>
      </c>
      <c r="B577">
        <f>IF(ISNA(MATCH(568,'Transfer Engine'!$C$2:$C$679,0)),"",INDEX('Compliance Database'!$B$2:$B$679,MATCH(568,'Transfer Engine'!$C$2:$C$679,0)))</f>
        <v/>
      </c>
      <c r="C577">
        <f>IF(ISNA(MATCH(568,'Transfer Engine'!$C$2:$C$679,0)),"",INDEX('Compliance Database'!$C$2:$C$679,MATCH(568,'Transfer Engine'!$C$2:$C$679,0)))</f>
        <v/>
      </c>
      <c r="D577" s="8">
        <f>IF(ISNA(MATCH(568,'Transfer Engine'!$C$2:$C$679,0)),"",INDEX('Compliance Database'!$D$2:$D$679,MATCH(568,'Transfer Engine'!$C$2:$C$679,0)))</f>
        <v/>
      </c>
      <c r="E577">
        <f>IF(ISNA(MATCH(568,'Transfer Engine'!$C$2:$C$679,0)),"",INDEX('Compliance Database'!$E$2:$E$679,MATCH(568,'Transfer Engine'!$C$2:$C$679,0)))</f>
        <v/>
      </c>
      <c r="F577">
        <f>IF(ISNA(MATCH(568,'Transfer Engine'!$C$2:$C$679,0)),"",INDEX('Compliance Database'!$F$2:$F$679,MATCH(568,'Transfer Engine'!$C$2:$C$679,0)))</f>
        <v/>
      </c>
      <c r="G577">
        <f>IF(ISNA(MATCH(568,'Transfer Engine'!$C$2:$C$679,0)),"",INDEX('Compliance Database'!$G$2:$G$679,MATCH(568,'Transfer Engine'!$C$2:$C$679,0)))</f>
        <v/>
      </c>
      <c r="H577">
        <f>IF(ISNA(MATCH(568,'Transfer Engine'!$C$2:$C$679,0)),"",INDEX('Compliance Database'!$H$2:$H$679,MATCH(568,'Transfer Engine'!$C$2:$C$679,0)))</f>
        <v/>
      </c>
      <c r="I577" s="8">
        <f>IF(ISNA(MATCH(568,'Transfer Engine'!$C$2:$C$679,0)),"",INDEX('Compliance Database'!$I$2:$I$679,MATCH(568,'Transfer Engine'!$C$2:$C$679,0)))</f>
        <v/>
      </c>
      <c r="J577" s="8">
        <f>IF(ISNA(MATCH(568,'Transfer Engine'!$C$2:$C$679,0)),"",INDEX('Compliance Database'!$J$2:$J$679,MATCH(568,'Transfer Engine'!$C$2:$C$679,0)))</f>
        <v/>
      </c>
      <c r="K577">
        <f>IF(ISNA(MATCH(568,'Transfer Engine'!$C$2:$C$679,0)),"",INDEX('Compliance Database'!$K$2:$K$679,MATCH(568,'Transfer Engine'!$C$2:$C$679,0)))</f>
        <v/>
      </c>
      <c r="L577" s="8">
        <f>IF(ISNA(MATCH(568,'Transfer Engine'!$C$2:$C$679,0)),"",INDEX('Compliance Database'!$L$2:$L$679,MATCH(568,'Transfer Engine'!$C$2:$C$679,0)))</f>
        <v/>
      </c>
      <c r="M577" s="8">
        <f>IF(ISNA(MATCH(568,'Transfer Engine'!$C$2:$C$679,0)),"",INDEX('Compliance Database'!$M$2:$M$679,MATCH(568,'Transfer Engine'!$C$2:$C$679,0)))</f>
        <v/>
      </c>
      <c r="N577" s="8">
        <f>IF(ISNA(MATCH(568,'Transfer Engine'!$C$2:$C$679,0)),"",INDEX('Compliance Database'!$N$2:$N$679,MATCH(568,'Transfer Engine'!$C$2:$C$679,0)))</f>
        <v/>
      </c>
      <c r="O577" s="8">
        <f>IF(ISNA(MATCH(568,'Transfer Engine'!$C$2:$C$679,0)),"",INDEX('Compliance Database'!$O$2:$O$679,MATCH(568,'Transfer Engine'!$C$2:$C$679,0)))</f>
        <v/>
      </c>
      <c r="P577">
        <f>IF(ISNA(MATCH(568,'Transfer Engine'!$C$2:$C$679,0)),"",HYPERLINK(INDEX('Compliance Database'!$P$2:$P$679,MATCH(568,'Transfer Engine'!$C$2:$C$679,0)),"Open PDF"))</f>
        <v/>
      </c>
    </row>
    <row r="578">
      <c r="A578">
        <f>IF(ISNA(MATCH(569,'Transfer Engine'!$C$2:$C$679,0)),"",INDEX('Compliance Database'!$A$2:$A$679,MATCH(569,'Transfer Engine'!$C$2:$C$679,0)))</f>
        <v/>
      </c>
      <c r="B578">
        <f>IF(ISNA(MATCH(569,'Transfer Engine'!$C$2:$C$679,0)),"",INDEX('Compliance Database'!$B$2:$B$679,MATCH(569,'Transfer Engine'!$C$2:$C$679,0)))</f>
        <v/>
      </c>
      <c r="C578">
        <f>IF(ISNA(MATCH(569,'Transfer Engine'!$C$2:$C$679,0)),"",INDEX('Compliance Database'!$C$2:$C$679,MATCH(569,'Transfer Engine'!$C$2:$C$679,0)))</f>
        <v/>
      </c>
      <c r="D578" s="8">
        <f>IF(ISNA(MATCH(569,'Transfer Engine'!$C$2:$C$679,0)),"",INDEX('Compliance Database'!$D$2:$D$679,MATCH(569,'Transfer Engine'!$C$2:$C$679,0)))</f>
        <v/>
      </c>
      <c r="E578">
        <f>IF(ISNA(MATCH(569,'Transfer Engine'!$C$2:$C$679,0)),"",INDEX('Compliance Database'!$E$2:$E$679,MATCH(569,'Transfer Engine'!$C$2:$C$679,0)))</f>
        <v/>
      </c>
      <c r="F578">
        <f>IF(ISNA(MATCH(569,'Transfer Engine'!$C$2:$C$679,0)),"",INDEX('Compliance Database'!$F$2:$F$679,MATCH(569,'Transfer Engine'!$C$2:$C$679,0)))</f>
        <v/>
      </c>
      <c r="G578">
        <f>IF(ISNA(MATCH(569,'Transfer Engine'!$C$2:$C$679,0)),"",INDEX('Compliance Database'!$G$2:$G$679,MATCH(569,'Transfer Engine'!$C$2:$C$679,0)))</f>
        <v/>
      </c>
      <c r="H578">
        <f>IF(ISNA(MATCH(569,'Transfer Engine'!$C$2:$C$679,0)),"",INDEX('Compliance Database'!$H$2:$H$679,MATCH(569,'Transfer Engine'!$C$2:$C$679,0)))</f>
        <v/>
      </c>
      <c r="I578" s="8">
        <f>IF(ISNA(MATCH(569,'Transfer Engine'!$C$2:$C$679,0)),"",INDEX('Compliance Database'!$I$2:$I$679,MATCH(569,'Transfer Engine'!$C$2:$C$679,0)))</f>
        <v/>
      </c>
      <c r="J578" s="8">
        <f>IF(ISNA(MATCH(569,'Transfer Engine'!$C$2:$C$679,0)),"",INDEX('Compliance Database'!$J$2:$J$679,MATCH(569,'Transfer Engine'!$C$2:$C$679,0)))</f>
        <v/>
      </c>
      <c r="K578">
        <f>IF(ISNA(MATCH(569,'Transfer Engine'!$C$2:$C$679,0)),"",INDEX('Compliance Database'!$K$2:$K$679,MATCH(569,'Transfer Engine'!$C$2:$C$679,0)))</f>
        <v/>
      </c>
      <c r="L578" s="8">
        <f>IF(ISNA(MATCH(569,'Transfer Engine'!$C$2:$C$679,0)),"",INDEX('Compliance Database'!$L$2:$L$679,MATCH(569,'Transfer Engine'!$C$2:$C$679,0)))</f>
        <v/>
      </c>
      <c r="M578" s="8">
        <f>IF(ISNA(MATCH(569,'Transfer Engine'!$C$2:$C$679,0)),"",INDEX('Compliance Database'!$M$2:$M$679,MATCH(569,'Transfer Engine'!$C$2:$C$679,0)))</f>
        <v/>
      </c>
      <c r="N578" s="8">
        <f>IF(ISNA(MATCH(569,'Transfer Engine'!$C$2:$C$679,0)),"",INDEX('Compliance Database'!$N$2:$N$679,MATCH(569,'Transfer Engine'!$C$2:$C$679,0)))</f>
        <v/>
      </c>
      <c r="O578" s="8">
        <f>IF(ISNA(MATCH(569,'Transfer Engine'!$C$2:$C$679,0)),"",INDEX('Compliance Database'!$O$2:$O$679,MATCH(569,'Transfer Engine'!$C$2:$C$679,0)))</f>
        <v/>
      </c>
      <c r="P578">
        <f>IF(ISNA(MATCH(569,'Transfer Engine'!$C$2:$C$679,0)),"",HYPERLINK(INDEX('Compliance Database'!$P$2:$P$679,MATCH(569,'Transfer Engine'!$C$2:$C$679,0)),"Open PDF"))</f>
        <v/>
      </c>
    </row>
    <row r="579">
      <c r="A579">
        <f>IF(ISNA(MATCH(570,'Transfer Engine'!$C$2:$C$679,0)),"",INDEX('Compliance Database'!$A$2:$A$679,MATCH(570,'Transfer Engine'!$C$2:$C$679,0)))</f>
        <v/>
      </c>
      <c r="B579">
        <f>IF(ISNA(MATCH(570,'Transfer Engine'!$C$2:$C$679,0)),"",INDEX('Compliance Database'!$B$2:$B$679,MATCH(570,'Transfer Engine'!$C$2:$C$679,0)))</f>
        <v/>
      </c>
      <c r="C579">
        <f>IF(ISNA(MATCH(570,'Transfer Engine'!$C$2:$C$679,0)),"",INDEX('Compliance Database'!$C$2:$C$679,MATCH(570,'Transfer Engine'!$C$2:$C$679,0)))</f>
        <v/>
      </c>
      <c r="D579" s="8">
        <f>IF(ISNA(MATCH(570,'Transfer Engine'!$C$2:$C$679,0)),"",INDEX('Compliance Database'!$D$2:$D$679,MATCH(570,'Transfer Engine'!$C$2:$C$679,0)))</f>
        <v/>
      </c>
      <c r="E579">
        <f>IF(ISNA(MATCH(570,'Transfer Engine'!$C$2:$C$679,0)),"",INDEX('Compliance Database'!$E$2:$E$679,MATCH(570,'Transfer Engine'!$C$2:$C$679,0)))</f>
        <v/>
      </c>
      <c r="F579">
        <f>IF(ISNA(MATCH(570,'Transfer Engine'!$C$2:$C$679,0)),"",INDEX('Compliance Database'!$F$2:$F$679,MATCH(570,'Transfer Engine'!$C$2:$C$679,0)))</f>
        <v/>
      </c>
      <c r="G579">
        <f>IF(ISNA(MATCH(570,'Transfer Engine'!$C$2:$C$679,0)),"",INDEX('Compliance Database'!$G$2:$G$679,MATCH(570,'Transfer Engine'!$C$2:$C$679,0)))</f>
        <v/>
      </c>
      <c r="H579">
        <f>IF(ISNA(MATCH(570,'Transfer Engine'!$C$2:$C$679,0)),"",INDEX('Compliance Database'!$H$2:$H$679,MATCH(570,'Transfer Engine'!$C$2:$C$679,0)))</f>
        <v/>
      </c>
      <c r="I579" s="8">
        <f>IF(ISNA(MATCH(570,'Transfer Engine'!$C$2:$C$679,0)),"",INDEX('Compliance Database'!$I$2:$I$679,MATCH(570,'Transfer Engine'!$C$2:$C$679,0)))</f>
        <v/>
      </c>
      <c r="J579" s="8">
        <f>IF(ISNA(MATCH(570,'Transfer Engine'!$C$2:$C$679,0)),"",INDEX('Compliance Database'!$J$2:$J$679,MATCH(570,'Transfer Engine'!$C$2:$C$679,0)))</f>
        <v/>
      </c>
      <c r="K579">
        <f>IF(ISNA(MATCH(570,'Transfer Engine'!$C$2:$C$679,0)),"",INDEX('Compliance Database'!$K$2:$K$679,MATCH(570,'Transfer Engine'!$C$2:$C$679,0)))</f>
        <v/>
      </c>
      <c r="L579" s="8">
        <f>IF(ISNA(MATCH(570,'Transfer Engine'!$C$2:$C$679,0)),"",INDEX('Compliance Database'!$L$2:$L$679,MATCH(570,'Transfer Engine'!$C$2:$C$679,0)))</f>
        <v/>
      </c>
      <c r="M579" s="8">
        <f>IF(ISNA(MATCH(570,'Transfer Engine'!$C$2:$C$679,0)),"",INDEX('Compliance Database'!$M$2:$M$679,MATCH(570,'Transfer Engine'!$C$2:$C$679,0)))</f>
        <v/>
      </c>
      <c r="N579" s="8">
        <f>IF(ISNA(MATCH(570,'Transfer Engine'!$C$2:$C$679,0)),"",INDEX('Compliance Database'!$N$2:$N$679,MATCH(570,'Transfer Engine'!$C$2:$C$679,0)))</f>
        <v/>
      </c>
      <c r="O579" s="8">
        <f>IF(ISNA(MATCH(570,'Transfer Engine'!$C$2:$C$679,0)),"",INDEX('Compliance Database'!$O$2:$O$679,MATCH(570,'Transfer Engine'!$C$2:$C$679,0)))</f>
        <v/>
      </c>
      <c r="P579">
        <f>IF(ISNA(MATCH(570,'Transfer Engine'!$C$2:$C$679,0)),"",HYPERLINK(INDEX('Compliance Database'!$P$2:$P$679,MATCH(570,'Transfer Engine'!$C$2:$C$679,0)),"Open PDF"))</f>
        <v/>
      </c>
    </row>
    <row r="580">
      <c r="A580">
        <f>IF(ISNA(MATCH(571,'Transfer Engine'!$C$2:$C$679,0)),"",INDEX('Compliance Database'!$A$2:$A$679,MATCH(571,'Transfer Engine'!$C$2:$C$679,0)))</f>
        <v/>
      </c>
      <c r="B580">
        <f>IF(ISNA(MATCH(571,'Transfer Engine'!$C$2:$C$679,0)),"",INDEX('Compliance Database'!$B$2:$B$679,MATCH(571,'Transfer Engine'!$C$2:$C$679,0)))</f>
        <v/>
      </c>
      <c r="C580">
        <f>IF(ISNA(MATCH(571,'Transfer Engine'!$C$2:$C$679,0)),"",INDEX('Compliance Database'!$C$2:$C$679,MATCH(571,'Transfer Engine'!$C$2:$C$679,0)))</f>
        <v/>
      </c>
      <c r="D580" s="8">
        <f>IF(ISNA(MATCH(571,'Transfer Engine'!$C$2:$C$679,0)),"",INDEX('Compliance Database'!$D$2:$D$679,MATCH(571,'Transfer Engine'!$C$2:$C$679,0)))</f>
        <v/>
      </c>
      <c r="E580">
        <f>IF(ISNA(MATCH(571,'Transfer Engine'!$C$2:$C$679,0)),"",INDEX('Compliance Database'!$E$2:$E$679,MATCH(571,'Transfer Engine'!$C$2:$C$679,0)))</f>
        <v/>
      </c>
      <c r="F580">
        <f>IF(ISNA(MATCH(571,'Transfer Engine'!$C$2:$C$679,0)),"",INDEX('Compliance Database'!$F$2:$F$679,MATCH(571,'Transfer Engine'!$C$2:$C$679,0)))</f>
        <v/>
      </c>
      <c r="G580">
        <f>IF(ISNA(MATCH(571,'Transfer Engine'!$C$2:$C$679,0)),"",INDEX('Compliance Database'!$G$2:$G$679,MATCH(571,'Transfer Engine'!$C$2:$C$679,0)))</f>
        <v/>
      </c>
      <c r="H580">
        <f>IF(ISNA(MATCH(571,'Transfer Engine'!$C$2:$C$679,0)),"",INDEX('Compliance Database'!$H$2:$H$679,MATCH(571,'Transfer Engine'!$C$2:$C$679,0)))</f>
        <v/>
      </c>
      <c r="I580" s="8">
        <f>IF(ISNA(MATCH(571,'Transfer Engine'!$C$2:$C$679,0)),"",INDEX('Compliance Database'!$I$2:$I$679,MATCH(571,'Transfer Engine'!$C$2:$C$679,0)))</f>
        <v/>
      </c>
      <c r="J580" s="8">
        <f>IF(ISNA(MATCH(571,'Transfer Engine'!$C$2:$C$679,0)),"",INDEX('Compliance Database'!$J$2:$J$679,MATCH(571,'Transfer Engine'!$C$2:$C$679,0)))</f>
        <v/>
      </c>
      <c r="K580">
        <f>IF(ISNA(MATCH(571,'Transfer Engine'!$C$2:$C$679,0)),"",INDEX('Compliance Database'!$K$2:$K$679,MATCH(571,'Transfer Engine'!$C$2:$C$679,0)))</f>
        <v/>
      </c>
      <c r="L580" s="8">
        <f>IF(ISNA(MATCH(571,'Transfer Engine'!$C$2:$C$679,0)),"",INDEX('Compliance Database'!$L$2:$L$679,MATCH(571,'Transfer Engine'!$C$2:$C$679,0)))</f>
        <v/>
      </c>
      <c r="M580" s="8">
        <f>IF(ISNA(MATCH(571,'Transfer Engine'!$C$2:$C$679,0)),"",INDEX('Compliance Database'!$M$2:$M$679,MATCH(571,'Transfer Engine'!$C$2:$C$679,0)))</f>
        <v/>
      </c>
      <c r="N580" s="8">
        <f>IF(ISNA(MATCH(571,'Transfer Engine'!$C$2:$C$679,0)),"",INDEX('Compliance Database'!$N$2:$N$679,MATCH(571,'Transfer Engine'!$C$2:$C$679,0)))</f>
        <v/>
      </c>
      <c r="O580" s="8">
        <f>IF(ISNA(MATCH(571,'Transfer Engine'!$C$2:$C$679,0)),"",INDEX('Compliance Database'!$O$2:$O$679,MATCH(571,'Transfer Engine'!$C$2:$C$679,0)))</f>
        <v/>
      </c>
      <c r="P580">
        <f>IF(ISNA(MATCH(571,'Transfer Engine'!$C$2:$C$679,0)),"",HYPERLINK(INDEX('Compliance Database'!$P$2:$P$679,MATCH(571,'Transfer Engine'!$C$2:$C$679,0)),"Open PDF"))</f>
        <v/>
      </c>
    </row>
    <row r="581">
      <c r="A581">
        <f>IF(ISNA(MATCH(572,'Transfer Engine'!$C$2:$C$679,0)),"",INDEX('Compliance Database'!$A$2:$A$679,MATCH(572,'Transfer Engine'!$C$2:$C$679,0)))</f>
        <v/>
      </c>
      <c r="B581">
        <f>IF(ISNA(MATCH(572,'Transfer Engine'!$C$2:$C$679,0)),"",INDEX('Compliance Database'!$B$2:$B$679,MATCH(572,'Transfer Engine'!$C$2:$C$679,0)))</f>
        <v/>
      </c>
      <c r="C581">
        <f>IF(ISNA(MATCH(572,'Transfer Engine'!$C$2:$C$679,0)),"",INDEX('Compliance Database'!$C$2:$C$679,MATCH(572,'Transfer Engine'!$C$2:$C$679,0)))</f>
        <v/>
      </c>
      <c r="D581" s="8">
        <f>IF(ISNA(MATCH(572,'Transfer Engine'!$C$2:$C$679,0)),"",INDEX('Compliance Database'!$D$2:$D$679,MATCH(572,'Transfer Engine'!$C$2:$C$679,0)))</f>
        <v/>
      </c>
      <c r="E581">
        <f>IF(ISNA(MATCH(572,'Transfer Engine'!$C$2:$C$679,0)),"",INDEX('Compliance Database'!$E$2:$E$679,MATCH(572,'Transfer Engine'!$C$2:$C$679,0)))</f>
        <v/>
      </c>
      <c r="F581">
        <f>IF(ISNA(MATCH(572,'Transfer Engine'!$C$2:$C$679,0)),"",INDEX('Compliance Database'!$F$2:$F$679,MATCH(572,'Transfer Engine'!$C$2:$C$679,0)))</f>
        <v/>
      </c>
      <c r="G581">
        <f>IF(ISNA(MATCH(572,'Transfer Engine'!$C$2:$C$679,0)),"",INDEX('Compliance Database'!$G$2:$G$679,MATCH(572,'Transfer Engine'!$C$2:$C$679,0)))</f>
        <v/>
      </c>
      <c r="H581">
        <f>IF(ISNA(MATCH(572,'Transfer Engine'!$C$2:$C$679,0)),"",INDEX('Compliance Database'!$H$2:$H$679,MATCH(572,'Transfer Engine'!$C$2:$C$679,0)))</f>
        <v/>
      </c>
      <c r="I581" s="8">
        <f>IF(ISNA(MATCH(572,'Transfer Engine'!$C$2:$C$679,0)),"",INDEX('Compliance Database'!$I$2:$I$679,MATCH(572,'Transfer Engine'!$C$2:$C$679,0)))</f>
        <v/>
      </c>
      <c r="J581" s="8">
        <f>IF(ISNA(MATCH(572,'Transfer Engine'!$C$2:$C$679,0)),"",INDEX('Compliance Database'!$J$2:$J$679,MATCH(572,'Transfer Engine'!$C$2:$C$679,0)))</f>
        <v/>
      </c>
      <c r="K581">
        <f>IF(ISNA(MATCH(572,'Transfer Engine'!$C$2:$C$679,0)),"",INDEX('Compliance Database'!$K$2:$K$679,MATCH(572,'Transfer Engine'!$C$2:$C$679,0)))</f>
        <v/>
      </c>
      <c r="L581" s="8">
        <f>IF(ISNA(MATCH(572,'Transfer Engine'!$C$2:$C$679,0)),"",INDEX('Compliance Database'!$L$2:$L$679,MATCH(572,'Transfer Engine'!$C$2:$C$679,0)))</f>
        <v/>
      </c>
      <c r="M581" s="8">
        <f>IF(ISNA(MATCH(572,'Transfer Engine'!$C$2:$C$679,0)),"",INDEX('Compliance Database'!$M$2:$M$679,MATCH(572,'Transfer Engine'!$C$2:$C$679,0)))</f>
        <v/>
      </c>
      <c r="N581" s="8">
        <f>IF(ISNA(MATCH(572,'Transfer Engine'!$C$2:$C$679,0)),"",INDEX('Compliance Database'!$N$2:$N$679,MATCH(572,'Transfer Engine'!$C$2:$C$679,0)))</f>
        <v/>
      </c>
      <c r="O581" s="8">
        <f>IF(ISNA(MATCH(572,'Transfer Engine'!$C$2:$C$679,0)),"",INDEX('Compliance Database'!$O$2:$O$679,MATCH(572,'Transfer Engine'!$C$2:$C$679,0)))</f>
        <v/>
      </c>
      <c r="P581">
        <f>IF(ISNA(MATCH(572,'Transfer Engine'!$C$2:$C$679,0)),"",HYPERLINK(INDEX('Compliance Database'!$P$2:$P$679,MATCH(572,'Transfer Engine'!$C$2:$C$679,0)),"Open PDF"))</f>
        <v/>
      </c>
    </row>
    <row r="582">
      <c r="A582">
        <f>IF(ISNA(MATCH(573,'Transfer Engine'!$C$2:$C$679,0)),"",INDEX('Compliance Database'!$A$2:$A$679,MATCH(573,'Transfer Engine'!$C$2:$C$679,0)))</f>
        <v/>
      </c>
      <c r="B582">
        <f>IF(ISNA(MATCH(573,'Transfer Engine'!$C$2:$C$679,0)),"",INDEX('Compliance Database'!$B$2:$B$679,MATCH(573,'Transfer Engine'!$C$2:$C$679,0)))</f>
        <v/>
      </c>
      <c r="C582">
        <f>IF(ISNA(MATCH(573,'Transfer Engine'!$C$2:$C$679,0)),"",INDEX('Compliance Database'!$C$2:$C$679,MATCH(573,'Transfer Engine'!$C$2:$C$679,0)))</f>
        <v/>
      </c>
      <c r="D582" s="8">
        <f>IF(ISNA(MATCH(573,'Transfer Engine'!$C$2:$C$679,0)),"",INDEX('Compliance Database'!$D$2:$D$679,MATCH(573,'Transfer Engine'!$C$2:$C$679,0)))</f>
        <v/>
      </c>
      <c r="E582">
        <f>IF(ISNA(MATCH(573,'Transfer Engine'!$C$2:$C$679,0)),"",INDEX('Compliance Database'!$E$2:$E$679,MATCH(573,'Transfer Engine'!$C$2:$C$679,0)))</f>
        <v/>
      </c>
      <c r="F582">
        <f>IF(ISNA(MATCH(573,'Transfer Engine'!$C$2:$C$679,0)),"",INDEX('Compliance Database'!$F$2:$F$679,MATCH(573,'Transfer Engine'!$C$2:$C$679,0)))</f>
        <v/>
      </c>
      <c r="G582">
        <f>IF(ISNA(MATCH(573,'Transfer Engine'!$C$2:$C$679,0)),"",INDEX('Compliance Database'!$G$2:$G$679,MATCH(573,'Transfer Engine'!$C$2:$C$679,0)))</f>
        <v/>
      </c>
      <c r="H582">
        <f>IF(ISNA(MATCH(573,'Transfer Engine'!$C$2:$C$679,0)),"",INDEX('Compliance Database'!$H$2:$H$679,MATCH(573,'Transfer Engine'!$C$2:$C$679,0)))</f>
        <v/>
      </c>
      <c r="I582" s="8">
        <f>IF(ISNA(MATCH(573,'Transfer Engine'!$C$2:$C$679,0)),"",INDEX('Compliance Database'!$I$2:$I$679,MATCH(573,'Transfer Engine'!$C$2:$C$679,0)))</f>
        <v/>
      </c>
      <c r="J582" s="8">
        <f>IF(ISNA(MATCH(573,'Transfer Engine'!$C$2:$C$679,0)),"",INDEX('Compliance Database'!$J$2:$J$679,MATCH(573,'Transfer Engine'!$C$2:$C$679,0)))</f>
        <v/>
      </c>
      <c r="K582">
        <f>IF(ISNA(MATCH(573,'Transfer Engine'!$C$2:$C$679,0)),"",INDEX('Compliance Database'!$K$2:$K$679,MATCH(573,'Transfer Engine'!$C$2:$C$679,0)))</f>
        <v/>
      </c>
      <c r="L582" s="8">
        <f>IF(ISNA(MATCH(573,'Transfer Engine'!$C$2:$C$679,0)),"",INDEX('Compliance Database'!$L$2:$L$679,MATCH(573,'Transfer Engine'!$C$2:$C$679,0)))</f>
        <v/>
      </c>
      <c r="M582" s="8">
        <f>IF(ISNA(MATCH(573,'Transfer Engine'!$C$2:$C$679,0)),"",INDEX('Compliance Database'!$M$2:$M$679,MATCH(573,'Transfer Engine'!$C$2:$C$679,0)))</f>
        <v/>
      </c>
      <c r="N582" s="8">
        <f>IF(ISNA(MATCH(573,'Transfer Engine'!$C$2:$C$679,0)),"",INDEX('Compliance Database'!$N$2:$N$679,MATCH(573,'Transfer Engine'!$C$2:$C$679,0)))</f>
        <v/>
      </c>
      <c r="O582" s="8">
        <f>IF(ISNA(MATCH(573,'Transfer Engine'!$C$2:$C$679,0)),"",INDEX('Compliance Database'!$O$2:$O$679,MATCH(573,'Transfer Engine'!$C$2:$C$679,0)))</f>
        <v/>
      </c>
      <c r="P582">
        <f>IF(ISNA(MATCH(573,'Transfer Engine'!$C$2:$C$679,0)),"",HYPERLINK(INDEX('Compliance Database'!$P$2:$P$679,MATCH(573,'Transfer Engine'!$C$2:$C$679,0)),"Open PDF"))</f>
        <v/>
      </c>
    </row>
    <row r="583">
      <c r="A583">
        <f>IF(ISNA(MATCH(574,'Transfer Engine'!$C$2:$C$679,0)),"",INDEX('Compliance Database'!$A$2:$A$679,MATCH(574,'Transfer Engine'!$C$2:$C$679,0)))</f>
        <v/>
      </c>
      <c r="B583">
        <f>IF(ISNA(MATCH(574,'Transfer Engine'!$C$2:$C$679,0)),"",INDEX('Compliance Database'!$B$2:$B$679,MATCH(574,'Transfer Engine'!$C$2:$C$679,0)))</f>
        <v/>
      </c>
      <c r="C583">
        <f>IF(ISNA(MATCH(574,'Transfer Engine'!$C$2:$C$679,0)),"",INDEX('Compliance Database'!$C$2:$C$679,MATCH(574,'Transfer Engine'!$C$2:$C$679,0)))</f>
        <v/>
      </c>
      <c r="D583" s="8">
        <f>IF(ISNA(MATCH(574,'Transfer Engine'!$C$2:$C$679,0)),"",INDEX('Compliance Database'!$D$2:$D$679,MATCH(574,'Transfer Engine'!$C$2:$C$679,0)))</f>
        <v/>
      </c>
      <c r="E583">
        <f>IF(ISNA(MATCH(574,'Transfer Engine'!$C$2:$C$679,0)),"",INDEX('Compliance Database'!$E$2:$E$679,MATCH(574,'Transfer Engine'!$C$2:$C$679,0)))</f>
        <v/>
      </c>
      <c r="F583">
        <f>IF(ISNA(MATCH(574,'Transfer Engine'!$C$2:$C$679,0)),"",INDEX('Compliance Database'!$F$2:$F$679,MATCH(574,'Transfer Engine'!$C$2:$C$679,0)))</f>
        <v/>
      </c>
      <c r="G583">
        <f>IF(ISNA(MATCH(574,'Transfer Engine'!$C$2:$C$679,0)),"",INDEX('Compliance Database'!$G$2:$G$679,MATCH(574,'Transfer Engine'!$C$2:$C$679,0)))</f>
        <v/>
      </c>
      <c r="H583">
        <f>IF(ISNA(MATCH(574,'Transfer Engine'!$C$2:$C$679,0)),"",INDEX('Compliance Database'!$H$2:$H$679,MATCH(574,'Transfer Engine'!$C$2:$C$679,0)))</f>
        <v/>
      </c>
      <c r="I583" s="8">
        <f>IF(ISNA(MATCH(574,'Transfer Engine'!$C$2:$C$679,0)),"",INDEX('Compliance Database'!$I$2:$I$679,MATCH(574,'Transfer Engine'!$C$2:$C$679,0)))</f>
        <v/>
      </c>
      <c r="J583" s="8">
        <f>IF(ISNA(MATCH(574,'Transfer Engine'!$C$2:$C$679,0)),"",INDEX('Compliance Database'!$J$2:$J$679,MATCH(574,'Transfer Engine'!$C$2:$C$679,0)))</f>
        <v/>
      </c>
      <c r="K583">
        <f>IF(ISNA(MATCH(574,'Transfer Engine'!$C$2:$C$679,0)),"",INDEX('Compliance Database'!$K$2:$K$679,MATCH(574,'Transfer Engine'!$C$2:$C$679,0)))</f>
        <v/>
      </c>
      <c r="L583" s="8">
        <f>IF(ISNA(MATCH(574,'Transfer Engine'!$C$2:$C$679,0)),"",INDEX('Compliance Database'!$L$2:$L$679,MATCH(574,'Transfer Engine'!$C$2:$C$679,0)))</f>
        <v/>
      </c>
      <c r="M583" s="8">
        <f>IF(ISNA(MATCH(574,'Transfer Engine'!$C$2:$C$679,0)),"",INDEX('Compliance Database'!$M$2:$M$679,MATCH(574,'Transfer Engine'!$C$2:$C$679,0)))</f>
        <v/>
      </c>
      <c r="N583" s="8">
        <f>IF(ISNA(MATCH(574,'Transfer Engine'!$C$2:$C$679,0)),"",INDEX('Compliance Database'!$N$2:$N$679,MATCH(574,'Transfer Engine'!$C$2:$C$679,0)))</f>
        <v/>
      </c>
      <c r="O583" s="8">
        <f>IF(ISNA(MATCH(574,'Transfer Engine'!$C$2:$C$679,0)),"",INDEX('Compliance Database'!$O$2:$O$679,MATCH(574,'Transfer Engine'!$C$2:$C$679,0)))</f>
        <v/>
      </c>
      <c r="P583">
        <f>IF(ISNA(MATCH(574,'Transfer Engine'!$C$2:$C$679,0)),"",HYPERLINK(INDEX('Compliance Database'!$P$2:$P$679,MATCH(574,'Transfer Engine'!$C$2:$C$679,0)),"Open PDF"))</f>
        <v/>
      </c>
    </row>
    <row r="584">
      <c r="A584">
        <f>IF(ISNA(MATCH(575,'Transfer Engine'!$C$2:$C$679,0)),"",INDEX('Compliance Database'!$A$2:$A$679,MATCH(575,'Transfer Engine'!$C$2:$C$679,0)))</f>
        <v/>
      </c>
      <c r="B584">
        <f>IF(ISNA(MATCH(575,'Transfer Engine'!$C$2:$C$679,0)),"",INDEX('Compliance Database'!$B$2:$B$679,MATCH(575,'Transfer Engine'!$C$2:$C$679,0)))</f>
        <v/>
      </c>
      <c r="C584">
        <f>IF(ISNA(MATCH(575,'Transfer Engine'!$C$2:$C$679,0)),"",INDEX('Compliance Database'!$C$2:$C$679,MATCH(575,'Transfer Engine'!$C$2:$C$679,0)))</f>
        <v/>
      </c>
      <c r="D584" s="8">
        <f>IF(ISNA(MATCH(575,'Transfer Engine'!$C$2:$C$679,0)),"",INDEX('Compliance Database'!$D$2:$D$679,MATCH(575,'Transfer Engine'!$C$2:$C$679,0)))</f>
        <v/>
      </c>
      <c r="E584">
        <f>IF(ISNA(MATCH(575,'Transfer Engine'!$C$2:$C$679,0)),"",INDEX('Compliance Database'!$E$2:$E$679,MATCH(575,'Transfer Engine'!$C$2:$C$679,0)))</f>
        <v/>
      </c>
      <c r="F584">
        <f>IF(ISNA(MATCH(575,'Transfer Engine'!$C$2:$C$679,0)),"",INDEX('Compliance Database'!$F$2:$F$679,MATCH(575,'Transfer Engine'!$C$2:$C$679,0)))</f>
        <v/>
      </c>
      <c r="G584">
        <f>IF(ISNA(MATCH(575,'Transfer Engine'!$C$2:$C$679,0)),"",INDEX('Compliance Database'!$G$2:$G$679,MATCH(575,'Transfer Engine'!$C$2:$C$679,0)))</f>
        <v/>
      </c>
      <c r="H584">
        <f>IF(ISNA(MATCH(575,'Transfer Engine'!$C$2:$C$679,0)),"",INDEX('Compliance Database'!$H$2:$H$679,MATCH(575,'Transfer Engine'!$C$2:$C$679,0)))</f>
        <v/>
      </c>
      <c r="I584" s="8">
        <f>IF(ISNA(MATCH(575,'Transfer Engine'!$C$2:$C$679,0)),"",INDEX('Compliance Database'!$I$2:$I$679,MATCH(575,'Transfer Engine'!$C$2:$C$679,0)))</f>
        <v/>
      </c>
      <c r="J584" s="8">
        <f>IF(ISNA(MATCH(575,'Transfer Engine'!$C$2:$C$679,0)),"",INDEX('Compliance Database'!$J$2:$J$679,MATCH(575,'Transfer Engine'!$C$2:$C$679,0)))</f>
        <v/>
      </c>
      <c r="K584">
        <f>IF(ISNA(MATCH(575,'Transfer Engine'!$C$2:$C$679,0)),"",INDEX('Compliance Database'!$K$2:$K$679,MATCH(575,'Transfer Engine'!$C$2:$C$679,0)))</f>
        <v/>
      </c>
      <c r="L584" s="8">
        <f>IF(ISNA(MATCH(575,'Transfer Engine'!$C$2:$C$679,0)),"",INDEX('Compliance Database'!$L$2:$L$679,MATCH(575,'Transfer Engine'!$C$2:$C$679,0)))</f>
        <v/>
      </c>
      <c r="M584" s="8">
        <f>IF(ISNA(MATCH(575,'Transfer Engine'!$C$2:$C$679,0)),"",INDEX('Compliance Database'!$M$2:$M$679,MATCH(575,'Transfer Engine'!$C$2:$C$679,0)))</f>
        <v/>
      </c>
      <c r="N584" s="8">
        <f>IF(ISNA(MATCH(575,'Transfer Engine'!$C$2:$C$679,0)),"",INDEX('Compliance Database'!$N$2:$N$679,MATCH(575,'Transfer Engine'!$C$2:$C$679,0)))</f>
        <v/>
      </c>
      <c r="O584" s="8">
        <f>IF(ISNA(MATCH(575,'Transfer Engine'!$C$2:$C$679,0)),"",INDEX('Compliance Database'!$O$2:$O$679,MATCH(575,'Transfer Engine'!$C$2:$C$679,0)))</f>
        <v/>
      </c>
      <c r="P584">
        <f>IF(ISNA(MATCH(575,'Transfer Engine'!$C$2:$C$679,0)),"",HYPERLINK(INDEX('Compliance Database'!$P$2:$P$679,MATCH(575,'Transfer Engine'!$C$2:$C$679,0)),"Open PDF"))</f>
        <v/>
      </c>
    </row>
    <row r="585">
      <c r="A585">
        <f>IF(ISNA(MATCH(576,'Transfer Engine'!$C$2:$C$679,0)),"",INDEX('Compliance Database'!$A$2:$A$679,MATCH(576,'Transfer Engine'!$C$2:$C$679,0)))</f>
        <v/>
      </c>
      <c r="B585">
        <f>IF(ISNA(MATCH(576,'Transfer Engine'!$C$2:$C$679,0)),"",INDEX('Compliance Database'!$B$2:$B$679,MATCH(576,'Transfer Engine'!$C$2:$C$679,0)))</f>
        <v/>
      </c>
      <c r="C585">
        <f>IF(ISNA(MATCH(576,'Transfer Engine'!$C$2:$C$679,0)),"",INDEX('Compliance Database'!$C$2:$C$679,MATCH(576,'Transfer Engine'!$C$2:$C$679,0)))</f>
        <v/>
      </c>
      <c r="D585" s="8">
        <f>IF(ISNA(MATCH(576,'Transfer Engine'!$C$2:$C$679,0)),"",INDEX('Compliance Database'!$D$2:$D$679,MATCH(576,'Transfer Engine'!$C$2:$C$679,0)))</f>
        <v/>
      </c>
      <c r="E585">
        <f>IF(ISNA(MATCH(576,'Transfer Engine'!$C$2:$C$679,0)),"",INDEX('Compliance Database'!$E$2:$E$679,MATCH(576,'Transfer Engine'!$C$2:$C$679,0)))</f>
        <v/>
      </c>
      <c r="F585">
        <f>IF(ISNA(MATCH(576,'Transfer Engine'!$C$2:$C$679,0)),"",INDEX('Compliance Database'!$F$2:$F$679,MATCH(576,'Transfer Engine'!$C$2:$C$679,0)))</f>
        <v/>
      </c>
      <c r="G585">
        <f>IF(ISNA(MATCH(576,'Transfer Engine'!$C$2:$C$679,0)),"",INDEX('Compliance Database'!$G$2:$G$679,MATCH(576,'Transfer Engine'!$C$2:$C$679,0)))</f>
        <v/>
      </c>
      <c r="H585">
        <f>IF(ISNA(MATCH(576,'Transfer Engine'!$C$2:$C$679,0)),"",INDEX('Compliance Database'!$H$2:$H$679,MATCH(576,'Transfer Engine'!$C$2:$C$679,0)))</f>
        <v/>
      </c>
      <c r="I585" s="8">
        <f>IF(ISNA(MATCH(576,'Transfer Engine'!$C$2:$C$679,0)),"",INDEX('Compliance Database'!$I$2:$I$679,MATCH(576,'Transfer Engine'!$C$2:$C$679,0)))</f>
        <v/>
      </c>
      <c r="J585" s="8">
        <f>IF(ISNA(MATCH(576,'Transfer Engine'!$C$2:$C$679,0)),"",INDEX('Compliance Database'!$J$2:$J$679,MATCH(576,'Transfer Engine'!$C$2:$C$679,0)))</f>
        <v/>
      </c>
      <c r="K585">
        <f>IF(ISNA(MATCH(576,'Transfer Engine'!$C$2:$C$679,0)),"",INDEX('Compliance Database'!$K$2:$K$679,MATCH(576,'Transfer Engine'!$C$2:$C$679,0)))</f>
        <v/>
      </c>
      <c r="L585" s="8">
        <f>IF(ISNA(MATCH(576,'Transfer Engine'!$C$2:$C$679,0)),"",INDEX('Compliance Database'!$L$2:$L$679,MATCH(576,'Transfer Engine'!$C$2:$C$679,0)))</f>
        <v/>
      </c>
      <c r="M585" s="8">
        <f>IF(ISNA(MATCH(576,'Transfer Engine'!$C$2:$C$679,0)),"",INDEX('Compliance Database'!$M$2:$M$679,MATCH(576,'Transfer Engine'!$C$2:$C$679,0)))</f>
        <v/>
      </c>
      <c r="N585" s="8">
        <f>IF(ISNA(MATCH(576,'Transfer Engine'!$C$2:$C$679,0)),"",INDEX('Compliance Database'!$N$2:$N$679,MATCH(576,'Transfer Engine'!$C$2:$C$679,0)))</f>
        <v/>
      </c>
      <c r="O585" s="8">
        <f>IF(ISNA(MATCH(576,'Transfer Engine'!$C$2:$C$679,0)),"",INDEX('Compliance Database'!$O$2:$O$679,MATCH(576,'Transfer Engine'!$C$2:$C$679,0)))</f>
        <v/>
      </c>
      <c r="P585">
        <f>IF(ISNA(MATCH(576,'Transfer Engine'!$C$2:$C$679,0)),"",HYPERLINK(INDEX('Compliance Database'!$P$2:$P$679,MATCH(576,'Transfer Engine'!$C$2:$C$679,0)),"Open PDF"))</f>
        <v/>
      </c>
    </row>
    <row r="586">
      <c r="A586">
        <f>IF(ISNA(MATCH(577,'Transfer Engine'!$C$2:$C$679,0)),"",INDEX('Compliance Database'!$A$2:$A$679,MATCH(577,'Transfer Engine'!$C$2:$C$679,0)))</f>
        <v/>
      </c>
      <c r="B586">
        <f>IF(ISNA(MATCH(577,'Transfer Engine'!$C$2:$C$679,0)),"",INDEX('Compliance Database'!$B$2:$B$679,MATCH(577,'Transfer Engine'!$C$2:$C$679,0)))</f>
        <v/>
      </c>
      <c r="C586">
        <f>IF(ISNA(MATCH(577,'Transfer Engine'!$C$2:$C$679,0)),"",INDEX('Compliance Database'!$C$2:$C$679,MATCH(577,'Transfer Engine'!$C$2:$C$679,0)))</f>
        <v/>
      </c>
      <c r="D586" s="8">
        <f>IF(ISNA(MATCH(577,'Transfer Engine'!$C$2:$C$679,0)),"",INDEX('Compliance Database'!$D$2:$D$679,MATCH(577,'Transfer Engine'!$C$2:$C$679,0)))</f>
        <v/>
      </c>
      <c r="E586">
        <f>IF(ISNA(MATCH(577,'Transfer Engine'!$C$2:$C$679,0)),"",INDEX('Compliance Database'!$E$2:$E$679,MATCH(577,'Transfer Engine'!$C$2:$C$679,0)))</f>
        <v/>
      </c>
      <c r="F586">
        <f>IF(ISNA(MATCH(577,'Transfer Engine'!$C$2:$C$679,0)),"",INDEX('Compliance Database'!$F$2:$F$679,MATCH(577,'Transfer Engine'!$C$2:$C$679,0)))</f>
        <v/>
      </c>
      <c r="G586">
        <f>IF(ISNA(MATCH(577,'Transfer Engine'!$C$2:$C$679,0)),"",INDEX('Compliance Database'!$G$2:$G$679,MATCH(577,'Transfer Engine'!$C$2:$C$679,0)))</f>
        <v/>
      </c>
      <c r="H586">
        <f>IF(ISNA(MATCH(577,'Transfer Engine'!$C$2:$C$679,0)),"",INDEX('Compliance Database'!$H$2:$H$679,MATCH(577,'Transfer Engine'!$C$2:$C$679,0)))</f>
        <v/>
      </c>
      <c r="I586" s="8">
        <f>IF(ISNA(MATCH(577,'Transfer Engine'!$C$2:$C$679,0)),"",INDEX('Compliance Database'!$I$2:$I$679,MATCH(577,'Transfer Engine'!$C$2:$C$679,0)))</f>
        <v/>
      </c>
      <c r="J586" s="8">
        <f>IF(ISNA(MATCH(577,'Transfer Engine'!$C$2:$C$679,0)),"",INDEX('Compliance Database'!$J$2:$J$679,MATCH(577,'Transfer Engine'!$C$2:$C$679,0)))</f>
        <v/>
      </c>
      <c r="K586">
        <f>IF(ISNA(MATCH(577,'Transfer Engine'!$C$2:$C$679,0)),"",INDEX('Compliance Database'!$K$2:$K$679,MATCH(577,'Transfer Engine'!$C$2:$C$679,0)))</f>
        <v/>
      </c>
      <c r="L586" s="8">
        <f>IF(ISNA(MATCH(577,'Transfer Engine'!$C$2:$C$679,0)),"",INDEX('Compliance Database'!$L$2:$L$679,MATCH(577,'Transfer Engine'!$C$2:$C$679,0)))</f>
        <v/>
      </c>
      <c r="M586" s="8">
        <f>IF(ISNA(MATCH(577,'Transfer Engine'!$C$2:$C$679,0)),"",INDEX('Compliance Database'!$M$2:$M$679,MATCH(577,'Transfer Engine'!$C$2:$C$679,0)))</f>
        <v/>
      </c>
      <c r="N586" s="8">
        <f>IF(ISNA(MATCH(577,'Transfer Engine'!$C$2:$C$679,0)),"",INDEX('Compliance Database'!$N$2:$N$679,MATCH(577,'Transfer Engine'!$C$2:$C$679,0)))</f>
        <v/>
      </c>
      <c r="O586" s="8">
        <f>IF(ISNA(MATCH(577,'Transfer Engine'!$C$2:$C$679,0)),"",INDEX('Compliance Database'!$O$2:$O$679,MATCH(577,'Transfer Engine'!$C$2:$C$679,0)))</f>
        <v/>
      </c>
      <c r="P586">
        <f>IF(ISNA(MATCH(577,'Transfer Engine'!$C$2:$C$679,0)),"",HYPERLINK(INDEX('Compliance Database'!$P$2:$P$679,MATCH(577,'Transfer Engine'!$C$2:$C$679,0)),"Open PDF"))</f>
        <v/>
      </c>
    </row>
    <row r="587">
      <c r="A587">
        <f>IF(ISNA(MATCH(578,'Transfer Engine'!$C$2:$C$679,0)),"",INDEX('Compliance Database'!$A$2:$A$679,MATCH(578,'Transfer Engine'!$C$2:$C$679,0)))</f>
        <v/>
      </c>
      <c r="B587">
        <f>IF(ISNA(MATCH(578,'Transfer Engine'!$C$2:$C$679,0)),"",INDEX('Compliance Database'!$B$2:$B$679,MATCH(578,'Transfer Engine'!$C$2:$C$679,0)))</f>
        <v/>
      </c>
      <c r="C587">
        <f>IF(ISNA(MATCH(578,'Transfer Engine'!$C$2:$C$679,0)),"",INDEX('Compliance Database'!$C$2:$C$679,MATCH(578,'Transfer Engine'!$C$2:$C$679,0)))</f>
        <v/>
      </c>
      <c r="D587" s="8">
        <f>IF(ISNA(MATCH(578,'Transfer Engine'!$C$2:$C$679,0)),"",INDEX('Compliance Database'!$D$2:$D$679,MATCH(578,'Transfer Engine'!$C$2:$C$679,0)))</f>
        <v/>
      </c>
      <c r="E587">
        <f>IF(ISNA(MATCH(578,'Transfer Engine'!$C$2:$C$679,0)),"",INDEX('Compliance Database'!$E$2:$E$679,MATCH(578,'Transfer Engine'!$C$2:$C$679,0)))</f>
        <v/>
      </c>
      <c r="F587">
        <f>IF(ISNA(MATCH(578,'Transfer Engine'!$C$2:$C$679,0)),"",INDEX('Compliance Database'!$F$2:$F$679,MATCH(578,'Transfer Engine'!$C$2:$C$679,0)))</f>
        <v/>
      </c>
      <c r="G587">
        <f>IF(ISNA(MATCH(578,'Transfer Engine'!$C$2:$C$679,0)),"",INDEX('Compliance Database'!$G$2:$G$679,MATCH(578,'Transfer Engine'!$C$2:$C$679,0)))</f>
        <v/>
      </c>
      <c r="H587">
        <f>IF(ISNA(MATCH(578,'Transfer Engine'!$C$2:$C$679,0)),"",INDEX('Compliance Database'!$H$2:$H$679,MATCH(578,'Transfer Engine'!$C$2:$C$679,0)))</f>
        <v/>
      </c>
      <c r="I587" s="8">
        <f>IF(ISNA(MATCH(578,'Transfer Engine'!$C$2:$C$679,0)),"",INDEX('Compliance Database'!$I$2:$I$679,MATCH(578,'Transfer Engine'!$C$2:$C$679,0)))</f>
        <v/>
      </c>
      <c r="J587" s="8">
        <f>IF(ISNA(MATCH(578,'Transfer Engine'!$C$2:$C$679,0)),"",INDEX('Compliance Database'!$J$2:$J$679,MATCH(578,'Transfer Engine'!$C$2:$C$679,0)))</f>
        <v/>
      </c>
      <c r="K587">
        <f>IF(ISNA(MATCH(578,'Transfer Engine'!$C$2:$C$679,0)),"",INDEX('Compliance Database'!$K$2:$K$679,MATCH(578,'Transfer Engine'!$C$2:$C$679,0)))</f>
        <v/>
      </c>
      <c r="L587" s="8">
        <f>IF(ISNA(MATCH(578,'Transfer Engine'!$C$2:$C$679,0)),"",INDEX('Compliance Database'!$L$2:$L$679,MATCH(578,'Transfer Engine'!$C$2:$C$679,0)))</f>
        <v/>
      </c>
      <c r="M587" s="8">
        <f>IF(ISNA(MATCH(578,'Transfer Engine'!$C$2:$C$679,0)),"",INDEX('Compliance Database'!$M$2:$M$679,MATCH(578,'Transfer Engine'!$C$2:$C$679,0)))</f>
        <v/>
      </c>
      <c r="N587" s="8">
        <f>IF(ISNA(MATCH(578,'Transfer Engine'!$C$2:$C$679,0)),"",INDEX('Compliance Database'!$N$2:$N$679,MATCH(578,'Transfer Engine'!$C$2:$C$679,0)))</f>
        <v/>
      </c>
      <c r="O587" s="8">
        <f>IF(ISNA(MATCH(578,'Transfer Engine'!$C$2:$C$679,0)),"",INDEX('Compliance Database'!$O$2:$O$679,MATCH(578,'Transfer Engine'!$C$2:$C$679,0)))</f>
        <v/>
      </c>
      <c r="P587">
        <f>IF(ISNA(MATCH(578,'Transfer Engine'!$C$2:$C$679,0)),"",HYPERLINK(INDEX('Compliance Database'!$P$2:$P$679,MATCH(578,'Transfer Engine'!$C$2:$C$679,0)),"Open PDF"))</f>
        <v/>
      </c>
    </row>
    <row r="588">
      <c r="A588">
        <f>IF(ISNA(MATCH(579,'Transfer Engine'!$C$2:$C$679,0)),"",INDEX('Compliance Database'!$A$2:$A$679,MATCH(579,'Transfer Engine'!$C$2:$C$679,0)))</f>
        <v/>
      </c>
      <c r="B588">
        <f>IF(ISNA(MATCH(579,'Transfer Engine'!$C$2:$C$679,0)),"",INDEX('Compliance Database'!$B$2:$B$679,MATCH(579,'Transfer Engine'!$C$2:$C$679,0)))</f>
        <v/>
      </c>
      <c r="C588">
        <f>IF(ISNA(MATCH(579,'Transfer Engine'!$C$2:$C$679,0)),"",INDEX('Compliance Database'!$C$2:$C$679,MATCH(579,'Transfer Engine'!$C$2:$C$679,0)))</f>
        <v/>
      </c>
      <c r="D588" s="8">
        <f>IF(ISNA(MATCH(579,'Transfer Engine'!$C$2:$C$679,0)),"",INDEX('Compliance Database'!$D$2:$D$679,MATCH(579,'Transfer Engine'!$C$2:$C$679,0)))</f>
        <v/>
      </c>
      <c r="E588">
        <f>IF(ISNA(MATCH(579,'Transfer Engine'!$C$2:$C$679,0)),"",INDEX('Compliance Database'!$E$2:$E$679,MATCH(579,'Transfer Engine'!$C$2:$C$679,0)))</f>
        <v/>
      </c>
      <c r="F588">
        <f>IF(ISNA(MATCH(579,'Transfer Engine'!$C$2:$C$679,0)),"",INDEX('Compliance Database'!$F$2:$F$679,MATCH(579,'Transfer Engine'!$C$2:$C$679,0)))</f>
        <v/>
      </c>
      <c r="G588">
        <f>IF(ISNA(MATCH(579,'Transfer Engine'!$C$2:$C$679,0)),"",INDEX('Compliance Database'!$G$2:$G$679,MATCH(579,'Transfer Engine'!$C$2:$C$679,0)))</f>
        <v/>
      </c>
      <c r="H588">
        <f>IF(ISNA(MATCH(579,'Transfer Engine'!$C$2:$C$679,0)),"",INDEX('Compliance Database'!$H$2:$H$679,MATCH(579,'Transfer Engine'!$C$2:$C$679,0)))</f>
        <v/>
      </c>
      <c r="I588" s="8">
        <f>IF(ISNA(MATCH(579,'Transfer Engine'!$C$2:$C$679,0)),"",INDEX('Compliance Database'!$I$2:$I$679,MATCH(579,'Transfer Engine'!$C$2:$C$679,0)))</f>
        <v/>
      </c>
      <c r="J588" s="8">
        <f>IF(ISNA(MATCH(579,'Transfer Engine'!$C$2:$C$679,0)),"",INDEX('Compliance Database'!$J$2:$J$679,MATCH(579,'Transfer Engine'!$C$2:$C$679,0)))</f>
        <v/>
      </c>
      <c r="K588">
        <f>IF(ISNA(MATCH(579,'Transfer Engine'!$C$2:$C$679,0)),"",INDEX('Compliance Database'!$K$2:$K$679,MATCH(579,'Transfer Engine'!$C$2:$C$679,0)))</f>
        <v/>
      </c>
      <c r="L588" s="8">
        <f>IF(ISNA(MATCH(579,'Transfer Engine'!$C$2:$C$679,0)),"",INDEX('Compliance Database'!$L$2:$L$679,MATCH(579,'Transfer Engine'!$C$2:$C$679,0)))</f>
        <v/>
      </c>
      <c r="M588" s="8">
        <f>IF(ISNA(MATCH(579,'Transfer Engine'!$C$2:$C$679,0)),"",INDEX('Compliance Database'!$M$2:$M$679,MATCH(579,'Transfer Engine'!$C$2:$C$679,0)))</f>
        <v/>
      </c>
      <c r="N588" s="8">
        <f>IF(ISNA(MATCH(579,'Transfer Engine'!$C$2:$C$679,0)),"",INDEX('Compliance Database'!$N$2:$N$679,MATCH(579,'Transfer Engine'!$C$2:$C$679,0)))</f>
        <v/>
      </c>
      <c r="O588" s="8">
        <f>IF(ISNA(MATCH(579,'Transfer Engine'!$C$2:$C$679,0)),"",INDEX('Compliance Database'!$O$2:$O$679,MATCH(579,'Transfer Engine'!$C$2:$C$679,0)))</f>
        <v/>
      </c>
      <c r="P588">
        <f>IF(ISNA(MATCH(579,'Transfer Engine'!$C$2:$C$679,0)),"",HYPERLINK(INDEX('Compliance Database'!$P$2:$P$679,MATCH(579,'Transfer Engine'!$C$2:$C$679,0)),"Open PDF"))</f>
        <v/>
      </c>
    </row>
    <row r="589">
      <c r="A589">
        <f>IF(ISNA(MATCH(580,'Transfer Engine'!$C$2:$C$679,0)),"",INDEX('Compliance Database'!$A$2:$A$679,MATCH(580,'Transfer Engine'!$C$2:$C$679,0)))</f>
        <v/>
      </c>
      <c r="B589">
        <f>IF(ISNA(MATCH(580,'Transfer Engine'!$C$2:$C$679,0)),"",INDEX('Compliance Database'!$B$2:$B$679,MATCH(580,'Transfer Engine'!$C$2:$C$679,0)))</f>
        <v/>
      </c>
      <c r="C589">
        <f>IF(ISNA(MATCH(580,'Transfer Engine'!$C$2:$C$679,0)),"",INDEX('Compliance Database'!$C$2:$C$679,MATCH(580,'Transfer Engine'!$C$2:$C$679,0)))</f>
        <v/>
      </c>
      <c r="D589" s="8">
        <f>IF(ISNA(MATCH(580,'Transfer Engine'!$C$2:$C$679,0)),"",INDEX('Compliance Database'!$D$2:$D$679,MATCH(580,'Transfer Engine'!$C$2:$C$679,0)))</f>
        <v/>
      </c>
      <c r="E589">
        <f>IF(ISNA(MATCH(580,'Transfer Engine'!$C$2:$C$679,0)),"",INDEX('Compliance Database'!$E$2:$E$679,MATCH(580,'Transfer Engine'!$C$2:$C$679,0)))</f>
        <v/>
      </c>
      <c r="F589">
        <f>IF(ISNA(MATCH(580,'Transfer Engine'!$C$2:$C$679,0)),"",INDEX('Compliance Database'!$F$2:$F$679,MATCH(580,'Transfer Engine'!$C$2:$C$679,0)))</f>
        <v/>
      </c>
      <c r="G589">
        <f>IF(ISNA(MATCH(580,'Transfer Engine'!$C$2:$C$679,0)),"",INDEX('Compliance Database'!$G$2:$G$679,MATCH(580,'Transfer Engine'!$C$2:$C$679,0)))</f>
        <v/>
      </c>
      <c r="H589">
        <f>IF(ISNA(MATCH(580,'Transfer Engine'!$C$2:$C$679,0)),"",INDEX('Compliance Database'!$H$2:$H$679,MATCH(580,'Transfer Engine'!$C$2:$C$679,0)))</f>
        <v/>
      </c>
      <c r="I589" s="8">
        <f>IF(ISNA(MATCH(580,'Transfer Engine'!$C$2:$C$679,0)),"",INDEX('Compliance Database'!$I$2:$I$679,MATCH(580,'Transfer Engine'!$C$2:$C$679,0)))</f>
        <v/>
      </c>
      <c r="J589" s="8">
        <f>IF(ISNA(MATCH(580,'Transfer Engine'!$C$2:$C$679,0)),"",INDEX('Compliance Database'!$J$2:$J$679,MATCH(580,'Transfer Engine'!$C$2:$C$679,0)))</f>
        <v/>
      </c>
      <c r="K589">
        <f>IF(ISNA(MATCH(580,'Transfer Engine'!$C$2:$C$679,0)),"",INDEX('Compliance Database'!$K$2:$K$679,MATCH(580,'Transfer Engine'!$C$2:$C$679,0)))</f>
        <v/>
      </c>
      <c r="L589" s="8">
        <f>IF(ISNA(MATCH(580,'Transfer Engine'!$C$2:$C$679,0)),"",INDEX('Compliance Database'!$L$2:$L$679,MATCH(580,'Transfer Engine'!$C$2:$C$679,0)))</f>
        <v/>
      </c>
      <c r="M589" s="8">
        <f>IF(ISNA(MATCH(580,'Transfer Engine'!$C$2:$C$679,0)),"",INDEX('Compliance Database'!$M$2:$M$679,MATCH(580,'Transfer Engine'!$C$2:$C$679,0)))</f>
        <v/>
      </c>
      <c r="N589" s="8">
        <f>IF(ISNA(MATCH(580,'Transfer Engine'!$C$2:$C$679,0)),"",INDEX('Compliance Database'!$N$2:$N$679,MATCH(580,'Transfer Engine'!$C$2:$C$679,0)))</f>
        <v/>
      </c>
      <c r="O589" s="8">
        <f>IF(ISNA(MATCH(580,'Transfer Engine'!$C$2:$C$679,0)),"",INDEX('Compliance Database'!$O$2:$O$679,MATCH(580,'Transfer Engine'!$C$2:$C$679,0)))</f>
        <v/>
      </c>
      <c r="P589">
        <f>IF(ISNA(MATCH(580,'Transfer Engine'!$C$2:$C$679,0)),"",HYPERLINK(INDEX('Compliance Database'!$P$2:$P$679,MATCH(580,'Transfer Engine'!$C$2:$C$679,0)),"Open PDF"))</f>
        <v/>
      </c>
    </row>
    <row r="590">
      <c r="A590">
        <f>IF(ISNA(MATCH(581,'Transfer Engine'!$C$2:$C$679,0)),"",INDEX('Compliance Database'!$A$2:$A$679,MATCH(581,'Transfer Engine'!$C$2:$C$679,0)))</f>
        <v/>
      </c>
      <c r="B590">
        <f>IF(ISNA(MATCH(581,'Transfer Engine'!$C$2:$C$679,0)),"",INDEX('Compliance Database'!$B$2:$B$679,MATCH(581,'Transfer Engine'!$C$2:$C$679,0)))</f>
        <v/>
      </c>
      <c r="C590">
        <f>IF(ISNA(MATCH(581,'Transfer Engine'!$C$2:$C$679,0)),"",INDEX('Compliance Database'!$C$2:$C$679,MATCH(581,'Transfer Engine'!$C$2:$C$679,0)))</f>
        <v/>
      </c>
      <c r="D590" s="8">
        <f>IF(ISNA(MATCH(581,'Transfer Engine'!$C$2:$C$679,0)),"",INDEX('Compliance Database'!$D$2:$D$679,MATCH(581,'Transfer Engine'!$C$2:$C$679,0)))</f>
        <v/>
      </c>
      <c r="E590">
        <f>IF(ISNA(MATCH(581,'Transfer Engine'!$C$2:$C$679,0)),"",INDEX('Compliance Database'!$E$2:$E$679,MATCH(581,'Transfer Engine'!$C$2:$C$679,0)))</f>
        <v/>
      </c>
      <c r="F590">
        <f>IF(ISNA(MATCH(581,'Transfer Engine'!$C$2:$C$679,0)),"",INDEX('Compliance Database'!$F$2:$F$679,MATCH(581,'Transfer Engine'!$C$2:$C$679,0)))</f>
        <v/>
      </c>
      <c r="G590">
        <f>IF(ISNA(MATCH(581,'Transfer Engine'!$C$2:$C$679,0)),"",INDEX('Compliance Database'!$G$2:$G$679,MATCH(581,'Transfer Engine'!$C$2:$C$679,0)))</f>
        <v/>
      </c>
      <c r="H590">
        <f>IF(ISNA(MATCH(581,'Transfer Engine'!$C$2:$C$679,0)),"",INDEX('Compliance Database'!$H$2:$H$679,MATCH(581,'Transfer Engine'!$C$2:$C$679,0)))</f>
        <v/>
      </c>
      <c r="I590" s="8">
        <f>IF(ISNA(MATCH(581,'Transfer Engine'!$C$2:$C$679,0)),"",INDEX('Compliance Database'!$I$2:$I$679,MATCH(581,'Transfer Engine'!$C$2:$C$679,0)))</f>
        <v/>
      </c>
      <c r="J590" s="8">
        <f>IF(ISNA(MATCH(581,'Transfer Engine'!$C$2:$C$679,0)),"",INDEX('Compliance Database'!$J$2:$J$679,MATCH(581,'Transfer Engine'!$C$2:$C$679,0)))</f>
        <v/>
      </c>
      <c r="K590">
        <f>IF(ISNA(MATCH(581,'Transfer Engine'!$C$2:$C$679,0)),"",INDEX('Compliance Database'!$K$2:$K$679,MATCH(581,'Transfer Engine'!$C$2:$C$679,0)))</f>
        <v/>
      </c>
      <c r="L590" s="8">
        <f>IF(ISNA(MATCH(581,'Transfer Engine'!$C$2:$C$679,0)),"",INDEX('Compliance Database'!$L$2:$L$679,MATCH(581,'Transfer Engine'!$C$2:$C$679,0)))</f>
        <v/>
      </c>
      <c r="M590" s="8">
        <f>IF(ISNA(MATCH(581,'Transfer Engine'!$C$2:$C$679,0)),"",INDEX('Compliance Database'!$M$2:$M$679,MATCH(581,'Transfer Engine'!$C$2:$C$679,0)))</f>
        <v/>
      </c>
      <c r="N590" s="8">
        <f>IF(ISNA(MATCH(581,'Transfer Engine'!$C$2:$C$679,0)),"",INDEX('Compliance Database'!$N$2:$N$679,MATCH(581,'Transfer Engine'!$C$2:$C$679,0)))</f>
        <v/>
      </c>
      <c r="O590" s="8">
        <f>IF(ISNA(MATCH(581,'Transfer Engine'!$C$2:$C$679,0)),"",INDEX('Compliance Database'!$O$2:$O$679,MATCH(581,'Transfer Engine'!$C$2:$C$679,0)))</f>
        <v/>
      </c>
      <c r="P590">
        <f>IF(ISNA(MATCH(581,'Transfer Engine'!$C$2:$C$679,0)),"",HYPERLINK(INDEX('Compliance Database'!$P$2:$P$679,MATCH(581,'Transfer Engine'!$C$2:$C$679,0)),"Open PDF"))</f>
        <v/>
      </c>
    </row>
    <row r="591">
      <c r="A591">
        <f>IF(ISNA(MATCH(582,'Transfer Engine'!$C$2:$C$679,0)),"",INDEX('Compliance Database'!$A$2:$A$679,MATCH(582,'Transfer Engine'!$C$2:$C$679,0)))</f>
        <v/>
      </c>
      <c r="B591">
        <f>IF(ISNA(MATCH(582,'Transfer Engine'!$C$2:$C$679,0)),"",INDEX('Compliance Database'!$B$2:$B$679,MATCH(582,'Transfer Engine'!$C$2:$C$679,0)))</f>
        <v/>
      </c>
      <c r="C591">
        <f>IF(ISNA(MATCH(582,'Transfer Engine'!$C$2:$C$679,0)),"",INDEX('Compliance Database'!$C$2:$C$679,MATCH(582,'Transfer Engine'!$C$2:$C$679,0)))</f>
        <v/>
      </c>
      <c r="D591" s="8">
        <f>IF(ISNA(MATCH(582,'Transfer Engine'!$C$2:$C$679,0)),"",INDEX('Compliance Database'!$D$2:$D$679,MATCH(582,'Transfer Engine'!$C$2:$C$679,0)))</f>
        <v/>
      </c>
      <c r="E591">
        <f>IF(ISNA(MATCH(582,'Transfer Engine'!$C$2:$C$679,0)),"",INDEX('Compliance Database'!$E$2:$E$679,MATCH(582,'Transfer Engine'!$C$2:$C$679,0)))</f>
        <v/>
      </c>
      <c r="F591">
        <f>IF(ISNA(MATCH(582,'Transfer Engine'!$C$2:$C$679,0)),"",INDEX('Compliance Database'!$F$2:$F$679,MATCH(582,'Transfer Engine'!$C$2:$C$679,0)))</f>
        <v/>
      </c>
      <c r="G591">
        <f>IF(ISNA(MATCH(582,'Transfer Engine'!$C$2:$C$679,0)),"",INDEX('Compliance Database'!$G$2:$G$679,MATCH(582,'Transfer Engine'!$C$2:$C$679,0)))</f>
        <v/>
      </c>
      <c r="H591">
        <f>IF(ISNA(MATCH(582,'Transfer Engine'!$C$2:$C$679,0)),"",INDEX('Compliance Database'!$H$2:$H$679,MATCH(582,'Transfer Engine'!$C$2:$C$679,0)))</f>
        <v/>
      </c>
      <c r="I591" s="8">
        <f>IF(ISNA(MATCH(582,'Transfer Engine'!$C$2:$C$679,0)),"",INDEX('Compliance Database'!$I$2:$I$679,MATCH(582,'Transfer Engine'!$C$2:$C$679,0)))</f>
        <v/>
      </c>
      <c r="J591" s="8">
        <f>IF(ISNA(MATCH(582,'Transfer Engine'!$C$2:$C$679,0)),"",INDEX('Compliance Database'!$J$2:$J$679,MATCH(582,'Transfer Engine'!$C$2:$C$679,0)))</f>
        <v/>
      </c>
      <c r="K591">
        <f>IF(ISNA(MATCH(582,'Transfer Engine'!$C$2:$C$679,0)),"",INDEX('Compliance Database'!$K$2:$K$679,MATCH(582,'Transfer Engine'!$C$2:$C$679,0)))</f>
        <v/>
      </c>
      <c r="L591" s="8">
        <f>IF(ISNA(MATCH(582,'Transfer Engine'!$C$2:$C$679,0)),"",INDEX('Compliance Database'!$L$2:$L$679,MATCH(582,'Transfer Engine'!$C$2:$C$679,0)))</f>
        <v/>
      </c>
      <c r="M591" s="8">
        <f>IF(ISNA(MATCH(582,'Transfer Engine'!$C$2:$C$679,0)),"",INDEX('Compliance Database'!$M$2:$M$679,MATCH(582,'Transfer Engine'!$C$2:$C$679,0)))</f>
        <v/>
      </c>
      <c r="N591" s="8">
        <f>IF(ISNA(MATCH(582,'Transfer Engine'!$C$2:$C$679,0)),"",INDEX('Compliance Database'!$N$2:$N$679,MATCH(582,'Transfer Engine'!$C$2:$C$679,0)))</f>
        <v/>
      </c>
      <c r="O591" s="8">
        <f>IF(ISNA(MATCH(582,'Transfer Engine'!$C$2:$C$679,0)),"",INDEX('Compliance Database'!$O$2:$O$679,MATCH(582,'Transfer Engine'!$C$2:$C$679,0)))</f>
        <v/>
      </c>
      <c r="P591">
        <f>IF(ISNA(MATCH(582,'Transfer Engine'!$C$2:$C$679,0)),"",HYPERLINK(INDEX('Compliance Database'!$P$2:$P$679,MATCH(582,'Transfer Engine'!$C$2:$C$679,0)),"Open PDF"))</f>
        <v/>
      </c>
    </row>
    <row r="592">
      <c r="A592">
        <f>IF(ISNA(MATCH(583,'Transfer Engine'!$C$2:$C$679,0)),"",INDEX('Compliance Database'!$A$2:$A$679,MATCH(583,'Transfer Engine'!$C$2:$C$679,0)))</f>
        <v/>
      </c>
      <c r="B592">
        <f>IF(ISNA(MATCH(583,'Transfer Engine'!$C$2:$C$679,0)),"",INDEX('Compliance Database'!$B$2:$B$679,MATCH(583,'Transfer Engine'!$C$2:$C$679,0)))</f>
        <v/>
      </c>
      <c r="C592">
        <f>IF(ISNA(MATCH(583,'Transfer Engine'!$C$2:$C$679,0)),"",INDEX('Compliance Database'!$C$2:$C$679,MATCH(583,'Transfer Engine'!$C$2:$C$679,0)))</f>
        <v/>
      </c>
      <c r="D592" s="8">
        <f>IF(ISNA(MATCH(583,'Transfer Engine'!$C$2:$C$679,0)),"",INDEX('Compliance Database'!$D$2:$D$679,MATCH(583,'Transfer Engine'!$C$2:$C$679,0)))</f>
        <v/>
      </c>
      <c r="E592">
        <f>IF(ISNA(MATCH(583,'Transfer Engine'!$C$2:$C$679,0)),"",INDEX('Compliance Database'!$E$2:$E$679,MATCH(583,'Transfer Engine'!$C$2:$C$679,0)))</f>
        <v/>
      </c>
      <c r="F592">
        <f>IF(ISNA(MATCH(583,'Transfer Engine'!$C$2:$C$679,0)),"",INDEX('Compliance Database'!$F$2:$F$679,MATCH(583,'Transfer Engine'!$C$2:$C$679,0)))</f>
        <v/>
      </c>
      <c r="G592">
        <f>IF(ISNA(MATCH(583,'Transfer Engine'!$C$2:$C$679,0)),"",INDEX('Compliance Database'!$G$2:$G$679,MATCH(583,'Transfer Engine'!$C$2:$C$679,0)))</f>
        <v/>
      </c>
      <c r="H592">
        <f>IF(ISNA(MATCH(583,'Transfer Engine'!$C$2:$C$679,0)),"",INDEX('Compliance Database'!$H$2:$H$679,MATCH(583,'Transfer Engine'!$C$2:$C$679,0)))</f>
        <v/>
      </c>
      <c r="I592" s="8">
        <f>IF(ISNA(MATCH(583,'Transfer Engine'!$C$2:$C$679,0)),"",INDEX('Compliance Database'!$I$2:$I$679,MATCH(583,'Transfer Engine'!$C$2:$C$679,0)))</f>
        <v/>
      </c>
      <c r="J592" s="8">
        <f>IF(ISNA(MATCH(583,'Transfer Engine'!$C$2:$C$679,0)),"",INDEX('Compliance Database'!$J$2:$J$679,MATCH(583,'Transfer Engine'!$C$2:$C$679,0)))</f>
        <v/>
      </c>
      <c r="K592">
        <f>IF(ISNA(MATCH(583,'Transfer Engine'!$C$2:$C$679,0)),"",INDEX('Compliance Database'!$K$2:$K$679,MATCH(583,'Transfer Engine'!$C$2:$C$679,0)))</f>
        <v/>
      </c>
      <c r="L592" s="8">
        <f>IF(ISNA(MATCH(583,'Transfer Engine'!$C$2:$C$679,0)),"",INDEX('Compliance Database'!$L$2:$L$679,MATCH(583,'Transfer Engine'!$C$2:$C$679,0)))</f>
        <v/>
      </c>
      <c r="M592" s="8">
        <f>IF(ISNA(MATCH(583,'Transfer Engine'!$C$2:$C$679,0)),"",INDEX('Compliance Database'!$M$2:$M$679,MATCH(583,'Transfer Engine'!$C$2:$C$679,0)))</f>
        <v/>
      </c>
      <c r="N592" s="8">
        <f>IF(ISNA(MATCH(583,'Transfer Engine'!$C$2:$C$679,0)),"",INDEX('Compliance Database'!$N$2:$N$679,MATCH(583,'Transfer Engine'!$C$2:$C$679,0)))</f>
        <v/>
      </c>
      <c r="O592" s="8">
        <f>IF(ISNA(MATCH(583,'Transfer Engine'!$C$2:$C$679,0)),"",INDEX('Compliance Database'!$O$2:$O$679,MATCH(583,'Transfer Engine'!$C$2:$C$679,0)))</f>
        <v/>
      </c>
      <c r="P592">
        <f>IF(ISNA(MATCH(583,'Transfer Engine'!$C$2:$C$679,0)),"",HYPERLINK(INDEX('Compliance Database'!$P$2:$P$679,MATCH(583,'Transfer Engine'!$C$2:$C$679,0)),"Open PDF"))</f>
        <v/>
      </c>
    </row>
    <row r="593">
      <c r="A593">
        <f>IF(ISNA(MATCH(584,'Transfer Engine'!$C$2:$C$679,0)),"",INDEX('Compliance Database'!$A$2:$A$679,MATCH(584,'Transfer Engine'!$C$2:$C$679,0)))</f>
        <v/>
      </c>
      <c r="B593">
        <f>IF(ISNA(MATCH(584,'Transfer Engine'!$C$2:$C$679,0)),"",INDEX('Compliance Database'!$B$2:$B$679,MATCH(584,'Transfer Engine'!$C$2:$C$679,0)))</f>
        <v/>
      </c>
      <c r="C593">
        <f>IF(ISNA(MATCH(584,'Transfer Engine'!$C$2:$C$679,0)),"",INDEX('Compliance Database'!$C$2:$C$679,MATCH(584,'Transfer Engine'!$C$2:$C$679,0)))</f>
        <v/>
      </c>
      <c r="D593" s="8">
        <f>IF(ISNA(MATCH(584,'Transfer Engine'!$C$2:$C$679,0)),"",INDEX('Compliance Database'!$D$2:$D$679,MATCH(584,'Transfer Engine'!$C$2:$C$679,0)))</f>
        <v/>
      </c>
      <c r="E593">
        <f>IF(ISNA(MATCH(584,'Transfer Engine'!$C$2:$C$679,0)),"",INDEX('Compliance Database'!$E$2:$E$679,MATCH(584,'Transfer Engine'!$C$2:$C$679,0)))</f>
        <v/>
      </c>
      <c r="F593">
        <f>IF(ISNA(MATCH(584,'Transfer Engine'!$C$2:$C$679,0)),"",INDEX('Compliance Database'!$F$2:$F$679,MATCH(584,'Transfer Engine'!$C$2:$C$679,0)))</f>
        <v/>
      </c>
      <c r="G593">
        <f>IF(ISNA(MATCH(584,'Transfer Engine'!$C$2:$C$679,0)),"",INDEX('Compliance Database'!$G$2:$G$679,MATCH(584,'Transfer Engine'!$C$2:$C$679,0)))</f>
        <v/>
      </c>
      <c r="H593">
        <f>IF(ISNA(MATCH(584,'Transfer Engine'!$C$2:$C$679,0)),"",INDEX('Compliance Database'!$H$2:$H$679,MATCH(584,'Transfer Engine'!$C$2:$C$679,0)))</f>
        <v/>
      </c>
      <c r="I593" s="8">
        <f>IF(ISNA(MATCH(584,'Transfer Engine'!$C$2:$C$679,0)),"",INDEX('Compliance Database'!$I$2:$I$679,MATCH(584,'Transfer Engine'!$C$2:$C$679,0)))</f>
        <v/>
      </c>
      <c r="J593" s="8">
        <f>IF(ISNA(MATCH(584,'Transfer Engine'!$C$2:$C$679,0)),"",INDEX('Compliance Database'!$J$2:$J$679,MATCH(584,'Transfer Engine'!$C$2:$C$679,0)))</f>
        <v/>
      </c>
      <c r="K593">
        <f>IF(ISNA(MATCH(584,'Transfer Engine'!$C$2:$C$679,0)),"",INDEX('Compliance Database'!$K$2:$K$679,MATCH(584,'Transfer Engine'!$C$2:$C$679,0)))</f>
        <v/>
      </c>
      <c r="L593" s="8">
        <f>IF(ISNA(MATCH(584,'Transfer Engine'!$C$2:$C$679,0)),"",INDEX('Compliance Database'!$L$2:$L$679,MATCH(584,'Transfer Engine'!$C$2:$C$679,0)))</f>
        <v/>
      </c>
      <c r="M593" s="8">
        <f>IF(ISNA(MATCH(584,'Transfer Engine'!$C$2:$C$679,0)),"",INDEX('Compliance Database'!$M$2:$M$679,MATCH(584,'Transfer Engine'!$C$2:$C$679,0)))</f>
        <v/>
      </c>
      <c r="N593" s="8">
        <f>IF(ISNA(MATCH(584,'Transfer Engine'!$C$2:$C$679,0)),"",INDEX('Compliance Database'!$N$2:$N$679,MATCH(584,'Transfer Engine'!$C$2:$C$679,0)))</f>
        <v/>
      </c>
      <c r="O593" s="8">
        <f>IF(ISNA(MATCH(584,'Transfer Engine'!$C$2:$C$679,0)),"",INDEX('Compliance Database'!$O$2:$O$679,MATCH(584,'Transfer Engine'!$C$2:$C$679,0)))</f>
        <v/>
      </c>
      <c r="P593">
        <f>IF(ISNA(MATCH(584,'Transfer Engine'!$C$2:$C$679,0)),"",HYPERLINK(INDEX('Compliance Database'!$P$2:$P$679,MATCH(584,'Transfer Engine'!$C$2:$C$679,0)),"Open PDF"))</f>
        <v/>
      </c>
    </row>
    <row r="594">
      <c r="A594">
        <f>IF(ISNA(MATCH(585,'Transfer Engine'!$C$2:$C$679,0)),"",INDEX('Compliance Database'!$A$2:$A$679,MATCH(585,'Transfer Engine'!$C$2:$C$679,0)))</f>
        <v/>
      </c>
      <c r="B594">
        <f>IF(ISNA(MATCH(585,'Transfer Engine'!$C$2:$C$679,0)),"",INDEX('Compliance Database'!$B$2:$B$679,MATCH(585,'Transfer Engine'!$C$2:$C$679,0)))</f>
        <v/>
      </c>
      <c r="C594">
        <f>IF(ISNA(MATCH(585,'Transfer Engine'!$C$2:$C$679,0)),"",INDEX('Compliance Database'!$C$2:$C$679,MATCH(585,'Transfer Engine'!$C$2:$C$679,0)))</f>
        <v/>
      </c>
      <c r="D594" s="8">
        <f>IF(ISNA(MATCH(585,'Transfer Engine'!$C$2:$C$679,0)),"",INDEX('Compliance Database'!$D$2:$D$679,MATCH(585,'Transfer Engine'!$C$2:$C$679,0)))</f>
        <v/>
      </c>
      <c r="E594">
        <f>IF(ISNA(MATCH(585,'Transfer Engine'!$C$2:$C$679,0)),"",INDEX('Compliance Database'!$E$2:$E$679,MATCH(585,'Transfer Engine'!$C$2:$C$679,0)))</f>
        <v/>
      </c>
      <c r="F594">
        <f>IF(ISNA(MATCH(585,'Transfer Engine'!$C$2:$C$679,0)),"",INDEX('Compliance Database'!$F$2:$F$679,MATCH(585,'Transfer Engine'!$C$2:$C$679,0)))</f>
        <v/>
      </c>
      <c r="G594">
        <f>IF(ISNA(MATCH(585,'Transfer Engine'!$C$2:$C$679,0)),"",INDEX('Compliance Database'!$G$2:$G$679,MATCH(585,'Transfer Engine'!$C$2:$C$679,0)))</f>
        <v/>
      </c>
      <c r="H594">
        <f>IF(ISNA(MATCH(585,'Transfer Engine'!$C$2:$C$679,0)),"",INDEX('Compliance Database'!$H$2:$H$679,MATCH(585,'Transfer Engine'!$C$2:$C$679,0)))</f>
        <v/>
      </c>
      <c r="I594" s="8">
        <f>IF(ISNA(MATCH(585,'Transfer Engine'!$C$2:$C$679,0)),"",INDEX('Compliance Database'!$I$2:$I$679,MATCH(585,'Transfer Engine'!$C$2:$C$679,0)))</f>
        <v/>
      </c>
      <c r="J594" s="8">
        <f>IF(ISNA(MATCH(585,'Transfer Engine'!$C$2:$C$679,0)),"",INDEX('Compliance Database'!$J$2:$J$679,MATCH(585,'Transfer Engine'!$C$2:$C$679,0)))</f>
        <v/>
      </c>
      <c r="K594">
        <f>IF(ISNA(MATCH(585,'Transfer Engine'!$C$2:$C$679,0)),"",INDEX('Compliance Database'!$K$2:$K$679,MATCH(585,'Transfer Engine'!$C$2:$C$679,0)))</f>
        <v/>
      </c>
      <c r="L594" s="8">
        <f>IF(ISNA(MATCH(585,'Transfer Engine'!$C$2:$C$679,0)),"",INDEX('Compliance Database'!$L$2:$L$679,MATCH(585,'Transfer Engine'!$C$2:$C$679,0)))</f>
        <v/>
      </c>
      <c r="M594" s="8">
        <f>IF(ISNA(MATCH(585,'Transfer Engine'!$C$2:$C$679,0)),"",INDEX('Compliance Database'!$M$2:$M$679,MATCH(585,'Transfer Engine'!$C$2:$C$679,0)))</f>
        <v/>
      </c>
      <c r="N594" s="8">
        <f>IF(ISNA(MATCH(585,'Transfer Engine'!$C$2:$C$679,0)),"",INDEX('Compliance Database'!$N$2:$N$679,MATCH(585,'Transfer Engine'!$C$2:$C$679,0)))</f>
        <v/>
      </c>
      <c r="O594" s="8">
        <f>IF(ISNA(MATCH(585,'Transfer Engine'!$C$2:$C$679,0)),"",INDEX('Compliance Database'!$O$2:$O$679,MATCH(585,'Transfer Engine'!$C$2:$C$679,0)))</f>
        <v/>
      </c>
      <c r="P594">
        <f>IF(ISNA(MATCH(585,'Transfer Engine'!$C$2:$C$679,0)),"",HYPERLINK(INDEX('Compliance Database'!$P$2:$P$679,MATCH(585,'Transfer Engine'!$C$2:$C$679,0)),"Open PDF"))</f>
        <v/>
      </c>
    </row>
    <row r="595">
      <c r="A595">
        <f>IF(ISNA(MATCH(586,'Transfer Engine'!$C$2:$C$679,0)),"",INDEX('Compliance Database'!$A$2:$A$679,MATCH(586,'Transfer Engine'!$C$2:$C$679,0)))</f>
        <v/>
      </c>
      <c r="B595">
        <f>IF(ISNA(MATCH(586,'Transfer Engine'!$C$2:$C$679,0)),"",INDEX('Compliance Database'!$B$2:$B$679,MATCH(586,'Transfer Engine'!$C$2:$C$679,0)))</f>
        <v/>
      </c>
      <c r="C595">
        <f>IF(ISNA(MATCH(586,'Transfer Engine'!$C$2:$C$679,0)),"",INDEX('Compliance Database'!$C$2:$C$679,MATCH(586,'Transfer Engine'!$C$2:$C$679,0)))</f>
        <v/>
      </c>
      <c r="D595" s="8">
        <f>IF(ISNA(MATCH(586,'Transfer Engine'!$C$2:$C$679,0)),"",INDEX('Compliance Database'!$D$2:$D$679,MATCH(586,'Transfer Engine'!$C$2:$C$679,0)))</f>
        <v/>
      </c>
      <c r="E595">
        <f>IF(ISNA(MATCH(586,'Transfer Engine'!$C$2:$C$679,0)),"",INDEX('Compliance Database'!$E$2:$E$679,MATCH(586,'Transfer Engine'!$C$2:$C$679,0)))</f>
        <v/>
      </c>
      <c r="F595">
        <f>IF(ISNA(MATCH(586,'Transfer Engine'!$C$2:$C$679,0)),"",INDEX('Compliance Database'!$F$2:$F$679,MATCH(586,'Transfer Engine'!$C$2:$C$679,0)))</f>
        <v/>
      </c>
      <c r="G595">
        <f>IF(ISNA(MATCH(586,'Transfer Engine'!$C$2:$C$679,0)),"",INDEX('Compliance Database'!$G$2:$G$679,MATCH(586,'Transfer Engine'!$C$2:$C$679,0)))</f>
        <v/>
      </c>
      <c r="H595">
        <f>IF(ISNA(MATCH(586,'Transfer Engine'!$C$2:$C$679,0)),"",INDEX('Compliance Database'!$H$2:$H$679,MATCH(586,'Transfer Engine'!$C$2:$C$679,0)))</f>
        <v/>
      </c>
      <c r="I595" s="8">
        <f>IF(ISNA(MATCH(586,'Transfer Engine'!$C$2:$C$679,0)),"",INDEX('Compliance Database'!$I$2:$I$679,MATCH(586,'Transfer Engine'!$C$2:$C$679,0)))</f>
        <v/>
      </c>
      <c r="J595" s="8">
        <f>IF(ISNA(MATCH(586,'Transfer Engine'!$C$2:$C$679,0)),"",INDEX('Compliance Database'!$J$2:$J$679,MATCH(586,'Transfer Engine'!$C$2:$C$679,0)))</f>
        <v/>
      </c>
      <c r="K595">
        <f>IF(ISNA(MATCH(586,'Transfer Engine'!$C$2:$C$679,0)),"",INDEX('Compliance Database'!$K$2:$K$679,MATCH(586,'Transfer Engine'!$C$2:$C$679,0)))</f>
        <v/>
      </c>
      <c r="L595" s="8">
        <f>IF(ISNA(MATCH(586,'Transfer Engine'!$C$2:$C$679,0)),"",INDEX('Compliance Database'!$L$2:$L$679,MATCH(586,'Transfer Engine'!$C$2:$C$679,0)))</f>
        <v/>
      </c>
      <c r="M595" s="8">
        <f>IF(ISNA(MATCH(586,'Transfer Engine'!$C$2:$C$679,0)),"",INDEX('Compliance Database'!$M$2:$M$679,MATCH(586,'Transfer Engine'!$C$2:$C$679,0)))</f>
        <v/>
      </c>
      <c r="N595" s="8">
        <f>IF(ISNA(MATCH(586,'Transfer Engine'!$C$2:$C$679,0)),"",INDEX('Compliance Database'!$N$2:$N$679,MATCH(586,'Transfer Engine'!$C$2:$C$679,0)))</f>
        <v/>
      </c>
      <c r="O595" s="8">
        <f>IF(ISNA(MATCH(586,'Transfer Engine'!$C$2:$C$679,0)),"",INDEX('Compliance Database'!$O$2:$O$679,MATCH(586,'Transfer Engine'!$C$2:$C$679,0)))</f>
        <v/>
      </c>
      <c r="P595">
        <f>IF(ISNA(MATCH(586,'Transfer Engine'!$C$2:$C$679,0)),"",HYPERLINK(INDEX('Compliance Database'!$P$2:$P$679,MATCH(586,'Transfer Engine'!$C$2:$C$679,0)),"Open PDF"))</f>
        <v/>
      </c>
    </row>
    <row r="596">
      <c r="A596">
        <f>IF(ISNA(MATCH(587,'Transfer Engine'!$C$2:$C$679,0)),"",INDEX('Compliance Database'!$A$2:$A$679,MATCH(587,'Transfer Engine'!$C$2:$C$679,0)))</f>
        <v/>
      </c>
      <c r="B596">
        <f>IF(ISNA(MATCH(587,'Transfer Engine'!$C$2:$C$679,0)),"",INDEX('Compliance Database'!$B$2:$B$679,MATCH(587,'Transfer Engine'!$C$2:$C$679,0)))</f>
        <v/>
      </c>
      <c r="C596">
        <f>IF(ISNA(MATCH(587,'Transfer Engine'!$C$2:$C$679,0)),"",INDEX('Compliance Database'!$C$2:$C$679,MATCH(587,'Transfer Engine'!$C$2:$C$679,0)))</f>
        <v/>
      </c>
      <c r="D596" s="8">
        <f>IF(ISNA(MATCH(587,'Transfer Engine'!$C$2:$C$679,0)),"",INDEX('Compliance Database'!$D$2:$D$679,MATCH(587,'Transfer Engine'!$C$2:$C$679,0)))</f>
        <v/>
      </c>
      <c r="E596">
        <f>IF(ISNA(MATCH(587,'Transfer Engine'!$C$2:$C$679,0)),"",INDEX('Compliance Database'!$E$2:$E$679,MATCH(587,'Transfer Engine'!$C$2:$C$679,0)))</f>
        <v/>
      </c>
      <c r="F596">
        <f>IF(ISNA(MATCH(587,'Transfer Engine'!$C$2:$C$679,0)),"",INDEX('Compliance Database'!$F$2:$F$679,MATCH(587,'Transfer Engine'!$C$2:$C$679,0)))</f>
        <v/>
      </c>
      <c r="G596">
        <f>IF(ISNA(MATCH(587,'Transfer Engine'!$C$2:$C$679,0)),"",INDEX('Compliance Database'!$G$2:$G$679,MATCH(587,'Transfer Engine'!$C$2:$C$679,0)))</f>
        <v/>
      </c>
      <c r="H596">
        <f>IF(ISNA(MATCH(587,'Transfer Engine'!$C$2:$C$679,0)),"",INDEX('Compliance Database'!$H$2:$H$679,MATCH(587,'Transfer Engine'!$C$2:$C$679,0)))</f>
        <v/>
      </c>
      <c r="I596" s="8">
        <f>IF(ISNA(MATCH(587,'Transfer Engine'!$C$2:$C$679,0)),"",INDEX('Compliance Database'!$I$2:$I$679,MATCH(587,'Transfer Engine'!$C$2:$C$679,0)))</f>
        <v/>
      </c>
      <c r="J596" s="8">
        <f>IF(ISNA(MATCH(587,'Transfer Engine'!$C$2:$C$679,0)),"",INDEX('Compliance Database'!$J$2:$J$679,MATCH(587,'Transfer Engine'!$C$2:$C$679,0)))</f>
        <v/>
      </c>
      <c r="K596">
        <f>IF(ISNA(MATCH(587,'Transfer Engine'!$C$2:$C$679,0)),"",INDEX('Compliance Database'!$K$2:$K$679,MATCH(587,'Transfer Engine'!$C$2:$C$679,0)))</f>
        <v/>
      </c>
      <c r="L596" s="8">
        <f>IF(ISNA(MATCH(587,'Transfer Engine'!$C$2:$C$679,0)),"",INDEX('Compliance Database'!$L$2:$L$679,MATCH(587,'Transfer Engine'!$C$2:$C$679,0)))</f>
        <v/>
      </c>
      <c r="M596" s="8">
        <f>IF(ISNA(MATCH(587,'Transfer Engine'!$C$2:$C$679,0)),"",INDEX('Compliance Database'!$M$2:$M$679,MATCH(587,'Transfer Engine'!$C$2:$C$679,0)))</f>
        <v/>
      </c>
      <c r="N596" s="8">
        <f>IF(ISNA(MATCH(587,'Transfer Engine'!$C$2:$C$679,0)),"",INDEX('Compliance Database'!$N$2:$N$679,MATCH(587,'Transfer Engine'!$C$2:$C$679,0)))</f>
        <v/>
      </c>
      <c r="O596" s="8">
        <f>IF(ISNA(MATCH(587,'Transfer Engine'!$C$2:$C$679,0)),"",INDEX('Compliance Database'!$O$2:$O$679,MATCH(587,'Transfer Engine'!$C$2:$C$679,0)))</f>
        <v/>
      </c>
      <c r="P596">
        <f>IF(ISNA(MATCH(587,'Transfer Engine'!$C$2:$C$679,0)),"",HYPERLINK(INDEX('Compliance Database'!$P$2:$P$679,MATCH(587,'Transfer Engine'!$C$2:$C$679,0)),"Open PDF"))</f>
        <v/>
      </c>
    </row>
    <row r="597">
      <c r="A597">
        <f>IF(ISNA(MATCH(588,'Transfer Engine'!$C$2:$C$679,0)),"",INDEX('Compliance Database'!$A$2:$A$679,MATCH(588,'Transfer Engine'!$C$2:$C$679,0)))</f>
        <v/>
      </c>
      <c r="B597">
        <f>IF(ISNA(MATCH(588,'Transfer Engine'!$C$2:$C$679,0)),"",INDEX('Compliance Database'!$B$2:$B$679,MATCH(588,'Transfer Engine'!$C$2:$C$679,0)))</f>
        <v/>
      </c>
      <c r="C597">
        <f>IF(ISNA(MATCH(588,'Transfer Engine'!$C$2:$C$679,0)),"",INDEX('Compliance Database'!$C$2:$C$679,MATCH(588,'Transfer Engine'!$C$2:$C$679,0)))</f>
        <v/>
      </c>
      <c r="D597" s="8">
        <f>IF(ISNA(MATCH(588,'Transfer Engine'!$C$2:$C$679,0)),"",INDEX('Compliance Database'!$D$2:$D$679,MATCH(588,'Transfer Engine'!$C$2:$C$679,0)))</f>
        <v/>
      </c>
      <c r="E597">
        <f>IF(ISNA(MATCH(588,'Transfer Engine'!$C$2:$C$679,0)),"",INDEX('Compliance Database'!$E$2:$E$679,MATCH(588,'Transfer Engine'!$C$2:$C$679,0)))</f>
        <v/>
      </c>
      <c r="F597">
        <f>IF(ISNA(MATCH(588,'Transfer Engine'!$C$2:$C$679,0)),"",INDEX('Compliance Database'!$F$2:$F$679,MATCH(588,'Transfer Engine'!$C$2:$C$679,0)))</f>
        <v/>
      </c>
      <c r="G597">
        <f>IF(ISNA(MATCH(588,'Transfer Engine'!$C$2:$C$679,0)),"",INDEX('Compliance Database'!$G$2:$G$679,MATCH(588,'Transfer Engine'!$C$2:$C$679,0)))</f>
        <v/>
      </c>
      <c r="H597">
        <f>IF(ISNA(MATCH(588,'Transfer Engine'!$C$2:$C$679,0)),"",INDEX('Compliance Database'!$H$2:$H$679,MATCH(588,'Transfer Engine'!$C$2:$C$679,0)))</f>
        <v/>
      </c>
      <c r="I597" s="8">
        <f>IF(ISNA(MATCH(588,'Transfer Engine'!$C$2:$C$679,0)),"",INDEX('Compliance Database'!$I$2:$I$679,MATCH(588,'Transfer Engine'!$C$2:$C$679,0)))</f>
        <v/>
      </c>
      <c r="J597" s="8">
        <f>IF(ISNA(MATCH(588,'Transfer Engine'!$C$2:$C$679,0)),"",INDEX('Compliance Database'!$J$2:$J$679,MATCH(588,'Transfer Engine'!$C$2:$C$679,0)))</f>
        <v/>
      </c>
      <c r="K597">
        <f>IF(ISNA(MATCH(588,'Transfer Engine'!$C$2:$C$679,0)),"",INDEX('Compliance Database'!$K$2:$K$679,MATCH(588,'Transfer Engine'!$C$2:$C$679,0)))</f>
        <v/>
      </c>
      <c r="L597" s="8">
        <f>IF(ISNA(MATCH(588,'Transfer Engine'!$C$2:$C$679,0)),"",INDEX('Compliance Database'!$L$2:$L$679,MATCH(588,'Transfer Engine'!$C$2:$C$679,0)))</f>
        <v/>
      </c>
      <c r="M597" s="8">
        <f>IF(ISNA(MATCH(588,'Transfer Engine'!$C$2:$C$679,0)),"",INDEX('Compliance Database'!$M$2:$M$679,MATCH(588,'Transfer Engine'!$C$2:$C$679,0)))</f>
        <v/>
      </c>
      <c r="N597" s="8">
        <f>IF(ISNA(MATCH(588,'Transfer Engine'!$C$2:$C$679,0)),"",INDEX('Compliance Database'!$N$2:$N$679,MATCH(588,'Transfer Engine'!$C$2:$C$679,0)))</f>
        <v/>
      </c>
      <c r="O597" s="8">
        <f>IF(ISNA(MATCH(588,'Transfer Engine'!$C$2:$C$679,0)),"",INDEX('Compliance Database'!$O$2:$O$679,MATCH(588,'Transfer Engine'!$C$2:$C$679,0)))</f>
        <v/>
      </c>
      <c r="P597">
        <f>IF(ISNA(MATCH(588,'Transfer Engine'!$C$2:$C$679,0)),"",HYPERLINK(INDEX('Compliance Database'!$P$2:$P$679,MATCH(588,'Transfer Engine'!$C$2:$C$679,0)),"Open PDF"))</f>
        <v/>
      </c>
    </row>
    <row r="598">
      <c r="A598">
        <f>IF(ISNA(MATCH(589,'Transfer Engine'!$C$2:$C$679,0)),"",INDEX('Compliance Database'!$A$2:$A$679,MATCH(589,'Transfer Engine'!$C$2:$C$679,0)))</f>
        <v/>
      </c>
      <c r="B598">
        <f>IF(ISNA(MATCH(589,'Transfer Engine'!$C$2:$C$679,0)),"",INDEX('Compliance Database'!$B$2:$B$679,MATCH(589,'Transfer Engine'!$C$2:$C$679,0)))</f>
        <v/>
      </c>
      <c r="C598">
        <f>IF(ISNA(MATCH(589,'Transfer Engine'!$C$2:$C$679,0)),"",INDEX('Compliance Database'!$C$2:$C$679,MATCH(589,'Transfer Engine'!$C$2:$C$679,0)))</f>
        <v/>
      </c>
      <c r="D598" s="8">
        <f>IF(ISNA(MATCH(589,'Transfer Engine'!$C$2:$C$679,0)),"",INDEX('Compliance Database'!$D$2:$D$679,MATCH(589,'Transfer Engine'!$C$2:$C$679,0)))</f>
        <v/>
      </c>
      <c r="E598">
        <f>IF(ISNA(MATCH(589,'Transfer Engine'!$C$2:$C$679,0)),"",INDEX('Compliance Database'!$E$2:$E$679,MATCH(589,'Transfer Engine'!$C$2:$C$679,0)))</f>
        <v/>
      </c>
      <c r="F598">
        <f>IF(ISNA(MATCH(589,'Transfer Engine'!$C$2:$C$679,0)),"",INDEX('Compliance Database'!$F$2:$F$679,MATCH(589,'Transfer Engine'!$C$2:$C$679,0)))</f>
        <v/>
      </c>
      <c r="G598">
        <f>IF(ISNA(MATCH(589,'Transfer Engine'!$C$2:$C$679,0)),"",INDEX('Compliance Database'!$G$2:$G$679,MATCH(589,'Transfer Engine'!$C$2:$C$679,0)))</f>
        <v/>
      </c>
      <c r="H598">
        <f>IF(ISNA(MATCH(589,'Transfer Engine'!$C$2:$C$679,0)),"",INDEX('Compliance Database'!$H$2:$H$679,MATCH(589,'Transfer Engine'!$C$2:$C$679,0)))</f>
        <v/>
      </c>
      <c r="I598" s="8">
        <f>IF(ISNA(MATCH(589,'Transfer Engine'!$C$2:$C$679,0)),"",INDEX('Compliance Database'!$I$2:$I$679,MATCH(589,'Transfer Engine'!$C$2:$C$679,0)))</f>
        <v/>
      </c>
      <c r="J598" s="8">
        <f>IF(ISNA(MATCH(589,'Transfer Engine'!$C$2:$C$679,0)),"",INDEX('Compliance Database'!$J$2:$J$679,MATCH(589,'Transfer Engine'!$C$2:$C$679,0)))</f>
        <v/>
      </c>
      <c r="K598">
        <f>IF(ISNA(MATCH(589,'Transfer Engine'!$C$2:$C$679,0)),"",INDEX('Compliance Database'!$K$2:$K$679,MATCH(589,'Transfer Engine'!$C$2:$C$679,0)))</f>
        <v/>
      </c>
      <c r="L598" s="8">
        <f>IF(ISNA(MATCH(589,'Transfer Engine'!$C$2:$C$679,0)),"",INDEX('Compliance Database'!$L$2:$L$679,MATCH(589,'Transfer Engine'!$C$2:$C$679,0)))</f>
        <v/>
      </c>
      <c r="M598" s="8">
        <f>IF(ISNA(MATCH(589,'Transfer Engine'!$C$2:$C$679,0)),"",INDEX('Compliance Database'!$M$2:$M$679,MATCH(589,'Transfer Engine'!$C$2:$C$679,0)))</f>
        <v/>
      </c>
      <c r="N598" s="8">
        <f>IF(ISNA(MATCH(589,'Transfer Engine'!$C$2:$C$679,0)),"",INDEX('Compliance Database'!$N$2:$N$679,MATCH(589,'Transfer Engine'!$C$2:$C$679,0)))</f>
        <v/>
      </c>
      <c r="O598" s="8">
        <f>IF(ISNA(MATCH(589,'Transfer Engine'!$C$2:$C$679,0)),"",INDEX('Compliance Database'!$O$2:$O$679,MATCH(589,'Transfer Engine'!$C$2:$C$679,0)))</f>
        <v/>
      </c>
      <c r="P598">
        <f>IF(ISNA(MATCH(589,'Transfer Engine'!$C$2:$C$679,0)),"",HYPERLINK(INDEX('Compliance Database'!$P$2:$P$679,MATCH(589,'Transfer Engine'!$C$2:$C$679,0)),"Open PDF"))</f>
        <v/>
      </c>
    </row>
    <row r="599">
      <c r="A599">
        <f>IF(ISNA(MATCH(590,'Transfer Engine'!$C$2:$C$679,0)),"",INDEX('Compliance Database'!$A$2:$A$679,MATCH(590,'Transfer Engine'!$C$2:$C$679,0)))</f>
        <v/>
      </c>
      <c r="B599">
        <f>IF(ISNA(MATCH(590,'Transfer Engine'!$C$2:$C$679,0)),"",INDEX('Compliance Database'!$B$2:$B$679,MATCH(590,'Transfer Engine'!$C$2:$C$679,0)))</f>
        <v/>
      </c>
      <c r="C599">
        <f>IF(ISNA(MATCH(590,'Transfer Engine'!$C$2:$C$679,0)),"",INDEX('Compliance Database'!$C$2:$C$679,MATCH(590,'Transfer Engine'!$C$2:$C$679,0)))</f>
        <v/>
      </c>
      <c r="D599" s="8">
        <f>IF(ISNA(MATCH(590,'Transfer Engine'!$C$2:$C$679,0)),"",INDEX('Compliance Database'!$D$2:$D$679,MATCH(590,'Transfer Engine'!$C$2:$C$679,0)))</f>
        <v/>
      </c>
      <c r="E599">
        <f>IF(ISNA(MATCH(590,'Transfer Engine'!$C$2:$C$679,0)),"",INDEX('Compliance Database'!$E$2:$E$679,MATCH(590,'Transfer Engine'!$C$2:$C$679,0)))</f>
        <v/>
      </c>
      <c r="F599">
        <f>IF(ISNA(MATCH(590,'Transfer Engine'!$C$2:$C$679,0)),"",INDEX('Compliance Database'!$F$2:$F$679,MATCH(590,'Transfer Engine'!$C$2:$C$679,0)))</f>
        <v/>
      </c>
      <c r="G599">
        <f>IF(ISNA(MATCH(590,'Transfer Engine'!$C$2:$C$679,0)),"",INDEX('Compliance Database'!$G$2:$G$679,MATCH(590,'Transfer Engine'!$C$2:$C$679,0)))</f>
        <v/>
      </c>
      <c r="H599">
        <f>IF(ISNA(MATCH(590,'Transfer Engine'!$C$2:$C$679,0)),"",INDEX('Compliance Database'!$H$2:$H$679,MATCH(590,'Transfer Engine'!$C$2:$C$679,0)))</f>
        <v/>
      </c>
      <c r="I599" s="8">
        <f>IF(ISNA(MATCH(590,'Transfer Engine'!$C$2:$C$679,0)),"",INDEX('Compliance Database'!$I$2:$I$679,MATCH(590,'Transfer Engine'!$C$2:$C$679,0)))</f>
        <v/>
      </c>
      <c r="J599" s="8">
        <f>IF(ISNA(MATCH(590,'Transfer Engine'!$C$2:$C$679,0)),"",INDEX('Compliance Database'!$J$2:$J$679,MATCH(590,'Transfer Engine'!$C$2:$C$679,0)))</f>
        <v/>
      </c>
      <c r="K599">
        <f>IF(ISNA(MATCH(590,'Transfer Engine'!$C$2:$C$679,0)),"",INDEX('Compliance Database'!$K$2:$K$679,MATCH(590,'Transfer Engine'!$C$2:$C$679,0)))</f>
        <v/>
      </c>
      <c r="L599" s="8">
        <f>IF(ISNA(MATCH(590,'Transfer Engine'!$C$2:$C$679,0)),"",INDEX('Compliance Database'!$L$2:$L$679,MATCH(590,'Transfer Engine'!$C$2:$C$679,0)))</f>
        <v/>
      </c>
      <c r="M599" s="8">
        <f>IF(ISNA(MATCH(590,'Transfer Engine'!$C$2:$C$679,0)),"",INDEX('Compliance Database'!$M$2:$M$679,MATCH(590,'Transfer Engine'!$C$2:$C$679,0)))</f>
        <v/>
      </c>
      <c r="N599" s="8">
        <f>IF(ISNA(MATCH(590,'Transfer Engine'!$C$2:$C$679,0)),"",INDEX('Compliance Database'!$N$2:$N$679,MATCH(590,'Transfer Engine'!$C$2:$C$679,0)))</f>
        <v/>
      </c>
      <c r="O599" s="8">
        <f>IF(ISNA(MATCH(590,'Transfer Engine'!$C$2:$C$679,0)),"",INDEX('Compliance Database'!$O$2:$O$679,MATCH(590,'Transfer Engine'!$C$2:$C$679,0)))</f>
        <v/>
      </c>
      <c r="P599">
        <f>IF(ISNA(MATCH(590,'Transfer Engine'!$C$2:$C$679,0)),"",HYPERLINK(INDEX('Compliance Database'!$P$2:$P$679,MATCH(590,'Transfer Engine'!$C$2:$C$679,0)),"Open PDF"))</f>
        <v/>
      </c>
    </row>
    <row r="600">
      <c r="A600">
        <f>IF(ISNA(MATCH(591,'Transfer Engine'!$C$2:$C$679,0)),"",INDEX('Compliance Database'!$A$2:$A$679,MATCH(591,'Transfer Engine'!$C$2:$C$679,0)))</f>
        <v/>
      </c>
      <c r="B600">
        <f>IF(ISNA(MATCH(591,'Transfer Engine'!$C$2:$C$679,0)),"",INDEX('Compliance Database'!$B$2:$B$679,MATCH(591,'Transfer Engine'!$C$2:$C$679,0)))</f>
        <v/>
      </c>
      <c r="C600">
        <f>IF(ISNA(MATCH(591,'Transfer Engine'!$C$2:$C$679,0)),"",INDEX('Compliance Database'!$C$2:$C$679,MATCH(591,'Transfer Engine'!$C$2:$C$679,0)))</f>
        <v/>
      </c>
      <c r="D600" s="8">
        <f>IF(ISNA(MATCH(591,'Transfer Engine'!$C$2:$C$679,0)),"",INDEX('Compliance Database'!$D$2:$D$679,MATCH(591,'Transfer Engine'!$C$2:$C$679,0)))</f>
        <v/>
      </c>
      <c r="E600">
        <f>IF(ISNA(MATCH(591,'Transfer Engine'!$C$2:$C$679,0)),"",INDEX('Compliance Database'!$E$2:$E$679,MATCH(591,'Transfer Engine'!$C$2:$C$679,0)))</f>
        <v/>
      </c>
      <c r="F600">
        <f>IF(ISNA(MATCH(591,'Transfer Engine'!$C$2:$C$679,0)),"",INDEX('Compliance Database'!$F$2:$F$679,MATCH(591,'Transfer Engine'!$C$2:$C$679,0)))</f>
        <v/>
      </c>
      <c r="G600">
        <f>IF(ISNA(MATCH(591,'Transfer Engine'!$C$2:$C$679,0)),"",INDEX('Compliance Database'!$G$2:$G$679,MATCH(591,'Transfer Engine'!$C$2:$C$679,0)))</f>
        <v/>
      </c>
      <c r="H600">
        <f>IF(ISNA(MATCH(591,'Transfer Engine'!$C$2:$C$679,0)),"",INDEX('Compliance Database'!$H$2:$H$679,MATCH(591,'Transfer Engine'!$C$2:$C$679,0)))</f>
        <v/>
      </c>
      <c r="I600" s="8">
        <f>IF(ISNA(MATCH(591,'Transfer Engine'!$C$2:$C$679,0)),"",INDEX('Compliance Database'!$I$2:$I$679,MATCH(591,'Transfer Engine'!$C$2:$C$679,0)))</f>
        <v/>
      </c>
      <c r="J600" s="8">
        <f>IF(ISNA(MATCH(591,'Transfer Engine'!$C$2:$C$679,0)),"",INDEX('Compliance Database'!$J$2:$J$679,MATCH(591,'Transfer Engine'!$C$2:$C$679,0)))</f>
        <v/>
      </c>
      <c r="K600">
        <f>IF(ISNA(MATCH(591,'Transfer Engine'!$C$2:$C$679,0)),"",INDEX('Compliance Database'!$K$2:$K$679,MATCH(591,'Transfer Engine'!$C$2:$C$679,0)))</f>
        <v/>
      </c>
      <c r="L600" s="8">
        <f>IF(ISNA(MATCH(591,'Transfer Engine'!$C$2:$C$679,0)),"",INDEX('Compliance Database'!$L$2:$L$679,MATCH(591,'Transfer Engine'!$C$2:$C$679,0)))</f>
        <v/>
      </c>
      <c r="M600" s="8">
        <f>IF(ISNA(MATCH(591,'Transfer Engine'!$C$2:$C$679,0)),"",INDEX('Compliance Database'!$M$2:$M$679,MATCH(591,'Transfer Engine'!$C$2:$C$679,0)))</f>
        <v/>
      </c>
      <c r="N600" s="8">
        <f>IF(ISNA(MATCH(591,'Transfer Engine'!$C$2:$C$679,0)),"",INDEX('Compliance Database'!$N$2:$N$679,MATCH(591,'Transfer Engine'!$C$2:$C$679,0)))</f>
        <v/>
      </c>
      <c r="O600" s="8">
        <f>IF(ISNA(MATCH(591,'Transfer Engine'!$C$2:$C$679,0)),"",INDEX('Compliance Database'!$O$2:$O$679,MATCH(591,'Transfer Engine'!$C$2:$C$679,0)))</f>
        <v/>
      </c>
      <c r="P600">
        <f>IF(ISNA(MATCH(591,'Transfer Engine'!$C$2:$C$679,0)),"",HYPERLINK(INDEX('Compliance Database'!$P$2:$P$679,MATCH(591,'Transfer Engine'!$C$2:$C$679,0)),"Open PDF"))</f>
        <v/>
      </c>
    </row>
    <row r="601">
      <c r="A601">
        <f>IF(ISNA(MATCH(592,'Transfer Engine'!$C$2:$C$679,0)),"",INDEX('Compliance Database'!$A$2:$A$679,MATCH(592,'Transfer Engine'!$C$2:$C$679,0)))</f>
        <v/>
      </c>
      <c r="B601">
        <f>IF(ISNA(MATCH(592,'Transfer Engine'!$C$2:$C$679,0)),"",INDEX('Compliance Database'!$B$2:$B$679,MATCH(592,'Transfer Engine'!$C$2:$C$679,0)))</f>
        <v/>
      </c>
      <c r="C601">
        <f>IF(ISNA(MATCH(592,'Transfer Engine'!$C$2:$C$679,0)),"",INDEX('Compliance Database'!$C$2:$C$679,MATCH(592,'Transfer Engine'!$C$2:$C$679,0)))</f>
        <v/>
      </c>
      <c r="D601" s="8">
        <f>IF(ISNA(MATCH(592,'Transfer Engine'!$C$2:$C$679,0)),"",INDEX('Compliance Database'!$D$2:$D$679,MATCH(592,'Transfer Engine'!$C$2:$C$679,0)))</f>
        <v/>
      </c>
      <c r="E601">
        <f>IF(ISNA(MATCH(592,'Transfer Engine'!$C$2:$C$679,0)),"",INDEX('Compliance Database'!$E$2:$E$679,MATCH(592,'Transfer Engine'!$C$2:$C$679,0)))</f>
        <v/>
      </c>
      <c r="F601">
        <f>IF(ISNA(MATCH(592,'Transfer Engine'!$C$2:$C$679,0)),"",INDEX('Compliance Database'!$F$2:$F$679,MATCH(592,'Transfer Engine'!$C$2:$C$679,0)))</f>
        <v/>
      </c>
      <c r="G601">
        <f>IF(ISNA(MATCH(592,'Transfer Engine'!$C$2:$C$679,0)),"",INDEX('Compliance Database'!$G$2:$G$679,MATCH(592,'Transfer Engine'!$C$2:$C$679,0)))</f>
        <v/>
      </c>
      <c r="H601">
        <f>IF(ISNA(MATCH(592,'Transfer Engine'!$C$2:$C$679,0)),"",INDEX('Compliance Database'!$H$2:$H$679,MATCH(592,'Transfer Engine'!$C$2:$C$679,0)))</f>
        <v/>
      </c>
      <c r="I601" s="8">
        <f>IF(ISNA(MATCH(592,'Transfer Engine'!$C$2:$C$679,0)),"",INDEX('Compliance Database'!$I$2:$I$679,MATCH(592,'Transfer Engine'!$C$2:$C$679,0)))</f>
        <v/>
      </c>
      <c r="J601" s="8">
        <f>IF(ISNA(MATCH(592,'Transfer Engine'!$C$2:$C$679,0)),"",INDEX('Compliance Database'!$J$2:$J$679,MATCH(592,'Transfer Engine'!$C$2:$C$679,0)))</f>
        <v/>
      </c>
      <c r="K601">
        <f>IF(ISNA(MATCH(592,'Transfer Engine'!$C$2:$C$679,0)),"",INDEX('Compliance Database'!$K$2:$K$679,MATCH(592,'Transfer Engine'!$C$2:$C$679,0)))</f>
        <v/>
      </c>
      <c r="L601" s="8">
        <f>IF(ISNA(MATCH(592,'Transfer Engine'!$C$2:$C$679,0)),"",INDEX('Compliance Database'!$L$2:$L$679,MATCH(592,'Transfer Engine'!$C$2:$C$679,0)))</f>
        <v/>
      </c>
      <c r="M601" s="8">
        <f>IF(ISNA(MATCH(592,'Transfer Engine'!$C$2:$C$679,0)),"",INDEX('Compliance Database'!$M$2:$M$679,MATCH(592,'Transfer Engine'!$C$2:$C$679,0)))</f>
        <v/>
      </c>
      <c r="N601" s="8">
        <f>IF(ISNA(MATCH(592,'Transfer Engine'!$C$2:$C$679,0)),"",INDEX('Compliance Database'!$N$2:$N$679,MATCH(592,'Transfer Engine'!$C$2:$C$679,0)))</f>
        <v/>
      </c>
      <c r="O601" s="8">
        <f>IF(ISNA(MATCH(592,'Transfer Engine'!$C$2:$C$679,0)),"",INDEX('Compliance Database'!$O$2:$O$679,MATCH(592,'Transfer Engine'!$C$2:$C$679,0)))</f>
        <v/>
      </c>
      <c r="P601">
        <f>IF(ISNA(MATCH(592,'Transfer Engine'!$C$2:$C$679,0)),"",HYPERLINK(INDEX('Compliance Database'!$P$2:$P$679,MATCH(592,'Transfer Engine'!$C$2:$C$679,0)),"Open PDF"))</f>
        <v/>
      </c>
    </row>
    <row r="602">
      <c r="A602">
        <f>IF(ISNA(MATCH(593,'Transfer Engine'!$C$2:$C$679,0)),"",INDEX('Compliance Database'!$A$2:$A$679,MATCH(593,'Transfer Engine'!$C$2:$C$679,0)))</f>
        <v/>
      </c>
      <c r="B602">
        <f>IF(ISNA(MATCH(593,'Transfer Engine'!$C$2:$C$679,0)),"",INDEX('Compliance Database'!$B$2:$B$679,MATCH(593,'Transfer Engine'!$C$2:$C$679,0)))</f>
        <v/>
      </c>
      <c r="C602">
        <f>IF(ISNA(MATCH(593,'Transfer Engine'!$C$2:$C$679,0)),"",INDEX('Compliance Database'!$C$2:$C$679,MATCH(593,'Transfer Engine'!$C$2:$C$679,0)))</f>
        <v/>
      </c>
      <c r="D602" s="8">
        <f>IF(ISNA(MATCH(593,'Transfer Engine'!$C$2:$C$679,0)),"",INDEX('Compliance Database'!$D$2:$D$679,MATCH(593,'Transfer Engine'!$C$2:$C$679,0)))</f>
        <v/>
      </c>
      <c r="E602">
        <f>IF(ISNA(MATCH(593,'Transfer Engine'!$C$2:$C$679,0)),"",INDEX('Compliance Database'!$E$2:$E$679,MATCH(593,'Transfer Engine'!$C$2:$C$679,0)))</f>
        <v/>
      </c>
      <c r="F602">
        <f>IF(ISNA(MATCH(593,'Transfer Engine'!$C$2:$C$679,0)),"",INDEX('Compliance Database'!$F$2:$F$679,MATCH(593,'Transfer Engine'!$C$2:$C$679,0)))</f>
        <v/>
      </c>
      <c r="G602">
        <f>IF(ISNA(MATCH(593,'Transfer Engine'!$C$2:$C$679,0)),"",INDEX('Compliance Database'!$G$2:$G$679,MATCH(593,'Transfer Engine'!$C$2:$C$679,0)))</f>
        <v/>
      </c>
      <c r="H602">
        <f>IF(ISNA(MATCH(593,'Transfer Engine'!$C$2:$C$679,0)),"",INDEX('Compliance Database'!$H$2:$H$679,MATCH(593,'Transfer Engine'!$C$2:$C$679,0)))</f>
        <v/>
      </c>
      <c r="I602" s="8">
        <f>IF(ISNA(MATCH(593,'Transfer Engine'!$C$2:$C$679,0)),"",INDEX('Compliance Database'!$I$2:$I$679,MATCH(593,'Transfer Engine'!$C$2:$C$679,0)))</f>
        <v/>
      </c>
      <c r="J602" s="8">
        <f>IF(ISNA(MATCH(593,'Transfer Engine'!$C$2:$C$679,0)),"",INDEX('Compliance Database'!$J$2:$J$679,MATCH(593,'Transfer Engine'!$C$2:$C$679,0)))</f>
        <v/>
      </c>
      <c r="K602">
        <f>IF(ISNA(MATCH(593,'Transfer Engine'!$C$2:$C$679,0)),"",INDEX('Compliance Database'!$K$2:$K$679,MATCH(593,'Transfer Engine'!$C$2:$C$679,0)))</f>
        <v/>
      </c>
      <c r="L602" s="8">
        <f>IF(ISNA(MATCH(593,'Transfer Engine'!$C$2:$C$679,0)),"",INDEX('Compliance Database'!$L$2:$L$679,MATCH(593,'Transfer Engine'!$C$2:$C$679,0)))</f>
        <v/>
      </c>
      <c r="M602" s="8">
        <f>IF(ISNA(MATCH(593,'Transfer Engine'!$C$2:$C$679,0)),"",INDEX('Compliance Database'!$M$2:$M$679,MATCH(593,'Transfer Engine'!$C$2:$C$679,0)))</f>
        <v/>
      </c>
      <c r="N602" s="8">
        <f>IF(ISNA(MATCH(593,'Transfer Engine'!$C$2:$C$679,0)),"",INDEX('Compliance Database'!$N$2:$N$679,MATCH(593,'Transfer Engine'!$C$2:$C$679,0)))</f>
        <v/>
      </c>
      <c r="O602" s="8">
        <f>IF(ISNA(MATCH(593,'Transfer Engine'!$C$2:$C$679,0)),"",INDEX('Compliance Database'!$O$2:$O$679,MATCH(593,'Transfer Engine'!$C$2:$C$679,0)))</f>
        <v/>
      </c>
      <c r="P602">
        <f>IF(ISNA(MATCH(593,'Transfer Engine'!$C$2:$C$679,0)),"",HYPERLINK(INDEX('Compliance Database'!$P$2:$P$679,MATCH(593,'Transfer Engine'!$C$2:$C$679,0)),"Open PDF"))</f>
        <v/>
      </c>
    </row>
    <row r="603">
      <c r="A603">
        <f>IF(ISNA(MATCH(594,'Transfer Engine'!$C$2:$C$679,0)),"",INDEX('Compliance Database'!$A$2:$A$679,MATCH(594,'Transfer Engine'!$C$2:$C$679,0)))</f>
        <v/>
      </c>
      <c r="B603">
        <f>IF(ISNA(MATCH(594,'Transfer Engine'!$C$2:$C$679,0)),"",INDEX('Compliance Database'!$B$2:$B$679,MATCH(594,'Transfer Engine'!$C$2:$C$679,0)))</f>
        <v/>
      </c>
      <c r="C603">
        <f>IF(ISNA(MATCH(594,'Transfer Engine'!$C$2:$C$679,0)),"",INDEX('Compliance Database'!$C$2:$C$679,MATCH(594,'Transfer Engine'!$C$2:$C$679,0)))</f>
        <v/>
      </c>
      <c r="D603" s="8">
        <f>IF(ISNA(MATCH(594,'Transfer Engine'!$C$2:$C$679,0)),"",INDEX('Compliance Database'!$D$2:$D$679,MATCH(594,'Transfer Engine'!$C$2:$C$679,0)))</f>
        <v/>
      </c>
      <c r="E603">
        <f>IF(ISNA(MATCH(594,'Transfer Engine'!$C$2:$C$679,0)),"",INDEX('Compliance Database'!$E$2:$E$679,MATCH(594,'Transfer Engine'!$C$2:$C$679,0)))</f>
        <v/>
      </c>
      <c r="F603">
        <f>IF(ISNA(MATCH(594,'Transfer Engine'!$C$2:$C$679,0)),"",INDEX('Compliance Database'!$F$2:$F$679,MATCH(594,'Transfer Engine'!$C$2:$C$679,0)))</f>
        <v/>
      </c>
      <c r="G603">
        <f>IF(ISNA(MATCH(594,'Transfer Engine'!$C$2:$C$679,0)),"",INDEX('Compliance Database'!$G$2:$G$679,MATCH(594,'Transfer Engine'!$C$2:$C$679,0)))</f>
        <v/>
      </c>
      <c r="H603">
        <f>IF(ISNA(MATCH(594,'Transfer Engine'!$C$2:$C$679,0)),"",INDEX('Compliance Database'!$H$2:$H$679,MATCH(594,'Transfer Engine'!$C$2:$C$679,0)))</f>
        <v/>
      </c>
      <c r="I603" s="8">
        <f>IF(ISNA(MATCH(594,'Transfer Engine'!$C$2:$C$679,0)),"",INDEX('Compliance Database'!$I$2:$I$679,MATCH(594,'Transfer Engine'!$C$2:$C$679,0)))</f>
        <v/>
      </c>
      <c r="J603" s="8">
        <f>IF(ISNA(MATCH(594,'Transfer Engine'!$C$2:$C$679,0)),"",INDEX('Compliance Database'!$J$2:$J$679,MATCH(594,'Transfer Engine'!$C$2:$C$679,0)))</f>
        <v/>
      </c>
      <c r="K603">
        <f>IF(ISNA(MATCH(594,'Transfer Engine'!$C$2:$C$679,0)),"",INDEX('Compliance Database'!$K$2:$K$679,MATCH(594,'Transfer Engine'!$C$2:$C$679,0)))</f>
        <v/>
      </c>
      <c r="L603" s="8">
        <f>IF(ISNA(MATCH(594,'Transfer Engine'!$C$2:$C$679,0)),"",INDEX('Compliance Database'!$L$2:$L$679,MATCH(594,'Transfer Engine'!$C$2:$C$679,0)))</f>
        <v/>
      </c>
      <c r="M603" s="8">
        <f>IF(ISNA(MATCH(594,'Transfer Engine'!$C$2:$C$679,0)),"",INDEX('Compliance Database'!$M$2:$M$679,MATCH(594,'Transfer Engine'!$C$2:$C$679,0)))</f>
        <v/>
      </c>
      <c r="N603" s="8">
        <f>IF(ISNA(MATCH(594,'Transfer Engine'!$C$2:$C$679,0)),"",INDEX('Compliance Database'!$N$2:$N$679,MATCH(594,'Transfer Engine'!$C$2:$C$679,0)))</f>
        <v/>
      </c>
      <c r="O603" s="8">
        <f>IF(ISNA(MATCH(594,'Transfer Engine'!$C$2:$C$679,0)),"",INDEX('Compliance Database'!$O$2:$O$679,MATCH(594,'Transfer Engine'!$C$2:$C$679,0)))</f>
        <v/>
      </c>
      <c r="P603">
        <f>IF(ISNA(MATCH(594,'Transfer Engine'!$C$2:$C$679,0)),"",HYPERLINK(INDEX('Compliance Database'!$P$2:$P$679,MATCH(594,'Transfer Engine'!$C$2:$C$679,0)),"Open PDF"))</f>
        <v/>
      </c>
    </row>
    <row r="604">
      <c r="A604">
        <f>IF(ISNA(MATCH(595,'Transfer Engine'!$C$2:$C$679,0)),"",INDEX('Compliance Database'!$A$2:$A$679,MATCH(595,'Transfer Engine'!$C$2:$C$679,0)))</f>
        <v/>
      </c>
      <c r="B604">
        <f>IF(ISNA(MATCH(595,'Transfer Engine'!$C$2:$C$679,0)),"",INDEX('Compliance Database'!$B$2:$B$679,MATCH(595,'Transfer Engine'!$C$2:$C$679,0)))</f>
        <v/>
      </c>
      <c r="C604">
        <f>IF(ISNA(MATCH(595,'Transfer Engine'!$C$2:$C$679,0)),"",INDEX('Compliance Database'!$C$2:$C$679,MATCH(595,'Transfer Engine'!$C$2:$C$679,0)))</f>
        <v/>
      </c>
      <c r="D604" s="8">
        <f>IF(ISNA(MATCH(595,'Transfer Engine'!$C$2:$C$679,0)),"",INDEX('Compliance Database'!$D$2:$D$679,MATCH(595,'Transfer Engine'!$C$2:$C$679,0)))</f>
        <v/>
      </c>
      <c r="E604">
        <f>IF(ISNA(MATCH(595,'Transfer Engine'!$C$2:$C$679,0)),"",INDEX('Compliance Database'!$E$2:$E$679,MATCH(595,'Transfer Engine'!$C$2:$C$679,0)))</f>
        <v/>
      </c>
      <c r="F604">
        <f>IF(ISNA(MATCH(595,'Transfer Engine'!$C$2:$C$679,0)),"",INDEX('Compliance Database'!$F$2:$F$679,MATCH(595,'Transfer Engine'!$C$2:$C$679,0)))</f>
        <v/>
      </c>
      <c r="G604">
        <f>IF(ISNA(MATCH(595,'Transfer Engine'!$C$2:$C$679,0)),"",INDEX('Compliance Database'!$G$2:$G$679,MATCH(595,'Transfer Engine'!$C$2:$C$679,0)))</f>
        <v/>
      </c>
      <c r="H604">
        <f>IF(ISNA(MATCH(595,'Transfer Engine'!$C$2:$C$679,0)),"",INDEX('Compliance Database'!$H$2:$H$679,MATCH(595,'Transfer Engine'!$C$2:$C$679,0)))</f>
        <v/>
      </c>
      <c r="I604" s="8">
        <f>IF(ISNA(MATCH(595,'Transfer Engine'!$C$2:$C$679,0)),"",INDEX('Compliance Database'!$I$2:$I$679,MATCH(595,'Transfer Engine'!$C$2:$C$679,0)))</f>
        <v/>
      </c>
      <c r="J604" s="8">
        <f>IF(ISNA(MATCH(595,'Transfer Engine'!$C$2:$C$679,0)),"",INDEX('Compliance Database'!$J$2:$J$679,MATCH(595,'Transfer Engine'!$C$2:$C$679,0)))</f>
        <v/>
      </c>
      <c r="K604">
        <f>IF(ISNA(MATCH(595,'Transfer Engine'!$C$2:$C$679,0)),"",INDEX('Compliance Database'!$K$2:$K$679,MATCH(595,'Transfer Engine'!$C$2:$C$679,0)))</f>
        <v/>
      </c>
      <c r="L604" s="8">
        <f>IF(ISNA(MATCH(595,'Transfer Engine'!$C$2:$C$679,0)),"",INDEX('Compliance Database'!$L$2:$L$679,MATCH(595,'Transfer Engine'!$C$2:$C$679,0)))</f>
        <v/>
      </c>
      <c r="M604" s="8">
        <f>IF(ISNA(MATCH(595,'Transfer Engine'!$C$2:$C$679,0)),"",INDEX('Compliance Database'!$M$2:$M$679,MATCH(595,'Transfer Engine'!$C$2:$C$679,0)))</f>
        <v/>
      </c>
      <c r="N604" s="8">
        <f>IF(ISNA(MATCH(595,'Transfer Engine'!$C$2:$C$679,0)),"",INDEX('Compliance Database'!$N$2:$N$679,MATCH(595,'Transfer Engine'!$C$2:$C$679,0)))</f>
        <v/>
      </c>
      <c r="O604" s="8">
        <f>IF(ISNA(MATCH(595,'Transfer Engine'!$C$2:$C$679,0)),"",INDEX('Compliance Database'!$O$2:$O$679,MATCH(595,'Transfer Engine'!$C$2:$C$679,0)))</f>
        <v/>
      </c>
      <c r="P604">
        <f>IF(ISNA(MATCH(595,'Transfer Engine'!$C$2:$C$679,0)),"",HYPERLINK(INDEX('Compliance Database'!$P$2:$P$679,MATCH(595,'Transfer Engine'!$C$2:$C$679,0)),"Open PDF"))</f>
        <v/>
      </c>
    </row>
    <row r="605">
      <c r="A605">
        <f>IF(ISNA(MATCH(596,'Transfer Engine'!$C$2:$C$679,0)),"",INDEX('Compliance Database'!$A$2:$A$679,MATCH(596,'Transfer Engine'!$C$2:$C$679,0)))</f>
        <v/>
      </c>
      <c r="B605">
        <f>IF(ISNA(MATCH(596,'Transfer Engine'!$C$2:$C$679,0)),"",INDEX('Compliance Database'!$B$2:$B$679,MATCH(596,'Transfer Engine'!$C$2:$C$679,0)))</f>
        <v/>
      </c>
      <c r="C605">
        <f>IF(ISNA(MATCH(596,'Transfer Engine'!$C$2:$C$679,0)),"",INDEX('Compliance Database'!$C$2:$C$679,MATCH(596,'Transfer Engine'!$C$2:$C$679,0)))</f>
        <v/>
      </c>
      <c r="D605" s="8">
        <f>IF(ISNA(MATCH(596,'Transfer Engine'!$C$2:$C$679,0)),"",INDEX('Compliance Database'!$D$2:$D$679,MATCH(596,'Transfer Engine'!$C$2:$C$679,0)))</f>
        <v/>
      </c>
      <c r="E605">
        <f>IF(ISNA(MATCH(596,'Transfer Engine'!$C$2:$C$679,0)),"",INDEX('Compliance Database'!$E$2:$E$679,MATCH(596,'Transfer Engine'!$C$2:$C$679,0)))</f>
        <v/>
      </c>
      <c r="F605">
        <f>IF(ISNA(MATCH(596,'Transfer Engine'!$C$2:$C$679,0)),"",INDEX('Compliance Database'!$F$2:$F$679,MATCH(596,'Transfer Engine'!$C$2:$C$679,0)))</f>
        <v/>
      </c>
      <c r="G605">
        <f>IF(ISNA(MATCH(596,'Transfer Engine'!$C$2:$C$679,0)),"",INDEX('Compliance Database'!$G$2:$G$679,MATCH(596,'Transfer Engine'!$C$2:$C$679,0)))</f>
        <v/>
      </c>
      <c r="H605">
        <f>IF(ISNA(MATCH(596,'Transfer Engine'!$C$2:$C$679,0)),"",INDEX('Compliance Database'!$H$2:$H$679,MATCH(596,'Transfer Engine'!$C$2:$C$679,0)))</f>
        <v/>
      </c>
      <c r="I605" s="8">
        <f>IF(ISNA(MATCH(596,'Transfer Engine'!$C$2:$C$679,0)),"",INDEX('Compliance Database'!$I$2:$I$679,MATCH(596,'Transfer Engine'!$C$2:$C$679,0)))</f>
        <v/>
      </c>
      <c r="J605" s="8">
        <f>IF(ISNA(MATCH(596,'Transfer Engine'!$C$2:$C$679,0)),"",INDEX('Compliance Database'!$J$2:$J$679,MATCH(596,'Transfer Engine'!$C$2:$C$679,0)))</f>
        <v/>
      </c>
      <c r="K605">
        <f>IF(ISNA(MATCH(596,'Transfer Engine'!$C$2:$C$679,0)),"",INDEX('Compliance Database'!$K$2:$K$679,MATCH(596,'Transfer Engine'!$C$2:$C$679,0)))</f>
        <v/>
      </c>
      <c r="L605" s="8">
        <f>IF(ISNA(MATCH(596,'Transfer Engine'!$C$2:$C$679,0)),"",INDEX('Compliance Database'!$L$2:$L$679,MATCH(596,'Transfer Engine'!$C$2:$C$679,0)))</f>
        <v/>
      </c>
      <c r="M605" s="8">
        <f>IF(ISNA(MATCH(596,'Transfer Engine'!$C$2:$C$679,0)),"",INDEX('Compliance Database'!$M$2:$M$679,MATCH(596,'Transfer Engine'!$C$2:$C$679,0)))</f>
        <v/>
      </c>
      <c r="N605" s="8">
        <f>IF(ISNA(MATCH(596,'Transfer Engine'!$C$2:$C$679,0)),"",INDEX('Compliance Database'!$N$2:$N$679,MATCH(596,'Transfer Engine'!$C$2:$C$679,0)))</f>
        <v/>
      </c>
      <c r="O605" s="8">
        <f>IF(ISNA(MATCH(596,'Transfer Engine'!$C$2:$C$679,0)),"",INDEX('Compliance Database'!$O$2:$O$679,MATCH(596,'Transfer Engine'!$C$2:$C$679,0)))</f>
        <v/>
      </c>
      <c r="P605">
        <f>IF(ISNA(MATCH(596,'Transfer Engine'!$C$2:$C$679,0)),"",HYPERLINK(INDEX('Compliance Database'!$P$2:$P$679,MATCH(596,'Transfer Engine'!$C$2:$C$679,0)),"Open PDF"))</f>
        <v/>
      </c>
    </row>
    <row r="606">
      <c r="A606">
        <f>IF(ISNA(MATCH(597,'Transfer Engine'!$C$2:$C$679,0)),"",INDEX('Compliance Database'!$A$2:$A$679,MATCH(597,'Transfer Engine'!$C$2:$C$679,0)))</f>
        <v/>
      </c>
      <c r="B606">
        <f>IF(ISNA(MATCH(597,'Transfer Engine'!$C$2:$C$679,0)),"",INDEX('Compliance Database'!$B$2:$B$679,MATCH(597,'Transfer Engine'!$C$2:$C$679,0)))</f>
        <v/>
      </c>
      <c r="C606">
        <f>IF(ISNA(MATCH(597,'Transfer Engine'!$C$2:$C$679,0)),"",INDEX('Compliance Database'!$C$2:$C$679,MATCH(597,'Transfer Engine'!$C$2:$C$679,0)))</f>
        <v/>
      </c>
      <c r="D606" s="8">
        <f>IF(ISNA(MATCH(597,'Transfer Engine'!$C$2:$C$679,0)),"",INDEX('Compliance Database'!$D$2:$D$679,MATCH(597,'Transfer Engine'!$C$2:$C$679,0)))</f>
        <v/>
      </c>
      <c r="E606">
        <f>IF(ISNA(MATCH(597,'Transfer Engine'!$C$2:$C$679,0)),"",INDEX('Compliance Database'!$E$2:$E$679,MATCH(597,'Transfer Engine'!$C$2:$C$679,0)))</f>
        <v/>
      </c>
      <c r="F606">
        <f>IF(ISNA(MATCH(597,'Transfer Engine'!$C$2:$C$679,0)),"",INDEX('Compliance Database'!$F$2:$F$679,MATCH(597,'Transfer Engine'!$C$2:$C$679,0)))</f>
        <v/>
      </c>
      <c r="G606">
        <f>IF(ISNA(MATCH(597,'Transfer Engine'!$C$2:$C$679,0)),"",INDEX('Compliance Database'!$G$2:$G$679,MATCH(597,'Transfer Engine'!$C$2:$C$679,0)))</f>
        <v/>
      </c>
      <c r="H606">
        <f>IF(ISNA(MATCH(597,'Transfer Engine'!$C$2:$C$679,0)),"",INDEX('Compliance Database'!$H$2:$H$679,MATCH(597,'Transfer Engine'!$C$2:$C$679,0)))</f>
        <v/>
      </c>
      <c r="I606" s="8">
        <f>IF(ISNA(MATCH(597,'Transfer Engine'!$C$2:$C$679,0)),"",INDEX('Compliance Database'!$I$2:$I$679,MATCH(597,'Transfer Engine'!$C$2:$C$679,0)))</f>
        <v/>
      </c>
      <c r="J606" s="8">
        <f>IF(ISNA(MATCH(597,'Transfer Engine'!$C$2:$C$679,0)),"",INDEX('Compliance Database'!$J$2:$J$679,MATCH(597,'Transfer Engine'!$C$2:$C$679,0)))</f>
        <v/>
      </c>
      <c r="K606">
        <f>IF(ISNA(MATCH(597,'Transfer Engine'!$C$2:$C$679,0)),"",INDEX('Compliance Database'!$K$2:$K$679,MATCH(597,'Transfer Engine'!$C$2:$C$679,0)))</f>
        <v/>
      </c>
      <c r="L606" s="8">
        <f>IF(ISNA(MATCH(597,'Transfer Engine'!$C$2:$C$679,0)),"",INDEX('Compliance Database'!$L$2:$L$679,MATCH(597,'Transfer Engine'!$C$2:$C$679,0)))</f>
        <v/>
      </c>
      <c r="M606" s="8">
        <f>IF(ISNA(MATCH(597,'Transfer Engine'!$C$2:$C$679,0)),"",INDEX('Compliance Database'!$M$2:$M$679,MATCH(597,'Transfer Engine'!$C$2:$C$679,0)))</f>
        <v/>
      </c>
      <c r="N606" s="8">
        <f>IF(ISNA(MATCH(597,'Transfer Engine'!$C$2:$C$679,0)),"",INDEX('Compliance Database'!$N$2:$N$679,MATCH(597,'Transfer Engine'!$C$2:$C$679,0)))</f>
        <v/>
      </c>
      <c r="O606" s="8">
        <f>IF(ISNA(MATCH(597,'Transfer Engine'!$C$2:$C$679,0)),"",INDEX('Compliance Database'!$O$2:$O$679,MATCH(597,'Transfer Engine'!$C$2:$C$679,0)))</f>
        <v/>
      </c>
      <c r="P606">
        <f>IF(ISNA(MATCH(597,'Transfer Engine'!$C$2:$C$679,0)),"",HYPERLINK(INDEX('Compliance Database'!$P$2:$P$679,MATCH(597,'Transfer Engine'!$C$2:$C$679,0)),"Open PDF"))</f>
        <v/>
      </c>
    </row>
    <row r="607">
      <c r="A607">
        <f>IF(ISNA(MATCH(598,'Transfer Engine'!$C$2:$C$679,0)),"",INDEX('Compliance Database'!$A$2:$A$679,MATCH(598,'Transfer Engine'!$C$2:$C$679,0)))</f>
        <v/>
      </c>
      <c r="B607">
        <f>IF(ISNA(MATCH(598,'Transfer Engine'!$C$2:$C$679,0)),"",INDEX('Compliance Database'!$B$2:$B$679,MATCH(598,'Transfer Engine'!$C$2:$C$679,0)))</f>
        <v/>
      </c>
      <c r="C607">
        <f>IF(ISNA(MATCH(598,'Transfer Engine'!$C$2:$C$679,0)),"",INDEX('Compliance Database'!$C$2:$C$679,MATCH(598,'Transfer Engine'!$C$2:$C$679,0)))</f>
        <v/>
      </c>
      <c r="D607" s="8">
        <f>IF(ISNA(MATCH(598,'Transfer Engine'!$C$2:$C$679,0)),"",INDEX('Compliance Database'!$D$2:$D$679,MATCH(598,'Transfer Engine'!$C$2:$C$679,0)))</f>
        <v/>
      </c>
      <c r="E607">
        <f>IF(ISNA(MATCH(598,'Transfer Engine'!$C$2:$C$679,0)),"",INDEX('Compliance Database'!$E$2:$E$679,MATCH(598,'Transfer Engine'!$C$2:$C$679,0)))</f>
        <v/>
      </c>
      <c r="F607">
        <f>IF(ISNA(MATCH(598,'Transfer Engine'!$C$2:$C$679,0)),"",INDEX('Compliance Database'!$F$2:$F$679,MATCH(598,'Transfer Engine'!$C$2:$C$679,0)))</f>
        <v/>
      </c>
      <c r="G607">
        <f>IF(ISNA(MATCH(598,'Transfer Engine'!$C$2:$C$679,0)),"",INDEX('Compliance Database'!$G$2:$G$679,MATCH(598,'Transfer Engine'!$C$2:$C$679,0)))</f>
        <v/>
      </c>
      <c r="H607">
        <f>IF(ISNA(MATCH(598,'Transfer Engine'!$C$2:$C$679,0)),"",INDEX('Compliance Database'!$H$2:$H$679,MATCH(598,'Transfer Engine'!$C$2:$C$679,0)))</f>
        <v/>
      </c>
      <c r="I607" s="8">
        <f>IF(ISNA(MATCH(598,'Transfer Engine'!$C$2:$C$679,0)),"",INDEX('Compliance Database'!$I$2:$I$679,MATCH(598,'Transfer Engine'!$C$2:$C$679,0)))</f>
        <v/>
      </c>
      <c r="J607" s="8">
        <f>IF(ISNA(MATCH(598,'Transfer Engine'!$C$2:$C$679,0)),"",INDEX('Compliance Database'!$J$2:$J$679,MATCH(598,'Transfer Engine'!$C$2:$C$679,0)))</f>
        <v/>
      </c>
      <c r="K607">
        <f>IF(ISNA(MATCH(598,'Transfer Engine'!$C$2:$C$679,0)),"",INDEX('Compliance Database'!$K$2:$K$679,MATCH(598,'Transfer Engine'!$C$2:$C$679,0)))</f>
        <v/>
      </c>
      <c r="L607" s="8">
        <f>IF(ISNA(MATCH(598,'Transfer Engine'!$C$2:$C$679,0)),"",INDEX('Compliance Database'!$L$2:$L$679,MATCH(598,'Transfer Engine'!$C$2:$C$679,0)))</f>
        <v/>
      </c>
      <c r="M607" s="8">
        <f>IF(ISNA(MATCH(598,'Transfer Engine'!$C$2:$C$679,0)),"",INDEX('Compliance Database'!$M$2:$M$679,MATCH(598,'Transfer Engine'!$C$2:$C$679,0)))</f>
        <v/>
      </c>
      <c r="N607" s="8">
        <f>IF(ISNA(MATCH(598,'Transfer Engine'!$C$2:$C$679,0)),"",INDEX('Compliance Database'!$N$2:$N$679,MATCH(598,'Transfer Engine'!$C$2:$C$679,0)))</f>
        <v/>
      </c>
      <c r="O607" s="8">
        <f>IF(ISNA(MATCH(598,'Transfer Engine'!$C$2:$C$679,0)),"",INDEX('Compliance Database'!$O$2:$O$679,MATCH(598,'Transfer Engine'!$C$2:$C$679,0)))</f>
        <v/>
      </c>
      <c r="P607">
        <f>IF(ISNA(MATCH(598,'Transfer Engine'!$C$2:$C$679,0)),"",HYPERLINK(INDEX('Compliance Database'!$P$2:$P$679,MATCH(598,'Transfer Engine'!$C$2:$C$679,0)),"Open PDF"))</f>
        <v/>
      </c>
    </row>
    <row r="608">
      <c r="A608">
        <f>IF(ISNA(MATCH(599,'Transfer Engine'!$C$2:$C$679,0)),"",INDEX('Compliance Database'!$A$2:$A$679,MATCH(599,'Transfer Engine'!$C$2:$C$679,0)))</f>
        <v/>
      </c>
      <c r="B608">
        <f>IF(ISNA(MATCH(599,'Transfer Engine'!$C$2:$C$679,0)),"",INDEX('Compliance Database'!$B$2:$B$679,MATCH(599,'Transfer Engine'!$C$2:$C$679,0)))</f>
        <v/>
      </c>
      <c r="C608">
        <f>IF(ISNA(MATCH(599,'Transfer Engine'!$C$2:$C$679,0)),"",INDEX('Compliance Database'!$C$2:$C$679,MATCH(599,'Transfer Engine'!$C$2:$C$679,0)))</f>
        <v/>
      </c>
      <c r="D608" s="8">
        <f>IF(ISNA(MATCH(599,'Transfer Engine'!$C$2:$C$679,0)),"",INDEX('Compliance Database'!$D$2:$D$679,MATCH(599,'Transfer Engine'!$C$2:$C$679,0)))</f>
        <v/>
      </c>
      <c r="E608">
        <f>IF(ISNA(MATCH(599,'Transfer Engine'!$C$2:$C$679,0)),"",INDEX('Compliance Database'!$E$2:$E$679,MATCH(599,'Transfer Engine'!$C$2:$C$679,0)))</f>
        <v/>
      </c>
      <c r="F608">
        <f>IF(ISNA(MATCH(599,'Transfer Engine'!$C$2:$C$679,0)),"",INDEX('Compliance Database'!$F$2:$F$679,MATCH(599,'Transfer Engine'!$C$2:$C$679,0)))</f>
        <v/>
      </c>
      <c r="G608">
        <f>IF(ISNA(MATCH(599,'Transfer Engine'!$C$2:$C$679,0)),"",INDEX('Compliance Database'!$G$2:$G$679,MATCH(599,'Transfer Engine'!$C$2:$C$679,0)))</f>
        <v/>
      </c>
      <c r="H608">
        <f>IF(ISNA(MATCH(599,'Transfer Engine'!$C$2:$C$679,0)),"",INDEX('Compliance Database'!$H$2:$H$679,MATCH(599,'Transfer Engine'!$C$2:$C$679,0)))</f>
        <v/>
      </c>
      <c r="I608" s="8">
        <f>IF(ISNA(MATCH(599,'Transfer Engine'!$C$2:$C$679,0)),"",INDEX('Compliance Database'!$I$2:$I$679,MATCH(599,'Transfer Engine'!$C$2:$C$679,0)))</f>
        <v/>
      </c>
      <c r="J608" s="8">
        <f>IF(ISNA(MATCH(599,'Transfer Engine'!$C$2:$C$679,0)),"",INDEX('Compliance Database'!$J$2:$J$679,MATCH(599,'Transfer Engine'!$C$2:$C$679,0)))</f>
        <v/>
      </c>
      <c r="K608">
        <f>IF(ISNA(MATCH(599,'Transfer Engine'!$C$2:$C$679,0)),"",INDEX('Compliance Database'!$K$2:$K$679,MATCH(599,'Transfer Engine'!$C$2:$C$679,0)))</f>
        <v/>
      </c>
      <c r="L608" s="8">
        <f>IF(ISNA(MATCH(599,'Transfer Engine'!$C$2:$C$679,0)),"",INDEX('Compliance Database'!$L$2:$L$679,MATCH(599,'Transfer Engine'!$C$2:$C$679,0)))</f>
        <v/>
      </c>
      <c r="M608" s="8">
        <f>IF(ISNA(MATCH(599,'Transfer Engine'!$C$2:$C$679,0)),"",INDEX('Compliance Database'!$M$2:$M$679,MATCH(599,'Transfer Engine'!$C$2:$C$679,0)))</f>
        <v/>
      </c>
      <c r="N608" s="8">
        <f>IF(ISNA(MATCH(599,'Transfer Engine'!$C$2:$C$679,0)),"",INDEX('Compliance Database'!$N$2:$N$679,MATCH(599,'Transfer Engine'!$C$2:$C$679,0)))</f>
        <v/>
      </c>
      <c r="O608" s="8">
        <f>IF(ISNA(MATCH(599,'Transfer Engine'!$C$2:$C$679,0)),"",INDEX('Compliance Database'!$O$2:$O$679,MATCH(599,'Transfer Engine'!$C$2:$C$679,0)))</f>
        <v/>
      </c>
      <c r="P608">
        <f>IF(ISNA(MATCH(599,'Transfer Engine'!$C$2:$C$679,0)),"",HYPERLINK(INDEX('Compliance Database'!$P$2:$P$679,MATCH(599,'Transfer Engine'!$C$2:$C$679,0)),"Open PDF"))</f>
        <v/>
      </c>
    </row>
    <row r="609">
      <c r="A609">
        <f>IF(ISNA(MATCH(600,'Transfer Engine'!$C$2:$C$679,0)),"",INDEX('Compliance Database'!$A$2:$A$679,MATCH(600,'Transfer Engine'!$C$2:$C$679,0)))</f>
        <v/>
      </c>
      <c r="B609">
        <f>IF(ISNA(MATCH(600,'Transfer Engine'!$C$2:$C$679,0)),"",INDEX('Compliance Database'!$B$2:$B$679,MATCH(600,'Transfer Engine'!$C$2:$C$679,0)))</f>
        <v/>
      </c>
      <c r="C609">
        <f>IF(ISNA(MATCH(600,'Transfer Engine'!$C$2:$C$679,0)),"",INDEX('Compliance Database'!$C$2:$C$679,MATCH(600,'Transfer Engine'!$C$2:$C$679,0)))</f>
        <v/>
      </c>
      <c r="D609" s="8">
        <f>IF(ISNA(MATCH(600,'Transfer Engine'!$C$2:$C$679,0)),"",INDEX('Compliance Database'!$D$2:$D$679,MATCH(600,'Transfer Engine'!$C$2:$C$679,0)))</f>
        <v/>
      </c>
      <c r="E609">
        <f>IF(ISNA(MATCH(600,'Transfer Engine'!$C$2:$C$679,0)),"",INDEX('Compliance Database'!$E$2:$E$679,MATCH(600,'Transfer Engine'!$C$2:$C$679,0)))</f>
        <v/>
      </c>
      <c r="F609">
        <f>IF(ISNA(MATCH(600,'Transfer Engine'!$C$2:$C$679,0)),"",INDEX('Compliance Database'!$F$2:$F$679,MATCH(600,'Transfer Engine'!$C$2:$C$679,0)))</f>
        <v/>
      </c>
      <c r="G609">
        <f>IF(ISNA(MATCH(600,'Transfer Engine'!$C$2:$C$679,0)),"",INDEX('Compliance Database'!$G$2:$G$679,MATCH(600,'Transfer Engine'!$C$2:$C$679,0)))</f>
        <v/>
      </c>
      <c r="H609">
        <f>IF(ISNA(MATCH(600,'Transfer Engine'!$C$2:$C$679,0)),"",INDEX('Compliance Database'!$H$2:$H$679,MATCH(600,'Transfer Engine'!$C$2:$C$679,0)))</f>
        <v/>
      </c>
      <c r="I609" s="8">
        <f>IF(ISNA(MATCH(600,'Transfer Engine'!$C$2:$C$679,0)),"",INDEX('Compliance Database'!$I$2:$I$679,MATCH(600,'Transfer Engine'!$C$2:$C$679,0)))</f>
        <v/>
      </c>
      <c r="J609" s="8">
        <f>IF(ISNA(MATCH(600,'Transfer Engine'!$C$2:$C$679,0)),"",INDEX('Compliance Database'!$J$2:$J$679,MATCH(600,'Transfer Engine'!$C$2:$C$679,0)))</f>
        <v/>
      </c>
      <c r="K609">
        <f>IF(ISNA(MATCH(600,'Transfer Engine'!$C$2:$C$679,0)),"",INDEX('Compliance Database'!$K$2:$K$679,MATCH(600,'Transfer Engine'!$C$2:$C$679,0)))</f>
        <v/>
      </c>
      <c r="L609" s="8">
        <f>IF(ISNA(MATCH(600,'Transfer Engine'!$C$2:$C$679,0)),"",INDEX('Compliance Database'!$L$2:$L$679,MATCH(600,'Transfer Engine'!$C$2:$C$679,0)))</f>
        <v/>
      </c>
      <c r="M609" s="8">
        <f>IF(ISNA(MATCH(600,'Transfer Engine'!$C$2:$C$679,0)),"",INDEX('Compliance Database'!$M$2:$M$679,MATCH(600,'Transfer Engine'!$C$2:$C$679,0)))</f>
        <v/>
      </c>
      <c r="N609" s="8">
        <f>IF(ISNA(MATCH(600,'Transfer Engine'!$C$2:$C$679,0)),"",INDEX('Compliance Database'!$N$2:$N$679,MATCH(600,'Transfer Engine'!$C$2:$C$679,0)))</f>
        <v/>
      </c>
      <c r="O609" s="8">
        <f>IF(ISNA(MATCH(600,'Transfer Engine'!$C$2:$C$679,0)),"",INDEX('Compliance Database'!$O$2:$O$679,MATCH(600,'Transfer Engine'!$C$2:$C$679,0)))</f>
        <v/>
      </c>
      <c r="P609">
        <f>IF(ISNA(MATCH(600,'Transfer Engine'!$C$2:$C$679,0)),"",HYPERLINK(INDEX('Compliance Database'!$P$2:$P$679,MATCH(600,'Transfer Engine'!$C$2:$C$679,0)),"Open PDF"))</f>
        <v/>
      </c>
    </row>
    <row r="610">
      <c r="A610">
        <f>IF(ISNA(MATCH(601,'Transfer Engine'!$C$2:$C$679,0)),"",INDEX('Compliance Database'!$A$2:$A$679,MATCH(601,'Transfer Engine'!$C$2:$C$679,0)))</f>
        <v/>
      </c>
      <c r="B610">
        <f>IF(ISNA(MATCH(601,'Transfer Engine'!$C$2:$C$679,0)),"",INDEX('Compliance Database'!$B$2:$B$679,MATCH(601,'Transfer Engine'!$C$2:$C$679,0)))</f>
        <v/>
      </c>
      <c r="C610">
        <f>IF(ISNA(MATCH(601,'Transfer Engine'!$C$2:$C$679,0)),"",INDEX('Compliance Database'!$C$2:$C$679,MATCH(601,'Transfer Engine'!$C$2:$C$679,0)))</f>
        <v/>
      </c>
      <c r="D610" s="8">
        <f>IF(ISNA(MATCH(601,'Transfer Engine'!$C$2:$C$679,0)),"",INDEX('Compliance Database'!$D$2:$D$679,MATCH(601,'Transfer Engine'!$C$2:$C$679,0)))</f>
        <v/>
      </c>
      <c r="E610">
        <f>IF(ISNA(MATCH(601,'Transfer Engine'!$C$2:$C$679,0)),"",INDEX('Compliance Database'!$E$2:$E$679,MATCH(601,'Transfer Engine'!$C$2:$C$679,0)))</f>
        <v/>
      </c>
      <c r="F610">
        <f>IF(ISNA(MATCH(601,'Transfer Engine'!$C$2:$C$679,0)),"",INDEX('Compliance Database'!$F$2:$F$679,MATCH(601,'Transfer Engine'!$C$2:$C$679,0)))</f>
        <v/>
      </c>
      <c r="G610">
        <f>IF(ISNA(MATCH(601,'Transfer Engine'!$C$2:$C$679,0)),"",INDEX('Compliance Database'!$G$2:$G$679,MATCH(601,'Transfer Engine'!$C$2:$C$679,0)))</f>
        <v/>
      </c>
      <c r="H610">
        <f>IF(ISNA(MATCH(601,'Transfer Engine'!$C$2:$C$679,0)),"",INDEX('Compliance Database'!$H$2:$H$679,MATCH(601,'Transfer Engine'!$C$2:$C$679,0)))</f>
        <v/>
      </c>
      <c r="I610" s="8">
        <f>IF(ISNA(MATCH(601,'Transfer Engine'!$C$2:$C$679,0)),"",INDEX('Compliance Database'!$I$2:$I$679,MATCH(601,'Transfer Engine'!$C$2:$C$679,0)))</f>
        <v/>
      </c>
      <c r="J610" s="8">
        <f>IF(ISNA(MATCH(601,'Transfer Engine'!$C$2:$C$679,0)),"",INDEX('Compliance Database'!$J$2:$J$679,MATCH(601,'Transfer Engine'!$C$2:$C$679,0)))</f>
        <v/>
      </c>
      <c r="K610">
        <f>IF(ISNA(MATCH(601,'Transfer Engine'!$C$2:$C$679,0)),"",INDEX('Compliance Database'!$K$2:$K$679,MATCH(601,'Transfer Engine'!$C$2:$C$679,0)))</f>
        <v/>
      </c>
      <c r="L610" s="8">
        <f>IF(ISNA(MATCH(601,'Transfer Engine'!$C$2:$C$679,0)),"",INDEX('Compliance Database'!$L$2:$L$679,MATCH(601,'Transfer Engine'!$C$2:$C$679,0)))</f>
        <v/>
      </c>
      <c r="M610" s="8">
        <f>IF(ISNA(MATCH(601,'Transfer Engine'!$C$2:$C$679,0)),"",INDEX('Compliance Database'!$M$2:$M$679,MATCH(601,'Transfer Engine'!$C$2:$C$679,0)))</f>
        <v/>
      </c>
      <c r="N610" s="8">
        <f>IF(ISNA(MATCH(601,'Transfer Engine'!$C$2:$C$679,0)),"",INDEX('Compliance Database'!$N$2:$N$679,MATCH(601,'Transfer Engine'!$C$2:$C$679,0)))</f>
        <v/>
      </c>
      <c r="O610" s="8">
        <f>IF(ISNA(MATCH(601,'Transfer Engine'!$C$2:$C$679,0)),"",INDEX('Compliance Database'!$O$2:$O$679,MATCH(601,'Transfer Engine'!$C$2:$C$679,0)))</f>
        <v/>
      </c>
      <c r="P610">
        <f>IF(ISNA(MATCH(601,'Transfer Engine'!$C$2:$C$679,0)),"",HYPERLINK(INDEX('Compliance Database'!$P$2:$P$679,MATCH(601,'Transfer Engine'!$C$2:$C$679,0)),"Open PDF"))</f>
        <v/>
      </c>
    </row>
    <row r="611">
      <c r="A611">
        <f>IF(ISNA(MATCH(602,'Transfer Engine'!$C$2:$C$679,0)),"",INDEX('Compliance Database'!$A$2:$A$679,MATCH(602,'Transfer Engine'!$C$2:$C$679,0)))</f>
        <v/>
      </c>
      <c r="B611">
        <f>IF(ISNA(MATCH(602,'Transfer Engine'!$C$2:$C$679,0)),"",INDEX('Compliance Database'!$B$2:$B$679,MATCH(602,'Transfer Engine'!$C$2:$C$679,0)))</f>
        <v/>
      </c>
      <c r="C611">
        <f>IF(ISNA(MATCH(602,'Transfer Engine'!$C$2:$C$679,0)),"",INDEX('Compliance Database'!$C$2:$C$679,MATCH(602,'Transfer Engine'!$C$2:$C$679,0)))</f>
        <v/>
      </c>
      <c r="D611" s="8">
        <f>IF(ISNA(MATCH(602,'Transfer Engine'!$C$2:$C$679,0)),"",INDEX('Compliance Database'!$D$2:$D$679,MATCH(602,'Transfer Engine'!$C$2:$C$679,0)))</f>
        <v/>
      </c>
      <c r="E611">
        <f>IF(ISNA(MATCH(602,'Transfer Engine'!$C$2:$C$679,0)),"",INDEX('Compliance Database'!$E$2:$E$679,MATCH(602,'Transfer Engine'!$C$2:$C$679,0)))</f>
        <v/>
      </c>
      <c r="F611">
        <f>IF(ISNA(MATCH(602,'Transfer Engine'!$C$2:$C$679,0)),"",INDEX('Compliance Database'!$F$2:$F$679,MATCH(602,'Transfer Engine'!$C$2:$C$679,0)))</f>
        <v/>
      </c>
      <c r="G611">
        <f>IF(ISNA(MATCH(602,'Transfer Engine'!$C$2:$C$679,0)),"",INDEX('Compliance Database'!$G$2:$G$679,MATCH(602,'Transfer Engine'!$C$2:$C$679,0)))</f>
        <v/>
      </c>
      <c r="H611">
        <f>IF(ISNA(MATCH(602,'Transfer Engine'!$C$2:$C$679,0)),"",INDEX('Compliance Database'!$H$2:$H$679,MATCH(602,'Transfer Engine'!$C$2:$C$679,0)))</f>
        <v/>
      </c>
      <c r="I611" s="8">
        <f>IF(ISNA(MATCH(602,'Transfer Engine'!$C$2:$C$679,0)),"",INDEX('Compliance Database'!$I$2:$I$679,MATCH(602,'Transfer Engine'!$C$2:$C$679,0)))</f>
        <v/>
      </c>
      <c r="J611" s="8">
        <f>IF(ISNA(MATCH(602,'Transfer Engine'!$C$2:$C$679,0)),"",INDEX('Compliance Database'!$J$2:$J$679,MATCH(602,'Transfer Engine'!$C$2:$C$679,0)))</f>
        <v/>
      </c>
      <c r="K611">
        <f>IF(ISNA(MATCH(602,'Transfer Engine'!$C$2:$C$679,0)),"",INDEX('Compliance Database'!$K$2:$K$679,MATCH(602,'Transfer Engine'!$C$2:$C$679,0)))</f>
        <v/>
      </c>
      <c r="L611" s="8">
        <f>IF(ISNA(MATCH(602,'Transfer Engine'!$C$2:$C$679,0)),"",INDEX('Compliance Database'!$L$2:$L$679,MATCH(602,'Transfer Engine'!$C$2:$C$679,0)))</f>
        <v/>
      </c>
      <c r="M611" s="8">
        <f>IF(ISNA(MATCH(602,'Transfer Engine'!$C$2:$C$679,0)),"",INDEX('Compliance Database'!$M$2:$M$679,MATCH(602,'Transfer Engine'!$C$2:$C$679,0)))</f>
        <v/>
      </c>
      <c r="N611" s="8">
        <f>IF(ISNA(MATCH(602,'Transfer Engine'!$C$2:$C$679,0)),"",INDEX('Compliance Database'!$N$2:$N$679,MATCH(602,'Transfer Engine'!$C$2:$C$679,0)))</f>
        <v/>
      </c>
      <c r="O611" s="8">
        <f>IF(ISNA(MATCH(602,'Transfer Engine'!$C$2:$C$679,0)),"",INDEX('Compliance Database'!$O$2:$O$679,MATCH(602,'Transfer Engine'!$C$2:$C$679,0)))</f>
        <v/>
      </c>
      <c r="P611">
        <f>IF(ISNA(MATCH(602,'Transfer Engine'!$C$2:$C$679,0)),"",HYPERLINK(INDEX('Compliance Database'!$P$2:$P$679,MATCH(602,'Transfer Engine'!$C$2:$C$679,0)),"Open PDF"))</f>
        <v/>
      </c>
    </row>
    <row r="612">
      <c r="A612">
        <f>IF(ISNA(MATCH(603,'Transfer Engine'!$C$2:$C$679,0)),"",INDEX('Compliance Database'!$A$2:$A$679,MATCH(603,'Transfer Engine'!$C$2:$C$679,0)))</f>
        <v/>
      </c>
      <c r="B612">
        <f>IF(ISNA(MATCH(603,'Transfer Engine'!$C$2:$C$679,0)),"",INDEX('Compliance Database'!$B$2:$B$679,MATCH(603,'Transfer Engine'!$C$2:$C$679,0)))</f>
        <v/>
      </c>
      <c r="C612">
        <f>IF(ISNA(MATCH(603,'Transfer Engine'!$C$2:$C$679,0)),"",INDEX('Compliance Database'!$C$2:$C$679,MATCH(603,'Transfer Engine'!$C$2:$C$679,0)))</f>
        <v/>
      </c>
      <c r="D612" s="8">
        <f>IF(ISNA(MATCH(603,'Transfer Engine'!$C$2:$C$679,0)),"",INDEX('Compliance Database'!$D$2:$D$679,MATCH(603,'Transfer Engine'!$C$2:$C$679,0)))</f>
        <v/>
      </c>
      <c r="E612">
        <f>IF(ISNA(MATCH(603,'Transfer Engine'!$C$2:$C$679,0)),"",INDEX('Compliance Database'!$E$2:$E$679,MATCH(603,'Transfer Engine'!$C$2:$C$679,0)))</f>
        <v/>
      </c>
      <c r="F612">
        <f>IF(ISNA(MATCH(603,'Transfer Engine'!$C$2:$C$679,0)),"",INDEX('Compliance Database'!$F$2:$F$679,MATCH(603,'Transfer Engine'!$C$2:$C$679,0)))</f>
        <v/>
      </c>
      <c r="G612">
        <f>IF(ISNA(MATCH(603,'Transfer Engine'!$C$2:$C$679,0)),"",INDEX('Compliance Database'!$G$2:$G$679,MATCH(603,'Transfer Engine'!$C$2:$C$679,0)))</f>
        <v/>
      </c>
      <c r="H612">
        <f>IF(ISNA(MATCH(603,'Transfer Engine'!$C$2:$C$679,0)),"",INDEX('Compliance Database'!$H$2:$H$679,MATCH(603,'Transfer Engine'!$C$2:$C$679,0)))</f>
        <v/>
      </c>
      <c r="I612" s="8">
        <f>IF(ISNA(MATCH(603,'Transfer Engine'!$C$2:$C$679,0)),"",INDEX('Compliance Database'!$I$2:$I$679,MATCH(603,'Transfer Engine'!$C$2:$C$679,0)))</f>
        <v/>
      </c>
      <c r="J612" s="8">
        <f>IF(ISNA(MATCH(603,'Transfer Engine'!$C$2:$C$679,0)),"",INDEX('Compliance Database'!$J$2:$J$679,MATCH(603,'Transfer Engine'!$C$2:$C$679,0)))</f>
        <v/>
      </c>
      <c r="K612">
        <f>IF(ISNA(MATCH(603,'Transfer Engine'!$C$2:$C$679,0)),"",INDEX('Compliance Database'!$K$2:$K$679,MATCH(603,'Transfer Engine'!$C$2:$C$679,0)))</f>
        <v/>
      </c>
      <c r="L612" s="8">
        <f>IF(ISNA(MATCH(603,'Transfer Engine'!$C$2:$C$679,0)),"",INDEX('Compliance Database'!$L$2:$L$679,MATCH(603,'Transfer Engine'!$C$2:$C$679,0)))</f>
        <v/>
      </c>
      <c r="M612" s="8">
        <f>IF(ISNA(MATCH(603,'Transfer Engine'!$C$2:$C$679,0)),"",INDEX('Compliance Database'!$M$2:$M$679,MATCH(603,'Transfer Engine'!$C$2:$C$679,0)))</f>
        <v/>
      </c>
      <c r="N612" s="8">
        <f>IF(ISNA(MATCH(603,'Transfer Engine'!$C$2:$C$679,0)),"",INDEX('Compliance Database'!$N$2:$N$679,MATCH(603,'Transfer Engine'!$C$2:$C$679,0)))</f>
        <v/>
      </c>
      <c r="O612" s="8">
        <f>IF(ISNA(MATCH(603,'Transfer Engine'!$C$2:$C$679,0)),"",INDEX('Compliance Database'!$O$2:$O$679,MATCH(603,'Transfer Engine'!$C$2:$C$679,0)))</f>
        <v/>
      </c>
      <c r="P612">
        <f>IF(ISNA(MATCH(603,'Transfer Engine'!$C$2:$C$679,0)),"",HYPERLINK(INDEX('Compliance Database'!$P$2:$P$679,MATCH(603,'Transfer Engine'!$C$2:$C$679,0)),"Open PDF"))</f>
        <v/>
      </c>
    </row>
    <row r="613">
      <c r="A613">
        <f>IF(ISNA(MATCH(604,'Transfer Engine'!$C$2:$C$679,0)),"",INDEX('Compliance Database'!$A$2:$A$679,MATCH(604,'Transfer Engine'!$C$2:$C$679,0)))</f>
        <v/>
      </c>
      <c r="B613">
        <f>IF(ISNA(MATCH(604,'Transfer Engine'!$C$2:$C$679,0)),"",INDEX('Compliance Database'!$B$2:$B$679,MATCH(604,'Transfer Engine'!$C$2:$C$679,0)))</f>
        <v/>
      </c>
      <c r="C613">
        <f>IF(ISNA(MATCH(604,'Transfer Engine'!$C$2:$C$679,0)),"",INDEX('Compliance Database'!$C$2:$C$679,MATCH(604,'Transfer Engine'!$C$2:$C$679,0)))</f>
        <v/>
      </c>
      <c r="D613" s="8">
        <f>IF(ISNA(MATCH(604,'Transfer Engine'!$C$2:$C$679,0)),"",INDEX('Compliance Database'!$D$2:$D$679,MATCH(604,'Transfer Engine'!$C$2:$C$679,0)))</f>
        <v/>
      </c>
      <c r="E613">
        <f>IF(ISNA(MATCH(604,'Transfer Engine'!$C$2:$C$679,0)),"",INDEX('Compliance Database'!$E$2:$E$679,MATCH(604,'Transfer Engine'!$C$2:$C$679,0)))</f>
        <v/>
      </c>
      <c r="F613">
        <f>IF(ISNA(MATCH(604,'Transfer Engine'!$C$2:$C$679,0)),"",INDEX('Compliance Database'!$F$2:$F$679,MATCH(604,'Transfer Engine'!$C$2:$C$679,0)))</f>
        <v/>
      </c>
      <c r="G613">
        <f>IF(ISNA(MATCH(604,'Transfer Engine'!$C$2:$C$679,0)),"",INDEX('Compliance Database'!$G$2:$G$679,MATCH(604,'Transfer Engine'!$C$2:$C$679,0)))</f>
        <v/>
      </c>
      <c r="H613">
        <f>IF(ISNA(MATCH(604,'Transfer Engine'!$C$2:$C$679,0)),"",INDEX('Compliance Database'!$H$2:$H$679,MATCH(604,'Transfer Engine'!$C$2:$C$679,0)))</f>
        <v/>
      </c>
      <c r="I613" s="8">
        <f>IF(ISNA(MATCH(604,'Transfer Engine'!$C$2:$C$679,0)),"",INDEX('Compliance Database'!$I$2:$I$679,MATCH(604,'Transfer Engine'!$C$2:$C$679,0)))</f>
        <v/>
      </c>
      <c r="J613" s="8">
        <f>IF(ISNA(MATCH(604,'Transfer Engine'!$C$2:$C$679,0)),"",INDEX('Compliance Database'!$J$2:$J$679,MATCH(604,'Transfer Engine'!$C$2:$C$679,0)))</f>
        <v/>
      </c>
      <c r="K613">
        <f>IF(ISNA(MATCH(604,'Transfer Engine'!$C$2:$C$679,0)),"",INDEX('Compliance Database'!$K$2:$K$679,MATCH(604,'Transfer Engine'!$C$2:$C$679,0)))</f>
        <v/>
      </c>
      <c r="L613" s="8">
        <f>IF(ISNA(MATCH(604,'Transfer Engine'!$C$2:$C$679,0)),"",INDEX('Compliance Database'!$L$2:$L$679,MATCH(604,'Transfer Engine'!$C$2:$C$679,0)))</f>
        <v/>
      </c>
      <c r="M613" s="8">
        <f>IF(ISNA(MATCH(604,'Transfer Engine'!$C$2:$C$679,0)),"",INDEX('Compliance Database'!$M$2:$M$679,MATCH(604,'Transfer Engine'!$C$2:$C$679,0)))</f>
        <v/>
      </c>
      <c r="N613" s="8">
        <f>IF(ISNA(MATCH(604,'Transfer Engine'!$C$2:$C$679,0)),"",INDEX('Compliance Database'!$N$2:$N$679,MATCH(604,'Transfer Engine'!$C$2:$C$679,0)))</f>
        <v/>
      </c>
      <c r="O613" s="8">
        <f>IF(ISNA(MATCH(604,'Transfer Engine'!$C$2:$C$679,0)),"",INDEX('Compliance Database'!$O$2:$O$679,MATCH(604,'Transfer Engine'!$C$2:$C$679,0)))</f>
        <v/>
      </c>
      <c r="P613">
        <f>IF(ISNA(MATCH(604,'Transfer Engine'!$C$2:$C$679,0)),"",HYPERLINK(INDEX('Compliance Database'!$P$2:$P$679,MATCH(604,'Transfer Engine'!$C$2:$C$679,0)),"Open PDF"))</f>
        <v/>
      </c>
    </row>
    <row r="614">
      <c r="A614">
        <f>IF(ISNA(MATCH(605,'Transfer Engine'!$C$2:$C$679,0)),"",INDEX('Compliance Database'!$A$2:$A$679,MATCH(605,'Transfer Engine'!$C$2:$C$679,0)))</f>
        <v/>
      </c>
      <c r="B614">
        <f>IF(ISNA(MATCH(605,'Transfer Engine'!$C$2:$C$679,0)),"",INDEX('Compliance Database'!$B$2:$B$679,MATCH(605,'Transfer Engine'!$C$2:$C$679,0)))</f>
        <v/>
      </c>
      <c r="C614">
        <f>IF(ISNA(MATCH(605,'Transfer Engine'!$C$2:$C$679,0)),"",INDEX('Compliance Database'!$C$2:$C$679,MATCH(605,'Transfer Engine'!$C$2:$C$679,0)))</f>
        <v/>
      </c>
      <c r="D614" s="8">
        <f>IF(ISNA(MATCH(605,'Transfer Engine'!$C$2:$C$679,0)),"",INDEX('Compliance Database'!$D$2:$D$679,MATCH(605,'Transfer Engine'!$C$2:$C$679,0)))</f>
        <v/>
      </c>
      <c r="E614">
        <f>IF(ISNA(MATCH(605,'Transfer Engine'!$C$2:$C$679,0)),"",INDEX('Compliance Database'!$E$2:$E$679,MATCH(605,'Transfer Engine'!$C$2:$C$679,0)))</f>
        <v/>
      </c>
      <c r="F614">
        <f>IF(ISNA(MATCH(605,'Transfer Engine'!$C$2:$C$679,0)),"",INDEX('Compliance Database'!$F$2:$F$679,MATCH(605,'Transfer Engine'!$C$2:$C$679,0)))</f>
        <v/>
      </c>
      <c r="G614">
        <f>IF(ISNA(MATCH(605,'Transfer Engine'!$C$2:$C$679,0)),"",INDEX('Compliance Database'!$G$2:$G$679,MATCH(605,'Transfer Engine'!$C$2:$C$679,0)))</f>
        <v/>
      </c>
      <c r="H614">
        <f>IF(ISNA(MATCH(605,'Transfer Engine'!$C$2:$C$679,0)),"",INDEX('Compliance Database'!$H$2:$H$679,MATCH(605,'Transfer Engine'!$C$2:$C$679,0)))</f>
        <v/>
      </c>
      <c r="I614" s="8">
        <f>IF(ISNA(MATCH(605,'Transfer Engine'!$C$2:$C$679,0)),"",INDEX('Compliance Database'!$I$2:$I$679,MATCH(605,'Transfer Engine'!$C$2:$C$679,0)))</f>
        <v/>
      </c>
      <c r="J614" s="8">
        <f>IF(ISNA(MATCH(605,'Transfer Engine'!$C$2:$C$679,0)),"",INDEX('Compliance Database'!$J$2:$J$679,MATCH(605,'Transfer Engine'!$C$2:$C$679,0)))</f>
        <v/>
      </c>
      <c r="K614">
        <f>IF(ISNA(MATCH(605,'Transfer Engine'!$C$2:$C$679,0)),"",INDEX('Compliance Database'!$K$2:$K$679,MATCH(605,'Transfer Engine'!$C$2:$C$679,0)))</f>
        <v/>
      </c>
      <c r="L614" s="8">
        <f>IF(ISNA(MATCH(605,'Transfer Engine'!$C$2:$C$679,0)),"",INDEX('Compliance Database'!$L$2:$L$679,MATCH(605,'Transfer Engine'!$C$2:$C$679,0)))</f>
        <v/>
      </c>
      <c r="M614" s="8">
        <f>IF(ISNA(MATCH(605,'Transfer Engine'!$C$2:$C$679,0)),"",INDEX('Compliance Database'!$M$2:$M$679,MATCH(605,'Transfer Engine'!$C$2:$C$679,0)))</f>
        <v/>
      </c>
      <c r="N614" s="8">
        <f>IF(ISNA(MATCH(605,'Transfer Engine'!$C$2:$C$679,0)),"",INDEX('Compliance Database'!$N$2:$N$679,MATCH(605,'Transfer Engine'!$C$2:$C$679,0)))</f>
        <v/>
      </c>
      <c r="O614" s="8">
        <f>IF(ISNA(MATCH(605,'Transfer Engine'!$C$2:$C$679,0)),"",INDEX('Compliance Database'!$O$2:$O$679,MATCH(605,'Transfer Engine'!$C$2:$C$679,0)))</f>
        <v/>
      </c>
      <c r="P614">
        <f>IF(ISNA(MATCH(605,'Transfer Engine'!$C$2:$C$679,0)),"",HYPERLINK(INDEX('Compliance Database'!$P$2:$P$679,MATCH(605,'Transfer Engine'!$C$2:$C$679,0)),"Open PDF"))</f>
        <v/>
      </c>
    </row>
    <row r="615">
      <c r="A615">
        <f>IF(ISNA(MATCH(606,'Transfer Engine'!$C$2:$C$679,0)),"",INDEX('Compliance Database'!$A$2:$A$679,MATCH(606,'Transfer Engine'!$C$2:$C$679,0)))</f>
        <v/>
      </c>
      <c r="B615">
        <f>IF(ISNA(MATCH(606,'Transfer Engine'!$C$2:$C$679,0)),"",INDEX('Compliance Database'!$B$2:$B$679,MATCH(606,'Transfer Engine'!$C$2:$C$679,0)))</f>
        <v/>
      </c>
      <c r="C615">
        <f>IF(ISNA(MATCH(606,'Transfer Engine'!$C$2:$C$679,0)),"",INDEX('Compliance Database'!$C$2:$C$679,MATCH(606,'Transfer Engine'!$C$2:$C$679,0)))</f>
        <v/>
      </c>
      <c r="D615" s="8">
        <f>IF(ISNA(MATCH(606,'Transfer Engine'!$C$2:$C$679,0)),"",INDEX('Compliance Database'!$D$2:$D$679,MATCH(606,'Transfer Engine'!$C$2:$C$679,0)))</f>
        <v/>
      </c>
      <c r="E615">
        <f>IF(ISNA(MATCH(606,'Transfer Engine'!$C$2:$C$679,0)),"",INDEX('Compliance Database'!$E$2:$E$679,MATCH(606,'Transfer Engine'!$C$2:$C$679,0)))</f>
        <v/>
      </c>
      <c r="F615">
        <f>IF(ISNA(MATCH(606,'Transfer Engine'!$C$2:$C$679,0)),"",INDEX('Compliance Database'!$F$2:$F$679,MATCH(606,'Transfer Engine'!$C$2:$C$679,0)))</f>
        <v/>
      </c>
      <c r="G615">
        <f>IF(ISNA(MATCH(606,'Transfer Engine'!$C$2:$C$679,0)),"",INDEX('Compliance Database'!$G$2:$G$679,MATCH(606,'Transfer Engine'!$C$2:$C$679,0)))</f>
        <v/>
      </c>
      <c r="H615">
        <f>IF(ISNA(MATCH(606,'Transfer Engine'!$C$2:$C$679,0)),"",INDEX('Compliance Database'!$H$2:$H$679,MATCH(606,'Transfer Engine'!$C$2:$C$679,0)))</f>
        <v/>
      </c>
      <c r="I615" s="8">
        <f>IF(ISNA(MATCH(606,'Transfer Engine'!$C$2:$C$679,0)),"",INDEX('Compliance Database'!$I$2:$I$679,MATCH(606,'Transfer Engine'!$C$2:$C$679,0)))</f>
        <v/>
      </c>
      <c r="J615" s="8">
        <f>IF(ISNA(MATCH(606,'Transfer Engine'!$C$2:$C$679,0)),"",INDEX('Compliance Database'!$J$2:$J$679,MATCH(606,'Transfer Engine'!$C$2:$C$679,0)))</f>
        <v/>
      </c>
      <c r="K615">
        <f>IF(ISNA(MATCH(606,'Transfer Engine'!$C$2:$C$679,0)),"",INDEX('Compliance Database'!$K$2:$K$679,MATCH(606,'Transfer Engine'!$C$2:$C$679,0)))</f>
        <v/>
      </c>
      <c r="L615" s="8">
        <f>IF(ISNA(MATCH(606,'Transfer Engine'!$C$2:$C$679,0)),"",INDEX('Compliance Database'!$L$2:$L$679,MATCH(606,'Transfer Engine'!$C$2:$C$679,0)))</f>
        <v/>
      </c>
      <c r="M615" s="8">
        <f>IF(ISNA(MATCH(606,'Transfer Engine'!$C$2:$C$679,0)),"",INDEX('Compliance Database'!$M$2:$M$679,MATCH(606,'Transfer Engine'!$C$2:$C$679,0)))</f>
        <v/>
      </c>
      <c r="N615" s="8">
        <f>IF(ISNA(MATCH(606,'Transfer Engine'!$C$2:$C$679,0)),"",INDEX('Compliance Database'!$N$2:$N$679,MATCH(606,'Transfer Engine'!$C$2:$C$679,0)))</f>
        <v/>
      </c>
      <c r="O615" s="8">
        <f>IF(ISNA(MATCH(606,'Transfer Engine'!$C$2:$C$679,0)),"",INDEX('Compliance Database'!$O$2:$O$679,MATCH(606,'Transfer Engine'!$C$2:$C$679,0)))</f>
        <v/>
      </c>
      <c r="P615">
        <f>IF(ISNA(MATCH(606,'Transfer Engine'!$C$2:$C$679,0)),"",HYPERLINK(INDEX('Compliance Database'!$P$2:$P$679,MATCH(606,'Transfer Engine'!$C$2:$C$679,0)),"Open PDF"))</f>
        <v/>
      </c>
    </row>
    <row r="616">
      <c r="A616">
        <f>IF(ISNA(MATCH(607,'Transfer Engine'!$C$2:$C$679,0)),"",INDEX('Compliance Database'!$A$2:$A$679,MATCH(607,'Transfer Engine'!$C$2:$C$679,0)))</f>
        <v/>
      </c>
      <c r="B616">
        <f>IF(ISNA(MATCH(607,'Transfer Engine'!$C$2:$C$679,0)),"",INDEX('Compliance Database'!$B$2:$B$679,MATCH(607,'Transfer Engine'!$C$2:$C$679,0)))</f>
        <v/>
      </c>
      <c r="C616">
        <f>IF(ISNA(MATCH(607,'Transfer Engine'!$C$2:$C$679,0)),"",INDEX('Compliance Database'!$C$2:$C$679,MATCH(607,'Transfer Engine'!$C$2:$C$679,0)))</f>
        <v/>
      </c>
      <c r="D616" s="8">
        <f>IF(ISNA(MATCH(607,'Transfer Engine'!$C$2:$C$679,0)),"",INDEX('Compliance Database'!$D$2:$D$679,MATCH(607,'Transfer Engine'!$C$2:$C$679,0)))</f>
        <v/>
      </c>
      <c r="E616">
        <f>IF(ISNA(MATCH(607,'Transfer Engine'!$C$2:$C$679,0)),"",INDEX('Compliance Database'!$E$2:$E$679,MATCH(607,'Transfer Engine'!$C$2:$C$679,0)))</f>
        <v/>
      </c>
      <c r="F616">
        <f>IF(ISNA(MATCH(607,'Transfer Engine'!$C$2:$C$679,0)),"",INDEX('Compliance Database'!$F$2:$F$679,MATCH(607,'Transfer Engine'!$C$2:$C$679,0)))</f>
        <v/>
      </c>
      <c r="G616">
        <f>IF(ISNA(MATCH(607,'Transfer Engine'!$C$2:$C$679,0)),"",INDEX('Compliance Database'!$G$2:$G$679,MATCH(607,'Transfer Engine'!$C$2:$C$679,0)))</f>
        <v/>
      </c>
      <c r="H616">
        <f>IF(ISNA(MATCH(607,'Transfer Engine'!$C$2:$C$679,0)),"",INDEX('Compliance Database'!$H$2:$H$679,MATCH(607,'Transfer Engine'!$C$2:$C$679,0)))</f>
        <v/>
      </c>
      <c r="I616" s="8">
        <f>IF(ISNA(MATCH(607,'Transfer Engine'!$C$2:$C$679,0)),"",INDEX('Compliance Database'!$I$2:$I$679,MATCH(607,'Transfer Engine'!$C$2:$C$679,0)))</f>
        <v/>
      </c>
      <c r="J616" s="8">
        <f>IF(ISNA(MATCH(607,'Transfer Engine'!$C$2:$C$679,0)),"",INDEX('Compliance Database'!$J$2:$J$679,MATCH(607,'Transfer Engine'!$C$2:$C$679,0)))</f>
        <v/>
      </c>
      <c r="K616">
        <f>IF(ISNA(MATCH(607,'Transfer Engine'!$C$2:$C$679,0)),"",INDEX('Compliance Database'!$K$2:$K$679,MATCH(607,'Transfer Engine'!$C$2:$C$679,0)))</f>
        <v/>
      </c>
      <c r="L616" s="8">
        <f>IF(ISNA(MATCH(607,'Transfer Engine'!$C$2:$C$679,0)),"",INDEX('Compliance Database'!$L$2:$L$679,MATCH(607,'Transfer Engine'!$C$2:$C$679,0)))</f>
        <v/>
      </c>
      <c r="M616" s="8">
        <f>IF(ISNA(MATCH(607,'Transfer Engine'!$C$2:$C$679,0)),"",INDEX('Compliance Database'!$M$2:$M$679,MATCH(607,'Transfer Engine'!$C$2:$C$679,0)))</f>
        <v/>
      </c>
      <c r="N616" s="8">
        <f>IF(ISNA(MATCH(607,'Transfer Engine'!$C$2:$C$679,0)),"",INDEX('Compliance Database'!$N$2:$N$679,MATCH(607,'Transfer Engine'!$C$2:$C$679,0)))</f>
        <v/>
      </c>
      <c r="O616" s="8">
        <f>IF(ISNA(MATCH(607,'Transfer Engine'!$C$2:$C$679,0)),"",INDEX('Compliance Database'!$O$2:$O$679,MATCH(607,'Transfer Engine'!$C$2:$C$679,0)))</f>
        <v/>
      </c>
      <c r="P616">
        <f>IF(ISNA(MATCH(607,'Transfer Engine'!$C$2:$C$679,0)),"",HYPERLINK(INDEX('Compliance Database'!$P$2:$P$679,MATCH(607,'Transfer Engine'!$C$2:$C$679,0)),"Open PDF"))</f>
        <v/>
      </c>
    </row>
    <row r="617">
      <c r="A617">
        <f>IF(ISNA(MATCH(608,'Transfer Engine'!$C$2:$C$679,0)),"",INDEX('Compliance Database'!$A$2:$A$679,MATCH(608,'Transfer Engine'!$C$2:$C$679,0)))</f>
        <v/>
      </c>
      <c r="B617">
        <f>IF(ISNA(MATCH(608,'Transfer Engine'!$C$2:$C$679,0)),"",INDEX('Compliance Database'!$B$2:$B$679,MATCH(608,'Transfer Engine'!$C$2:$C$679,0)))</f>
        <v/>
      </c>
      <c r="C617">
        <f>IF(ISNA(MATCH(608,'Transfer Engine'!$C$2:$C$679,0)),"",INDEX('Compliance Database'!$C$2:$C$679,MATCH(608,'Transfer Engine'!$C$2:$C$679,0)))</f>
        <v/>
      </c>
      <c r="D617" s="8">
        <f>IF(ISNA(MATCH(608,'Transfer Engine'!$C$2:$C$679,0)),"",INDEX('Compliance Database'!$D$2:$D$679,MATCH(608,'Transfer Engine'!$C$2:$C$679,0)))</f>
        <v/>
      </c>
      <c r="E617">
        <f>IF(ISNA(MATCH(608,'Transfer Engine'!$C$2:$C$679,0)),"",INDEX('Compliance Database'!$E$2:$E$679,MATCH(608,'Transfer Engine'!$C$2:$C$679,0)))</f>
        <v/>
      </c>
      <c r="F617">
        <f>IF(ISNA(MATCH(608,'Transfer Engine'!$C$2:$C$679,0)),"",INDEX('Compliance Database'!$F$2:$F$679,MATCH(608,'Transfer Engine'!$C$2:$C$679,0)))</f>
        <v/>
      </c>
      <c r="G617">
        <f>IF(ISNA(MATCH(608,'Transfer Engine'!$C$2:$C$679,0)),"",INDEX('Compliance Database'!$G$2:$G$679,MATCH(608,'Transfer Engine'!$C$2:$C$679,0)))</f>
        <v/>
      </c>
      <c r="H617">
        <f>IF(ISNA(MATCH(608,'Transfer Engine'!$C$2:$C$679,0)),"",INDEX('Compliance Database'!$H$2:$H$679,MATCH(608,'Transfer Engine'!$C$2:$C$679,0)))</f>
        <v/>
      </c>
      <c r="I617" s="8">
        <f>IF(ISNA(MATCH(608,'Transfer Engine'!$C$2:$C$679,0)),"",INDEX('Compliance Database'!$I$2:$I$679,MATCH(608,'Transfer Engine'!$C$2:$C$679,0)))</f>
        <v/>
      </c>
      <c r="J617" s="8">
        <f>IF(ISNA(MATCH(608,'Transfer Engine'!$C$2:$C$679,0)),"",INDEX('Compliance Database'!$J$2:$J$679,MATCH(608,'Transfer Engine'!$C$2:$C$679,0)))</f>
        <v/>
      </c>
      <c r="K617">
        <f>IF(ISNA(MATCH(608,'Transfer Engine'!$C$2:$C$679,0)),"",INDEX('Compliance Database'!$K$2:$K$679,MATCH(608,'Transfer Engine'!$C$2:$C$679,0)))</f>
        <v/>
      </c>
      <c r="L617" s="8">
        <f>IF(ISNA(MATCH(608,'Transfer Engine'!$C$2:$C$679,0)),"",INDEX('Compliance Database'!$L$2:$L$679,MATCH(608,'Transfer Engine'!$C$2:$C$679,0)))</f>
        <v/>
      </c>
      <c r="M617" s="8">
        <f>IF(ISNA(MATCH(608,'Transfer Engine'!$C$2:$C$679,0)),"",INDEX('Compliance Database'!$M$2:$M$679,MATCH(608,'Transfer Engine'!$C$2:$C$679,0)))</f>
        <v/>
      </c>
      <c r="N617" s="8">
        <f>IF(ISNA(MATCH(608,'Transfer Engine'!$C$2:$C$679,0)),"",INDEX('Compliance Database'!$N$2:$N$679,MATCH(608,'Transfer Engine'!$C$2:$C$679,0)))</f>
        <v/>
      </c>
      <c r="O617" s="8">
        <f>IF(ISNA(MATCH(608,'Transfer Engine'!$C$2:$C$679,0)),"",INDEX('Compliance Database'!$O$2:$O$679,MATCH(608,'Transfer Engine'!$C$2:$C$679,0)))</f>
        <v/>
      </c>
      <c r="P617">
        <f>IF(ISNA(MATCH(608,'Transfer Engine'!$C$2:$C$679,0)),"",HYPERLINK(INDEX('Compliance Database'!$P$2:$P$679,MATCH(608,'Transfer Engine'!$C$2:$C$679,0)),"Open PDF"))</f>
        <v/>
      </c>
    </row>
    <row r="618">
      <c r="A618">
        <f>IF(ISNA(MATCH(609,'Transfer Engine'!$C$2:$C$679,0)),"",INDEX('Compliance Database'!$A$2:$A$679,MATCH(609,'Transfer Engine'!$C$2:$C$679,0)))</f>
        <v/>
      </c>
      <c r="B618">
        <f>IF(ISNA(MATCH(609,'Transfer Engine'!$C$2:$C$679,0)),"",INDEX('Compliance Database'!$B$2:$B$679,MATCH(609,'Transfer Engine'!$C$2:$C$679,0)))</f>
        <v/>
      </c>
      <c r="C618">
        <f>IF(ISNA(MATCH(609,'Transfer Engine'!$C$2:$C$679,0)),"",INDEX('Compliance Database'!$C$2:$C$679,MATCH(609,'Transfer Engine'!$C$2:$C$679,0)))</f>
        <v/>
      </c>
      <c r="D618" s="8">
        <f>IF(ISNA(MATCH(609,'Transfer Engine'!$C$2:$C$679,0)),"",INDEX('Compliance Database'!$D$2:$D$679,MATCH(609,'Transfer Engine'!$C$2:$C$679,0)))</f>
        <v/>
      </c>
      <c r="E618">
        <f>IF(ISNA(MATCH(609,'Transfer Engine'!$C$2:$C$679,0)),"",INDEX('Compliance Database'!$E$2:$E$679,MATCH(609,'Transfer Engine'!$C$2:$C$679,0)))</f>
        <v/>
      </c>
      <c r="F618">
        <f>IF(ISNA(MATCH(609,'Transfer Engine'!$C$2:$C$679,0)),"",INDEX('Compliance Database'!$F$2:$F$679,MATCH(609,'Transfer Engine'!$C$2:$C$679,0)))</f>
        <v/>
      </c>
      <c r="G618">
        <f>IF(ISNA(MATCH(609,'Transfer Engine'!$C$2:$C$679,0)),"",INDEX('Compliance Database'!$G$2:$G$679,MATCH(609,'Transfer Engine'!$C$2:$C$679,0)))</f>
        <v/>
      </c>
      <c r="H618">
        <f>IF(ISNA(MATCH(609,'Transfer Engine'!$C$2:$C$679,0)),"",INDEX('Compliance Database'!$H$2:$H$679,MATCH(609,'Transfer Engine'!$C$2:$C$679,0)))</f>
        <v/>
      </c>
      <c r="I618" s="8">
        <f>IF(ISNA(MATCH(609,'Transfer Engine'!$C$2:$C$679,0)),"",INDEX('Compliance Database'!$I$2:$I$679,MATCH(609,'Transfer Engine'!$C$2:$C$679,0)))</f>
        <v/>
      </c>
      <c r="J618" s="8">
        <f>IF(ISNA(MATCH(609,'Transfer Engine'!$C$2:$C$679,0)),"",INDEX('Compliance Database'!$J$2:$J$679,MATCH(609,'Transfer Engine'!$C$2:$C$679,0)))</f>
        <v/>
      </c>
      <c r="K618">
        <f>IF(ISNA(MATCH(609,'Transfer Engine'!$C$2:$C$679,0)),"",INDEX('Compliance Database'!$K$2:$K$679,MATCH(609,'Transfer Engine'!$C$2:$C$679,0)))</f>
        <v/>
      </c>
      <c r="L618" s="8">
        <f>IF(ISNA(MATCH(609,'Transfer Engine'!$C$2:$C$679,0)),"",INDEX('Compliance Database'!$L$2:$L$679,MATCH(609,'Transfer Engine'!$C$2:$C$679,0)))</f>
        <v/>
      </c>
      <c r="M618" s="8">
        <f>IF(ISNA(MATCH(609,'Transfer Engine'!$C$2:$C$679,0)),"",INDEX('Compliance Database'!$M$2:$M$679,MATCH(609,'Transfer Engine'!$C$2:$C$679,0)))</f>
        <v/>
      </c>
      <c r="N618" s="8">
        <f>IF(ISNA(MATCH(609,'Transfer Engine'!$C$2:$C$679,0)),"",INDEX('Compliance Database'!$N$2:$N$679,MATCH(609,'Transfer Engine'!$C$2:$C$679,0)))</f>
        <v/>
      </c>
      <c r="O618" s="8">
        <f>IF(ISNA(MATCH(609,'Transfer Engine'!$C$2:$C$679,0)),"",INDEX('Compliance Database'!$O$2:$O$679,MATCH(609,'Transfer Engine'!$C$2:$C$679,0)))</f>
        <v/>
      </c>
      <c r="P618">
        <f>IF(ISNA(MATCH(609,'Transfer Engine'!$C$2:$C$679,0)),"",HYPERLINK(INDEX('Compliance Database'!$P$2:$P$679,MATCH(609,'Transfer Engine'!$C$2:$C$679,0)),"Open PDF"))</f>
        <v/>
      </c>
    </row>
    <row r="619">
      <c r="A619">
        <f>IF(ISNA(MATCH(610,'Transfer Engine'!$C$2:$C$679,0)),"",INDEX('Compliance Database'!$A$2:$A$679,MATCH(610,'Transfer Engine'!$C$2:$C$679,0)))</f>
        <v/>
      </c>
      <c r="B619">
        <f>IF(ISNA(MATCH(610,'Transfer Engine'!$C$2:$C$679,0)),"",INDEX('Compliance Database'!$B$2:$B$679,MATCH(610,'Transfer Engine'!$C$2:$C$679,0)))</f>
        <v/>
      </c>
      <c r="C619">
        <f>IF(ISNA(MATCH(610,'Transfer Engine'!$C$2:$C$679,0)),"",INDEX('Compliance Database'!$C$2:$C$679,MATCH(610,'Transfer Engine'!$C$2:$C$679,0)))</f>
        <v/>
      </c>
      <c r="D619" s="8">
        <f>IF(ISNA(MATCH(610,'Transfer Engine'!$C$2:$C$679,0)),"",INDEX('Compliance Database'!$D$2:$D$679,MATCH(610,'Transfer Engine'!$C$2:$C$679,0)))</f>
        <v/>
      </c>
      <c r="E619">
        <f>IF(ISNA(MATCH(610,'Transfer Engine'!$C$2:$C$679,0)),"",INDEX('Compliance Database'!$E$2:$E$679,MATCH(610,'Transfer Engine'!$C$2:$C$679,0)))</f>
        <v/>
      </c>
      <c r="F619">
        <f>IF(ISNA(MATCH(610,'Transfer Engine'!$C$2:$C$679,0)),"",INDEX('Compliance Database'!$F$2:$F$679,MATCH(610,'Transfer Engine'!$C$2:$C$679,0)))</f>
        <v/>
      </c>
      <c r="G619">
        <f>IF(ISNA(MATCH(610,'Transfer Engine'!$C$2:$C$679,0)),"",INDEX('Compliance Database'!$G$2:$G$679,MATCH(610,'Transfer Engine'!$C$2:$C$679,0)))</f>
        <v/>
      </c>
      <c r="H619">
        <f>IF(ISNA(MATCH(610,'Transfer Engine'!$C$2:$C$679,0)),"",INDEX('Compliance Database'!$H$2:$H$679,MATCH(610,'Transfer Engine'!$C$2:$C$679,0)))</f>
        <v/>
      </c>
      <c r="I619" s="8">
        <f>IF(ISNA(MATCH(610,'Transfer Engine'!$C$2:$C$679,0)),"",INDEX('Compliance Database'!$I$2:$I$679,MATCH(610,'Transfer Engine'!$C$2:$C$679,0)))</f>
        <v/>
      </c>
      <c r="J619" s="8">
        <f>IF(ISNA(MATCH(610,'Transfer Engine'!$C$2:$C$679,0)),"",INDEX('Compliance Database'!$J$2:$J$679,MATCH(610,'Transfer Engine'!$C$2:$C$679,0)))</f>
        <v/>
      </c>
      <c r="K619">
        <f>IF(ISNA(MATCH(610,'Transfer Engine'!$C$2:$C$679,0)),"",INDEX('Compliance Database'!$K$2:$K$679,MATCH(610,'Transfer Engine'!$C$2:$C$679,0)))</f>
        <v/>
      </c>
      <c r="L619" s="8">
        <f>IF(ISNA(MATCH(610,'Transfer Engine'!$C$2:$C$679,0)),"",INDEX('Compliance Database'!$L$2:$L$679,MATCH(610,'Transfer Engine'!$C$2:$C$679,0)))</f>
        <v/>
      </c>
      <c r="M619" s="8">
        <f>IF(ISNA(MATCH(610,'Transfer Engine'!$C$2:$C$679,0)),"",INDEX('Compliance Database'!$M$2:$M$679,MATCH(610,'Transfer Engine'!$C$2:$C$679,0)))</f>
        <v/>
      </c>
      <c r="N619" s="8">
        <f>IF(ISNA(MATCH(610,'Transfer Engine'!$C$2:$C$679,0)),"",INDEX('Compliance Database'!$N$2:$N$679,MATCH(610,'Transfer Engine'!$C$2:$C$679,0)))</f>
        <v/>
      </c>
      <c r="O619" s="8">
        <f>IF(ISNA(MATCH(610,'Transfer Engine'!$C$2:$C$679,0)),"",INDEX('Compliance Database'!$O$2:$O$679,MATCH(610,'Transfer Engine'!$C$2:$C$679,0)))</f>
        <v/>
      </c>
      <c r="P619">
        <f>IF(ISNA(MATCH(610,'Transfer Engine'!$C$2:$C$679,0)),"",HYPERLINK(INDEX('Compliance Database'!$P$2:$P$679,MATCH(610,'Transfer Engine'!$C$2:$C$679,0)),"Open PDF"))</f>
        <v/>
      </c>
    </row>
    <row r="620">
      <c r="A620">
        <f>IF(ISNA(MATCH(611,'Transfer Engine'!$C$2:$C$679,0)),"",INDEX('Compliance Database'!$A$2:$A$679,MATCH(611,'Transfer Engine'!$C$2:$C$679,0)))</f>
        <v/>
      </c>
      <c r="B620">
        <f>IF(ISNA(MATCH(611,'Transfer Engine'!$C$2:$C$679,0)),"",INDEX('Compliance Database'!$B$2:$B$679,MATCH(611,'Transfer Engine'!$C$2:$C$679,0)))</f>
        <v/>
      </c>
      <c r="C620">
        <f>IF(ISNA(MATCH(611,'Transfer Engine'!$C$2:$C$679,0)),"",INDEX('Compliance Database'!$C$2:$C$679,MATCH(611,'Transfer Engine'!$C$2:$C$679,0)))</f>
        <v/>
      </c>
      <c r="D620" s="8">
        <f>IF(ISNA(MATCH(611,'Transfer Engine'!$C$2:$C$679,0)),"",INDEX('Compliance Database'!$D$2:$D$679,MATCH(611,'Transfer Engine'!$C$2:$C$679,0)))</f>
        <v/>
      </c>
      <c r="E620">
        <f>IF(ISNA(MATCH(611,'Transfer Engine'!$C$2:$C$679,0)),"",INDEX('Compliance Database'!$E$2:$E$679,MATCH(611,'Transfer Engine'!$C$2:$C$679,0)))</f>
        <v/>
      </c>
      <c r="F620">
        <f>IF(ISNA(MATCH(611,'Transfer Engine'!$C$2:$C$679,0)),"",INDEX('Compliance Database'!$F$2:$F$679,MATCH(611,'Transfer Engine'!$C$2:$C$679,0)))</f>
        <v/>
      </c>
      <c r="G620">
        <f>IF(ISNA(MATCH(611,'Transfer Engine'!$C$2:$C$679,0)),"",INDEX('Compliance Database'!$G$2:$G$679,MATCH(611,'Transfer Engine'!$C$2:$C$679,0)))</f>
        <v/>
      </c>
      <c r="H620">
        <f>IF(ISNA(MATCH(611,'Transfer Engine'!$C$2:$C$679,0)),"",INDEX('Compliance Database'!$H$2:$H$679,MATCH(611,'Transfer Engine'!$C$2:$C$679,0)))</f>
        <v/>
      </c>
      <c r="I620" s="8">
        <f>IF(ISNA(MATCH(611,'Transfer Engine'!$C$2:$C$679,0)),"",INDEX('Compliance Database'!$I$2:$I$679,MATCH(611,'Transfer Engine'!$C$2:$C$679,0)))</f>
        <v/>
      </c>
      <c r="J620" s="8">
        <f>IF(ISNA(MATCH(611,'Transfer Engine'!$C$2:$C$679,0)),"",INDEX('Compliance Database'!$J$2:$J$679,MATCH(611,'Transfer Engine'!$C$2:$C$679,0)))</f>
        <v/>
      </c>
      <c r="K620">
        <f>IF(ISNA(MATCH(611,'Transfer Engine'!$C$2:$C$679,0)),"",INDEX('Compliance Database'!$K$2:$K$679,MATCH(611,'Transfer Engine'!$C$2:$C$679,0)))</f>
        <v/>
      </c>
      <c r="L620" s="8">
        <f>IF(ISNA(MATCH(611,'Transfer Engine'!$C$2:$C$679,0)),"",INDEX('Compliance Database'!$L$2:$L$679,MATCH(611,'Transfer Engine'!$C$2:$C$679,0)))</f>
        <v/>
      </c>
      <c r="M620" s="8">
        <f>IF(ISNA(MATCH(611,'Transfer Engine'!$C$2:$C$679,0)),"",INDEX('Compliance Database'!$M$2:$M$679,MATCH(611,'Transfer Engine'!$C$2:$C$679,0)))</f>
        <v/>
      </c>
      <c r="N620" s="8">
        <f>IF(ISNA(MATCH(611,'Transfer Engine'!$C$2:$C$679,0)),"",INDEX('Compliance Database'!$N$2:$N$679,MATCH(611,'Transfer Engine'!$C$2:$C$679,0)))</f>
        <v/>
      </c>
      <c r="O620" s="8">
        <f>IF(ISNA(MATCH(611,'Transfer Engine'!$C$2:$C$679,0)),"",INDEX('Compliance Database'!$O$2:$O$679,MATCH(611,'Transfer Engine'!$C$2:$C$679,0)))</f>
        <v/>
      </c>
      <c r="P620">
        <f>IF(ISNA(MATCH(611,'Transfer Engine'!$C$2:$C$679,0)),"",HYPERLINK(INDEX('Compliance Database'!$P$2:$P$679,MATCH(611,'Transfer Engine'!$C$2:$C$679,0)),"Open PDF"))</f>
        <v/>
      </c>
    </row>
    <row r="621">
      <c r="A621">
        <f>IF(ISNA(MATCH(612,'Transfer Engine'!$C$2:$C$679,0)),"",INDEX('Compliance Database'!$A$2:$A$679,MATCH(612,'Transfer Engine'!$C$2:$C$679,0)))</f>
        <v/>
      </c>
      <c r="B621">
        <f>IF(ISNA(MATCH(612,'Transfer Engine'!$C$2:$C$679,0)),"",INDEX('Compliance Database'!$B$2:$B$679,MATCH(612,'Transfer Engine'!$C$2:$C$679,0)))</f>
        <v/>
      </c>
      <c r="C621">
        <f>IF(ISNA(MATCH(612,'Transfer Engine'!$C$2:$C$679,0)),"",INDEX('Compliance Database'!$C$2:$C$679,MATCH(612,'Transfer Engine'!$C$2:$C$679,0)))</f>
        <v/>
      </c>
      <c r="D621" s="8">
        <f>IF(ISNA(MATCH(612,'Transfer Engine'!$C$2:$C$679,0)),"",INDEX('Compliance Database'!$D$2:$D$679,MATCH(612,'Transfer Engine'!$C$2:$C$679,0)))</f>
        <v/>
      </c>
      <c r="E621">
        <f>IF(ISNA(MATCH(612,'Transfer Engine'!$C$2:$C$679,0)),"",INDEX('Compliance Database'!$E$2:$E$679,MATCH(612,'Transfer Engine'!$C$2:$C$679,0)))</f>
        <v/>
      </c>
      <c r="F621">
        <f>IF(ISNA(MATCH(612,'Transfer Engine'!$C$2:$C$679,0)),"",INDEX('Compliance Database'!$F$2:$F$679,MATCH(612,'Transfer Engine'!$C$2:$C$679,0)))</f>
        <v/>
      </c>
      <c r="G621">
        <f>IF(ISNA(MATCH(612,'Transfer Engine'!$C$2:$C$679,0)),"",INDEX('Compliance Database'!$G$2:$G$679,MATCH(612,'Transfer Engine'!$C$2:$C$679,0)))</f>
        <v/>
      </c>
      <c r="H621">
        <f>IF(ISNA(MATCH(612,'Transfer Engine'!$C$2:$C$679,0)),"",INDEX('Compliance Database'!$H$2:$H$679,MATCH(612,'Transfer Engine'!$C$2:$C$679,0)))</f>
        <v/>
      </c>
      <c r="I621" s="8">
        <f>IF(ISNA(MATCH(612,'Transfer Engine'!$C$2:$C$679,0)),"",INDEX('Compliance Database'!$I$2:$I$679,MATCH(612,'Transfer Engine'!$C$2:$C$679,0)))</f>
        <v/>
      </c>
      <c r="J621" s="8">
        <f>IF(ISNA(MATCH(612,'Transfer Engine'!$C$2:$C$679,0)),"",INDEX('Compliance Database'!$J$2:$J$679,MATCH(612,'Transfer Engine'!$C$2:$C$679,0)))</f>
        <v/>
      </c>
      <c r="K621">
        <f>IF(ISNA(MATCH(612,'Transfer Engine'!$C$2:$C$679,0)),"",INDEX('Compliance Database'!$K$2:$K$679,MATCH(612,'Transfer Engine'!$C$2:$C$679,0)))</f>
        <v/>
      </c>
      <c r="L621" s="8">
        <f>IF(ISNA(MATCH(612,'Transfer Engine'!$C$2:$C$679,0)),"",INDEX('Compliance Database'!$L$2:$L$679,MATCH(612,'Transfer Engine'!$C$2:$C$679,0)))</f>
        <v/>
      </c>
      <c r="M621" s="8">
        <f>IF(ISNA(MATCH(612,'Transfer Engine'!$C$2:$C$679,0)),"",INDEX('Compliance Database'!$M$2:$M$679,MATCH(612,'Transfer Engine'!$C$2:$C$679,0)))</f>
        <v/>
      </c>
      <c r="N621" s="8">
        <f>IF(ISNA(MATCH(612,'Transfer Engine'!$C$2:$C$679,0)),"",INDEX('Compliance Database'!$N$2:$N$679,MATCH(612,'Transfer Engine'!$C$2:$C$679,0)))</f>
        <v/>
      </c>
      <c r="O621" s="8">
        <f>IF(ISNA(MATCH(612,'Transfer Engine'!$C$2:$C$679,0)),"",INDEX('Compliance Database'!$O$2:$O$679,MATCH(612,'Transfer Engine'!$C$2:$C$679,0)))</f>
        <v/>
      </c>
      <c r="P621">
        <f>IF(ISNA(MATCH(612,'Transfer Engine'!$C$2:$C$679,0)),"",HYPERLINK(INDEX('Compliance Database'!$P$2:$P$679,MATCH(612,'Transfer Engine'!$C$2:$C$679,0)),"Open PDF"))</f>
        <v/>
      </c>
    </row>
    <row r="622">
      <c r="A622">
        <f>IF(ISNA(MATCH(613,'Transfer Engine'!$C$2:$C$679,0)),"",INDEX('Compliance Database'!$A$2:$A$679,MATCH(613,'Transfer Engine'!$C$2:$C$679,0)))</f>
        <v/>
      </c>
      <c r="B622">
        <f>IF(ISNA(MATCH(613,'Transfer Engine'!$C$2:$C$679,0)),"",INDEX('Compliance Database'!$B$2:$B$679,MATCH(613,'Transfer Engine'!$C$2:$C$679,0)))</f>
        <v/>
      </c>
      <c r="C622">
        <f>IF(ISNA(MATCH(613,'Transfer Engine'!$C$2:$C$679,0)),"",INDEX('Compliance Database'!$C$2:$C$679,MATCH(613,'Transfer Engine'!$C$2:$C$679,0)))</f>
        <v/>
      </c>
      <c r="D622" s="8">
        <f>IF(ISNA(MATCH(613,'Transfer Engine'!$C$2:$C$679,0)),"",INDEX('Compliance Database'!$D$2:$D$679,MATCH(613,'Transfer Engine'!$C$2:$C$679,0)))</f>
        <v/>
      </c>
      <c r="E622">
        <f>IF(ISNA(MATCH(613,'Transfer Engine'!$C$2:$C$679,0)),"",INDEX('Compliance Database'!$E$2:$E$679,MATCH(613,'Transfer Engine'!$C$2:$C$679,0)))</f>
        <v/>
      </c>
      <c r="F622">
        <f>IF(ISNA(MATCH(613,'Transfer Engine'!$C$2:$C$679,0)),"",INDEX('Compliance Database'!$F$2:$F$679,MATCH(613,'Transfer Engine'!$C$2:$C$679,0)))</f>
        <v/>
      </c>
      <c r="G622">
        <f>IF(ISNA(MATCH(613,'Transfer Engine'!$C$2:$C$679,0)),"",INDEX('Compliance Database'!$G$2:$G$679,MATCH(613,'Transfer Engine'!$C$2:$C$679,0)))</f>
        <v/>
      </c>
      <c r="H622">
        <f>IF(ISNA(MATCH(613,'Transfer Engine'!$C$2:$C$679,0)),"",INDEX('Compliance Database'!$H$2:$H$679,MATCH(613,'Transfer Engine'!$C$2:$C$679,0)))</f>
        <v/>
      </c>
      <c r="I622" s="8">
        <f>IF(ISNA(MATCH(613,'Transfer Engine'!$C$2:$C$679,0)),"",INDEX('Compliance Database'!$I$2:$I$679,MATCH(613,'Transfer Engine'!$C$2:$C$679,0)))</f>
        <v/>
      </c>
      <c r="J622" s="8">
        <f>IF(ISNA(MATCH(613,'Transfer Engine'!$C$2:$C$679,0)),"",INDEX('Compliance Database'!$J$2:$J$679,MATCH(613,'Transfer Engine'!$C$2:$C$679,0)))</f>
        <v/>
      </c>
      <c r="K622">
        <f>IF(ISNA(MATCH(613,'Transfer Engine'!$C$2:$C$679,0)),"",INDEX('Compliance Database'!$K$2:$K$679,MATCH(613,'Transfer Engine'!$C$2:$C$679,0)))</f>
        <v/>
      </c>
      <c r="L622" s="8">
        <f>IF(ISNA(MATCH(613,'Transfer Engine'!$C$2:$C$679,0)),"",INDEX('Compliance Database'!$L$2:$L$679,MATCH(613,'Transfer Engine'!$C$2:$C$679,0)))</f>
        <v/>
      </c>
      <c r="M622" s="8">
        <f>IF(ISNA(MATCH(613,'Transfer Engine'!$C$2:$C$679,0)),"",INDEX('Compliance Database'!$M$2:$M$679,MATCH(613,'Transfer Engine'!$C$2:$C$679,0)))</f>
        <v/>
      </c>
      <c r="N622" s="8">
        <f>IF(ISNA(MATCH(613,'Transfer Engine'!$C$2:$C$679,0)),"",INDEX('Compliance Database'!$N$2:$N$679,MATCH(613,'Transfer Engine'!$C$2:$C$679,0)))</f>
        <v/>
      </c>
      <c r="O622" s="8">
        <f>IF(ISNA(MATCH(613,'Transfer Engine'!$C$2:$C$679,0)),"",INDEX('Compliance Database'!$O$2:$O$679,MATCH(613,'Transfer Engine'!$C$2:$C$679,0)))</f>
        <v/>
      </c>
      <c r="P622">
        <f>IF(ISNA(MATCH(613,'Transfer Engine'!$C$2:$C$679,0)),"",HYPERLINK(INDEX('Compliance Database'!$P$2:$P$679,MATCH(613,'Transfer Engine'!$C$2:$C$679,0)),"Open PDF"))</f>
        <v/>
      </c>
    </row>
    <row r="623">
      <c r="A623">
        <f>IF(ISNA(MATCH(614,'Transfer Engine'!$C$2:$C$679,0)),"",INDEX('Compliance Database'!$A$2:$A$679,MATCH(614,'Transfer Engine'!$C$2:$C$679,0)))</f>
        <v/>
      </c>
      <c r="B623">
        <f>IF(ISNA(MATCH(614,'Transfer Engine'!$C$2:$C$679,0)),"",INDEX('Compliance Database'!$B$2:$B$679,MATCH(614,'Transfer Engine'!$C$2:$C$679,0)))</f>
        <v/>
      </c>
      <c r="C623">
        <f>IF(ISNA(MATCH(614,'Transfer Engine'!$C$2:$C$679,0)),"",INDEX('Compliance Database'!$C$2:$C$679,MATCH(614,'Transfer Engine'!$C$2:$C$679,0)))</f>
        <v/>
      </c>
      <c r="D623" s="8">
        <f>IF(ISNA(MATCH(614,'Transfer Engine'!$C$2:$C$679,0)),"",INDEX('Compliance Database'!$D$2:$D$679,MATCH(614,'Transfer Engine'!$C$2:$C$679,0)))</f>
        <v/>
      </c>
      <c r="E623">
        <f>IF(ISNA(MATCH(614,'Transfer Engine'!$C$2:$C$679,0)),"",INDEX('Compliance Database'!$E$2:$E$679,MATCH(614,'Transfer Engine'!$C$2:$C$679,0)))</f>
        <v/>
      </c>
      <c r="F623">
        <f>IF(ISNA(MATCH(614,'Transfer Engine'!$C$2:$C$679,0)),"",INDEX('Compliance Database'!$F$2:$F$679,MATCH(614,'Transfer Engine'!$C$2:$C$679,0)))</f>
        <v/>
      </c>
      <c r="G623">
        <f>IF(ISNA(MATCH(614,'Transfer Engine'!$C$2:$C$679,0)),"",INDEX('Compliance Database'!$G$2:$G$679,MATCH(614,'Transfer Engine'!$C$2:$C$679,0)))</f>
        <v/>
      </c>
      <c r="H623">
        <f>IF(ISNA(MATCH(614,'Transfer Engine'!$C$2:$C$679,0)),"",INDEX('Compliance Database'!$H$2:$H$679,MATCH(614,'Transfer Engine'!$C$2:$C$679,0)))</f>
        <v/>
      </c>
      <c r="I623" s="8">
        <f>IF(ISNA(MATCH(614,'Transfer Engine'!$C$2:$C$679,0)),"",INDEX('Compliance Database'!$I$2:$I$679,MATCH(614,'Transfer Engine'!$C$2:$C$679,0)))</f>
        <v/>
      </c>
      <c r="J623" s="8">
        <f>IF(ISNA(MATCH(614,'Transfer Engine'!$C$2:$C$679,0)),"",INDEX('Compliance Database'!$J$2:$J$679,MATCH(614,'Transfer Engine'!$C$2:$C$679,0)))</f>
        <v/>
      </c>
      <c r="K623">
        <f>IF(ISNA(MATCH(614,'Transfer Engine'!$C$2:$C$679,0)),"",INDEX('Compliance Database'!$K$2:$K$679,MATCH(614,'Transfer Engine'!$C$2:$C$679,0)))</f>
        <v/>
      </c>
      <c r="L623" s="8">
        <f>IF(ISNA(MATCH(614,'Transfer Engine'!$C$2:$C$679,0)),"",INDEX('Compliance Database'!$L$2:$L$679,MATCH(614,'Transfer Engine'!$C$2:$C$679,0)))</f>
        <v/>
      </c>
      <c r="M623" s="8">
        <f>IF(ISNA(MATCH(614,'Transfer Engine'!$C$2:$C$679,0)),"",INDEX('Compliance Database'!$M$2:$M$679,MATCH(614,'Transfer Engine'!$C$2:$C$679,0)))</f>
        <v/>
      </c>
      <c r="N623" s="8">
        <f>IF(ISNA(MATCH(614,'Transfer Engine'!$C$2:$C$679,0)),"",INDEX('Compliance Database'!$N$2:$N$679,MATCH(614,'Transfer Engine'!$C$2:$C$679,0)))</f>
        <v/>
      </c>
      <c r="O623" s="8">
        <f>IF(ISNA(MATCH(614,'Transfer Engine'!$C$2:$C$679,0)),"",INDEX('Compliance Database'!$O$2:$O$679,MATCH(614,'Transfer Engine'!$C$2:$C$679,0)))</f>
        <v/>
      </c>
      <c r="P623">
        <f>IF(ISNA(MATCH(614,'Transfer Engine'!$C$2:$C$679,0)),"",HYPERLINK(INDEX('Compliance Database'!$P$2:$P$679,MATCH(614,'Transfer Engine'!$C$2:$C$679,0)),"Open PDF"))</f>
        <v/>
      </c>
    </row>
    <row r="624">
      <c r="A624">
        <f>IF(ISNA(MATCH(615,'Transfer Engine'!$C$2:$C$679,0)),"",INDEX('Compliance Database'!$A$2:$A$679,MATCH(615,'Transfer Engine'!$C$2:$C$679,0)))</f>
        <v/>
      </c>
      <c r="B624">
        <f>IF(ISNA(MATCH(615,'Transfer Engine'!$C$2:$C$679,0)),"",INDEX('Compliance Database'!$B$2:$B$679,MATCH(615,'Transfer Engine'!$C$2:$C$679,0)))</f>
        <v/>
      </c>
      <c r="C624">
        <f>IF(ISNA(MATCH(615,'Transfer Engine'!$C$2:$C$679,0)),"",INDEX('Compliance Database'!$C$2:$C$679,MATCH(615,'Transfer Engine'!$C$2:$C$679,0)))</f>
        <v/>
      </c>
      <c r="D624" s="8">
        <f>IF(ISNA(MATCH(615,'Transfer Engine'!$C$2:$C$679,0)),"",INDEX('Compliance Database'!$D$2:$D$679,MATCH(615,'Transfer Engine'!$C$2:$C$679,0)))</f>
        <v/>
      </c>
      <c r="E624">
        <f>IF(ISNA(MATCH(615,'Transfer Engine'!$C$2:$C$679,0)),"",INDEX('Compliance Database'!$E$2:$E$679,MATCH(615,'Transfer Engine'!$C$2:$C$679,0)))</f>
        <v/>
      </c>
      <c r="F624">
        <f>IF(ISNA(MATCH(615,'Transfer Engine'!$C$2:$C$679,0)),"",INDEX('Compliance Database'!$F$2:$F$679,MATCH(615,'Transfer Engine'!$C$2:$C$679,0)))</f>
        <v/>
      </c>
      <c r="G624">
        <f>IF(ISNA(MATCH(615,'Transfer Engine'!$C$2:$C$679,0)),"",INDEX('Compliance Database'!$G$2:$G$679,MATCH(615,'Transfer Engine'!$C$2:$C$679,0)))</f>
        <v/>
      </c>
      <c r="H624">
        <f>IF(ISNA(MATCH(615,'Transfer Engine'!$C$2:$C$679,0)),"",INDEX('Compliance Database'!$H$2:$H$679,MATCH(615,'Transfer Engine'!$C$2:$C$679,0)))</f>
        <v/>
      </c>
      <c r="I624" s="8">
        <f>IF(ISNA(MATCH(615,'Transfer Engine'!$C$2:$C$679,0)),"",INDEX('Compliance Database'!$I$2:$I$679,MATCH(615,'Transfer Engine'!$C$2:$C$679,0)))</f>
        <v/>
      </c>
      <c r="J624" s="8">
        <f>IF(ISNA(MATCH(615,'Transfer Engine'!$C$2:$C$679,0)),"",INDEX('Compliance Database'!$J$2:$J$679,MATCH(615,'Transfer Engine'!$C$2:$C$679,0)))</f>
        <v/>
      </c>
      <c r="K624">
        <f>IF(ISNA(MATCH(615,'Transfer Engine'!$C$2:$C$679,0)),"",INDEX('Compliance Database'!$K$2:$K$679,MATCH(615,'Transfer Engine'!$C$2:$C$679,0)))</f>
        <v/>
      </c>
      <c r="L624" s="8">
        <f>IF(ISNA(MATCH(615,'Transfer Engine'!$C$2:$C$679,0)),"",INDEX('Compliance Database'!$L$2:$L$679,MATCH(615,'Transfer Engine'!$C$2:$C$679,0)))</f>
        <v/>
      </c>
      <c r="M624" s="8">
        <f>IF(ISNA(MATCH(615,'Transfer Engine'!$C$2:$C$679,0)),"",INDEX('Compliance Database'!$M$2:$M$679,MATCH(615,'Transfer Engine'!$C$2:$C$679,0)))</f>
        <v/>
      </c>
      <c r="N624" s="8">
        <f>IF(ISNA(MATCH(615,'Transfer Engine'!$C$2:$C$679,0)),"",INDEX('Compliance Database'!$N$2:$N$679,MATCH(615,'Transfer Engine'!$C$2:$C$679,0)))</f>
        <v/>
      </c>
      <c r="O624" s="8">
        <f>IF(ISNA(MATCH(615,'Transfer Engine'!$C$2:$C$679,0)),"",INDEX('Compliance Database'!$O$2:$O$679,MATCH(615,'Transfer Engine'!$C$2:$C$679,0)))</f>
        <v/>
      </c>
      <c r="P624">
        <f>IF(ISNA(MATCH(615,'Transfer Engine'!$C$2:$C$679,0)),"",HYPERLINK(INDEX('Compliance Database'!$P$2:$P$679,MATCH(615,'Transfer Engine'!$C$2:$C$679,0)),"Open PDF"))</f>
        <v/>
      </c>
    </row>
    <row r="625">
      <c r="A625">
        <f>IF(ISNA(MATCH(616,'Transfer Engine'!$C$2:$C$679,0)),"",INDEX('Compliance Database'!$A$2:$A$679,MATCH(616,'Transfer Engine'!$C$2:$C$679,0)))</f>
        <v/>
      </c>
      <c r="B625">
        <f>IF(ISNA(MATCH(616,'Transfer Engine'!$C$2:$C$679,0)),"",INDEX('Compliance Database'!$B$2:$B$679,MATCH(616,'Transfer Engine'!$C$2:$C$679,0)))</f>
        <v/>
      </c>
      <c r="C625">
        <f>IF(ISNA(MATCH(616,'Transfer Engine'!$C$2:$C$679,0)),"",INDEX('Compliance Database'!$C$2:$C$679,MATCH(616,'Transfer Engine'!$C$2:$C$679,0)))</f>
        <v/>
      </c>
      <c r="D625" s="8">
        <f>IF(ISNA(MATCH(616,'Transfer Engine'!$C$2:$C$679,0)),"",INDEX('Compliance Database'!$D$2:$D$679,MATCH(616,'Transfer Engine'!$C$2:$C$679,0)))</f>
        <v/>
      </c>
      <c r="E625">
        <f>IF(ISNA(MATCH(616,'Transfer Engine'!$C$2:$C$679,0)),"",INDEX('Compliance Database'!$E$2:$E$679,MATCH(616,'Transfer Engine'!$C$2:$C$679,0)))</f>
        <v/>
      </c>
      <c r="F625">
        <f>IF(ISNA(MATCH(616,'Transfer Engine'!$C$2:$C$679,0)),"",INDEX('Compliance Database'!$F$2:$F$679,MATCH(616,'Transfer Engine'!$C$2:$C$679,0)))</f>
        <v/>
      </c>
      <c r="G625">
        <f>IF(ISNA(MATCH(616,'Transfer Engine'!$C$2:$C$679,0)),"",INDEX('Compliance Database'!$G$2:$G$679,MATCH(616,'Transfer Engine'!$C$2:$C$679,0)))</f>
        <v/>
      </c>
      <c r="H625">
        <f>IF(ISNA(MATCH(616,'Transfer Engine'!$C$2:$C$679,0)),"",INDEX('Compliance Database'!$H$2:$H$679,MATCH(616,'Transfer Engine'!$C$2:$C$679,0)))</f>
        <v/>
      </c>
      <c r="I625" s="8">
        <f>IF(ISNA(MATCH(616,'Transfer Engine'!$C$2:$C$679,0)),"",INDEX('Compliance Database'!$I$2:$I$679,MATCH(616,'Transfer Engine'!$C$2:$C$679,0)))</f>
        <v/>
      </c>
      <c r="J625" s="8">
        <f>IF(ISNA(MATCH(616,'Transfer Engine'!$C$2:$C$679,0)),"",INDEX('Compliance Database'!$J$2:$J$679,MATCH(616,'Transfer Engine'!$C$2:$C$679,0)))</f>
        <v/>
      </c>
      <c r="K625">
        <f>IF(ISNA(MATCH(616,'Transfer Engine'!$C$2:$C$679,0)),"",INDEX('Compliance Database'!$K$2:$K$679,MATCH(616,'Transfer Engine'!$C$2:$C$679,0)))</f>
        <v/>
      </c>
      <c r="L625" s="8">
        <f>IF(ISNA(MATCH(616,'Transfer Engine'!$C$2:$C$679,0)),"",INDEX('Compliance Database'!$L$2:$L$679,MATCH(616,'Transfer Engine'!$C$2:$C$679,0)))</f>
        <v/>
      </c>
      <c r="M625" s="8">
        <f>IF(ISNA(MATCH(616,'Transfer Engine'!$C$2:$C$679,0)),"",INDEX('Compliance Database'!$M$2:$M$679,MATCH(616,'Transfer Engine'!$C$2:$C$679,0)))</f>
        <v/>
      </c>
      <c r="N625" s="8">
        <f>IF(ISNA(MATCH(616,'Transfer Engine'!$C$2:$C$679,0)),"",INDEX('Compliance Database'!$N$2:$N$679,MATCH(616,'Transfer Engine'!$C$2:$C$679,0)))</f>
        <v/>
      </c>
      <c r="O625" s="8">
        <f>IF(ISNA(MATCH(616,'Transfer Engine'!$C$2:$C$679,0)),"",INDEX('Compliance Database'!$O$2:$O$679,MATCH(616,'Transfer Engine'!$C$2:$C$679,0)))</f>
        <v/>
      </c>
      <c r="P625">
        <f>IF(ISNA(MATCH(616,'Transfer Engine'!$C$2:$C$679,0)),"",HYPERLINK(INDEX('Compliance Database'!$P$2:$P$679,MATCH(616,'Transfer Engine'!$C$2:$C$679,0)),"Open PDF"))</f>
        <v/>
      </c>
    </row>
    <row r="626">
      <c r="A626">
        <f>IF(ISNA(MATCH(617,'Transfer Engine'!$C$2:$C$679,0)),"",INDEX('Compliance Database'!$A$2:$A$679,MATCH(617,'Transfer Engine'!$C$2:$C$679,0)))</f>
        <v/>
      </c>
      <c r="B626">
        <f>IF(ISNA(MATCH(617,'Transfer Engine'!$C$2:$C$679,0)),"",INDEX('Compliance Database'!$B$2:$B$679,MATCH(617,'Transfer Engine'!$C$2:$C$679,0)))</f>
        <v/>
      </c>
      <c r="C626">
        <f>IF(ISNA(MATCH(617,'Transfer Engine'!$C$2:$C$679,0)),"",INDEX('Compliance Database'!$C$2:$C$679,MATCH(617,'Transfer Engine'!$C$2:$C$679,0)))</f>
        <v/>
      </c>
      <c r="D626" s="8">
        <f>IF(ISNA(MATCH(617,'Transfer Engine'!$C$2:$C$679,0)),"",INDEX('Compliance Database'!$D$2:$D$679,MATCH(617,'Transfer Engine'!$C$2:$C$679,0)))</f>
        <v/>
      </c>
      <c r="E626">
        <f>IF(ISNA(MATCH(617,'Transfer Engine'!$C$2:$C$679,0)),"",INDEX('Compliance Database'!$E$2:$E$679,MATCH(617,'Transfer Engine'!$C$2:$C$679,0)))</f>
        <v/>
      </c>
      <c r="F626">
        <f>IF(ISNA(MATCH(617,'Transfer Engine'!$C$2:$C$679,0)),"",INDEX('Compliance Database'!$F$2:$F$679,MATCH(617,'Transfer Engine'!$C$2:$C$679,0)))</f>
        <v/>
      </c>
      <c r="G626">
        <f>IF(ISNA(MATCH(617,'Transfer Engine'!$C$2:$C$679,0)),"",INDEX('Compliance Database'!$G$2:$G$679,MATCH(617,'Transfer Engine'!$C$2:$C$679,0)))</f>
        <v/>
      </c>
      <c r="H626">
        <f>IF(ISNA(MATCH(617,'Transfer Engine'!$C$2:$C$679,0)),"",INDEX('Compliance Database'!$H$2:$H$679,MATCH(617,'Transfer Engine'!$C$2:$C$679,0)))</f>
        <v/>
      </c>
      <c r="I626" s="8">
        <f>IF(ISNA(MATCH(617,'Transfer Engine'!$C$2:$C$679,0)),"",INDEX('Compliance Database'!$I$2:$I$679,MATCH(617,'Transfer Engine'!$C$2:$C$679,0)))</f>
        <v/>
      </c>
      <c r="J626" s="8">
        <f>IF(ISNA(MATCH(617,'Transfer Engine'!$C$2:$C$679,0)),"",INDEX('Compliance Database'!$J$2:$J$679,MATCH(617,'Transfer Engine'!$C$2:$C$679,0)))</f>
        <v/>
      </c>
      <c r="K626">
        <f>IF(ISNA(MATCH(617,'Transfer Engine'!$C$2:$C$679,0)),"",INDEX('Compliance Database'!$K$2:$K$679,MATCH(617,'Transfer Engine'!$C$2:$C$679,0)))</f>
        <v/>
      </c>
      <c r="L626" s="8">
        <f>IF(ISNA(MATCH(617,'Transfer Engine'!$C$2:$C$679,0)),"",INDEX('Compliance Database'!$L$2:$L$679,MATCH(617,'Transfer Engine'!$C$2:$C$679,0)))</f>
        <v/>
      </c>
      <c r="M626" s="8">
        <f>IF(ISNA(MATCH(617,'Transfer Engine'!$C$2:$C$679,0)),"",INDEX('Compliance Database'!$M$2:$M$679,MATCH(617,'Transfer Engine'!$C$2:$C$679,0)))</f>
        <v/>
      </c>
      <c r="N626" s="8">
        <f>IF(ISNA(MATCH(617,'Transfer Engine'!$C$2:$C$679,0)),"",INDEX('Compliance Database'!$N$2:$N$679,MATCH(617,'Transfer Engine'!$C$2:$C$679,0)))</f>
        <v/>
      </c>
      <c r="O626" s="8">
        <f>IF(ISNA(MATCH(617,'Transfer Engine'!$C$2:$C$679,0)),"",INDEX('Compliance Database'!$O$2:$O$679,MATCH(617,'Transfer Engine'!$C$2:$C$679,0)))</f>
        <v/>
      </c>
      <c r="P626">
        <f>IF(ISNA(MATCH(617,'Transfer Engine'!$C$2:$C$679,0)),"",HYPERLINK(INDEX('Compliance Database'!$P$2:$P$679,MATCH(617,'Transfer Engine'!$C$2:$C$679,0)),"Open PDF"))</f>
        <v/>
      </c>
    </row>
    <row r="627">
      <c r="A627">
        <f>IF(ISNA(MATCH(618,'Transfer Engine'!$C$2:$C$679,0)),"",INDEX('Compliance Database'!$A$2:$A$679,MATCH(618,'Transfer Engine'!$C$2:$C$679,0)))</f>
        <v/>
      </c>
      <c r="B627">
        <f>IF(ISNA(MATCH(618,'Transfer Engine'!$C$2:$C$679,0)),"",INDEX('Compliance Database'!$B$2:$B$679,MATCH(618,'Transfer Engine'!$C$2:$C$679,0)))</f>
        <v/>
      </c>
      <c r="C627">
        <f>IF(ISNA(MATCH(618,'Transfer Engine'!$C$2:$C$679,0)),"",INDEX('Compliance Database'!$C$2:$C$679,MATCH(618,'Transfer Engine'!$C$2:$C$679,0)))</f>
        <v/>
      </c>
      <c r="D627" s="8">
        <f>IF(ISNA(MATCH(618,'Transfer Engine'!$C$2:$C$679,0)),"",INDEX('Compliance Database'!$D$2:$D$679,MATCH(618,'Transfer Engine'!$C$2:$C$679,0)))</f>
        <v/>
      </c>
      <c r="E627">
        <f>IF(ISNA(MATCH(618,'Transfer Engine'!$C$2:$C$679,0)),"",INDEX('Compliance Database'!$E$2:$E$679,MATCH(618,'Transfer Engine'!$C$2:$C$679,0)))</f>
        <v/>
      </c>
      <c r="F627">
        <f>IF(ISNA(MATCH(618,'Transfer Engine'!$C$2:$C$679,0)),"",INDEX('Compliance Database'!$F$2:$F$679,MATCH(618,'Transfer Engine'!$C$2:$C$679,0)))</f>
        <v/>
      </c>
      <c r="G627">
        <f>IF(ISNA(MATCH(618,'Transfer Engine'!$C$2:$C$679,0)),"",INDEX('Compliance Database'!$G$2:$G$679,MATCH(618,'Transfer Engine'!$C$2:$C$679,0)))</f>
        <v/>
      </c>
      <c r="H627">
        <f>IF(ISNA(MATCH(618,'Transfer Engine'!$C$2:$C$679,0)),"",INDEX('Compliance Database'!$H$2:$H$679,MATCH(618,'Transfer Engine'!$C$2:$C$679,0)))</f>
        <v/>
      </c>
      <c r="I627" s="8">
        <f>IF(ISNA(MATCH(618,'Transfer Engine'!$C$2:$C$679,0)),"",INDEX('Compliance Database'!$I$2:$I$679,MATCH(618,'Transfer Engine'!$C$2:$C$679,0)))</f>
        <v/>
      </c>
      <c r="J627" s="8">
        <f>IF(ISNA(MATCH(618,'Transfer Engine'!$C$2:$C$679,0)),"",INDEX('Compliance Database'!$J$2:$J$679,MATCH(618,'Transfer Engine'!$C$2:$C$679,0)))</f>
        <v/>
      </c>
      <c r="K627">
        <f>IF(ISNA(MATCH(618,'Transfer Engine'!$C$2:$C$679,0)),"",INDEX('Compliance Database'!$K$2:$K$679,MATCH(618,'Transfer Engine'!$C$2:$C$679,0)))</f>
        <v/>
      </c>
      <c r="L627" s="8">
        <f>IF(ISNA(MATCH(618,'Transfer Engine'!$C$2:$C$679,0)),"",INDEX('Compliance Database'!$L$2:$L$679,MATCH(618,'Transfer Engine'!$C$2:$C$679,0)))</f>
        <v/>
      </c>
      <c r="M627" s="8">
        <f>IF(ISNA(MATCH(618,'Transfer Engine'!$C$2:$C$679,0)),"",INDEX('Compliance Database'!$M$2:$M$679,MATCH(618,'Transfer Engine'!$C$2:$C$679,0)))</f>
        <v/>
      </c>
      <c r="N627" s="8">
        <f>IF(ISNA(MATCH(618,'Transfer Engine'!$C$2:$C$679,0)),"",INDEX('Compliance Database'!$N$2:$N$679,MATCH(618,'Transfer Engine'!$C$2:$C$679,0)))</f>
        <v/>
      </c>
      <c r="O627" s="8">
        <f>IF(ISNA(MATCH(618,'Transfer Engine'!$C$2:$C$679,0)),"",INDEX('Compliance Database'!$O$2:$O$679,MATCH(618,'Transfer Engine'!$C$2:$C$679,0)))</f>
        <v/>
      </c>
      <c r="P627">
        <f>IF(ISNA(MATCH(618,'Transfer Engine'!$C$2:$C$679,0)),"",HYPERLINK(INDEX('Compliance Database'!$P$2:$P$679,MATCH(618,'Transfer Engine'!$C$2:$C$679,0)),"Open PDF"))</f>
        <v/>
      </c>
    </row>
    <row r="628">
      <c r="A628">
        <f>IF(ISNA(MATCH(619,'Transfer Engine'!$C$2:$C$679,0)),"",INDEX('Compliance Database'!$A$2:$A$679,MATCH(619,'Transfer Engine'!$C$2:$C$679,0)))</f>
        <v/>
      </c>
      <c r="B628">
        <f>IF(ISNA(MATCH(619,'Transfer Engine'!$C$2:$C$679,0)),"",INDEX('Compliance Database'!$B$2:$B$679,MATCH(619,'Transfer Engine'!$C$2:$C$679,0)))</f>
        <v/>
      </c>
      <c r="C628">
        <f>IF(ISNA(MATCH(619,'Transfer Engine'!$C$2:$C$679,0)),"",INDEX('Compliance Database'!$C$2:$C$679,MATCH(619,'Transfer Engine'!$C$2:$C$679,0)))</f>
        <v/>
      </c>
      <c r="D628" s="8">
        <f>IF(ISNA(MATCH(619,'Transfer Engine'!$C$2:$C$679,0)),"",INDEX('Compliance Database'!$D$2:$D$679,MATCH(619,'Transfer Engine'!$C$2:$C$679,0)))</f>
        <v/>
      </c>
      <c r="E628">
        <f>IF(ISNA(MATCH(619,'Transfer Engine'!$C$2:$C$679,0)),"",INDEX('Compliance Database'!$E$2:$E$679,MATCH(619,'Transfer Engine'!$C$2:$C$679,0)))</f>
        <v/>
      </c>
      <c r="F628">
        <f>IF(ISNA(MATCH(619,'Transfer Engine'!$C$2:$C$679,0)),"",INDEX('Compliance Database'!$F$2:$F$679,MATCH(619,'Transfer Engine'!$C$2:$C$679,0)))</f>
        <v/>
      </c>
      <c r="G628">
        <f>IF(ISNA(MATCH(619,'Transfer Engine'!$C$2:$C$679,0)),"",INDEX('Compliance Database'!$G$2:$G$679,MATCH(619,'Transfer Engine'!$C$2:$C$679,0)))</f>
        <v/>
      </c>
      <c r="H628">
        <f>IF(ISNA(MATCH(619,'Transfer Engine'!$C$2:$C$679,0)),"",INDEX('Compliance Database'!$H$2:$H$679,MATCH(619,'Transfer Engine'!$C$2:$C$679,0)))</f>
        <v/>
      </c>
      <c r="I628" s="8">
        <f>IF(ISNA(MATCH(619,'Transfer Engine'!$C$2:$C$679,0)),"",INDEX('Compliance Database'!$I$2:$I$679,MATCH(619,'Transfer Engine'!$C$2:$C$679,0)))</f>
        <v/>
      </c>
      <c r="J628" s="8">
        <f>IF(ISNA(MATCH(619,'Transfer Engine'!$C$2:$C$679,0)),"",INDEX('Compliance Database'!$J$2:$J$679,MATCH(619,'Transfer Engine'!$C$2:$C$679,0)))</f>
        <v/>
      </c>
      <c r="K628">
        <f>IF(ISNA(MATCH(619,'Transfer Engine'!$C$2:$C$679,0)),"",INDEX('Compliance Database'!$K$2:$K$679,MATCH(619,'Transfer Engine'!$C$2:$C$679,0)))</f>
        <v/>
      </c>
      <c r="L628" s="8">
        <f>IF(ISNA(MATCH(619,'Transfer Engine'!$C$2:$C$679,0)),"",INDEX('Compliance Database'!$L$2:$L$679,MATCH(619,'Transfer Engine'!$C$2:$C$679,0)))</f>
        <v/>
      </c>
      <c r="M628" s="8">
        <f>IF(ISNA(MATCH(619,'Transfer Engine'!$C$2:$C$679,0)),"",INDEX('Compliance Database'!$M$2:$M$679,MATCH(619,'Transfer Engine'!$C$2:$C$679,0)))</f>
        <v/>
      </c>
      <c r="N628" s="8">
        <f>IF(ISNA(MATCH(619,'Transfer Engine'!$C$2:$C$679,0)),"",INDEX('Compliance Database'!$N$2:$N$679,MATCH(619,'Transfer Engine'!$C$2:$C$679,0)))</f>
        <v/>
      </c>
      <c r="O628" s="8">
        <f>IF(ISNA(MATCH(619,'Transfer Engine'!$C$2:$C$679,0)),"",INDEX('Compliance Database'!$O$2:$O$679,MATCH(619,'Transfer Engine'!$C$2:$C$679,0)))</f>
        <v/>
      </c>
      <c r="P628">
        <f>IF(ISNA(MATCH(619,'Transfer Engine'!$C$2:$C$679,0)),"",HYPERLINK(INDEX('Compliance Database'!$P$2:$P$679,MATCH(619,'Transfer Engine'!$C$2:$C$679,0)),"Open PDF"))</f>
        <v/>
      </c>
    </row>
    <row r="629">
      <c r="A629">
        <f>IF(ISNA(MATCH(620,'Transfer Engine'!$C$2:$C$679,0)),"",INDEX('Compliance Database'!$A$2:$A$679,MATCH(620,'Transfer Engine'!$C$2:$C$679,0)))</f>
        <v/>
      </c>
      <c r="B629">
        <f>IF(ISNA(MATCH(620,'Transfer Engine'!$C$2:$C$679,0)),"",INDEX('Compliance Database'!$B$2:$B$679,MATCH(620,'Transfer Engine'!$C$2:$C$679,0)))</f>
        <v/>
      </c>
      <c r="C629">
        <f>IF(ISNA(MATCH(620,'Transfer Engine'!$C$2:$C$679,0)),"",INDEX('Compliance Database'!$C$2:$C$679,MATCH(620,'Transfer Engine'!$C$2:$C$679,0)))</f>
        <v/>
      </c>
      <c r="D629" s="8">
        <f>IF(ISNA(MATCH(620,'Transfer Engine'!$C$2:$C$679,0)),"",INDEX('Compliance Database'!$D$2:$D$679,MATCH(620,'Transfer Engine'!$C$2:$C$679,0)))</f>
        <v/>
      </c>
      <c r="E629">
        <f>IF(ISNA(MATCH(620,'Transfer Engine'!$C$2:$C$679,0)),"",INDEX('Compliance Database'!$E$2:$E$679,MATCH(620,'Transfer Engine'!$C$2:$C$679,0)))</f>
        <v/>
      </c>
      <c r="F629">
        <f>IF(ISNA(MATCH(620,'Transfer Engine'!$C$2:$C$679,0)),"",INDEX('Compliance Database'!$F$2:$F$679,MATCH(620,'Transfer Engine'!$C$2:$C$679,0)))</f>
        <v/>
      </c>
      <c r="G629">
        <f>IF(ISNA(MATCH(620,'Transfer Engine'!$C$2:$C$679,0)),"",INDEX('Compliance Database'!$G$2:$G$679,MATCH(620,'Transfer Engine'!$C$2:$C$679,0)))</f>
        <v/>
      </c>
      <c r="H629">
        <f>IF(ISNA(MATCH(620,'Transfer Engine'!$C$2:$C$679,0)),"",INDEX('Compliance Database'!$H$2:$H$679,MATCH(620,'Transfer Engine'!$C$2:$C$679,0)))</f>
        <v/>
      </c>
      <c r="I629" s="8">
        <f>IF(ISNA(MATCH(620,'Transfer Engine'!$C$2:$C$679,0)),"",INDEX('Compliance Database'!$I$2:$I$679,MATCH(620,'Transfer Engine'!$C$2:$C$679,0)))</f>
        <v/>
      </c>
      <c r="J629" s="8">
        <f>IF(ISNA(MATCH(620,'Transfer Engine'!$C$2:$C$679,0)),"",INDEX('Compliance Database'!$J$2:$J$679,MATCH(620,'Transfer Engine'!$C$2:$C$679,0)))</f>
        <v/>
      </c>
      <c r="K629">
        <f>IF(ISNA(MATCH(620,'Transfer Engine'!$C$2:$C$679,0)),"",INDEX('Compliance Database'!$K$2:$K$679,MATCH(620,'Transfer Engine'!$C$2:$C$679,0)))</f>
        <v/>
      </c>
      <c r="L629" s="8">
        <f>IF(ISNA(MATCH(620,'Transfer Engine'!$C$2:$C$679,0)),"",INDEX('Compliance Database'!$L$2:$L$679,MATCH(620,'Transfer Engine'!$C$2:$C$679,0)))</f>
        <v/>
      </c>
      <c r="M629" s="8">
        <f>IF(ISNA(MATCH(620,'Transfer Engine'!$C$2:$C$679,0)),"",INDEX('Compliance Database'!$M$2:$M$679,MATCH(620,'Transfer Engine'!$C$2:$C$679,0)))</f>
        <v/>
      </c>
      <c r="N629" s="8">
        <f>IF(ISNA(MATCH(620,'Transfer Engine'!$C$2:$C$679,0)),"",INDEX('Compliance Database'!$N$2:$N$679,MATCH(620,'Transfer Engine'!$C$2:$C$679,0)))</f>
        <v/>
      </c>
      <c r="O629" s="8">
        <f>IF(ISNA(MATCH(620,'Transfer Engine'!$C$2:$C$679,0)),"",INDEX('Compliance Database'!$O$2:$O$679,MATCH(620,'Transfer Engine'!$C$2:$C$679,0)))</f>
        <v/>
      </c>
      <c r="P629">
        <f>IF(ISNA(MATCH(620,'Transfer Engine'!$C$2:$C$679,0)),"",HYPERLINK(INDEX('Compliance Database'!$P$2:$P$679,MATCH(620,'Transfer Engine'!$C$2:$C$679,0)),"Open PDF"))</f>
        <v/>
      </c>
    </row>
    <row r="630">
      <c r="A630">
        <f>IF(ISNA(MATCH(621,'Transfer Engine'!$C$2:$C$679,0)),"",INDEX('Compliance Database'!$A$2:$A$679,MATCH(621,'Transfer Engine'!$C$2:$C$679,0)))</f>
        <v/>
      </c>
      <c r="B630">
        <f>IF(ISNA(MATCH(621,'Transfer Engine'!$C$2:$C$679,0)),"",INDEX('Compliance Database'!$B$2:$B$679,MATCH(621,'Transfer Engine'!$C$2:$C$679,0)))</f>
        <v/>
      </c>
      <c r="C630">
        <f>IF(ISNA(MATCH(621,'Transfer Engine'!$C$2:$C$679,0)),"",INDEX('Compliance Database'!$C$2:$C$679,MATCH(621,'Transfer Engine'!$C$2:$C$679,0)))</f>
        <v/>
      </c>
      <c r="D630" s="8">
        <f>IF(ISNA(MATCH(621,'Transfer Engine'!$C$2:$C$679,0)),"",INDEX('Compliance Database'!$D$2:$D$679,MATCH(621,'Transfer Engine'!$C$2:$C$679,0)))</f>
        <v/>
      </c>
      <c r="E630">
        <f>IF(ISNA(MATCH(621,'Transfer Engine'!$C$2:$C$679,0)),"",INDEX('Compliance Database'!$E$2:$E$679,MATCH(621,'Transfer Engine'!$C$2:$C$679,0)))</f>
        <v/>
      </c>
      <c r="F630">
        <f>IF(ISNA(MATCH(621,'Transfer Engine'!$C$2:$C$679,0)),"",INDEX('Compliance Database'!$F$2:$F$679,MATCH(621,'Transfer Engine'!$C$2:$C$679,0)))</f>
        <v/>
      </c>
      <c r="G630">
        <f>IF(ISNA(MATCH(621,'Transfer Engine'!$C$2:$C$679,0)),"",INDEX('Compliance Database'!$G$2:$G$679,MATCH(621,'Transfer Engine'!$C$2:$C$679,0)))</f>
        <v/>
      </c>
      <c r="H630">
        <f>IF(ISNA(MATCH(621,'Transfer Engine'!$C$2:$C$679,0)),"",INDEX('Compliance Database'!$H$2:$H$679,MATCH(621,'Transfer Engine'!$C$2:$C$679,0)))</f>
        <v/>
      </c>
      <c r="I630" s="8">
        <f>IF(ISNA(MATCH(621,'Transfer Engine'!$C$2:$C$679,0)),"",INDEX('Compliance Database'!$I$2:$I$679,MATCH(621,'Transfer Engine'!$C$2:$C$679,0)))</f>
        <v/>
      </c>
      <c r="J630" s="8">
        <f>IF(ISNA(MATCH(621,'Transfer Engine'!$C$2:$C$679,0)),"",INDEX('Compliance Database'!$J$2:$J$679,MATCH(621,'Transfer Engine'!$C$2:$C$679,0)))</f>
        <v/>
      </c>
      <c r="K630">
        <f>IF(ISNA(MATCH(621,'Transfer Engine'!$C$2:$C$679,0)),"",INDEX('Compliance Database'!$K$2:$K$679,MATCH(621,'Transfer Engine'!$C$2:$C$679,0)))</f>
        <v/>
      </c>
      <c r="L630" s="8">
        <f>IF(ISNA(MATCH(621,'Transfer Engine'!$C$2:$C$679,0)),"",INDEX('Compliance Database'!$L$2:$L$679,MATCH(621,'Transfer Engine'!$C$2:$C$679,0)))</f>
        <v/>
      </c>
      <c r="M630" s="8">
        <f>IF(ISNA(MATCH(621,'Transfer Engine'!$C$2:$C$679,0)),"",INDEX('Compliance Database'!$M$2:$M$679,MATCH(621,'Transfer Engine'!$C$2:$C$679,0)))</f>
        <v/>
      </c>
      <c r="N630" s="8">
        <f>IF(ISNA(MATCH(621,'Transfer Engine'!$C$2:$C$679,0)),"",INDEX('Compliance Database'!$N$2:$N$679,MATCH(621,'Transfer Engine'!$C$2:$C$679,0)))</f>
        <v/>
      </c>
      <c r="O630" s="8">
        <f>IF(ISNA(MATCH(621,'Transfer Engine'!$C$2:$C$679,0)),"",INDEX('Compliance Database'!$O$2:$O$679,MATCH(621,'Transfer Engine'!$C$2:$C$679,0)))</f>
        <v/>
      </c>
      <c r="P630">
        <f>IF(ISNA(MATCH(621,'Transfer Engine'!$C$2:$C$679,0)),"",HYPERLINK(INDEX('Compliance Database'!$P$2:$P$679,MATCH(621,'Transfer Engine'!$C$2:$C$679,0)),"Open PDF"))</f>
        <v/>
      </c>
    </row>
    <row r="631">
      <c r="A631">
        <f>IF(ISNA(MATCH(622,'Transfer Engine'!$C$2:$C$679,0)),"",INDEX('Compliance Database'!$A$2:$A$679,MATCH(622,'Transfer Engine'!$C$2:$C$679,0)))</f>
        <v/>
      </c>
      <c r="B631">
        <f>IF(ISNA(MATCH(622,'Transfer Engine'!$C$2:$C$679,0)),"",INDEX('Compliance Database'!$B$2:$B$679,MATCH(622,'Transfer Engine'!$C$2:$C$679,0)))</f>
        <v/>
      </c>
      <c r="C631">
        <f>IF(ISNA(MATCH(622,'Transfer Engine'!$C$2:$C$679,0)),"",INDEX('Compliance Database'!$C$2:$C$679,MATCH(622,'Transfer Engine'!$C$2:$C$679,0)))</f>
        <v/>
      </c>
      <c r="D631" s="8">
        <f>IF(ISNA(MATCH(622,'Transfer Engine'!$C$2:$C$679,0)),"",INDEX('Compliance Database'!$D$2:$D$679,MATCH(622,'Transfer Engine'!$C$2:$C$679,0)))</f>
        <v/>
      </c>
      <c r="E631">
        <f>IF(ISNA(MATCH(622,'Transfer Engine'!$C$2:$C$679,0)),"",INDEX('Compliance Database'!$E$2:$E$679,MATCH(622,'Transfer Engine'!$C$2:$C$679,0)))</f>
        <v/>
      </c>
      <c r="F631">
        <f>IF(ISNA(MATCH(622,'Transfer Engine'!$C$2:$C$679,0)),"",INDEX('Compliance Database'!$F$2:$F$679,MATCH(622,'Transfer Engine'!$C$2:$C$679,0)))</f>
        <v/>
      </c>
      <c r="G631">
        <f>IF(ISNA(MATCH(622,'Transfer Engine'!$C$2:$C$679,0)),"",INDEX('Compliance Database'!$G$2:$G$679,MATCH(622,'Transfer Engine'!$C$2:$C$679,0)))</f>
        <v/>
      </c>
      <c r="H631">
        <f>IF(ISNA(MATCH(622,'Transfer Engine'!$C$2:$C$679,0)),"",INDEX('Compliance Database'!$H$2:$H$679,MATCH(622,'Transfer Engine'!$C$2:$C$679,0)))</f>
        <v/>
      </c>
      <c r="I631" s="8">
        <f>IF(ISNA(MATCH(622,'Transfer Engine'!$C$2:$C$679,0)),"",INDEX('Compliance Database'!$I$2:$I$679,MATCH(622,'Transfer Engine'!$C$2:$C$679,0)))</f>
        <v/>
      </c>
      <c r="J631" s="8">
        <f>IF(ISNA(MATCH(622,'Transfer Engine'!$C$2:$C$679,0)),"",INDEX('Compliance Database'!$J$2:$J$679,MATCH(622,'Transfer Engine'!$C$2:$C$679,0)))</f>
        <v/>
      </c>
      <c r="K631">
        <f>IF(ISNA(MATCH(622,'Transfer Engine'!$C$2:$C$679,0)),"",INDEX('Compliance Database'!$K$2:$K$679,MATCH(622,'Transfer Engine'!$C$2:$C$679,0)))</f>
        <v/>
      </c>
      <c r="L631" s="8">
        <f>IF(ISNA(MATCH(622,'Transfer Engine'!$C$2:$C$679,0)),"",INDEX('Compliance Database'!$L$2:$L$679,MATCH(622,'Transfer Engine'!$C$2:$C$679,0)))</f>
        <v/>
      </c>
      <c r="M631" s="8">
        <f>IF(ISNA(MATCH(622,'Transfer Engine'!$C$2:$C$679,0)),"",INDEX('Compliance Database'!$M$2:$M$679,MATCH(622,'Transfer Engine'!$C$2:$C$679,0)))</f>
        <v/>
      </c>
      <c r="N631" s="8">
        <f>IF(ISNA(MATCH(622,'Transfer Engine'!$C$2:$C$679,0)),"",INDEX('Compliance Database'!$N$2:$N$679,MATCH(622,'Transfer Engine'!$C$2:$C$679,0)))</f>
        <v/>
      </c>
      <c r="O631" s="8">
        <f>IF(ISNA(MATCH(622,'Transfer Engine'!$C$2:$C$679,0)),"",INDEX('Compliance Database'!$O$2:$O$679,MATCH(622,'Transfer Engine'!$C$2:$C$679,0)))</f>
        <v/>
      </c>
      <c r="P631">
        <f>IF(ISNA(MATCH(622,'Transfer Engine'!$C$2:$C$679,0)),"",HYPERLINK(INDEX('Compliance Database'!$P$2:$P$679,MATCH(622,'Transfer Engine'!$C$2:$C$679,0)),"Open PDF"))</f>
        <v/>
      </c>
    </row>
    <row r="632">
      <c r="A632">
        <f>IF(ISNA(MATCH(623,'Transfer Engine'!$C$2:$C$679,0)),"",INDEX('Compliance Database'!$A$2:$A$679,MATCH(623,'Transfer Engine'!$C$2:$C$679,0)))</f>
        <v/>
      </c>
      <c r="B632">
        <f>IF(ISNA(MATCH(623,'Transfer Engine'!$C$2:$C$679,0)),"",INDEX('Compliance Database'!$B$2:$B$679,MATCH(623,'Transfer Engine'!$C$2:$C$679,0)))</f>
        <v/>
      </c>
      <c r="C632">
        <f>IF(ISNA(MATCH(623,'Transfer Engine'!$C$2:$C$679,0)),"",INDEX('Compliance Database'!$C$2:$C$679,MATCH(623,'Transfer Engine'!$C$2:$C$679,0)))</f>
        <v/>
      </c>
      <c r="D632" s="8">
        <f>IF(ISNA(MATCH(623,'Transfer Engine'!$C$2:$C$679,0)),"",INDEX('Compliance Database'!$D$2:$D$679,MATCH(623,'Transfer Engine'!$C$2:$C$679,0)))</f>
        <v/>
      </c>
      <c r="E632">
        <f>IF(ISNA(MATCH(623,'Transfer Engine'!$C$2:$C$679,0)),"",INDEX('Compliance Database'!$E$2:$E$679,MATCH(623,'Transfer Engine'!$C$2:$C$679,0)))</f>
        <v/>
      </c>
      <c r="F632">
        <f>IF(ISNA(MATCH(623,'Transfer Engine'!$C$2:$C$679,0)),"",INDEX('Compliance Database'!$F$2:$F$679,MATCH(623,'Transfer Engine'!$C$2:$C$679,0)))</f>
        <v/>
      </c>
      <c r="G632">
        <f>IF(ISNA(MATCH(623,'Transfer Engine'!$C$2:$C$679,0)),"",INDEX('Compliance Database'!$G$2:$G$679,MATCH(623,'Transfer Engine'!$C$2:$C$679,0)))</f>
        <v/>
      </c>
      <c r="H632">
        <f>IF(ISNA(MATCH(623,'Transfer Engine'!$C$2:$C$679,0)),"",INDEX('Compliance Database'!$H$2:$H$679,MATCH(623,'Transfer Engine'!$C$2:$C$679,0)))</f>
        <v/>
      </c>
      <c r="I632" s="8">
        <f>IF(ISNA(MATCH(623,'Transfer Engine'!$C$2:$C$679,0)),"",INDEX('Compliance Database'!$I$2:$I$679,MATCH(623,'Transfer Engine'!$C$2:$C$679,0)))</f>
        <v/>
      </c>
      <c r="J632" s="8">
        <f>IF(ISNA(MATCH(623,'Transfer Engine'!$C$2:$C$679,0)),"",INDEX('Compliance Database'!$J$2:$J$679,MATCH(623,'Transfer Engine'!$C$2:$C$679,0)))</f>
        <v/>
      </c>
      <c r="K632">
        <f>IF(ISNA(MATCH(623,'Transfer Engine'!$C$2:$C$679,0)),"",INDEX('Compliance Database'!$K$2:$K$679,MATCH(623,'Transfer Engine'!$C$2:$C$679,0)))</f>
        <v/>
      </c>
      <c r="L632" s="8">
        <f>IF(ISNA(MATCH(623,'Transfer Engine'!$C$2:$C$679,0)),"",INDEX('Compliance Database'!$L$2:$L$679,MATCH(623,'Transfer Engine'!$C$2:$C$679,0)))</f>
        <v/>
      </c>
      <c r="M632" s="8">
        <f>IF(ISNA(MATCH(623,'Transfer Engine'!$C$2:$C$679,0)),"",INDEX('Compliance Database'!$M$2:$M$679,MATCH(623,'Transfer Engine'!$C$2:$C$679,0)))</f>
        <v/>
      </c>
      <c r="N632" s="8">
        <f>IF(ISNA(MATCH(623,'Transfer Engine'!$C$2:$C$679,0)),"",INDEX('Compliance Database'!$N$2:$N$679,MATCH(623,'Transfer Engine'!$C$2:$C$679,0)))</f>
        <v/>
      </c>
      <c r="O632" s="8">
        <f>IF(ISNA(MATCH(623,'Transfer Engine'!$C$2:$C$679,0)),"",INDEX('Compliance Database'!$O$2:$O$679,MATCH(623,'Transfer Engine'!$C$2:$C$679,0)))</f>
        <v/>
      </c>
      <c r="P632">
        <f>IF(ISNA(MATCH(623,'Transfer Engine'!$C$2:$C$679,0)),"",HYPERLINK(INDEX('Compliance Database'!$P$2:$P$679,MATCH(623,'Transfer Engine'!$C$2:$C$679,0)),"Open PDF"))</f>
        <v/>
      </c>
    </row>
    <row r="633">
      <c r="A633">
        <f>IF(ISNA(MATCH(624,'Transfer Engine'!$C$2:$C$679,0)),"",INDEX('Compliance Database'!$A$2:$A$679,MATCH(624,'Transfer Engine'!$C$2:$C$679,0)))</f>
        <v/>
      </c>
      <c r="B633">
        <f>IF(ISNA(MATCH(624,'Transfer Engine'!$C$2:$C$679,0)),"",INDEX('Compliance Database'!$B$2:$B$679,MATCH(624,'Transfer Engine'!$C$2:$C$679,0)))</f>
        <v/>
      </c>
      <c r="C633">
        <f>IF(ISNA(MATCH(624,'Transfer Engine'!$C$2:$C$679,0)),"",INDEX('Compliance Database'!$C$2:$C$679,MATCH(624,'Transfer Engine'!$C$2:$C$679,0)))</f>
        <v/>
      </c>
      <c r="D633" s="8">
        <f>IF(ISNA(MATCH(624,'Transfer Engine'!$C$2:$C$679,0)),"",INDEX('Compliance Database'!$D$2:$D$679,MATCH(624,'Transfer Engine'!$C$2:$C$679,0)))</f>
        <v/>
      </c>
      <c r="E633">
        <f>IF(ISNA(MATCH(624,'Transfer Engine'!$C$2:$C$679,0)),"",INDEX('Compliance Database'!$E$2:$E$679,MATCH(624,'Transfer Engine'!$C$2:$C$679,0)))</f>
        <v/>
      </c>
      <c r="F633">
        <f>IF(ISNA(MATCH(624,'Transfer Engine'!$C$2:$C$679,0)),"",INDEX('Compliance Database'!$F$2:$F$679,MATCH(624,'Transfer Engine'!$C$2:$C$679,0)))</f>
        <v/>
      </c>
      <c r="G633">
        <f>IF(ISNA(MATCH(624,'Transfer Engine'!$C$2:$C$679,0)),"",INDEX('Compliance Database'!$G$2:$G$679,MATCH(624,'Transfer Engine'!$C$2:$C$679,0)))</f>
        <v/>
      </c>
      <c r="H633">
        <f>IF(ISNA(MATCH(624,'Transfer Engine'!$C$2:$C$679,0)),"",INDEX('Compliance Database'!$H$2:$H$679,MATCH(624,'Transfer Engine'!$C$2:$C$679,0)))</f>
        <v/>
      </c>
      <c r="I633" s="8">
        <f>IF(ISNA(MATCH(624,'Transfer Engine'!$C$2:$C$679,0)),"",INDEX('Compliance Database'!$I$2:$I$679,MATCH(624,'Transfer Engine'!$C$2:$C$679,0)))</f>
        <v/>
      </c>
      <c r="J633" s="8">
        <f>IF(ISNA(MATCH(624,'Transfer Engine'!$C$2:$C$679,0)),"",INDEX('Compliance Database'!$J$2:$J$679,MATCH(624,'Transfer Engine'!$C$2:$C$679,0)))</f>
        <v/>
      </c>
      <c r="K633">
        <f>IF(ISNA(MATCH(624,'Transfer Engine'!$C$2:$C$679,0)),"",INDEX('Compliance Database'!$K$2:$K$679,MATCH(624,'Transfer Engine'!$C$2:$C$679,0)))</f>
        <v/>
      </c>
      <c r="L633" s="8">
        <f>IF(ISNA(MATCH(624,'Transfer Engine'!$C$2:$C$679,0)),"",INDEX('Compliance Database'!$L$2:$L$679,MATCH(624,'Transfer Engine'!$C$2:$C$679,0)))</f>
        <v/>
      </c>
      <c r="M633" s="8">
        <f>IF(ISNA(MATCH(624,'Transfer Engine'!$C$2:$C$679,0)),"",INDEX('Compliance Database'!$M$2:$M$679,MATCH(624,'Transfer Engine'!$C$2:$C$679,0)))</f>
        <v/>
      </c>
      <c r="N633" s="8">
        <f>IF(ISNA(MATCH(624,'Transfer Engine'!$C$2:$C$679,0)),"",INDEX('Compliance Database'!$N$2:$N$679,MATCH(624,'Transfer Engine'!$C$2:$C$679,0)))</f>
        <v/>
      </c>
      <c r="O633" s="8">
        <f>IF(ISNA(MATCH(624,'Transfer Engine'!$C$2:$C$679,0)),"",INDEX('Compliance Database'!$O$2:$O$679,MATCH(624,'Transfer Engine'!$C$2:$C$679,0)))</f>
        <v/>
      </c>
      <c r="P633">
        <f>IF(ISNA(MATCH(624,'Transfer Engine'!$C$2:$C$679,0)),"",HYPERLINK(INDEX('Compliance Database'!$P$2:$P$679,MATCH(624,'Transfer Engine'!$C$2:$C$679,0)),"Open PDF"))</f>
        <v/>
      </c>
    </row>
    <row r="634">
      <c r="A634">
        <f>IF(ISNA(MATCH(625,'Transfer Engine'!$C$2:$C$679,0)),"",INDEX('Compliance Database'!$A$2:$A$679,MATCH(625,'Transfer Engine'!$C$2:$C$679,0)))</f>
        <v/>
      </c>
      <c r="B634">
        <f>IF(ISNA(MATCH(625,'Transfer Engine'!$C$2:$C$679,0)),"",INDEX('Compliance Database'!$B$2:$B$679,MATCH(625,'Transfer Engine'!$C$2:$C$679,0)))</f>
        <v/>
      </c>
      <c r="C634">
        <f>IF(ISNA(MATCH(625,'Transfer Engine'!$C$2:$C$679,0)),"",INDEX('Compliance Database'!$C$2:$C$679,MATCH(625,'Transfer Engine'!$C$2:$C$679,0)))</f>
        <v/>
      </c>
      <c r="D634" s="8">
        <f>IF(ISNA(MATCH(625,'Transfer Engine'!$C$2:$C$679,0)),"",INDEX('Compliance Database'!$D$2:$D$679,MATCH(625,'Transfer Engine'!$C$2:$C$679,0)))</f>
        <v/>
      </c>
      <c r="E634">
        <f>IF(ISNA(MATCH(625,'Transfer Engine'!$C$2:$C$679,0)),"",INDEX('Compliance Database'!$E$2:$E$679,MATCH(625,'Transfer Engine'!$C$2:$C$679,0)))</f>
        <v/>
      </c>
      <c r="F634">
        <f>IF(ISNA(MATCH(625,'Transfer Engine'!$C$2:$C$679,0)),"",INDEX('Compliance Database'!$F$2:$F$679,MATCH(625,'Transfer Engine'!$C$2:$C$679,0)))</f>
        <v/>
      </c>
      <c r="G634">
        <f>IF(ISNA(MATCH(625,'Transfer Engine'!$C$2:$C$679,0)),"",INDEX('Compliance Database'!$G$2:$G$679,MATCH(625,'Transfer Engine'!$C$2:$C$679,0)))</f>
        <v/>
      </c>
      <c r="H634">
        <f>IF(ISNA(MATCH(625,'Transfer Engine'!$C$2:$C$679,0)),"",INDEX('Compliance Database'!$H$2:$H$679,MATCH(625,'Transfer Engine'!$C$2:$C$679,0)))</f>
        <v/>
      </c>
      <c r="I634" s="8">
        <f>IF(ISNA(MATCH(625,'Transfer Engine'!$C$2:$C$679,0)),"",INDEX('Compliance Database'!$I$2:$I$679,MATCH(625,'Transfer Engine'!$C$2:$C$679,0)))</f>
        <v/>
      </c>
      <c r="J634" s="8">
        <f>IF(ISNA(MATCH(625,'Transfer Engine'!$C$2:$C$679,0)),"",INDEX('Compliance Database'!$J$2:$J$679,MATCH(625,'Transfer Engine'!$C$2:$C$679,0)))</f>
        <v/>
      </c>
      <c r="K634">
        <f>IF(ISNA(MATCH(625,'Transfer Engine'!$C$2:$C$679,0)),"",INDEX('Compliance Database'!$K$2:$K$679,MATCH(625,'Transfer Engine'!$C$2:$C$679,0)))</f>
        <v/>
      </c>
      <c r="L634" s="8">
        <f>IF(ISNA(MATCH(625,'Transfer Engine'!$C$2:$C$679,0)),"",INDEX('Compliance Database'!$L$2:$L$679,MATCH(625,'Transfer Engine'!$C$2:$C$679,0)))</f>
        <v/>
      </c>
      <c r="M634" s="8">
        <f>IF(ISNA(MATCH(625,'Transfer Engine'!$C$2:$C$679,0)),"",INDEX('Compliance Database'!$M$2:$M$679,MATCH(625,'Transfer Engine'!$C$2:$C$679,0)))</f>
        <v/>
      </c>
      <c r="N634" s="8">
        <f>IF(ISNA(MATCH(625,'Transfer Engine'!$C$2:$C$679,0)),"",INDEX('Compliance Database'!$N$2:$N$679,MATCH(625,'Transfer Engine'!$C$2:$C$679,0)))</f>
        <v/>
      </c>
      <c r="O634" s="8">
        <f>IF(ISNA(MATCH(625,'Transfer Engine'!$C$2:$C$679,0)),"",INDEX('Compliance Database'!$O$2:$O$679,MATCH(625,'Transfer Engine'!$C$2:$C$679,0)))</f>
        <v/>
      </c>
      <c r="P634">
        <f>IF(ISNA(MATCH(625,'Transfer Engine'!$C$2:$C$679,0)),"",HYPERLINK(INDEX('Compliance Database'!$P$2:$P$679,MATCH(625,'Transfer Engine'!$C$2:$C$679,0)),"Open PDF"))</f>
        <v/>
      </c>
    </row>
    <row r="635">
      <c r="A635">
        <f>IF(ISNA(MATCH(626,'Transfer Engine'!$C$2:$C$679,0)),"",INDEX('Compliance Database'!$A$2:$A$679,MATCH(626,'Transfer Engine'!$C$2:$C$679,0)))</f>
        <v/>
      </c>
      <c r="B635">
        <f>IF(ISNA(MATCH(626,'Transfer Engine'!$C$2:$C$679,0)),"",INDEX('Compliance Database'!$B$2:$B$679,MATCH(626,'Transfer Engine'!$C$2:$C$679,0)))</f>
        <v/>
      </c>
      <c r="C635">
        <f>IF(ISNA(MATCH(626,'Transfer Engine'!$C$2:$C$679,0)),"",INDEX('Compliance Database'!$C$2:$C$679,MATCH(626,'Transfer Engine'!$C$2:$C$679,0)))</f>
        <v/>
      </c>
      <c r="D635" s="8">
        <f>IF(ISNA(MATCH(626,'Transfer Engine'!$C$2:$C$679,0)),"",INDEX('Compliance Database'!$D$2:$D$679,MATCH(626,'Transfer Engine'!$C$2:$C$679,0)))</f>
        <v/>
      </c>
      <c r="E635">
        <f>IF(ISNA(MATCH(626,'Transfer Engine'!$C$2:$C$679,0)),"",INDEX('Compliance Database'!$E$2:$E$679,MATCH(626,'Transfer Engine'!$C$2:$C$679,0)))</f>
        <v/>
      </c>
      <c r="F635">
        <f>IF(ISNA(MATCH(626,'Transfer Engine'!$C$2:$C$679,0)),"",INDEX('Compliance Database'!$F$2:$F$679,MATCH(626,'Transfer Engine'!$C$2:$C$679,0)))</f>
        <v/>
      </c>
      <c r="G635">
        <f>IF(ISNA(MATCH(626,'Transfer Engine'!$C$2:$C$679,0)),"",INDEX('Compliance Database'!$G$2:$G$679,MATCH(626,'Transfer Engine'!$C$2:$C$679,0)))</f>
        <v/>
      </c>
      <c r="H635">
        <f>IF(ISNA(MATCH(626,'Transfer Engine'!$C$2:$C$679,0)),"",INDEX('Compliance Database'!$H$2:$H$679,MATCH(626,'Transfer Engine'!$C$2:$C$679,0)))</f>
        <v/>
      </c>
      <c r="I635" s="8">
        <f>IF(ISNA(MATCH(626,'Transfer Engine'!$C$2:$C$679,0)),"",INDEX('Compliance Database'!$I$2:$I$679,MATCH(626,'Transfer Engine'!$C$2:$C$679,0)))</f>
        <v/>
      </c>
      <c r="J635" s="8">
        <f>IF(ISNA(MATCH(626,'Transfer Engine'!$C$2:$C$679,0)),"",INDEX('Compliance Database'!$J$2:$J$679,MATCH(626,'Transfer Engine'!$C$2:$C$679,0)))</f>
        <v/>
      </c>
      <c r="K635">
        <f>IF(ISNA(MATCH(626,'Transfer Engine'!$C$2:$C$679,0)),"",INDEX('Compliance Database'!$K$2:$K$679,MATCH(626,'Transfer Engine'!$C$2:$C$679,0)))</f>
        <v/>
      </c>
      <c r="L635" s="8">
        <f>IF(ISNA(MATCH(626,'Transfer Engine'!$C$2:$C$679,0)),"",INDEX('Compliance Database'!$L$2:$L$679,MATCH(626,'Transfer Engine'!$C$2:$C$679,0)))</f>
        <v/>
      </c>
      <c r="M635" s="8">
        <f>IF(ISNA(MATCH(626,'Transfer Engine'!$C$2:$C$679,0)),"",INDEX('Compliance Database'!$M$2:$M$679,MATCH(626,'Transfer Engine'!$C$2:$C$679,0)))</f>
        <v/>
      </c>
      <c r="N635" s="8">
        <f>IF(ISNA(MATCH(626,'Transfer Engine'!$C$2:$C$679,0)),"",INDEX('Compliance Database'!$N$2:$N$679,MATCH(626,'Transfer Engine'!$C$2:$C$679,0)))</f>
        <v/>
      </c>
      <c r="O635" s="8">
        <f>IF(ISNA(MATCH(626,'Transfer Engine'!$C$2:$C$679,0)),"",INDEX('Compliance Database'!$O$2:$O$679,MATCH(626,'Transfer Engine'!$C$2:$C$679,0)))</f>
        <v/>
      </c>
      <c r="P635">
        <f>IF(ISNA(MATCH(626,'Transfer Engine'!$C$2:$C$679,0)),"",HYPERLINK(INDEX('Compliance Database'!$P$2:$P$679,MATCH(626,'Transfer Engine'!$C$2:$C$679,0)),"Open PDF"))</f>
        <v/>
      </c>
    </row>
    <row r="636">
      <c r="A636">
        <f>IF(ISNA(MATCH(627,'Transfer Engine'!$C$2:$C$679,0)),"",INDEX('Compliance Database'!$A$2:$A$679,MATCH(627,'Transfer Engine'!$C$2:$C$679,0)))</f>
        <v/>
      </c>
      <c r="B636">
        <f>IF(ISNA(MATCH(627,'Transfer Engine'!$C$2:$C$679,0)),"",INDEX('Compliance Database'!$B$2:$B$679,MATCH(627,'Transfer Engine'!$C$2:$C$679,0)))</f>
        <v/>
      </c>
      <c r="C636">
        <f>IF(ISNA(MATCH(627,'Transfer Engine'!$C$2:$C$679,0)),"",INDEX('Compliance Database'!$C$2:$C$679,MATCH(627,'Transfer Engine'!$C$2:$C$679,0)))</f>
        <v/>
      </c>
      <c r="D636" s="8">
        <f>IF(ISNA(MATCH(627,'Transfer Engine'!$C$2:$C$679,0)),"",INDEX('Compliance Database'!$D$2:$D$679,MATCH(627,'Transfer Engine'!$C$2:$C$679,0)))</f>
        <v/>
      </c>
      <c r="E636">
        <f>IF(ISNA(MATCH(627,'Transfer Engine'!$C$2:$C$679,0)),"",INDEX('Compliance Database'!$E$2:$E$679,MATCH(627,'Transfer Engine'!$C$2:$C$679,0)))</f>
        <v/>
      </c>
      <c r="F636">
        <f>IF(ISNA(MATCH(627,'Transfer Engine'!$C$2:$C$679,0)),"",INDEX('Compliance Database'!$F$2:$F$679,MATCH(627,'Transfer Engine'!$C$2:$C$679,0)))</f>
        <v/>
      </c>
      <c r="G636">
        <f>IF(ISNA(MATCH(627,'Transfer Engine'!$C$2:$C$679,0)),"",INDEX('Compliance Database'!$G$2:$G$679,MATCH(627,'Transfer Engine'!$C$2:$C$679,0)))</f>
        <v/>
      </c>
      <c r="H636">
        <f>IF(ISNA(MATCH(627,'Transfer Engine'!$C$2:$C$679,0)),"",INDEX('Compliance Database'!$H$2:$H$679,MATCH(627,'Transfer Engine'!$C$2:$C$679,0)))</f>
        <v/>
      </c>
      <c r="I636" s="8">
        <f>IF(ISNA(MATCH(627,'Transfer Engine'!$C$2:$C$679,0)),"",INDEX('Compliance Database'!$I$2:$I$679,MATCH(627,'Transfer Engine'!$C$2:$C$679,0)))</f>
        <v/>
      </c>
      <c r="J636" s="8">
        <f>IF(ISNA(MATCH(627,'Transfer Engine'!$C$2:$C$679,0)),"",INDEX('Compliance Database'!$J$2:$J$679,MATCH(627,'Transfer Engine'!$C$2:$C$679,0)))</f>
        <v/>
      </c>
      <c r="K636">
        <f>IF(ISNA(MATCH(627,'Transfer Engine'!$C$2:$C$679,0)),"",INDEX('Compliance Database'!$K$2:$K$679,MATCH(627,'Transfer Engine'!$C$2:$C$679,0)))</f>
        <v/>
      </c>
      <c r="L636" s="8">
        <f>IF(ISNA(MATCH(627,'Transfer Engine'!$C$2:$C$679,0)),"",INDEX('Compliance Database'!$L$2:$L$679,MATCH(627,'Transfer Engine'!$C$2:$C$679,0)))</f>
        <v/>
      </c>
      <c r="M636" s="8">
        <f>IF(ISNA(MATCH(627,'Transfer Engine'!$C$2:$C$679,0)),"",INDEX('Compliance Database'!$M$2:$M$679,MATCH(627,'Transfer Engine'!$C$2:$C$679,0)))</f>
        <v/>
      </c>
      <c r="N636" s="8">
        <f>IF(ISNA(MATCH(627,'Transfer Engine'!$C$2:$C$679,0)),"",INDEX('Compliance Database'!$N$2:$N$679,MATCH(627,'Transfer Engine'!$C$2:$C$679,0)))</f>
        <v/>
      </c>
      <c r="O636" s="8">
        <f>IF(ISNA(MATCH(627,'Transfer Engine'!$C$2:$C$679,0)),"",INDEX('Compliance Database'!$O$2:$O$679,MATCH(627,'Transfer Engine'!$C$2:$C$679,0)))</f>
        <v/>
      </c>
      <c r="P636">
        <f>IF(ISNA(MATCH(627,'Transfer Engine'!$C$2:$C$679,0)),"",HYPERLINK(INDEX('Compliance Database'!$P$2:$P$679,MATCH(627,'Transfer Engine'!$C$2:$C$679,0)),"Open PDF"))</f>
        <v/>
      </c>
    </row>
    <row r="637">
      <c r="A637">
        <f>IF(ISNA(MATCH(628,'Transfer Engine'!$C$2:$C$679,0)),"",INDEX('Compliance Database'!$A$2:$A$679,MATCH(628,'Transfer Engine'!$C$2:$C$679,0)))</f>
        <v/>
      </c>
      <c r="B637">
        <f>IF(ISNA(MATCH(628,'Transfer Engine'!$C$2:$C$679,0)),"",INDEX('Compliance Database'!$B$2:$B$679,MATCH(628,'Transfer Engine'!$C$2:$C$679,0)))</f>
        <v/>
      </c>
      <c r="C637">
        <f>IF(ISNA(MATCH(628,'Transfer Engine'!$C$2:$C$679,0)),"",INDEX('Compliance Database'!$C$2:$C$679,MATCH(628,'Transfer Engine'!$C$2:$C$679,0)))</f>
        <v/>
      </c>
      <c r="D637" s="8">
        <f>IF(ISNA(MATCH(628,'Transfer Engine'!$C$2:$C$679,0)),"",INDEX('Compliance Database'!$D$2:$D$679,MATCH(628,'Transfer Engine'!$C$2:$C$679,0)))</f>
        <v/>
      </c>
      <c r="E637">
        <f>IF(ISNA(MATCH(628,'Transfer Engine'!$C$2:$C$679,0)),"",INDEX('Compliance Database'!$E$2:$E$679,MATCH(628,'Transfer Engine'!$C$2:$C$679,0)))</f>
        <v/>
      </c>
      <c r="F637">
        <f>IF(ISNA(MATCH(628,'Transfer Engine'!$C$2:$C$679,0)),"",INDEX('Compliance Database'!$F$2:$F$679,MATCH(628,'Transfer Engine'!$C$2:$C$679,0)))</f>
        <v/>
      </c>
      <c r="G637">
        <f>IF(ISNA(MATCH(628,'Transfer Engine'!$C$2:$C$679,0)),"",INDEX('Compliance Database'!$G$2:$G$679,MATCH(628,'Transfer Engine'!$C$2:$C$679,0)))</f>
        <v/>
      </c>
      <c r="H637">
        <f>IF(ISNA(MATCH(628,'Transfer Engine'!$C$2:$C$679,0)),"",INDEX('Compliance Database'!$H$2:$H$679,MATCH(628,'Transfer Engine'!$C$2:$C$679,0)))</f>
        <v/>
      </c>
      <c r="I637" s="8">
        <f>IF(ISNA(MATCH(628,'Transfer Engine'!$C$2:$C$679,0)),"",INDEX('Compliance Database'!$I$2:$I$679,MATCH(628,'Transfer Engine'!$C$2:$C$679,0)))</f>
        <v/>
      </c>
      <c r="J637" s="8">
        <f>IF(ISNA(MATCH(628,'Transfer Engine'!$C$2:$C$679,0)),"",INDEX('Compliance Database'!$J$2:$J$679,MATCH(628,'Transfer Engine'!$C$2:$C$679,0)))</f>
        <v/>
      </c>
      <c r="K637">
        <f>IF(ISNA(MATCH(628,'Transfer Engine'!$C$2:$C$679,0)),"",INDEX('Compliance Database'!$K$2:$K$679,MATCH(628,'Transfer Engine'!$C$2:$C$679,0)))</f>
        <v/>
      </c>
      <c r="L637" s="8">
        <f>IF(ISNA(MATCH(628,'Transfer Engine'!$C$2:$C$679,0)),"",INDEX('Compliance Database'!$L$2:$L$679,MATCH(628,'Transfer Engine'!$C$2:$C$679,0)))</f>
        <v/>
      </c>
      <c r="M637" s="8">
        <f>IF(ISNA(MATCH(628,'Transfer Engine'!$C$2:$C$679,0)),"",INDEX('Compliance Database'!$M$2:$M$679,MATCH(628,'Transfer Engine'!$C$2:$C$679,0)))</f>
        <v/>
      </c>
      <c r="N637" s="8">
        <f>IF(ISNA(MATCH(628,'Transfer Engine'!$C$2:$C$679,0)),"",INDEX('Compliance Database'!$N$2:$N$679,MATCH(628,'Transfer Engine'!$C$2:$C$679,0)))</f>
        <v/>
      </c>
      <c r="O637" s="8">
        <f>IF(ISNA(MATCH(628,'Transfer Engine'!$C$2:$C$679,0)),"",INDEX('Compliance Database'!$O$2:$O$679,MATCH(628,'Transfer Engine'!$C$2:$C$679,0)))</f>
        <v/>
      </c>
      <c r="P637">
        <f>IF(ISNA(MATCH(628,'Transfer Engine'!$C$2:$C$679,0)),"",HYPERLINK(INDEX('Compliance Database'!$P$2:$P$679,MATCH(628,'Transfer Engine'!$C$2:$C$679,0)),"Open PDF"))</f>
        <v/>
      </c>
    </row>
    <row r="638">
      <c r="A638">
        <f>IF(ISNA(MATCH(629,'Transfer Engine'!$C$2:$C$679,0)),"",INDEX('Compliance Database'!$A$2:$A$679,MATCH(629,'Transfer Engine'!$C$2:$C$679,0)))</f>
        <v/>
      </c>
      <c r="B638">
        <f>IF(ISNA(MATCH(629,'Transfer Engine'!$C$2:$C$679,0)),"",INDEX('Compliance Database'!$B$2:$B$679,MATCH(629,'Transfer Engine'!$C$2:$C$679,0)))</f>
        <v/>
      </c>
      <c r="C638">
        <f>IF(ISNA(MATCH(629,'Transfer Engine'!$C$2:$C$679,0)),"",INDEX('Compliance Database'!$C$2:$C$679,MATCH(629,'Transfer Engine'!$C$2:$C$679,0)))</f>
        <v/>
      </c>
      <c r="D638" s="8">
        <f>IF(ISNA(MATCH(629,'Transfer Engine'!$C$2:$C$679,0)),"",INDEX('Compliance Database'!$D$2:$D$679,MATCH(629,'Transfer Engine'!$C$2:$C$679,0)))</f>
        <v/>
      </c>
      <c r="E638">
        <f>IF(ISNA(MATCH(629,'Transfer Engine'!$C$2:$C$679,0)),"",INDEX('Compliance Database'!$E$2:$E$679,MATCH(629,'Transfer Engine'!$C$2:$C$679,0)))</f>
        <v/>
      </c>
      <c r="F638">
        <f>IF(ISNA(MATCH(629,'Transfer Engine'!$C$2:$C$679,0)),"",INDEX('Compliance Database'!$F$2:$F$679,MATCH(629,'Transfer Engine'!$C$2:$C$679,0)))</f>
        <v/>
      </c>
      <c r="G638">
        <f>IF(ISNA(MATCH(629,'Transfer Engine'!$C$2:$C$679,0)),"",INDEX('Compliance Database'!$G$2:$G$679,MATCH(629,'Transfer Engine'!$C$2:$C$679,0)))</f>
        <v/>
      </c>
      <c r="H638">
        <f>IF(ISNA(MATCH(629,'Transfer Engine'!$C$2:$C$679,0)),"",INDEX('Compliance Database'!$H$2:$H$679,MATCH(629,'Transfer Engine'!$C$2:$C$679,0)))</f>
        <v/>
      </c>
      <c r="I638" s="8">
        <f>IF(ISNA(MATCH(629,'Transfer Engine'!$C$2:$C$679,0)),"",INDEX('Compliance Database'!$I$2:$I$679,MATCH(629,'Transfer Engine'!$C$2:$C$679,0)))</f>
        <v/>
      </c>
      <c r="J638" s="8">
        <f>IF(ISNA(MATCH(629,'Transfer Engine'!$C$2:$C$679,0)),"",INDEX('Compliance Database'!$J$2:$J$679,MATCH(629,'Transfer Engine'!$C$2:$C$679,0)))</f>
        <v/>
      </c>
      <c r="K638">
        <f>IF(ISNA(MATCH(629,'Transfer Engine'!$C$2:$C$679,0)),"",INDEX('Compliance Database'!$K$2:$K$679,MATCH(629,'Transfer Engine'!$C$2:$C$679,0)))</f>
        <v/>
      </c>
      <c r="L638" s="8">
        <f>IF(ISNA(MATCH(629,'Transfer Engine'!$C$2:$C$679,0)),"",INDEX('Compliance Database'!$L$2:$L$679,MATCH(629,'Transfer Engine'!$C$2:$C$679,0)))</f>
        <v/>
      </c>
      <c r="M638" s="8">
        <f>IF(ISNA(MATCH(629,'Transfer Engine'!$C$2:$C$679,0)),"",INDEX('Compliance Database'!$M$2:$M$679,MATCH(629,'Transfer Engine'!$C$2:$C$679,0)))</f>
        <v/>
      </c>
      <c r="N638" s="8">
        <f>IF(ISNA(MATCH(629,'Transfer Engine'!$C$2:$C$679,0)),"",INDEX('Compliance Database'!$N$2:$N$679,MATCH(629,'Transfer Engine'!$C$2:$C$679,0)))</f>
        <v/>
      </c>
      <c r="O638" s="8">
        <f>IF(ISNA(MATCH(629,'Transfer Engine'!$C$2:$C$679,0)),"",INDEX('Compliance Database'!$O$2:$O$679,MATCH(629,'Transfer Engine'!$C$2:$C$679,0)))</f>
        <v/>
      </c>
      <c r="P638">
        <f>IF(ISNA(MATCH(629,'Transfer Engine'!$C$2:$C$679,0)),"",HYPERLINK(INDEX('Compliance Database'!$P$2:$P$679,MATCH(629,'Transfer Engine'!$C$2:$C$679,0)),"Open PDF"))</f>
        <v/>
      </c>
    </row>
    <row r="639">
      <c r="A639">
        <f>IF(ISNA(MATCH(630,'Transfer Engine'!$C$2:$C$679,0)),"",INDEX('Compliance Database'!$A$2:$A$679,MATCH(630,'Transfer Engine'!$C$2:$C$679,0)))</f>
        <v/>
      </c>
      <c r="B639">
        <f>IF(ISNA(MATCH(630,'Transfer Engine'!$C$2:$C$679,0)),"",INDEX('Compliance Database'!$B$2:$B$679,MATCH(630,'Transfer Engine'!$C$2:$C$679,0)))</f>
        <v/>
      </c>
      <c r="C639">
        <f>IF(ISNA(MATCH(630,'Transfer Engine'!$C$2:$C$679,0)),"",INDEX('Compliance Database'!$C$2:$C$679,MATCH(630,'Transfer Engine'!$C$2:$C$679,0)))</f>
        <v/>
      </c>
      <c r="D639" s="8">
        <f>IF(ISNA(MATCH(630,'Transfer Engine'!$C$2:$C$679,0)),"",INDEX('Compliance Database'!$D$2:$D$679,MATCH(630,'Transfer Engine'!$C$2:$C$679,0)))</f>
        <v/>
      </c>
      <c r="E639">
        <f>IF(ISNA(MATCH(630,'Transfer Engine'!$C$2:$C$679,0)),"",INDEX('Compliance Database'!$E$2:$E$679,MATCH(630,'Transfer Engine'!$C$2:$C$679,0)))</f>
        <v/>
      </c>
      <c r="F639">
        <f>IF(ISNA(MATCH(630,'Transfer Engine'!$C$2:$C$679,0)),"",INDEX('Compliance Database'!$F$2:$F$679,MATCH(630,'Transfer Engine'!$C$2:$C$679,0)))</f>
        <v/>
      </c>
      <c r="G639">
        <f>IF(ISNA(MATCH(630,'Transfer Engine'!$C$2:$C$679,0)),"",INDEX('Compliance Database'!$G$2:$G$679,MATCH(630,'Transfer Engine'!$C$2:$C$679,0)))</f>
        <v/>
      </c>
      <c r="H639">
        <f>IF(ISNA(MATCH(630,'Transfer Engine'!$C$2:$C$679,0)),"",INDEX('Compliance Database'!$H$2:$H$679,MATCH(630,'Transfer Engine'!$C$2:$C$679,0)))</f>
        <v/>
      </c>
      <c r="I639" s="8">
        <f>IF(ISNA(MATCH(630,'Transfer Engine'!$C$2:$C$679,0)),"",INDEX('Compliance Database'!$I$2:$I$679,MATCH(630,'Transfer Engine'!$C$2:$C$679,0)))</f>
        <v/>
      </c>
      <c r="J639" s="8">
        <f>IF(ISNA(MATCH(630,'Transfer Engine'!$C$2:$C$679,0)),"",INDEX('Compliance Database'!$J$2:$J$679,MATCH(630,'Transfer Engine'!$C$2:$C$679,0)))</f>
        <v/>
      </c>
      <c r="K639">
        <f>IF(ISNA(MATCH(630,'Transfer Engine'!$C$2:$C$679,0)),"",INDEX('Compliance Database'!$K$2:$K$679,MATCH(630,'Transfer Engine'!$C$2:$C$679,0)))</f>
        <v/>
      </c>
      <c r="L639" s="8">
        <f>IF(ISNA(MATCH(630,'Transfer Engine'!$C$2:$C$679,0)),"",INDEX('Compliance Database'!$L$2:$L$679,MATCH(630,'Transfer Engine'!$C$2:$C$679,0)))</f>
        <v/>
      </c>
      <c r="M639" s="8">
        <f>IF(ISNA(MATCH(630,'Transfer Engine'!$C$2:$C$679,0)),"",INDEX('Compliance Database'!$M$2:$M$679,MATCH(630,'Transfer Engine'!$C$2:$C$679,0)))</f>
        <v/>
      </c>
      <c r="N639" s="8">
        <f>IF(ISNA(MATCH(630,'Transfer Engine'!$C$2:$C$679,0)),"",INDEX('Compliance Database'!$N$2:$N$679,MATCH(630,'Transfer Engine'!$C$2:$C$679,0)))</f>
        <v/>
      </c>
      <c r="O639" s="8">
        <f>IF(ISNA(MATCH(630,'Transfer Engine'!$C$2:$C$679,0)),"",INDEX('Compliance Database'!$O$2:$O$679,MATCH(630,'Transfer Engine'!$C$2:$C$679,0)))</f>
        <v/>
      </c>
      <c r="P639">
        <f>IF(ISNA(MATCH(630,'Transfer Engine'!$C$2:$C$679,0)),"",HYPERLINK(INDEX('Compliance Database'!$P$2:$P$679,MATCH(630,'Transfer Engine'!$C$2:$C$679,0)),"Open PDF"))</f>
        <v/>
      </c>
    </row>
    <row r="640">
      <c r="A640">
        <f>IF(ISNA(MATCH(631,'Transfer Engine'!$C$2:$C$679,0)),"",INDEX('Compliance Database'!$A$2:$A$679,MATCH(631,'Transfer Engine'!$C$2:$C$679,0)))</f>
        <v/>
      </c>
      <c r="B640">
        <f>IF(ISNA(MATCH(631,'Transfer Engine'!$C$2:$C$679,0)),"",INDEX('Compliance Database'!$B$2:$B$679,MATCH(631,'Transfer Engine'!$C$2:$C$679,0)))</f>
        <v/>
      </c>
      <c r="C640">
        <f>IF(ISNA(MATCH(631,'Transfer Engine'!$C$2:$C$679,0)),"",INDEX('Compliance Database'!$C$2:$C$679,MATCH(631,'Transfer Engine'!$C$2:$C$679,0)))</f>
        <v/>
      </c>
      <c r="D640" s="8">
        <f>IF(ISNA(MATCH(631,'Transfer Engine'!$C$2:$C$679,0)),"",INDEX('Compliance Database'!$D$2:$D$679,MATCH(631,'Transfer Engine'!$C$2:$C$679,0)))</f>
        <v/>
      </c>
      <c r="E640">
        <f>IF(ISNA(MATCH(631,'Transfer Engine'!$C$2:$C$679,0)),"",INDEX('Compliance Database'!$E$2:$E$679,MATCH(631,'Transfer Engine'!$C$2:$C$679,0)))</f>
        <v/>
      </c>
      <c r="F640">
        <f>IF(ISNA(MATCH(631,'Transfer Engine'!$C$2:$C$679,0)),"",INDEX('Compliance Database'!$F$2:$F$679,MATCH(631,'Transfer Engine'!$C$2:$C$679,0)))</f>
        <v/>
      </c>
      <c r="G640">
        <f>IF(ISNA(MATCH(631,'Transfer Engine'!$C$2:$C$679,0)),"",INDEX('Compliance Database'!$G$2:$G$679,MATCH(631,'Transfer Engine'!$C$2:$C$679,0)))</f>
        <v/>
      </c>
      <c r="H640">
        <f>IF(ISNA(MATCH(631,'Transfer Engine'!$C$2:$C$679,0)),"",INDEX('Compliance Database'!$H$2:$H$679,MATCH(631,'Transfer Engine'!$C$2:$C$679,0)))</f>
        <v/>
      </c>
      <c r="I640" s="8">
        <f>IF(ISNA(MATCH(631,'Transfer Engine'!$C$2:$C$679,0)),"",INDEX('Compliance Database'!$I$2:$I$679,MATCH(631,'Transfer Engine'!$C$2:$C$679,0)))</f>
        <v/>
      </c>
      <c r="J640" s="8">
        <f>IF(ISNA(MATCH(631,'Transfer Engine'!$C$2:$C$679,0)),"",INDEX('Compliance Database'!$J$2:$J$679,MATCH(631,'Transfer Engine'!$C$2:$C$679,0)))</f>
        <v/>
      </c>
      <c r="K640">
        <f>IF(ISNA(MATCH(631,'Transfer Engine'!$C$2:$C$679,0)),"",INDEX('Compliance Database'!$K$2:$K$679,MATCH(631,'Transfer Engine'!$C$2:$C$679,0)))</f>
        <v/>
      </c>
      <c r="L640" s="8">
        <f>IF(ISNA(MATCH(631,'Transfer Engine'!$C$2:$C$679,0)),"",INDEX('Compliance Database'!$L$2:$L$679,MATCH(631,'Transfer Engine'!$C$2:$C$679,0)))</f>
        <v/>
      </c>
      <c r="M640" s="8">
        <f>IF(ISNA(MATCH(631,'Transfer Engine'!$C$2:$C$679,0)),"",INDEX('Compliance Database'!$M$2:$M$679,MATCH(631,'Transfer Engine'!$C$2:$C$679,0)))</f>
        <v/>
      </c>
      <c r="N640" s="8">
        <f>IF(ISNA(MATCH(631,'Transfer Engine'!$C$2:$C$679,0)),"",INDEX('Compliance Database'!$N$2:$N$679,MATCH(631,'Transfer Engine'!$C$2:$C$679,0)))</f>
        <v/>
      </c>
      <c r="O640" s="8">
        <f>IF(ISNA(MATCH(631,'Transfer Engine'!$C$2:$C$679,0)),"",INDEX('Compliance Database'!$O$2:$O$679,MATCH(631,'Transfer Engine'!$C$2:$C$679,0)))</f>
        <v/>
      </c>
      <c r="P640">
        <f>IF(ISNA(MATCH(631,'Transfer Engine'!$C$2:$C$679,0)),"",HYPERLINK(INDEX('Compliance Database'!$P$2:$P$679,MATCH(631,'Transfer Engine'!$C$2:$C$679,0)),"Open PDF"))</f>
        <v/>
      </c>
    </row>
    <row r="641">
      <c r="A641">
        <f>IF(ISNA(MATCH(632,'Transfer Engine'!$C$2:$C$679,0)),"",INDEX('Compliance Database'!$A$2:$A$679,MATCH(632,'Transfer Engine'!$C$2:$C$679,0)))</f>
        <v/>
      </c>
      <c r="B641">
        <f>IF(ISNA(MATCH(632,'Transfer Engine'!$C$2:$C$679,0)),"",INDEX('Compliance Database'!$B$2:$B$679,MATCH(632,'Transfer Engine'!$C$2:$C$679,0)))</f>
        <v/>
      </c>
      <c r="C641">
        <f>IF(ISNA(MATCH(632,'Transfer Engine'!$C$2:$C$679,0)),"",INDEX('Compliance Database'!$C$2:$C$679,MATCH(632,'Transfer Engine'!$C$2:$C$679,0)))</f>
        <v/>
      </c>
      <c r="D641" s="8">
        <f>IF(ISNA(MATCH(632,'Transfer Engine'!$C$2:$C$679,0)),"",INDEX('Compliance Database'!$D$2:$D$679,MATCH(632,'Transfer Engine'!$C$2:$C$679,0)))</f>
        <v/>
      </c>
      <c r="E641">
        <f>IF(ISNA(MATCH(632,'Transfer Engine'!$C$2:$C$679,0)),"",INDEX('Compliance Database'!$E$2:$E$679,MATCH(632,'Transfer Engine'!$C$2:$C$679,0)))</f>
        <v/>
      </c>
      <c r="F641">
        <f>IF(ISNA(MATCH(632,'Transfer Engine'!$C$2:$C$679,0)),"",INDEX('Compliance Database'!$F$2:$F$679,MATCH(632,'Transfer Engine'!$C$2:$C$679,0)))</f>
        <v/>
      </c>
      <c r="G641">
        <f>IF(ISNA(MATCH(632,'Transfer Engine'!$C$2:$C$679,0)),"",INDEX('Compliance Database'!$G$2:$G$679,MATCH(632,'Transfer Engine'!$C$2:$C$679,0)))</f>
        <v/>
      </c>
      <c r="H641">
        <f>IF(ISNA(MATCH(632,'Transfer Engine'!$C$2:$C$679,0)),"",INDEX('Compliance Database'!$H$2:$H$679,MATCH(632,'Transfer Engine'!$C$2:$C$679,0)))</f>
        <v/>
      </c>
      <c r="I641" s="8">
        <f>IF(ISNA(MATCH(632,'Transfer Engine'!$C$2:$C$679,0)),"",INDEX('Compliance Database'!$I$2:$I$679,MATCH(632,'Transfer Engine'!$C$2:$C$679,0)))</f>
        <v/>
      </c>
      <c r="J641" s="8">
        <f>IF(ISNA(MATCH(632,'Transfer Engine'!$C$2:$C$679,0)),"",INDEX('Compliance Database'!$J$2:$J$679,MATCH(632,'Transfer Engine'!$C$2:$C$679,0)))</f>
        <v/>
      </c>
      <c r="K641">
        <f>IF(ISNA(MATCH(632,'Transfer Engine'!$C$2:$C$679,0)),"",INDEX('Compliance Database'!$K$2:$K$679,MATCH(632,'Transfer Engine'!$C$2:$C$679,0)))</f>
        <v/>
      </c>
      <c r="L641" s="8">
        <f>IF(ISNA(MATCH(632,'Transfer Engine'!$C$2:$C$679,0)),"",INDEX('Compliance Database'!$L$2:$L$679,MATCH(632,'Transfer Engine'!$C$2:$C$679,0)))</f>
        <v/>
      </c>
      <c r="M641" s="8">
        <f>IF(ISNA(MATCH(632,'Transfer Engine'!$C$2:$C$679,0)),"",INDEX('Compliance Database'!$M$2:$M$679,MATCH(632,'Transfer Engine'!$C$2:$C$679,0)))</f>
        <v/>
      </c>
      <c r="N641" s="8">
        <f>IF(ISNA(MATCH(632,'Transfer Engine'!$C$2:$C$679,0)),"",INDEX('Compliance Database'!$N$2:$N$679,MATCH(632,'Transfer Engine'!$C$2:$C$679,0)))</f>
        <v/>
      </c>
      <c r="O641" s="8">
        <f>IF(ISNA(MATCH(632,'Transfer Engine'!$C$2:$C$679,0)),"",INDEX('Compliance Database'!$O$2:$O$679,MATCH(632,'Transfer Engine'!$C$2:$C$679,0)))</f>
        <v/>
      </c>
      <c r="P641">
        <f>IF(ISNA(MATCH(632,'Transfer Engine'!$C$2:$C$679,0)),"",HYPERLINK(INDEX('Compliance Database'!$P$2:$P$679,MATCH(632,'Transfer Engine'!$C$2:$C$679,0)),"Open PDF"))</f>
        <v/>
      </c>
    </row>
    <row r="642">
      <c r="A642">
        <f>IF(ISNA(MATCH(633,'Transfer Engine'!$C$2:$C$679,0)),"",INDEX('Compliance Database'!$A$2:$A$679,MATCH(633,'Transfer Engine'!$C$2:$C$679,0)))</f>
        <v/>
      </c>
      <c r="B642">
        <f>IF(ISNA(MATCH(633,'Transfer Engine'!$C$2:$C$679,0)),"",INDEX('Compliance Database'!$B$2:$B$679,MATCH(633,'Transfer Engine'!$C$2:$C$679,0)))</f>
        <v/>
      </c>
      <c r="C642">
        <f>IF(ISNA(MATCH(633,'Transfer Engine'!$C$2:$C$679,0)),"",INDEX('Compliance Database'!$C$2:$C$679,MATCH(633,'Transfer Engine'!$C$2:$C$679,0)))</f>
        <v/>
      </c>
      <c r="D642" s="8">
        <f>IF(ISNA(MATCH(633,'Transfer Engine'!$C$2:$C$679,0)),"",INDEX('Compliance Database'!$D$2:$D$679,MATCH(633,'Transfer Engine'!$C$2:$C$679,0)))</f>
        <v/>
      </c>
      <c r="E642">
        <f>IF(ISNA(MATCH(633,'Transfer Engine'!$C$2:$C$679,0)),"",INDEX('Compliance Database'!$E$2:$E$679,MATCH(633,'Transfer Engine'!$C$2:$C$679,0)))</f>
        <v/>
      </c>
      <c r="F642">
        <f>IF(ISNA(MATCH(633,'Transfer Engine'!$C$2:$C$679,0)),"",INDEX('Compliance Database'!$F$2:$F$679,MATCH(633,'Transfer Engine'!$C$2:$C$679,0)))</f>
        <v/>
      </c>
      <c r="G642">
        <f>IF(ISNA(MATCH(633,'Transfer Engine'!$C$2:$C$679,0)),"",INDEX('Compliance Database'!$G$2:$G$679,MATCH(633,'Transfer Engine'!$C$2:$C$679,0)))</f>
        <v/>
      </c>
      <c r="H642">
        <f>IF(ISNA(MATCH(633,'Transfer Engine'!$C$2:$C$679,0)),"",INDEX('Compliance Database'!$H$2:$H$679,MATCH(633,'Transfer Engine'!$C$2:$C$679,0)))</f>
        <v/>
      </c>
      <c r="I642" s="8">
        <f>IF(ISNA(MATCH(633,'Transfer Engine'!$C$2:$C$679,0)),"",INDEX('Compliance Database'!$I$2:$I$679,MATCH(633,'Transfer Engine'!$C$2:$C$679,0)))</f>
        <v/>
      </c>
      <c r="J642" s="8">
        <f>IF(ISNA(MATCH(633,'Transfer Engine'!$C$2:$C$679,0)),"",INDEX('Compliance Database'!$J$2:$J$679,MATCH(633,'Transfer Engine'!$C$2:$C$679,0)))</f>
        <v/>
      </c>
      <c r="K642">
        <f>IF(ISNA(MATCH(633,'Transfer Engine'!$C$2:$C$679,0)),"",INDEX('Compliance Database'!$K$2:$K$679,MATCH(633,'Transfer Engine'!$C$2:$C$679,0)))</f>
        <v/>
      </c>
      <c r="L642" s="8">
        <f>IF(ISNA(MATCH(633,'Transfer Engine'!$C$2:$C$679,0)),"",INDEX('Compliance Database'!$L$2:$L$679,MATCH(633,'Transfer Engine'!$C$2:$C$679,0)))</f>
        <v/>
      </c>
      <c r="M642" s="8">
        <f>IF(ISNA(MATCH(633,'Transfer Engine'!$C$2:$C$679,0)),"",INDEX('Compliance Database'!$M$2:$M$679,MATCH(633,'Transfer Engine'!$C$2:$C$679,0)))</f>
        <v/>
      </c>
      <c r="N642" s="8">
        <f>IF(ISNA(MATCH(633,'Transfer Engine'!$C$2:$C$679,0)),"",INDEX('Compliance Database'!$N$2:$N$679,MATCH(633,'Transfer Engine'!$C$2:$C$679,0)))</f>
        <v/>
      </c>
      <c r="O642" s="8">
        <f>IF(ISNA(MATCH(633,'Transfer Engine'!$C$2:$C$679,0)),"",INDEX('Compliance Database'!$O$2:$O$679,MATCH(633,'Transfer Engine'!$C$2:$C$679,0)))</f>
        <v/>
      </c>
      <c r="P642">
        <f>IF(ISNA(MATCH(633,'Transfer Engine'!$C$2:$C$679,0)),"",HYPERLINK(INDEX('Compliance Database'!$P$2:$P$679,MATCH(633,'Transfer Engine'!$C$2:$C$679,0)),"Open PDF"))</f>
        <v/>
      </c>
    </row>
    <row r="643">
      <c r="A643">
        <f>IF(ISNA(MATCH(634,'Transfer Engine'!$C$2:$C$679,0)),"",INDEX('Compliance Database'!$A$2:$A$679,MATCH(634,'Transfer Engine'!$C$2:$C$679,0)))</f>
        <v/>
      </c>
      <c r="B643">
        <f>IF(ISNA(MATCH(634,'Transfer Engine'!$C$2:$C$679,0)),"",INDEX('Compliance Database'!$B$2:$B$679,MATCH(634,'Transfer Engine'!$C$2:$C$679,0)))</f>
        <v/>
      </c>
      <c r="C643">
        <f>IF(ISNA(MATCH(634,'Transfer Engine'!$C$2:$C$679,0)),"",INDEX('Compliance Database'!$C$2:$C$679,MATCH(634,'Transfer Engine'!$C$2:$C$679,0)))</f>
        <v/>
      </c>
      <c r="D643" s="8">
        <f>IF(ISNA(MATCH(634,'Transfer Engine'!$C$2:$C$679,0)),"",INDEX('Compliance Database'!$D$2:$D$679,MATCH(634,'Transfer Engine'!$C$2:$C$679,0)))</f>
        <v/>
      </c>
      <c r="E643">
        <f>IF(ISNA(MATCH(634,'Transfer Engine'!$C$2:$C$679,0)),"",INDEX('Compliance Database'!$E$2:$E$679,MATCH(634,'Transfer Engine'!$C$2:$C$679,0)))</f>
        <v/>
      </c>
      <c r="F643">
        <f>IF(ISNA(MATCH(634,'Transfer Engine'!$C$2:$C$679,0)),"",INDEX('Compliance Database'!$F$2:$F$679,MATCH(634,'Transfer Engine'!$C$2:$C$679,0)))</f>
        <v/>
      </c>
      <c r="G643">
        <f>IF(ISNA(MATCH(634,'Transfer Engine'!$C$2:$C$679,0)),"",INDEX('Compliance Database'!$G$2:$G$679,MATCH(634,'Transfer Engine'!$C$2:$C$679,0)))</f>
        <v/>
      </c>
      <c r="H643">
        <f>IF(ISNA(MATCH(634,'Transfer Engine'!$C$2:$C$679,0)),"",INDEX('Compliance Database'!$H$2:$H$679,MATCH(634,'Transfer Engine'!$C$2:$C$679,0)))</f>
        <v/>
      </c>
      <c r="I643" s="8">
        <f>IF(ISNA(MATCH(634,'Transfer Engine'!$C$2:$C$679,0)),"",INDEX('Compliance Database'!$I$2:$I$679,MATCH(634,'Transfer Engine'!$C$2:$C$679,0)))</f>
        <v/>
      </c>
      <c r="J643" s="8">
        <f>IF(ISNA(MATCH(634,'Transfer Engine'!$C$2:$C$679,0)),"",INDEX('Compliance Database'!$J$2:$J$679,MATCH(634,'Transfer Engine'!$C$2:$C$679,0)))</f>
        <v/>
      </c>
      <c r="K643">
        <f>IF(ISNA(MATCH(634,'Transfer Engine'!$C$2:$C$679,0)),"",INDEX('Compliance Database'!$K$2:$K$679,MATCH(634,'Transfer Engine'!$C$2:$C$679,0)))</f>
        <v/>
      </c>
      <c r="L643" s="8">
        <f>IF(ISNA(MATCH(634,'Transfer Engine'!$C$2:$C$679,0)),"",INDEX('Compliance Database'!$L$2:$L$679,MATCH(634,'Transfer Engine'!$C$2:$C$679,0)))</f>
        <v/>
      </c>
      <c r="M643" s="8">
        <f>IF(ISNA(MATCH(634,'Transfer Engine'!$C$2:$C$679,0)),"",INDEX('Compliance Database'!$M$2:$M$679,MATCH(634,'Transfer Engine'!$C$2:$C$679,0)))</f>
        <v/>
      </c>
      <c r="N643" s="8">
        <f>IF(ISNA(MATCH(634,'Transfer Engine'!$C$2:$C$679,0)),"",INDEX('Compliance Database'!$N$2:$N$679,MATCH(634,'Transfer Engine'!$C$2:$C$679,0)))</f>
        <v/>
      </c>
      <c r="O643" s="8">
        <f>IF(ISNA(MATCH(634,'Transfer Engine'!$C$2:$C$679,0)),"",INDEX('Compliance Database'!$O$2:$O$679,MATCH(634,'Transfer Engine'!$C$2:$C$679,0)))</f>
        <v/>
      </c>
      <c r="P643">
        <f>IF(ISNA(MATCH(634,'Transfer Engine'!$C$2:$C$679,0)),"",HYPERLINK(INDEX('Compliance Database'!$P$2:$P$679,MATCH(634,'Transfer Engine'!$C$2:$C$679,0)),"Open PDF"))</f>
        <v/>
      </c>
    </row>
    <row r="644">
      <c r="A644">
        <f>IF(ISNA(MATCH(635,'Transfer Engine'!$C$2:$C$679,0)),"",INDEX('Compliance Database'!$A$2:$A$679,MATCH(635,'Transfer Engine'!$C$2:$C$679,0)))</f>
        <v/>
      </c>
      <c r="B644">
        <f>IF(ISNA(MATCH(635,'Transfer Engine'!$C$2:$C$679,0)),"",INDEX('Compliance Database'!$B$2:$B$679,MATCH(635,'Transfer Engine'!$C$2:$C$679,0)))</f>
        <v/>
      </c>
      <c r="C644">
        <f>IF(ISNA(MATCH(635,'Transfer Engine'!$C$2:$C$679,0)),"",INDEX('Compliance Database'!$C$2:$C$679,MATCH(635,'Transfer Engine'!$C$2:$C$679,0)))</f>
        <v/>
      </c>
      <c r="D644" s="8">
        <f>IF(ISNA(MATCH(635,'Transfer Engine'!$C$2:$C$679,0)),"",INDEX('Compliance Database'!$D$2:$D$679,MATCH(635,'Transfer Engine'!$C$2:$C$679,0)))</f>
        <v/>
      </c>
      <c r="E644">
        <f>IF(ISNA(MATCH(635,'Transfer Engine'!$C$2:$C$679,0)),"",INDEX('Compliance Database'!$E$2:$E$679,MATCH(635,'Transfer Engine'!$C$2:$C$679,0)))</f>
        <v/>
      </c>
      <c r="F644">
        <f>IF(ISNA(MATCH(635,'Transfer Engine'!$C$2:$C$679,0)),"",INDEX('Compliance Database'!$F$2:$F$679,MATCH(635,'Transfer Engine'!$C$2:$C$679,0)))</f>
        <v/>
      </c>
      <c r="G644">
        <f>IF(ISNA(MATCH(635,'Transfer Engine'!$C$2:$C$679,0)),"",INDEX('Compliance Database'!$G$2:$G$679,MATCH(635,'Transfer Engine'!$C$2:$C$679,0)))</f>
        <v/>
      </c>
      <c r="H644">
        <f>IF(ISNA(MATCH(635,'Transfer Engine'!$C$2:$C$679,0)),"",INDEX('Compliance Database'!$H$2:$H$679,MATCH(635,'Transfer Engine'!$C$2:$C$679,0)))</f>
        <v/>
      </c>
      <c r="I644" s="8">
        <f>IF(ISNA(MATCH(635,'Transfer Engine'!$C$2:$C$679,0)),"",INDEX('Compliance Database'!$I$2:$I$679,MATCH(635,'Transfer Engine'!$C$2:$C$679,0)))</f>
        <v/>
      </c>
      <c r="J644" s="8">
        <f>IF(ISNA(MATCH(635,'Transfer Engine'!$C$2:$C$679,0)),"",INDEX('Compliance Database'!$J$2:$J$679,MATCH(635,'Transfer Engine'!$C$2:$C$679,0)))</f>
        <v/>
      </c>
      <c r="K644">
        <f>IF(ISNA(MATCH(635,'Transfer Engine'!$C$2:$C$679,0)),"",INDEX('Compliance Database'!$K$2:$K$679,MATCH(635,'Transfer Engine'!$C$2:$C$679,0)))</f>
        <v/>
      </c>
      <c r="L644" s="8">
        <f>IF(ISNA(MATCH(635,'Transfer Engine'!$C$2:$C$679,0)),"",INDEX('Compliance Database'!$L$2:$L$679,MATCH(635,'Transfer Engine'!$C$2:$C$679,0)))</f>
        <v/>
      </c>
      <c r="M644" s="8">
        <f>IF(ISNA(MATCH(635,'Transfer Engine'!$C$2:$C$679,0)),"",INDEX('Compliance Database'!$M$2:$M$679,MATCH(635,'Transfer Engine'!$C$2:$C$679,0)))</f>
        <v/>
      </c>
      <c r="N644" s="8">
        <f>IF(ISNA(MATCH(635,'Transfer Engine'!$C$2:$C$679,0)),"",INDEX('Compliance Database'!$N$2:$N$679,MATCH(635,'Transfer Engine'!$C$2:$C$679,0)))</f>
        <v/>
      </c>
      <c r="O644" s="8">
        <f>IF(ISNA(MATCH(635,'Transfer Engine'!$C$2:$C$679,0)),"",INDEX('Compliance Database'!$O$2:$O$679,MATCH(635,'Transfer Engine'!$C$2:$C$679,0)))</f>
        <v/>
      </c>
      <c r="P644">
        <f>IF(ISNA(MATCH(635,'Transfer Engine'!$C$2:$C$679,0)),"",HYPERLINK(INDEX('Compliance Database'!$P$2:$P$679,MATCH(635,'Transfer Engine'!$C$2:$C$679,0)),"Open PDF"))</f>
        <v/>
      </c>
    </row>
    <row r="645">
      <c r="A645">
        <f>IF(ISNA(MATCH(636,'Transfer Engine'!$C$2:$C$679,0)),"",INDEX('Compliance Database'!$A$2:$A$679,MATCH(636,'Transfer Engine'!$C$2:$C$679,0)))</f>
        <v/>
      </c>
      <c r="B645">
        <f>IF(ISNA(MATCH(636,'Transfer Engine'!$C$2:$C$679,0)),"",INDEX('Compliance Database'!$B$2:$B$679,MATCH(636,'Transfer Engine'!$C$2:$C$679,0)))</f>
        <v/>
      </c>
      <c r="C645">
        <f>IF(ISNA(MATCH(636,'Transfer Engine'!$C$2:$C$679,0)),"",INDEX('Compliance Database'!$C$2:$C$679,MATCH(636,'Transfer Engine'!$C$2:$C$679,0)))</f>
        <v/>
      </c>
      <c r="D645" s="8">
        <f>IF(ISNA(MATCH(636,'Transfer Engine'!$C$2:$C$679,0)),"",INDEX('Compliance Database'!$D$2:$D$679,MATCH(636,'Transfer Engine'!$C$2:$C$679,0)))</f>
        <v/>
      </c>
      <c r="E645">
        <f>IF(ISNA(MATCH(636,'Transfer Engine'!$C$2:$C$679,0)),"",INDEX('Compliance Database'!$E$2:$E$679,MATCH(636,'Transfer Engine'!$C$2:$C$679,0)))</f>
        <v/>
      </c>
      <c r="F645">
        <f>IF(ISNA(MATCH(636,'Transfer Engine'!$C$2:$C$679,0)),"",INDEX('Compliance Database'!$F$2:$F$679,MATCH(636,'Transfer Engine'!$C$2:$C$679,0)))</f>
        <v/>
      </c>
      <c r="G645">
        <f>IF(ISNA(MATCH(636,'Transfer Engine'!$C$2:$C$679,0)),"",INDEX('Compliance Database'!$G$2:$G$679,MATCH(636,'Transfer Engine'!$C$2:$C$679,0)))</f>
        <v/>
      </c>
      <c r="H645">
        <f>IF(ISNA(MATCH(636,'Transfer Engine'!$C$2:$C$679,0)),"",INDEX('Compliance Database'!$H$2:$H$679,MATCH(636,'Transfer Engine'!$C$2:$C$679,0)))</f>
        <v/>
      </c>
      <c r="I645" s="8">
        <f>IF(ISNA(MATCH(636,'Transfer Engine'!$C$2:$C$679,0)),"",INDEX('Compliance Database'!$I$2:$I$679,MATCH(636,'Transfer Engine'!$C$2:$C$679,0)))</f>
        <v/>
      </c>
      <c r="J645" s="8">
        <f>IF(ISNA(MATCH(636,'Transfer Engine'!$C$2:$C$679,0)),"",INDEX('Compliance Database'!$J$2:$J$679,MATCH(636,'Transfer Engine'!$C$2:$C$679,0)))</f>
        <v/>
      </c>
      <c r="K645">
        <f>IF(ISNA(MATCH(636,'Transfer Engine'!$C$2:$C$679,0)),"",INDEX('Compliance Database'!$K$2:$K$679,MATCH(636,'Transfer Engine'!$C$2:$C$679,0)))</f>
        <v/>
      </c>
      <c r="L645" s="8">
        <f>IF(ISNA(MATCH(636,'Transfer Engine'!$C$2:$C$679,0)),"",INDEX('Compliance Database'!$L$2:$L$679,MATCH(636,'Transfer Engine'!$C$2:$C$679,0)))</f>
        <v/>
      </c>
      <c r="M645" s="8">
        <f>IF(ISNA(MATCH(636,'Transfer Engine'!$C$2:$C$679,0)),"",INDEX('Compliance Database'!$M$2:$M$679,MATCH(636,'Transfer Engine'!$C$2:$C$679,0)))</f>
        <v/>
      </c>
      <c r="N645" s="8">
        <f>IF(ISNA(MATCH(636,'Transfer Engine'!$C$2:$C$679,0)),"",INDEX('Compliance Database'!$N$2:$N$679,MATCH(636,'Transfer Engine'!$C$2:$C$679,0)))</f>
        <v/>
      </c>
      <c r="O645" s="8">
        <f>IF(ISNA(MATCH(636,'Transfer Engine'!$C$2:$C$679,0)),"",INDEX('Compliance Database'!$O$2:$O$679,MATCH(636,'Transfer Engine'!$C$2:$C$679,0)))</f>
        <v/>
      </c>
      <c r="P645">
        <f>IF(ISNA(MATCH(636,'Transfer Engine'!$C$2:$C$679,0)),"",HYPERLINK(INDEX('Compliance Database'!$P$2:$P$679,MATCH(636,'Transfer Engine'!$C$2:$C$679,0)),"Open PDF"))</f>
        <v/>
      </c>
    </row>
    <row r="646">
      <c r="A646">
        <f>IF(ISNA(MATCH(637,'Transfer Engine'!$C$2:$C$679,0)),"",INDEX('Compliance Database'!$A$2:$A$679,MATCH(637,'Transfer Engine'!$C$2:$C$679,0)))</f>
        <v/>
      </c>
      <c r="B646">
        <f>IF(ISNA(MATCH(637,'Transfer Engine'!$C$2:$C$679,0)),"",INDEX('Compliance Database'!$B$2:$B$679,MATCH(637,'Transfer Engine'!$C$2:$C$679,0)))</f>
        <v/>
      </c>
      <c r="C646">
        <f>IF(ISNA(MATCH(637,'Transfer Engine'!$C$2:$C$679,0)),"",INDEX('Compliance Database'!$C$2:$C$679,MATCH(637,'Transfer Engine'!$C$2:$C$679,0)))</f>
        <v/>
      </c>
      <c r="D646" s="8">
        <f>IF(ISNA(MATCH(637,'Transfer Engine'!$C$2:$C$679,0)),"",INDEX('Compliance Database'!$D$2:$D$679,MATCH(637,'Transfer Engine'!$C$2:$C$679,0)))</f>
        <v/>
      </c>
      <c r="E646">
        <f>IF(ISNA(MATCH(637,'Transfer Engine'!$C$2:$C$679,0)),"",INDEX('Compliance Database'!$E$2:$E$679,MATCH(637,'Transfer Engine'!$C$2:$C$679,0)))</f>
        <v/>
      </c>
      <c r="F646">
        <f>IF(ISNA(MATCH(637,'Transfer Engine'!$C$2:$C$679,0)),"",INDEX('Compliance Database'!$F$2:$F$679,MATCH(637,'Transfer Engine'!$C$2:$C$679,0)))</f>
        <v/>
      </c>
      <c r="G646">
        <f>IF(ISNA(MATCH(637,'Transfer Engine'!$C$2:$C$679,0)),"",INDEX('Compliance Database'!$G$2:$G$679,MATCH(637,'Transfer Engine'!$C$2:$C$679,0)))</f>
        <v/>
      </c>
      <c r="H646">
        <f>IF(ISNA(MATCH(637,'Transfer Engine'!$C$2:$C$679,0)),"",INDEX('Compliance Database'!$H$2:$H$679,MATCH(637,'Transfer Engine'!$C$2:$C$679,0)))</f>
        <v/>
      </c>
      <c r="I646" s="8">
        <f>IF(ISNA(MATCH(637,'Transfer Engine'!$C$2:$C$679,0)),"",INDEX('Compliance Database'!$I$2:$I$679,MATCH(637,'Transfer Engine'!$C$2:$C$679,0)))</f>
        <v/>
      </c>
      <c r="J646" s="8">
        <f>IF(ISNA(MATCH(637,'Transfer Engine'!$C$2:$C$679,0)),"",INDEX('Compliance Database'!$J$2:$J$679,MATCH(637,'Transfer Engine'!$C$2:$C$679,0)))</f>
        <v/>
      </c>
      <c r="K646">
        <f>IF(ISNA(MATCH(637,'Transfer Engine'!$C$2:$C$679,0)),"",INDEX('Compliance Database'!$K$2:$K$679,MATCH(637,'Transfer Engine'!$C$2:$C$679,0)))</f>
        <v/>
      </c>
      <c r="L646" s="8">
        <f>IF(ISNA(MATCH(637,'Transfer Engine'!$C$2:$C$679,0)),"",INDEX('Compliance Database'!$L$2:$L$679,MATCH(637,'Transfer Engine'!$C$2:$C$679,0)))</f>
        <v/>
      </c>
      <c r="M646" s="8">
        <f>IF(ISNA(MATCH(637,'Transfer Engine'!$C$2:$C$679,0)),"",INDEX('Compliance Database'!$M$2:$M$679,MATCH(637,'Transfer Engine'!$C$2:$C$679,0)))</f>
        <v/>
      </c>
      <c r="N646" s="8">
        <f>IF(ISNA(MATCH(637,'Transfer Engine'!$C$2:$C$679,0)),"",INDEX('Compliance Database'!$N$2:$N$679,MATCH(637,'Transfer Engine'!$C$2:$C$679,0)))</f>
        <v/>
      </c>
      <c r="O646" s="8">
        <f>IF(ISNA(MATCH(637,'Transfer Engine'!$C$2:$C$679,0)),"",INDEX('Compliance Database'!$O$2:$O$679,MATCH(637,'Transfer Engine'!$C$2:$C$679,0)))</f>
        <v/>
      </c>
      <c r="P646">
        <f>IF(ISNA(MATCH(637,'Transfer Engine'!$C$2:$C$679,0)),"",HYPERLINK(INDEX('Compliance Database'!$P$2:$P$679,MATCH(637,'Transfer Engine'!$C$2:$C$679,0)),"Open PDF"))</f>
        <v/>
      </c>
    </row>
    <row r="647">
      <c r="A647">
        <f>IF(ISNA(MATCH(638,'Transfer Engine'!$C$2:$C$679,0)),"",INDEX('Compliance Database'!$A$2:$A$679,MATCH(638,'Transfer Engine'!$C$2:$C$679,0)))</f>
        <v/>
      </c>
      <c r="B647">
        <f>IF(ISNA(MATCH(638,'Transfer Engine'!$C$2:$C$679,0)),"",INDEX('Compliance Database'!$B$2:$B$679,MATCH(638,'Transfer Engine'!$C$2:$C$679,0)))</f>
        <v/>
      </c>
      <c r="C647">
        <f>IF(ISNA(MATCH(638,'Transfer Engine'!$C$2:$C$679,0)),"",INDEX('Compliance Database'!$C$2:$C$679,MATCH(638,'Transfer Engine'!$C$2:$C$679,0)))</f>
        <v/>
      </c>
      <c r="D647" s="8">
        <f>IF(ISNA(MATCH(638,'Transfer Engine'!$C$2:$C$679,0)),"",INDEX('Compliance Database'!$D$2:$D$679,MATCH(638,'Transfer Engine'!$C$2:$C$679,0)))</f>
        <v/>
      </c>
      <c r="E647">
        <f>IF(ISNA(MATCH(638,'Transfer Engine'!$C$2:$C$679,0)),"",INDEX('Compliance Database'!$E$2:$E$679,MATCH(638,'Transfer Engine'!$C$2:$C$679,0)))</f>
        <v/>
      </c>
      <c r="F647">
        <f>IF(ISNA(MATCH(638,'Transfer Engine'!$C$2:$C$679,0)),"",INDEX('Compliance Database'!$F$2:$F$679,MATCH(638,'Transfer Engine'!$C$2:$C$679,0)))</f>
        <v/>
      </c>
      <c r="G647">
        <f>IF(ISNA(MATCH(638,'Transfer Engine'!$C$2:$C$679,0)),"",INDEX('Compliance Database'!$G$2:$G$679,MATCH(638,'Transfer Engine'!$C$2:$C$679,0)))</f>
        <v/>
      </c>
      <c r="H647">
        <f>IF(ISNA(MATCH(638,'Transfer Engine'!$C$2:$C$679,0)),"",INDEX('Compliance Database'!$H$2:$H$679,MATCH(638,'Transfer Engine'!$C$2:$C$679,0)))</f>
        <v/>
      </c>
      <c r="I647" s="8">
        <f>IF(ISNA(MATCH(638,'Transfer Engine'!$C$2:$C$679,0)),"",INDEX('Compliance Database'!$I$2:$I$679,MATCH(638,'Transfer Engine'!$C$2:$C$679,0)))</f>
        <v/>
      </c>
      <c r="J647" s="8">
        <f>IF(ISNA(MATCH(638,'Transfer Engine'!$C$2:$C$679,0)),"",INDEX('Compliance Database'!$J$2:$J$679,MATCH(638,'Transfer Engine'!$C$2:$C$679,0)))</f>
        <v/>
      </c>
      <c r="K647">
        <f>IF(ISNA(MATCH(638,'Transfer Engine'!$C$2:$C$679,0)),"",INDEX('Compliance Database'!$K$2:$K$679,MATCH(638,'Transfer Engine'!$C$2:$C$679,0)))</f>
        <v/>
      </c>
      <c r="L647" s="8">
        <f>IF(ISNA(MATCH(638,'Transfer Engine'!$C$2:$C$679,0)),"",INDEX('Compliance Database'!$L$2:$L$679,MATCH(638,'Transfer Engine'!$C$2:$C$679,0)))</f>
        <v/>
      </c>
      <c r="M647" s="8">
        <f>IF(ISNA(MATCH(638,'Transfer Engine'!$C$2:$C$679,0)),"",INDEX('Compliance Database'!$M$2:$M$679,MATCH(638,'Transfer Engine'!$C$2:$C$679,0)))</f>
        <v/>
      </c>
      <c r="N647" s="8">
        <f>IF(ISNA(MATCH(638,'Transfer Engine'!$C$2:$C$679,0)),"",INDEX('Compliance Database'!$N$2:$N$679,MATCH(638,'Transfer Engine'!$C$2:$C$679,0)))</f>
        <v/>
      </c>
      <c r="O647" s="8">
        <f>IF(ISNA(MATCH(638,'Transfer Engine'!$C$2:$C$679,0)),"",INDEX('Compliance Database'!$O$2:$O$679,MATCH(638,'Transfer Engine'!$C$2:$C$679,0)))</f>
        <v/>
      </c>
      <c r="P647">
        <f>IF(ISNA(MATCH(638,'Transfer Engine'!$C$2:$C$679,0)),"",HYPERLINK(INDEX('Compliance Database'!$P$2:$P$679,MATCH(638,'Transfer Engine'!$C$2:$C$679,0)),"Open PDF"))</f>
        <v/>
      </c>
    </row>
    <row r="648">
      <c r="A648">
        <f>IF(ISNA(MATCH(639,'Transfer Engine'!$C$2:$C$679,0)),"",INDEX('Compliance Database'!$A$2:$A$679,MATCH(639,'Transfer Engine'!$C$2:$C$679,0)))</f>
        <v/>
      </c>
      <c r="B648">
        <f>IF(ISNA(MATCH(639,'Transfer Engine'!$C$2:$C$679,0)),"",INDEX('Compliance Database'!$B$2:$B$679,MATCH(639,'Transfer Engine'!$C$2:$C$679,0)))</f>
        <v/>
      </c>
      <c r="C648">
        <f>IF(ISNA(MATCH(639,'Transfer Engine'!$C$2:$C$679,0)),"",INDEX('Compliance Database'!$C$2:$C$679,MATCH(639,'Transfer Engine'!$C$2:$C$679,0)))</f>
        <v/>
      </c>
      <c r="D648" s="8">
        <f>IF(ISNA(MATCH(639,'Transfer Engine'!$C$2:$C$679,0)),"",INDEX('Compliance Database'!$D$2:$D$679,MATCH(639,'Transfer Engine'!$C$2:$C$679,0)))</f>
        <v/>
      </c>
      <c r="E648">
        <f>IF(ISNA(MATCH(639,'Transfer Engine'!$C$2:$C$679,0)),"",INDEX('Compliance Database'!$E$2:$E$679,MATCH(639,'Transfer Engine'!$C$2:$C$679,0)))</f>
        <v/>
      </c>
      <c r="F648">
        <f>IF(ISNA(MATCH(639,'Transfer Engine'!$C$2:$C$679,0)),"",INDEX('Compliance Database'!$F$2:$F$679,MATCH(639,'Transfer Engine'!$C$2:$C$679,0)))</f>
        <v/>
      </c>
      <c r="G648">
        <f>IF(ISNA(MATCH(639,'Transfer Engine'!$C$2:$C$679,0)),"",INDEX('Compliance Database'!$G$2:$G$679,MATCH(639,'Transfer Engine'!$C$2:$C$679,0)))</f>
        <v/>
      </c>
      <c r="H648">
        <f>IF(ISNA(MATCH(639,'Transfer Engine'!$C$2:$C$679,0)),"",INDEX('Compliance Database'!$H$2:$H$679,MATCH(639,'Transfer Engine'!$C$2:$C$679,0)))</f>
        <v/>
      </c>
      <c r="I648" s="8">
        <f>IF(ISNA(MATCH(639,'Transfer Engine'!$C$2:$C$679,0)),"",INDEX('Compliance Database'!$I$2:$I$679,MATCH(639,'Transfer Engine'!$C$2:$C$679,0)))</f>
        <v/>
      </c>
      <c r="J648" s="8">
        <f>IF(ISNA(MATCH(639,'Transfer Engine'!$C$2:$C$679,0)),"",INDEX('Compliance Database'!$J$2:$J$679,MATCH(639,'Transfer Engine'!$C$2:$C$679,0)))</f>
        <v/>
      </c>
      <c r="K648">
        <f>IF(ISNA(MATCH(639,'Transfer Engine'!$C$2:$C$679,0)),"",INDEX('Compliance Database'!$K$2:$K$679,MATCH(639,'Transfer Engine'!$C$2:$C$679,0)))</f>
        <v/>
      </c>
      <c r="L648" s="8">
        <f>IF(ISNA(MATCH(639,'Transfer Engine'!$C$2:$C$679,0)),"",INDEX('Compliance Database'!$L$2:$L$679,MATCH(639,'Transfer Engine'!$C$2:$C$679,0)))</f>
        <v/>
      </c>
      <c r="M648" s="8">
        <f>IF(ISNA(MATCH(639,'Transfer Engine'!$C$2:$C$679,0)),"",INDEX('Compliance Database'!$M$2:$M$679,MATCH(639,'Transfer Engine'!$C$2:$C$679,0)))</f>
        <v/>
      </c>
      <c r="N648" s="8">
        <f>IF(ISNA(MATCH(639,'Transfer Engine'!$C$2:$C$679,0)),"",INDEX('Compliance Database'!$N$2:$N$679,MATCH(639,'Transfer Engine'!$C$2:$C$679,0)))</f>
        <v/>
      </c>
      <c r="O648" s="8">
        <f>IF(ISNA(MATCH(639,'Transfer Engine'!$C$2:$C$679,0)),"",INDEX('Compliance Database'!$O$2:$O$679,MATCH(639,'Transfer Engine'!$C$2:$C$679,0)))</f>
        <v/>
      </c>
      <c r="P648">
        <f>IF(ISNA(MATCH(639,'Transfer Engine'!$C$2:$C$679,0)),"",HYPERLINK(INDEX('Compliance Database'!$P$2:$P$679,MATCH(639,'Transfer Engine'!$C$2:$C$679,0)),"Open PDF"))</f>
        <v/>
      </c>
    </row>
    <row r="649">
      <c r="A649">
        <f>IF(ISNA(MATCH(640,'Transfer Engine'!$C$2:$C$679,0)),"",INDEX('Compliance Database'!$A$2:$A$679,MATCH(640,'Transfer Engine'!$C$2:$C$679,0)))</f>
        <v/>
      </c>
      <c r="B649">
        <f>IF(ISNA(MATCH(640,'Transfer Engine'!$C$2:$C$679,0)),"",INDEX('Compliance Database'!$B$2:$B$679,MATCH(640,'Transfer Engine'!$C$2:$C$679,0)))</f>
        <v/>
      </c>
      <c r="C649">
        <f>IF(ISNA(MATCH(640,'Transfer Engine'!$C$2:$C$679,0)),"",INDEX('Compliance Database'!$C$2:$C$679,MATCH(640,'Transfer Engine'!$C$2:$C$679,0)))</f>
        <v/>
      </c>
      <c r="D649" s="8">
        <f>IF(ISNA(MATCH(640,'Transfer Engine'!$C$2:$C$679,0)),"",INDEX('Compliance Database'!$D$2:$D$679,MATCH(640,'Transfer Engine'!$C$2:$C$679,0)))</f>
        <v/>
      </c>
      <c r="E649">
        <f>IF(ISNA(MATCH(640,'Transfer Engine'!$C$2:$C$679,0)),"",INDEX('Compliance Database'!$E$2:$E$679,MATCH(640,'Transfer Engine'!$C$2:$C$679,0)))</f>
        <v/>
      </c>
      <c r="F649">
        <f>IF(ISNA(MATCH(640,'Transfer Engine'!$C$2:$C$679,0)),"",INDEX('Compliance Database'!$F$2:$F$679,MATCH(640,'Transfer Engine'!$C$2:$C$679,0)))</f>
        <v/>
      </c>
      <c r="G649">
        <f>IF(ISNA(MATCH(640,'Transfer Engine'!$C$2:$C$679,0)),"",INDEX('Compliance Database'!$G$2:$G$679,MATCH(640,'Transfer Engine'!$C$2:$C$679,0)))</f>
        <v/>
      </c>
      <c r="H649">
        <f>IF(ISNA(MATCH(640,'Transfer Engine'!$C$2:$C$679,0)),"",INDEX('Compliance Database'!$H$2:$H$679,MATCH(640,'Transfer Engine'!$C$2:$C$679,0)))</f>
        <v/>
      </c>
      <c r="I649" s="8">
        <f>IF(ISNA(MATCH(640,'Transfer Engine'!$C$2:$C$679,0)),"",INDEX('Compliance Database'!$I$2:$I$679,MATCH(640,'Transfer Engine'!$C$2:$C$679,0)))</f>
        <v/>
      </c>
      <c r="J649" s="8">
        <f>IF(ISNA(MATCH(640,'Transfer Engine'!$C$2:$C$679,0)),"",INDEX('Compliance Database'!$J$2:$J$679,MATCH(640,'Transfer Engine'!$C$2:$C$679,0)))</f>
        <v/>
      </c>
      <c r="K649">
        <f>IF(ISNA(MATCH(640,'Transfer Engine'!$C$2:$C$679,0)),"",INDEX('Compliance Database'!$K$2:$K$679,MATCH(640,'Transfer Engine'!$C$2:$C$679,0)))</f>
        <v/>
      </c>
      <c r="L649" s="8">
        <f>IF(ISNA(MATCH(640,'Transfer Engine'!$C$2:$C$679,0)),"",INDEX('Compliance Database'!$L$2:$L$679,MATCH(640,'Transfer Engine'!$C$2:$C$679,0)))</f>
        <v/>
      </c>
      <c r="M649" s="8">
        <f>IF(ISNA(MATCH(640,'Transfer Engine'!$C$2:$C$679,0)),"",INDEX('Compliance Database'!$M$2:$M$679,MATCH(640,'Transfer Engine'!$C$2:$C$679,0)))</f>
        <v/>
      </c>
      <c r="N649" s="8">
        <f>IF(ISNA(MATCH(640,'Transfer Engine'!$C$2:$C$679,0)),"",INDEX('Compliance Database'!$N$2:$N$679,MATCH(640,'Transfer Engine'!$C$2:$C$679,0)))</f>
        <v/>
      </c>
      <c r="O649" s="8">
        <f>IF(ISNA(MATCH(640,'Transfer Engine'!$C$2:$C$679,0)),"",INDEX('Compliance Database'!$O$2:$O$679,MATCH(640,'Transfer Engine'!$C$2:$C$679,0)))</f>
        <v/>
      </c>
      <c r="P649">
        <f>IF(ISNA(MATCH(640,'Transfer Engine'!$C$2:$C$679,0)),"",HYPERLINK(INDEX('Compliance Database'!$P$2:$P$679,MATCH(640,'Transfer Engine'!$C$2:$C$679,0)),"Open PDF"))</f>
        <v/>
      </c>
    </row>
    <row r="650">
      <c r="A650">
        <f>IF(ISNA(MATCH(641,'Transfer Engine'!$C$2:$C$679,0)),"",INDEX('Compliance Database'!$A$2:$A$679,MATCH(641,'Transfer Engine'!$C$2:$C$679,0)))</f>
        <v/>
      </c>
      <c r="B650">
        <f>IF(ISNA(MATCH(641,'Transfer Engine'!$C$2:$C$679,0)),"",INDEX('Compliance Database'!$B$2:$B$679,MATCH(641,'Transfer Engine'!$C$2:$C$679,0)))</f>
        <v/>
      </c>
      <c r="C650">
        <f>IF(ISNA(MATCH(641,'Transfer Engine'!$C$2:$C$679,0)),"",INDEX('Compliance Database'!$C$2:$C$679,MATCH(641,'Transfer Engine'!$C$2:$C$679,0)))</f>
        <v/>
      </c>
      <c r="D650" s="8">
        <f>IF(ISNA(MATCH(641,'Transfer Engine'!$C$2:$C$679,0)),"",INDEX('Compliance Database'!$D$2:$D$679,MATCH(641,'Transfer Engine'!$C$2:$C$679,0)))</f>
        <v/>
      </c>
      <c r="E650">
        <f>IF(ISNA(MATCH(641,'Transfer Engine'!$C$2:$C$679,0)),"",INDEX('Compliance Database'!$E$2:$E$679,MATCH(641,'Transfer Engine'!$C$2:$C$679,0)))</f>
        <v/>
      </c>
      <c r="F650">
        <f>IF(ISNA(MATCH(641,'Transfer Engine'!$C$2:$C$679,0)),"",INDEX('Compliance Database'!$F$2:$F$679,MATCH(641,'Transfer Engine'!$C$2:$C$679,0)))</f>
        <v/>
      </c>
      <c r="G650">
        <f>IF(ISNA(MATCH(641,'Transfer Engine'!$C$2:$C$679,0)),"",INDEX('Compliance Database'!$G$2:$G$679,MATCH(641,'Transfer Engine'!$C$2:$C$679,0)))</f>
        <v/>
      </c>
      <c r="H650">
        <f>IF(ISNA(MATCH(641,'Transfer Engine'!$C$2:$C$679,0)),"",INDEX('Compliance Database'!$H$2:$H$679,MATCH(641,'Transfer Engine'!$C$2:$C$679,0)))</f>
        <v/>
      </c>
      <c r="I650" s="8">
        <f>IF(ISNA(MATCH(641,'Transfer Engine'!$C$2:$C$679,0)),"",INDEX('Compliance Database'!$I$2:$I$679,MATCH(641,'Transfer Engine'!$C$2:$C$679,0)))</f>
        <v/>
      </c>
      <c r="J650" s="8">
        <f>IF(ISNA(MATCH(641,'Transfer Engine'!$C$2:$C$679,0)),"",INDEX('Compliance Database'!$J$2:$J$679,MATCH(641,'Transfer Engine'!$C$2:$C$679,0)))</f>
        <v/>
      </c>
      <c r="K650">
        <f>IF(ISNA(MATCH(641,'Transfer Engine'!$C$2:$C$679,0)),"",INDEX('Compliance Database'!$K$2:$K$679,MATCH(641,'Transfer Engine'!$C$2:$C$679,0)))</f>
        <v/>
      </c>
      <c r="L650" s="8">
        <f>IF(ISNA(MATCH(641,'Transfer Engine'!$C$2:$C$679,0)),"",INDEX('Compliance Database'!$L$2:$L$679,MATCH(641,'Transfer Engine'!$C$2:$C$679,0)))</f>
        <v/>
      </c>
      <c r="M650" s="8">
        <f>IF(ISNA(MATCH(641,'Transfer Engine'!$C$2:$C$679,0)),"",INDEX('Compliance Database'!$M$2:$M$679,MATCH(641,'Transfer Engine'!$C$2:$C$679,0)))</f>
        <v/>
      </c>
      <c r="N650" s="8">
        <f>IF(ISNA(MATCH(641,'Transfer Engine'!$C$2:$C$679,0)),"",INDEX('Compliance Database'!$N$2:$N$679,MATCH(641,'Transfer Engine'!$C$2:$C$679,0)))</f>
        <v/>
      </c>
      <c r="O650" s="8">
        <f>IF(ISNA(MATCH(641,'Transfer Engine'!$C$2:$C$679,0)),"",INDEX('Compliance Database'!$O$2:$O$679,MATCH(641,'Transfer Engine'!$C$2:$C$679,0)))</f>
        <v/>
      </c>
      <c r="P650">
        <f>IF(ISNA(MATCH(641,'Transfer Engine'!$C$2:$C$679,0)),"",HYPERLINK(INDEX('Compliance Database'!$P$2:$P$679,MATCH(641,'Transfer Engine'!$C$2:$C$679,0)),"Open PDF"))</f>
        <v/>
      </c>
    </row>
    <row r="651">
      <c r="A651">
        <f>IF(ISNA(MATCH(642,'Transfer Engine'!$C$2:$C$679,0)),"",INDEX('Compliance Database'!$A$2:$A$679,MATCH(642,'Transfer Engine'!$C$2:$C$679,0)))</f>
        <v/>
      </c>
      <c r="B651">
        <f>IF(ISNA(MATCH(642,'Transfer Engine'!$C$2:$C$679,0)),"",INDEX('Compliance Database'!$B$2:$B$679,MATCH(642,'Transfer Engine'!$C$2:$C$679,0)))</f>
        <v/>
      </c>
      <c r="C651">
        <f>IF(ISNA(MATCH(642,'Transfer Engine'!$C$2:$C$679,0)),"",INDEX('Compliance Database'!$C$2:$C$679,MATCH(642,'Transfer Engine'!$C$2:$C$679,0)))</f>
        <v/>
      </c>
      <c r="D651" s="8">
        <f>IF(ISNA(MATCH(642,'Transfer Engine'!$C$2:$C$679,0)),"",INDEX('Compliance Database'!$D$2:$D$679,MATCH(642,'Transfer Engine'!$C$2:$C$679,0)))</f>
        <v/>
      </c>
      <c r="E651">
        <f>IF(ISNA(MATCH(642,'Transfer Engine'!$C$2:$C$679,0)),"",INDEX('Compliance Database'!$E$2:$E$679,MATCH(642,'Transfer Engine'!$C$2:$C$679,0)))</f>
        <v/>
      </c>
      <c r="F651">
        <f>IF(ISNA(MATCH(642,'Transfer Engine'!$C$2:$C$679,0)),"",INDEX('Compliance Database'!$F$2:$F$679,MATCH(642,'Transfer Engine'!$C$2:$C$679,0)))</f>
        <v/>
      </c>
      <c r="G651">
        <f>IF(ISNA(MATCH(642,'Transfer Engine'!$C$2:$C$679,0)),"",INDEX('Compliance Database'!$G$2:$G$679,MATCH(642,'Transfer Engine'!$C$2:$C$679,0)))</f>
        <v/>
      </c>
      <c r="H651">
        <f>IF(ISNA(MATCH(642,'Transfer Engine'!$C$2:$C$679,0)),"",INDEX('Compliance Database'!$H$2:$H$679,MATCH(642,'Transfer Engine'!$C$2:$C$679,0)))</f>
        <v/>
      </c>
      <c r="I651" s="8">
        <f>IF(ISNA(MATCH(642,'Transfer Engine'!$C$2:$C$679,0)),"",INDEX('Compliance Database'!$I$2:$I$679,MATCH(642,'Transfer Engine'!$C$2:$C$679,0)))</f>
        <v/>
      </c>
      <c r="J651" s="8">
        <f>IF(ISNA(MATCH(642,'Transfer Engine'!$C$2:$C$679,0)),"",INDEX('Compliance Database'!$J$2:$J$679,MATCH(642,'Transfer Engine'!$C$2:$C$679,0)))</f>
        <v/>
      </c>
      <c r="K651">
        <f>IF(ISNA(MATCH(642,'Transfer Engine'!$C$2:$C$679,0)),"",INDEX('Compliance Database'!$K$2:$K$679,MATCH(642,'Transfer Engine'!$C$2:$C$679,0)))</f>
        <v/>
      </c>
      <c r="L651" s="8">
        <f>IF(ISNA(MATCH(642,'Transfer Engine'!$C$2:$C$679,0)),"",INDEX('Compliance Database'!$L$2:$L$679,MATCH(642,'Transfer Engine'!$C$2:$C$679,0)))</f>
        <v/>
      </c>
      <c r="M651" s="8">
        <f>IF(ISNA(MATCH(642,'Transfer Engine'!$C$2:$C$679,0)),"",INDEX('Compliance Database'!$M$2:$M$679,MATCH(642,'Transfer Engine'!$C$2:$C$679,0)))</f>
        <v/>
      </c>
      <c r="N651" s="8">
        <f>IF(ISNA(MATCH(642,'Transfer Engine'!$C$2:$C$679,0)),"",INDEX('Compliance Database'!$N$2:$N$679,MATCH(642,'Transfer Engine'!$C$2:$C$679,0)))</f>
        <v/>
      </c>
      <c r="O651" s="8">
        <f>IF(ISNA(MATCH(642,'Transfer Engine'!$C$2:$C$679,0)),"",INDEX('Compliance Database'!$O$2:$O$679,MATCH(642,'Transfer Engine'!$C$2:$C$679,0)))</f>
        <v/>
      </c>
      <c r="P651">
        <f>IF(ISNA(MATCH(642,'Transfer Engine'!$C$2:$C$679,0)),"",HYPERLINK(INDEX('Compliance Database'!$P$2:$P$679,MATCH(642,'Transfer Engine'!$C$2:$C$679,0)),"Open PDF"))</f>
        <v/>
      </c>
    </row>
    <row r="652">
      <c r="A652">
        <f>IF(ISNA(MATCH(643,'Transfer Engine'!$C$2:$C$679,0)),"",INDEX('Compliance Database'!$A$2:$A$679,MATCH(643,'Transfer Engine'!$C$2:$C$679,0)))</f>
        <v/>
      </c>
      <c r="B652">
        <f>IF(ISNA(MATCH(643,'Transfer Engine'!$C$2:$C$679,0)),"",INDEX('Compliance Database'!$B$2:$B$679,MATCH(643,'Transfer Engine'!$C$2:$C$679,0)))</f>
        <v/>
      </c>
      <c r="C652">
        <f>IF(ISNA(MATCH(643,'Transfer Engine'!$C$2:$C$679,0)),"",INDEX('Compliance Database'!$C$2:$C$679,MATCH(643,'Transfer Engine'!$C$2:$C$679,0)))</f>
        <v/>
      </c>
      <c r="D652" s="8">
        <f>IF(ISNA(MATCH(643,'Transfer Engine'!$C$2:$C$679,0)),"",INDEX('Compliance Database'!$D$2:$D$679,MATCH(643,'Transfer Engine'!$C$2:$C$679,0)))</f>
        <v/>
      </c>
      <c r="E652">
        <f>IF(ISNA(MATCH(643,'Transfer Engine'!$C$2:$C$679,0)),"",INDEX('Compliance Database'!$E$2:$E$679,MATCH(643,'Transfer Engine'!$C$2:$C$679,0)))</f>
        <v/>
      </c>
      <c r="F652">
        <f>IF(ISNA(MATCH(643,'Transfer Engine'!$C$2:$C$679,0)),"",INDEX('Compliance Database'!$F$2:$F$679,MATCH(643,'Transfer Engine'!$C$2:$C$679,0)))</f>
        <v/>
      </c>
      <c r="G652">
        <f>IF(ISNA(MATCH(643,'Transfer Engine'!$C$2:$C$679,0)),"",INDEX('Compliance Database'!$G$2:$G$679,MATCH(643,'Transfer Engine'!$C$2:$C$679,0)))</f>
        <v/>
      </c>
      <c r="H652">
        <f>IF(ISNA(MATCH(643,'Transfer Engine'!$C$2:$C$679,0)),"",INDEX('Compliance Database'!$H$2:$H$679,MATCH(643,'Transfer Engine'!$C$2:$C$679,0)))</f>
        <v/>
      </c>
      <c r="I652" s="8">
        <f>IF(ISNA(MATCH(643,'Transfer Engine'!$C$2:$C$679,0)),"",INDEX('Compliance Database'!$I$2:$I$679,MATCH(643,'Transfer Engine'!$C$2:$C$679,0)))</f>
        <v/>
      </c>
      <c r="J652" s="8">
        <f>IF(ISNA(MATCH(643,'Transfer Engine'!$C$2:$C$679,0)),"",INDEX('Compliance Database'!$J$2:$J$679,MATCH(643,'Transfer Engine'!$C$2:$C$679,0)))</f>
        <v/>
      </c>
      <c r="K652">
        <f>IF(ISNA(MATCH(643,'Transfer Engine'!$C$2:$C$679,0)),"",INDEX('Compliance Database'!$K$2:$K$679,MATCH(643,'Transfer Engine'!$C$2:$C$679,0)))</f>
        <v/>
      </c>
      <c r="L652" s="8">
        <f>IF(ISNA(MATCH(643,'Transfer Engine'!$C$2:$C$679,0)),"",INDEX('Compliance Database'!$L$2:$L$679,MATCH(643,'Transfer Engine'!$C$2:$C$679,0)))</f>
        <v/>
      </c>
      <c r="M652" s="8">
        <f>IF(ISNA(MATCH(643,'Transfer Engine'!$C$2:$C$679,0)),"",INDEX('Compliance Database'!$M$2:$M$679,MATCH(643,'Transfer Engine'!$C$2:$C$679,0)))</f>
        <v/>
      </c>
      <c r="N652" s="8">
        <f>IF(ISNA(MATCH(643,'Transfer Engine'!$C$2:$C$679,0)),"",INDEX('Compliance Database'!$N$2:$N$679,MATCH(643,'Transfer Engine'!$C$2:$C$679,0)))</f>
        <v/>
      </c>
      <c r="O652" s="8">
        <f>IF(ISNA(MATCH(643,'Transfer Engine'!$C$2:$C$679,0)),"",INDEX('Compliance Database'!$O$2:$O$679,MATCH(643,'Transfer Engine'!$C$2:$C$679,0)))</f>
        <v/>
      </c>
      <c r="P652">
        <f>IF(ISNA(MATCH(643,'Transfer Engine'!$C$2:$C$679,0)),"",HYPERLINK(INDEX('Compliance Database'!$P$2:$P$679,MATCH(643,'Transfer Engine'!$C$2:$C$679,0)),"Open PDF"))</f>
        <v/>
      </c>
    </row>
    <row r="653">
      <c r="A653">
        <f>IF(ISNA(MATCH(644,'Transfer Engine'!$C$2:$C$679,0)),"",INDEX('Compliance Database'!$A$2:$A$679,MATCH(644,'Transfer Engine'!$C$2:$C$679,0)))</f>
        <v/>
      </c>
      <c r="B653">
        <f>IF(ISNA(MATCH(644,'Transfer Engine'!$C$2:$C$679,0)),"",INDEX('Compliance Database'!$B$2:$B$679,MATCH(644,'Transfer Engine'!$C$2:$C$679,0)))</f>
        <v/>
      </c>
      <c r="C653">
        <f>IF(ISNA(MATCH(644,'Transfer Engine'!$C$2:$C$679,0)),"",INDEX('Compliance Database'!$C$2:$C$679,MATCH(644,'Transfer Engine'!$C$2:$C$679,0)))</f>
        <v/>
      </c>
      <c r="D653" s="8">
        <f>IF(ISNA(MATCH(644,'Transfer Engine'!$C$2:$C$679,0)),"",INDEX('Compliance Database'!$D$2:$D$679,MATCH(644,'Transfer Engine'!$C$2:$C$679,0)))</f>
        <v/>
      </c>
      <c r="E653">
        <f>IF(ISNA(MATCH(644,'Transfer Engine'!$C$2:$C$679,0)),"",INDEX('Compliance Database'!$E$2:$E$679,MATCH(644,'Transfer Engine'!$C$2:$C$679,0)))</f>
        <v/>
      </c>
      <c r="F653">
        <f>IF(ISNA(MATCH(644,'Transfer Engine'!$C$2:$C$679,0)),"",INDEX('Compliance Database'!$F$2:$F$679,MATCH(644,'Transfer Engine'!$C$2:$C$679,0)))</f>
        <v/>
      </c>
      <c r="G653">
        <f>IF(ISNA(MATCH(644,'Transfer Engine'!$C$2:$C$679,0)),"",INDEX('Compliance Database'!$G$2:$G$679,MATCH(644,'Transfer Engine'!$C$2:$C$679,0)))</f>
        <v/>
      </c>
      <c r="H653">
        <f>IF(ISNA(MATCH(644,'Transfer Engine'!$C$2:$C$679,0)),"",INDEX('Compliance Database'!$H$2:$H$679,MATCH(644,'Transfer Engine'!$C$2:$C$679,0)))</f>
        <v/>
      </c>
      <c r="I653" s="8">
        <f>IF(ISNA(MATCH(644,'Transfer Engine'!$C$2:$C$679,0)),"",INDEX('Compliance Database'!$I$2:$I$679,MATCH(644,'Transfer Engine'!$C$2:$C$679,0)))</f>
        <v/>
      </c>
      <c r="J653" s="8">
        <f>IF(ISNA(MATCH(644,'Transfer Engine'!$C$2:$C$679,0)),"",INDEX('Compliance Database'!$J$2:$J$679,MATCH(644,'Transfer Engine'!$C$2:$C$679,0)))</f>
        <v/>
      </c>
      <c r="K653">
        <f>IF(ISNA(MATCH(644,'Transfer Engine'!$C$2:$C$679,0)),"",INDEX('Compliance Database'!$K$2:$K$679,MATCH(644,'Transfer Engine'!$C$2:$C$679,0)))</f>
        <v/>
      </c>
      <c r="L653" s="8">
        <f>IF(ISNA(MATCH(644,'Transfer Engine'!$C$2:$C$679,0)),"",INDEX('Compliance Database'!$L$2:$L$679,MATCH(644,'Transfer Engine'!$C$2:$C$679,0)))</f>
        <v/>
      </c>
      <c r="M653" s="8">
        <f>IF(ISNA(MATCH(644,'Transfer Engine'!$C$2:$C$679,0)),"",INDEX('Compliance Database'!$M$2:$M$679,MATCH(644,'Transfer Engine'!$C$2:$C$679,0)))</f>
        <v/>
      </c>
      <c r="N653" s="8">
        <f>IF(ISNA(MATCH(644,'Transfer Engine'!$C$2:$C$679,0)),"",INDEX('Compliance Database'!$N$2:$N$679,MATCH(644,'Transfer Engine'!$C$2:$C$679,0)))</f>
        <v/>
      </c>
      <c r="O653" s="8">
        <f>IF(ISNA(MATCH(644,'Transfer Engine'!$C$2:$C$679,0)),"",INDEX('Compliance Database'!$O$2:$O$679,MATCH(644,'Transfer Engine'!$C$2:$C$679,0)))</f>
        <v/>
      </c>
      <c r="P653">
        <f>IF(ISNA(MATCH(644,'Transfer Engine'!$C$2:$C$679,0)),"",HYPERLINK(INDEX('Compliance Database'!$P$2:$P$679,MATCH(644,'Transfer Engine'!$C$2:$C$679,0)),"Open PDF"))</f>
        <v/>
      </c>
    </row>
    <row r="654">
      <c r="A654">
        <f>IF(ISNA(MATCH(645,'Transfer Engine'!$C$2:$C$679,0)),"",INDEX('Compliance Database'!$A$2:$A$679,MATCH(645,'Transfer Engine'!$C$2:$C$679,0)))</f>
        <v/>
      </c>
      <c r="B654">
        <f>IF(ISNA(MATCH(645,'Transfer Engine'!$C$2:$C$679,0)),"",INDEX('Compliance Database'!$B$2:$B$679,MATCH(645,'Transfer Engine'!$C$2:$C$679,0)))</f>
        <v/>
      </c>
      <c r="C654">
        <f>IF(ISNA(MATCH(645,'Transfer Engine'!$C$2:$C$679,0)),"",INDEX('Compliance Database'!$C$2:$C$679,MATCH(645,'Transfer Engine'!$C$2:$C$679,0)))</f>
        <v/>
      </c>
      <c r="D654" s="8">
        <f>IF(ISNA(MATCH(645,'Transfer Engine'!$C$2:$C$679,0)),"",INDEX('Compliance Database'!$D$2:$D$679,MATCH(645,'Transfer Engine'!$C$2:$C$679,0)))</f>
        <v/>
      </c>
      <c r="E654">
        <f>IF(ISNA(MATCH(645,'Transfer Engine'!$C$2:$C$679,0)),"",INDEX('Compliance Database'!$E$2:$E$679,MATCH(645,'Transfer Engine'!$C$2:$C$679,0)))</f>
        <v/>
      </c>
      <c r="F654">
        <f>IF(ISNA(MATCH(645,'Transfer Engine'!$C$2:$C$679,0)),"",INDEX('Compliance Database'!$F$2:$F$679,MATCH(645,'Transfer Engine'!$C$2:$C$679,0)))</f>
        <v/>
      </c>
      <c r="G654">
        <f>IF(ISNA(MATCH(645,'Transfer Engine'!$C$2:$C$679,0)),"",INDEX('Compliance Database'!$G$2:$G$679,MATCH(645,'Transfer Engine'!$C$2:$C$679,0)))</f>
        <v/>
      </c>
      <c r="H654">
        <f>IF(ISNA(MATCH(645,'Transfer Engine'!$C$2:$C$679,0)),"",INDEX('Compliance Database'!$H$2:$H$679,MATCH(645,'Transfer Engine'!$C$2:$C$679,0)))</f>
        <v/>
      </c>
      <c r="I654" s="8">
        <f>IF(ISNA(MATCH(645,'Transfer Engine'!$C$2:$C$679,0)),"",INDEX('Compliance Database'!$I$2:$I$679,MATCH(645,'Transfer Engine'!$C$2:$C$679,0)))</f>
        <v/>
      </c>
      <c r="J654" s="8">
        <f>IF(ISNA(MATCH(645,'Transfer Engine'!$C$2:$C$679,0)),"",INDEX('Compliance Database'!$J$2:$J$679,MATCH(645,'Transfer Engine'!$C$2:$C$679,0)))</f>
        <v/>
      </c>
      <c r="K654">
        <f>IF(ISNA(MATCH(645,'Transfer Engine'!$C$2:$C$679,0)),"",INDEX('Compliance Database'!$K$2:$K$679,MATCH(645,'Transfer Engine'!$C$2:$C$679,0)))</f>
        <v/>
      </c>
      <c r="L654" s="8">
        <f>IF(ISNA(MATCH(645,'Transfer Engine'!$C$2:$C$679,0)),"",INDEX('Compliance Database'!$L$2:$L$679,MATCH(645,'Transfer Engine'!$C$2:$C$679,0)))</f>
        <v/>
      </c>
      <c r="M654" s="8">
        <f>IF(ISNA(MATCH(645,'Transfer Engine'!$C$2:$C$679,0)),"",INDEX('Compliance Database'!$M$2:$M$679,MATCH(645,'Transfer Engine'!$C$2:$C$679,0)))</f>
        <v/>
      </c>
      <c r="N654" s="8">
        <f>IF(ISNA(MATCH(645,'Transfer Engine'!$C$2:$C$679,0)),"",INDEX('Compliance Database'!$N$2:$N$679,MATCH(645,'Transfer Engine'!$C$2:$C$679,0)))</f>
        <v/>
      </c>
      <c r="O654" s="8">
        <f>IF(ISNA(MATCH(645,'Transfer Engine'!$C$2:$C$679,0)),"",INDEX('Compliance Database'!$O$2:$O$679,MATCH(645,'Transfer Engine'!$C$2:$C$679,0)))</f>
        <v/>
      </c>
      <c r="P654">
        <f>IF(ISNA(MATCH(645,'Transfer Engine'!$C$2:$C$679,0)),"",HYPERLINK(INDEX('Compliance Database'!$P$2:$P$679,MATCH(645,'Transfer Engine'!$C$2:$C$679,0)),"Open PDF"))</f>
        <v/>
      </c>
    </row>
    <row r="655">
      <c r="A655">
        <f>IF(ISNA(MATCH(646,'Transfer Engine'!$C$2:$C$679,0)),"",INDEX('Compliance Database'!$A$2:$A$679,MATCH(646,'Transfer Engine'!$C$2:$C$679,0)))</f>
        <v/>
      </c>
      <c r="B655">
        <f>IF(ISNA(MATCH(646,'Transfer Engine'!$C$2:$C$679,0)),"",INDEX('Compliance Database'!$B$2:$B$679,MATCH(646,'Transfer Engine'!$C$2:$C$679,0)))</f>
        <v/>
      </c>
      <c r="C655">
        <f>IF(ISNA(MATCH(646,'Transfer Engine'!$C$2:$C$679,0)),"",INDEX('Compliance Database'!$C$2:$C$679,MATCH(646,'Transfer Engine'!$C$2:$C$679,0)))</f>
        <v/>
      </c>
      <c r="D655" s="8">
        <f>IF(ISNA(MATCH(646,'Transfer Engine'!$C$2:$C$679,0)),"",INDEX('Compliance Database'!$D$2:$D$679,MATCH(646,'Transfer Engine'!$C$2:$C$679,0)))</f>
        <v/>
      </c>
      <c r="E655">
        <f>IF(ISNA(MATCH(646,'Transfer Engine'!$C$2:$C$679,0)),"",INDEX('Compliance Database'!$E$2:$E$679,MATCH(646,'Transfer Engine'!$C$2:$C$679,0)))</f>
        <v/>
      </c>
      <c r="F655">
        <f>IF(ISNA(MATCH(646,'Transfer Engine'!$C$2:$C$679,0)),"",INDEX('Compliance Database'!$F$2:$F$679,MATCH(646,'Transfer Engine'!$C$2:$C$679,0)))</f>
        <v/>
      </c>
      <c r="G655">
        <f>IF(ISNA(MATCH(646,'Transfer Engine'!$C$2:$C$679,0)),"",INDEX('Compliance Database'!$G$2:$G$679,MATCH(646,'Transfer Engine'!$C$2:$C$679,0)))</f>
        <v/>
      </c>
      <c r="H655">
        <f>IF(ISNA(MATCH(646,'Transfer Engine'!$C$2:$C$679,0)),"",INDEX('Compliance Database'!$H$2:$H$679,MATCH(646,'Transfer Engine'!$C$2:$C$679,0)))</f>
        <v/>
      </c>
      <c r="I655" s="8">
        <f>IF(ISNA(MATCH(646,'Transfer Engine'!$C$2:$C$679,0)),"",INDEX('Compliance Database'!$I$2:$I$679,MATCH(646,'Transfer Engine'!$C$2:$C$679,0)))</f>
        <v/>
      </c>
      <c r="J655" s="8">
        <f>IF(ISNA(MATCH(646,'Transfer Engine'!$C$2:$C$679,0)),"",INDEX('Compliance Database'!$J$2:$J$679,MATCH(646,'Transfer Engine'!$C$2:$C$679,0)))</f>
        <v/>
      </c>
      <c r="K655">
        <f>IF(ISNA(MATCH(646,'Transfer Engine'!$C$2:$C$679,0)),"",INDEX('Compliance Database'!$K$2:$K$679,MATCH(646,'Transfer Engine'!$C$2:$C$679,0)))</f>
        <v/>
      </c>
      <c r="L655" s="8">
        <f>IF(ISNA(MATCH(646,'Transfer Engine'!$C$2:$C$679,0)),"",INDEX('Compliance Database'!$L$2:$L$679,MATCH(646,'Transfer Engine'!$C$2:$C$679,0)))</f>
        <v/>
      </c>
      <c r="M655" s="8">
        <f>IF(ISNA(MATCH(646,'Transfer Engine'!$C$2:$C$679,0)),"",INDEX('Compliance Database'!$M$2:$M$679,MATCH(646,'Transfer Engine'!$C$2:$C$679,0)))</f>
        <v/>
      </c>
      <c r="N655" s="8">
        <f>IF(ISNA(MATCH(646,'Transfer Engine'!$C$2:$C$679,0)),"",INDEX('Compliance Database'!$N$2:$N$679,MATCH(646,'Transfer Engine'!$C$2:$C$679,0)))</f>
        <v/>
      </c>
      <c r="O655" s="8">
        <f>IF(ISNA(MATCH(646,'Transfer Engine'!$C$2:$C$679,0)),"",INDEX('Compliance Database'!$O$2:$O$679,MATCH(646,'Transfer Engine'!$C$2:$C$679,0)))</f>
        <v/>
      </c>
      <c r="P655">
        <f>IF(ISNA(MATCH(646,'Transfer Engine'!$C$2:$C$679,0)),"",HYPERLINK(INDEX('Compliance Database'!$P$2:$P$679,MATCH(646,'Transfer Engine'!$C$2:$C$679,0)),"Open PDF"))</f>
        <v/>
      </c>
    </row>
    <row r="656">
      <c r="A656">
        <f>IF(ISNA(MATCH(647,'Transfer Engine'!$C$2:$C$679,0)),"",INDEX('Compliance Database'!$A$2:$A$679,MATCH(647,'Transfer Engine'!$C$2:$C$679,0)))</f>
        <v/>
      </c>
      <c r="B656">
        <f>IF(ISNA(MATCH(647,'Transfer Engine'!$C$2:$C$679,0)),"",INDEX('Compliance Database'!$B$2:$B$679,MATCH(647,'Transfer Engine'!$C$2:$C$679,0)))</f>
        <v/>
      </c>
      <c r="C656">
        <f>IF(ISNA(MATCH(647,'Transfer Engine'!$C$2:$C$679,0)),"",INDEX('Compliance Database'!$C$2:$C$679,MATCH(647,'Transfer Engine'!$C$2:$C$679,0)))</f>
        <v/>
      </c>
      <c r="D656" s="8">
        <f>IF(ISNA(MATCH(647,'Transfer Engine'!$C$2:$C$679,0)),"",INDEX('Compliance Database'!$D$2:$D$679,MATCH(647,'Transfer Engine'!$C$2:$C$679,0)))</f>
        <v/>
      </c>
      <c r="E656">
        <f>IF(ISNA(MATCH(647,'Transfer Engine'!$C$2:$C$679,0)),"",INDEX('Compliance Database'!$E$2:$E$679,MATCH(647,'Transfer Engine'!$C$2:$C$679,0)))</f>
        <v/>
      </c>
      <c r="F656">
        <f>IF(ISNA(MATCH(647,'Transfer Engine'!$C$2:$C$679,0)),"",INDEX('Compliance Database'!$F$2:$F$679,MATCH(647,'Transfer Engine'!$C$2:$C$679,0)))</f>
        <v/>
      </c>
      <c r="G656">
        <f>IF(ISNA(MATCH(647,'Transfer Engine'!$C$2:$C$679,0)),"",INDEX('Compliance Database'!$G$2:$G$679,MATCH(647,'Transfer Engine'!$C$2:$C$679,0)))</f>
        <v/>
      </c>
      <c r="H656">
        <f>IF(ISNA(MATCH(647,'Transfer Engine'!$C$2:$C$679,0)),"",INDEX('Compliance Database'!$H$2:$H$679,MATCH(647,'Transfer Engine'!$C$2:$C$679,0)))</f>
        <v/>
      </c>
      <c r="I656" s="8">
        <f>IF(ISNA(MATCH(647,'Transfer Engine'!$C$2:$C$679,0)),"",INDEX('Compliance Database'!$I$2:$I$679,MATCH(647,'Transfer Engine'!$C$2:$C$679,0)))</f>
        <v/>
      </c>
      <c r="J656" s="8">
        <f>IF(ISNA(MATCH(647,'Transfer Engine'!$C$2:$C$679,0)),"",INDEX('Compliance Database'!$J$2:$J$679,MATCH(647,'Transfer Engine'!$C$2:$C$679,0)))</f>
        <v/>
      </c>
      <c r="K656">
        <f>IF(ISNA(MATCH(647,'Transfer Engine'!$C$2:$C$679,0)),"",INDEX('Compliance Database'!$K$2:$K$679,MATCH(647,'Transfer Engine'!$C$2:$C$679,0)))</f>
        <v/>
      </c>
      <c r="L656" s="8">
        <f>IF(ISNA(MATCH(647,'Transfer Engine'!$C$2:$C$679,0)),"",INDEX('Compliance Database'!$L$2:$L$679,MATCH(647,'Transfer Engine'!$C$2:$C$679,0)))</f>
        <v/>
      </c>
      <c r="M656" s="8">
        <f>IF(ISNA(MATCH(647,'Transfer Engine'!$C$2:$C$679,0)),"",INDEX('Compliance Database'!$M$2:$M$679,MATCH(647,'Transfer Engine'!$C$2:$C$679,0)))</f>
        <v/>
      </c>
      <c r="N656" s="8">
        <f>IF(ISNA(MATCH(647,'Transfer Engine'!$C$2:$C$679,0)),"",INDEX('Compliance Database'!$N$2:$N$679,MATCH(647,'Transfer Engine'!$C$2:$C$679,0)))</f>
        <v/>
      </c>
      <c r="O656" s="8">
        <f>IF(ISNA(MATCH(647,'Transfer Engine'!$C$2:$C$679,0)),"",INDEX('Compliance Database'!$O$2:$O$679,MATCH(647,'Transfer Engine'!$C$2:$C$679,0)))</f>
        <v/>
      </c>
      <c r="P656">
        <f>IF(ISNA(MATCH(647,'Transfer Engine'!$C$2:$C$679,0)),"",HYPERLINK(INDEX('Compliance Database'!$P$2:$P$679,MATCH(647,'Transfer Engine'!$C$2:$C$679,0)),"Open PDF"))</f>
        <v/>
      </c>
    </row>
    <row r="657">
      <c r="A657">
        <f>IF(ISNA(MATCH(648,'Transfer Engine'!$C$2:$C$679,0)),"",INDEX('Compliance Database'!$A$2:$A$679,MATCH(648,'Transfer Engine'!$C$2:$C$679,0)))</f>
        <v/>
      </c>
      <c r="B657">
        <f>IF(ISNA(MATCH(648,'Transfer Engine'!$C$2:$C$679,0)),"",INDEX('Compliance Database'!$B$2:$B$679,MATCH(648,'Transfer Engine'!$C$2:$C$679,0)))</f>
        <v/>
      </c>
      <c r="C657">
        <f>IF(ISNA(MATCH(648,'Transfer Engine'!$C$2:$C$679,0)),"",INDEX('Compliance Database'!$C$2:$C$679,MATCH(648,'Transfer Engine'!$C$2:$C$679,0)))</f>
        <v/>
      </c>
      <c r="D657" s="8">
        <f>IF(ISNA(MATCH(648,'Transfer Engine'!$C$2:$C$679,0)),"",INDEX('Compliance Database'!$D$2:$D$679,MATCH(648,'Transfer Engine'!$C$2:$C$679,0)))</f>
        <v/>
      </c>
      <c r="E657">
        <f>IF(ISNA(MATCH(648,'Transfer Engine'!$C$2:$C$679,0)),"",INDEX('Compliance Database'!$E$2:$E$679,MATCH(648,'Transfer Engine'!$C$2:$C$679,0)))</f>
        <v/>
      </c>
      <c r="F657">
        <f>IF(ISNA(MATCH(648,'Transfer Engine'!$C$2:$C$679,0)),"",INDEX('Compliance Database'!$F$2:$F$679,MATCH(648,'Transfer Engine'!$C$2:$C$679,0)))</f>
        <v/>
      </c>
      <c r="G657">
        <f>IF(ISNA(MATCH(648,'Transfer Engine'!$C$2:$C$679,0)),"",INDEX('Compliance Database'!$G$2:$G$679,MATCH(648,'Transfer Engine'!$C$2:$C$679,0)))</f>
        <v/>
      </c>
      <c r="H657">
        <f>IF(ISNA(MATCH(648,'Transfer Engine'!$C$2:$C$679,0)),"",INDEX('Compliance Database'!$H$2:$H$679,MATCH(648,'Transfer Engine'!$C$2:$C$679,0)))</f>
        <v/>
      </c>
      <c r="I657" s="8">
        <f>IF(ISNA(MATCH(648,'Transfer Engine'!$C$2:$C$679,0)),"",INDEX('Compliance Database'!$I$2:$I$679,MATCH(648,'Transfer Engine'!$C$2:$C$679,0)))</f>
        <v/>
      </c>
      <c r="J657" s="8">
        <f>IF(ISNA(MATCH(648,'Transfer Engine'!$C$2:$C$679,0)),"",INDEX('Compliance Database'!$J$2:$J$679,MATCH(648,'Transfer Engine'!$C$2:$C$679,0)))</f>
        <v/>
      </c>
      <c r="K657">
        <f>IF(ISNA(MATCH(648,'Transfer Engine'!$C$2:$C$679,0)),"",INDEX('Compliance Database'!$K$2:$K$679,MATCH(648,'Transfer Engine'!$C$2:$C$679,0)))</f>
        <v/>
      </c>
      <c r="L657" s="8">
        <f>IF(ISNA(MATCH(648,'Transfer Engine'!$C$2:$C$679,0)),"",INDEX('Compliance Database'!$L$2:$L$679,MATCH(648,'Transfer Engine'!$C$2:$C$679,0)))</f>
        <v/>
      </c>
      <c r="M657" s="8">
        <f>IF(ISNA(MATCH(648,'Transfer Engine'!$C$2:$C$679,0)),"",INDEX('Compliance Database'!$M$2:$M$679,MATCH(648,'Transfer Engine'!$C$2:$C$679,0)))</f>
        <v/>
      </c>
      <c r="N657" s="8">
        <f>IF(ISNA(MATCH(648,'Transfer Engine'!$C$2:$C$679,0)),"",INDEX('Compliance Database'!$N$2:$N$679,MATCH(648,'Transfer Engine'!$C$2:$C$679,0)))</f>
        <v/>
      </c>
      <c r="O657" s="8">
        <f>IF(ISNA(MATCH(648,'Transfer Engine'!$C$2:$C$679,0)),"",INDEX('Compliance Database'!$O$2:$O$679,MATCH(648,'Transfer Engine'!$C$2:$C$679,0)))</f>
        <v/>
      </c>
      <c r="P657">
        <f>IF(ISNA(MATCH(648,'Transfer Engine'!$C$2:$C$679,0)),"",HYPERLINK(INDEX('Compliance Database'!$P$2:$P$679,MATCH(648,'Transfer Engine'!$C$2:$C$679,0)),"Open PDF"))</f>
        <v/>
      </c>
    </row>
    <row r="658">
      <c r="A658">
        <f>IF(ISNA(MATCH(649,'Transfer Engine'!$C$2:$C$679,0)),"",INDEX('Compliance Database'!$A$2:$A$679,MATCH(649,'Transfer Engine'!$C$2:$C$679,0)))</f>
        <v/>
      </c>
      <c r="B658">
        <f>IF(ISNA(MATCH(649,'Transfer Engine'!$C$2:$C$679,0)),"",INDEX('Compliance Database'!$B$2:$B$679,MATCH(649,'Transfer Engine'!$C$2:$C$679,0)))</f>
        <v/>
      </c>
      <c r="C658">
        <f>IF(ISNA(MATCH(649,'Transfer Engine'!$C$2:$C$679,0)),"",INDEX('Compliance Database'!$C$2:$C$679,MATCH(649,'Transfer Engine'!$C$2:$C$679,0)))</f>
        <v/>
      </c>
      <c r="D658" s="8">
        <f>IF(ISNA(MATCH(649,'Transfer Engine'!$C$2:$C$679,0)),"",INDEX('Compliance Database'!$D$2:$D$679,MATCH(649,'Transfer Engine'!$C$2:$C$679,0)))</f>
        <v/>
      </c>
      <c r="E658">
        <f>IF(ISNA(MATCH(649,'Transfer Engine'!$C$2:$C$679,0)),"",INDEX('Compliance Database'!$E$2:$E$679,MATCH(649,'Transfer Engine'!$C$2:$C$679,0)))</f>
        <v/>
      </c>
      <c r="F658">
        <f>IF(ISNA(MATCH(649,'Transfer Engine'!$C$2:$C$679,0)),"",INDEX('Compliance Database'!$F$2:$F$679,MATCH(649,'Transfer Engine'!$C$2:$C$679,0)))</f>
        <v/>
      </c>
      <c r="G658">
        <f>IF(ISNA(MATCH(649,'Transfer Engine'!$C$2:$C$679,0)),"",INDEX('Compliance Database'!$G$2:$G$679,MATCH(649,'Transfer Engine'!$C$2:$C$679,0)))</f>
        <v/>
      </c>
      <c r="H658">
        <f>IF(ISNA(MATCH(649,'Transfer Engine'!$C$2:$C$679,0)),"",INDEX('Compliance Database'!$H$2:$H$679,MATCH(649,'Transfer Engine'!$C$2:$C$679,0)))</f>
        <v/>
      </c>
      <c r="I658" s="8">
        <f>IF(ISNA(MATCH(649,'Transfer Engine'!$C$2:$C$679,0)),"",INDEX('Compliance Database'!$I$2:$I$679,MATCH(649,'Transfer Engine'!$C$2:$C$679,0)))</f>
        <v/>
      </c>
      <c r="J658" s="8">
        <f>IF(ISNA(MATCH(649,'Transfer Engine'!$C$2:$C$679,0)),"",INDEX('Compliance Database'!$J$2:$J$679,MATCH(649,'Transfer Engine'!$C$2:$C$679,0)))</f>
        <v/>
      </c>
      <c r="K658">
        <f>IF(ISNA(MATCH(649,'Transfer Engine'!$C$2:$C$679,0)),"",INDEX('Compliance Database'!$K$2:$K$679,MATCH(649,'Transfer Engine'!$C$2:$C$679,0)))</f>
        <v/>
      </c>
      <c r="L658" s="8">
        <f>IF(ISNA(MATCH(649,'Transfer Engine'!$C$2:$C$679,0)),"",INDEX('Compliance Database'!$L$2:$L$679,MATCH(649,'Transfer Engine'!$C$2:$C$679,0)))</f>
        <v/>
      </c>
      <c r="M658" s="8">
        <f>IF(ISNA(MATCH(649,'Transfer Engine'!$C$2:$C$679,0)),"",INDEX('Compliance Database'!$M$2:$M$679,MATCH(649,'Transfer Engine'!$C$2:$C$679,0)))</f>
        <v/>
      </c>
      <c r="N658" s="8">
        <f>IF(ISNA(MATCH(649,'Transfer Engine'!$C$2:$C$679,0)),"",INDEX('Compliance Database'!$N$2:$N$679,MATCH(649,'Transfer Engine'!$C$2:$C$679,0)))</f>
        <v/>
      </c>
      <c r="O658" s="8">
        <f>IF(ISNA(MATCH(649,'Transfer Engine'!$C$2:$C$679,0)),"",INDEX('Compliance Database'!$O$2:$O$679,MATCH(649,'Transfer Engine'!$C$2:$C$679,0)))</f>
        <v/>
      </c>
      <c r="P658">
        <f>IF(ISNA(MATCH(649,'Transfer Engine'!$C$2:$C$679,0)),"",HYPERLINK(INDEX('Compliance Database'!$P$2:$P$679,MATCH(649,'Transfer Engine'!$C$2:$C$679,0)),"Open PDF"))</f>
        <v/>
      </c>
    </row>
    <row r="659">
      <c r="A659">
        <f>IF(ISNA(MATCH(650,'Transfer Engine'!$C$2:$C$679,0)),"",INDEX('Compliance Database'!$A$2:$A$679,MATCH(650,'Transfer Engine'!$C$2:$C$679,0)))</f>
        <v/>
      </c>
      <c r="B659">
        <f>IF(ISNA(MATCH(650,'Transfer Engine'!$C$2:$C$679,0)),"",INDEX('Compliance Database'!$B$2:$B$679,MATCH(650,'Transfer Engine'!$C$2:$C$679,0)))</f>
        <v/>
      </c>
      <c r="C659">
        <f>IF(ISNA(MATCH(650,'Transfer Engine'!$C$2:$C$679,0)),"",INDEX('Compliance Database'!$C$2:$C$679,MATCH(650,'Transfer Engine'!$C$2:$C$679,0)))</f>
        <v/>
      </c>
      <c r="D659" s="8">
        <f>IF(ISNA(MATCH(650,'Transfer Engine'!$C$2:$C$679,0)),"",INDEX('Compliance Database'!$D$2:$D$679,MATCH(650,'Transfer Engine'!$C$2:$C$679,0)))</f>
        <v/>
      </c>
      <c r="E659">
        <f>IF(ISNA(MATCH(650,'Transfer Engine'!$C$2:$C$679,0)),"",INDEX('Compliance Database'!$E$2:$E$679,MATCH(650,'Transfer Engine'!$C$2:$C$679,0)))</f>
        <v/>
      </c>
      <c r="F659">
        <f>IF(ISNA(MATCH(650,'Transfer Engine'!$C$2:$C$679,0)),"",INDEX('Compliance Database'!$F$2:$F$679,MATCH(650,'Transfer Engine'!$C$2:$C$679,0)))</f>
        <v/>
      </c>
      <c r="G659">
        <f>IF(ISNA(MATCH(650,'Transfer Engine'!$C$2:$C$679,0)),"",INDEX('Compliance Database'!$G$2:$G$679,MATCH(650,'Transfer Engine'!$C$2:$C$679,0)))</f>
        <v/>
      </c>
      <c r="H659">
        <f>IF(ISNA(MATCH(650,'Transfer Engine'!$C$2:$C$679,0)),"",INDEX('Compliance Database'!$H$2:$H$679,MATCH(650,'Transfer Engine'!$C$2:$C$679,0)))</f>
        <v/>
      </c>
      <c r="I659" s="8">
        <f>IF(ISNA(MATCH(650,'Transfer Engine'!$C$2:$C$679,0)),"",INDEX('Compliance Database'!$I$2:$I$679,MATCH(650,'Transfer Engine'!$C$2:$C$679,0)))</f>
        <v/>
      </c>
      <c r="J659" s="8">
        <f>IF(ISNA(MATCH(650,'Transfer Engine'!$C$2:$C$679,0)),"",INDEX('Compliance Database'!$J$2:$J$679,MATCH(650,'Transfer Engine'!$C$2:$C$679,0)))</f>
        <v/>
      </c>
      <c r="K659">
        <f>IF(ISNA(MATCH(650,'Transfer Engine'!$C$2:$C$679,0)),"",INDEX('Compliance Database'!$K$2:$K$679,MATCH(650,'Transfer Engine'!$C$2:$C$679,0)))</f>
        <v/>
      </c>
      <c r="L659" s="8">
        <f>IF(ISNA(MATCH(650,'Transfer Engine'!$C$2:$C$679,0)),"",INDEX('Compliance Database'!$L$2:$L$679,MATCH(650,'Transfer Engine'!$C$2:$C$679,0)))</f>
        <v/>
      </c>
      <c r="M659" s="8">
        <f>IF(ISNA(MATCH(650,'Transfer Engine'!$C$2:$C$679,0)),"",INDEX('Compliance Database'!$M$2:$M$679,MATCH(650,'Transfer Engine'!$C$2:$C$679,0)))</f>
        <v/>
      </c>
      <c r="N659" s="8">
        <f>IF(ISNA(MATCH(650,'Transfer Engine'!$C$2:$C$679,0)),"",INDEX('Compliance Database'!$N$2:$N$679,MATCH(650,'Transfer Engine'!$C$2:$C$679,0)))</f>
        <v/>
      </c>
      <c r="O659" s="8">
        <f>IF(ISNA(MATCH(650,'Transfer Engine'!$C$2:$C$679,0)),"",INDEX('Compliance Database'!$O$2:$O$679,MATCH(650,'Transfer Engine'!$C$2:$C$679,0)))</f>
        <v/>
      </c>
      <c r="P659">
        <f>IF(ISNA(MATCH(650,'Transfer Engine'!$C$2:$C$679,0)),"",HYPERLINK(INDEX('Compliance Database'!$P$2:$P$679,MATCH(650,'Transfer Engine'!$C$2:$C$679,0)),"Open PDF"))</f>
        <v/>
      </c>
    </row>
    <row r="660">
      <c r="A660">
        <f>IF(ISNA(MATCH(651,'Transfer Engine'!$C$2:$C$679,0)),"",INDEX('Compliance Database'!$A$2:$A$679,MATCH(651,'Transfer Engine'!$C$2:$C$679,0)))</f>
        <v/>
      </c>
      <c r="B660">
        <f>IF(ISNA(MATCH(651,'Transfer Engine'!$C$2:$C$679,0)),"",INDEX('Compliance Database'!$B$2:$B$679,MATCH(651,'Transfer Engine'!$C$2:$C$679,0)))</f>
        <v/>
      </c>
      <c r="C660">
        <f>IF(ISNA(MATCH(651,'Transfer Engine'!$C$2:$C$679,0)),"",INDEX('Compliance Database'!$C$2:$C$679,MATCH(651,'Transfer Engine'!$C$2:$C$679,0)))</f>
        <v/>
      </c>
      <c r="D660" s="8">
        <f>IF(ISNA(MATCH(651,'Transfer Engine'!$C$2:$C$679,0)),"",INDEX('Compliance Database'!$D$2:$D$679,MATCH(651,'Transfer Engine'!$C$2:$C$679,0)))</f>
        <v/>
      </c>
      <c r="E660">
        <f>IF(ISNA(MATCH(651,'Transfer Engine'!$C$2:$C$679,0)),"",INDEX('Compliance Database'!$E$2:$E$679,MATCH(651,'Transfer Engine'!$C$2:$C$679,0)))</f>
        <v/>
      </c>
      <c r="F660">
        <f>IF(ISNA(MATCH(651,'Transfer Engine'!$C$2:$C$679,0)),"",INDEX('Compliance Database'!$F$2:$F$679,MATCH(651,'Transfer Engine'!$C$2:$C$679,0)))</f>
        <v/>
      </c>
      <c r="G660">
        <f>IF(ISNA(MATCH(651,'Transfer Engine'!$C$2:$C$679,0)),"",INDEX('Compliance Database'!$G$2:$G$679,MATCH(651,'Transfer Engine'!$C$2:$C$679,0)))</f>
        <v/>
      </c>
      <c r="H660">
        <f>IF(ISNA(MATCH(651,'Transfer Engine'!$C$2:$C$679,0)),"",INDEX('Compliance Database'!$H$2:$H$679,MATCH(651,'Transfer Engine'!$C$2:$C$679,0)))</f>
        <v/>
      </c>
      <c r="I660" s="8">
        <f>IF(ISNA(MATCH(651,'Transfer Engine'!$C$2:$C$679,0)),"",INDEX('Compliance Database'!$I$2:$I$679,MATCH(651,'Transfer Engine'!$C$2:$C$679,0)))</f>
        <v/>
      </c>
      <c r="J660" s="8">
        <f>IF(ISNA(MATCH(651,'Transfer Engine'!$C$2:$C$679,0)),"",INDEX('Compliance Database'!$J$2:$J$679,MATCH(651,'Transfer Engine'!$C$2:$C$679,0)))</f>
        <v/>
      </c>
      <c r="K660">
        <f>IF(ISNA(MATCH(651,'Transfer Engine'!$C$2:$C$679,0)),"",INDEX('Compliance Database'!$K$2:$K$679,MATCH(651,'Transfer Engine'!$C$2:$C$679,0)))</f>
        <v/>
      </c>
      <c r="L660" s="8">
        <f>IF(ISNA(MATCH(651,'Transfer Engine'!$C$2:$C$679,0)),"",INDEX('Compliance Database'!$L$2:$L$679,MATCH(651,'Transfer Engine'!$C$2:$C$679,0)))</f>
        <v/>
      </c>
      <c r="M660" s="8">
        <f>IF(ISNA(MATCH(651,'Transfer Engine'!$C$2:$C$679,0)),"",INDEX('Compliance Database'!$M$2:$M$679,MATCH(651,'Transfer Engine'!$C$2:$C$679,0)))</f>
        <v/>
      </c>
      <c r="N660" s="8">
        <f>IF(ISNA(MATCH(651,'Transfer Engine'!$C$2:$C$679,0)),"",INDEX('Compliance Database'!$N$2:$N$679,MATCH(651,'Transfer Engine'!$C$2:$C$679,0)))</f>
        <v/>
      </c>
      <c r="O660" s="8">
        <f>IF(ISNA(MATCH(651,'Transfer Engine'!$C$2:$C$679,0)),"",INDEX('Compliance Database'!$O$2:$O$679,MATCH(651,'Transfer Engine'!$C$2:$C$679,0)))</f>
        <v/>
      </c>
      <c r="P660">
        <f>IF(ISNA(MATCH(651,'Transfer Engine'!$C$2:$C$679,0)),"",HYPERLINK(INDEX('Compliance Database'!$P$2:$P$679,MATCH(651,'Transfer Engine'!$C$2:$C$679,0)),"Open PDF"))</f>
        <v/>
      </c>
    </row>
    <row r="661">
      <c r="A661">
        <f>IF(ISNA(MATCH(652,'Transfer Engine'!$C$2:$C$679,0)),"",INDEX('Compliance Database'!$A$2:$A$679,MATCH(652,'Transfer Engine'!$C$2:$C$679,0)))</f>
        <v/>
      </c>
      <c r="B661">
        <f>IF(ISNA(MATCH(652,'Transfer Engine'!$C$2:$C$679,0)),"",INDEX('Compliance Database'!$B$2:$B$679,MATCH(652,'Transfer Engine'!$C$2:$C$679,0)))</f>
        <v/>
      </c>
      <c r="C661">
        <f>IF(ISNA(MATCH(652,'Transfer Engine'!$C$2:$C$679,0)),"",INDEX('Compliance Database'!$C$2:$C$679,MATCH(652,'Transfer Engine'!$C$2:$C$679,0)))</f>
        <v/>
      </c>
      <c r="D661" s="8">
        <f>IF(ISNA(MATCH(652,'Transfer Engine'!$C$2:$C$679,0)),"",INDEX('Compliance Database'!$D$2:$D$679,MATCH(652,'Transfer Engine'!$C$2:$C$679,0)))</f>
        <v/>
      </c>
      <c r="E661">
        <f>IF(ISNA(MATCH(652,'Transfer Engine'!$C$2:$C$679,0)),"",INDEX('Compliance Database'!$E$2:$E$679,MATCH(652,'Transfer Engine'!$C$2:$C$679,0)))</f>
        <v/>
      </c>
      <c r="F661">
        <f>IF(ISNA(MATCH(652,'Transfer Engine'!$C$2:$C$679,0)),"",INDEX('Compliance Database'!$F$2:$F$679,MATCH(652,'Transfer Engine'!$C$2:$C$679,0)))</f>
        <v/>
      </c>
      <c r="G661">
        <f>IF(ISNA(MATCH(652,'Transfer Engine'!$C$2:$C$679,0)),"",INDEX('Compliance Database'!$G$2:$G$679,MATCH(652,'Transfer Engine'!$C$2:$C$679,0)))</f>
        <v/>
      </c>
      <c r="H661">
        <f>IF(ISNA(MATCH(652,'Transfer Engine'!$C$2:$C$679,0)),"",INDEX('Compliance Database'!$H$2:$H$679,MATCH(652,'Transfer Engine'!$C$2:$C$679,0)))</f>
        <v/>
      </c>
      <c r="I661" s="8">
        <f>IF(ISNA(MATCH(652,'Transfer Engine'!$C$2:$C$679,0)),"",INDEX('Compliance Database'!$I$2:$I$679,MATCH(652,'Transfer Engine'!$C$2:$C$679,0)))</f>
        <v/>
      </c>
      <c r="J661" s="8">
        <f>IF(ISNA(MATCH(652,'Transfer Engine'!$C$2:$C$679,0)),"",INDEX('Compliance Database'!$J$2:$J$679,MATCH(652,'Transfer Engine'!$C$2:$C$679,0)))</f>
        <v/>
      </c>
      <c r="K661">
        <f>IF(ISNA(MATCH(652,'Transfer Engine'!$C$2:$C$679,0)),"",INDEX('Compliance Database'!$K$2:$K$679,MATCH(652,'Transfer Engine'!$C$2:$C$679,0)))</f>
        <v/>
      </c>
      <c r="L661" s="8">
        <f>IF(ISNA(MATCH(652,'Transfer Engine'!$C$2:$C$679,0)),"",INDEX('Compliance Database'!$L$2:$L$679,MATCH(652,'Transfer Engine'!$C$2:$C$679,0)))</f>
        <v/>
      </c>
      <c r="M661" s="8">
        <f>IF(ISNA(MATCH(652,'Transfer Engine'!$C$2:$C$679,0)),"",INDEX('Compliance Database'!$M$2:$M$679,MATCH(652,'Transfer Engine'!$C$2:$C$679,0)))</f>
        <v/>
      </c>
      <c r="N661" s="8">
        <f>IF(ISNA(MATCH(652,'Transfer Engine'!$C$2:$C$679,0)),"",INDEX('Compliance Database'!$N$2:$N$679,MATCH(652,'Transfer Engine'!$C$2:$C$679,0)))</f>
        <v/>
      </c>
      <c r="O661" s="8">
        <f>IF(ISNA(MATCH(652,'Transfer Engine'!$C$2:$C$679,0)),"",INDEX('Compliance Database'!$O$2:$O$679,MATCH(652,'Transfer Engine'!$C$2:$C$679,0)))</f>
        <v/>
      </c>
      <c r="P661">
        <f>IF(ISNA(MATCH(652,'Transfer Engine'!$C$2:$C$679,0)),"",HYPERLINK(INDEX('Compliance Database'!$P$2:$P$679,MATCH(652,'Transfer Engine'!$C$2:$C$679,0)),"Open PDF"))</f>
        <v/>
      </c>
    </row>
    <row r="662">
      <c r="A662">
        <f>IF(ISNA(MATCH(653,'Transfer Engine'!$C$2:$C$679,0)),"",INDEX('Compliance Database'!$A$2:$A$679,MATCH(653,'Transfer Engine'!$C$2:$C$679,0)))</f>
        <v/>
      </c>
      <c r="B662">
        <f>IF(ISNA(MATCH(653,'Transfer Engine'!$C$2:$C$679,0)),"",INDEX('Compliance Database'!$B$2:$B$679,MATCH(653,'Transfer Engine'!$C$2:$C$679,0)))</f>
        <v/>
      </c>
      <c r="C662">
        <f>IF(ISNA(MATCH(653,'Transfer Engine'!$C$2:$C$679,0)),"",INDEX('Compliance Database'!$C$2:$C$679,MATCH(653,'Transfer Engine'!$C$2:$C$679,0)))</f>
        <v/>
      </c>
      <c r="D662" s="8">
        <f>IF(ISNA(MATCH(653,'Transfer Engine'!$C$2:$C$679,0)),"",INDEX('Compliance Database'!$D$2:$D$679,MATCH(653,'Transfer Engine'!$C$2:$C$679,0)))</f>
        <v/>
      </c>
      <c r="E662">
        <f>IF(ISNA(MATCH(653,'Transfer Engine'!$C$2:$C$679,0)),"",INDEX('Compliance Database'!$E$2:$E$679,MATCH(653,'Transfer Engine'!$C$2:$C$679,0)))</f>
        <v/>
      </c>
      <c r="F662">
        <f>IF(ISNA(MATCH(653,'Transfer Engine'!$C$2:$C$679,0)),"",INDEX('Compliance Database'!$F$2:$F$679,MATCH(653,'Transfer Engine'!$C$2:$C$679,0)))</f>
        <v/>
      </c>
      <c r="G662">
        <f>IF(ISNA(MATCH(653,'Transfer Engine'!$C$2:$C$679,0)),"",INDEX('Compliance Database'!$G$2:$G$679,MATCH(653,'Transfer Engine'!$C$2:$C$679,0)))</f>
        <v/>
      </c>
      <c r="H662">
        <f>IF(ISNA(MATCH(653,'Transfer Engine'!$C$2:$C$679,0)),"",INDEX('Compliance Database'!$H$2:$H$679,MATCH(653,'Transfer Engine'!$C$2:$C$679,0)))</f>
        <v/>
      </c>
      <c r="I662" s="8">
        <f>IF(ISNA(MATCH(653,'Transfer Engine'!$C$2:$C$679,0)),"",INDEX('Compliance Database'!$I$2:$I$679,MATCH(653,'Transfer Engine'!$C$2:$C$679,0)))</f>
        <v/>
      </c>
      <c r="J662" s="8">
        <f>IF(ISNA(MATCH(653,'Transfer Engine'!$C$2:$C$679,0)),"",INDEX('Compliance Database'!$J$2:$J$679,MATCH(653,'Transfer Engine'!$C$2:$C$679,0)))</f>
        <v/>
      </c>
      <c r="K662">
        <f>IF(ISNA(MATCH(653,'Transfer Engine'!$C$2:$C$679,0)),"",INDEX('Compliance Database'!$K$2:$K$679,MATCH(653,'Transfer Engine'!$C$2:$C$679,0)))</f>
        <v/>
      </c>
      <c r="L662" s="8">
        <f>IF(ISNA(MATCH(653,'Transfer Engine'!$C$2:$C$679,0)),"",INDEX('Compliance Database'!$L$2:$L$679,MATCH(653,'Transfer Engine'!$C$2:$C$679,0)))</f>
        <v/>
      </c>
      <c r="M662" s="8">
        <f>IF(ISNA(MATCH(653,'Transfer Engine'!$C$2:$C$679,0)),"",INDEX('Compliance Database'!$M$2:$M$679,MATCH(653,'Transfer Engine'!$C$2:$C$679,0)))</f>
        <v/>
      </c>
      <c r="N662" s="8">
        <f>IF(ISNA(MATCH(653,'Transfer Engine'!$C$2:$C$679,0)),"",INDEX('Compliance Database'!$N$2:$N$679,MATCH(653,'Transfer Engine'!$C$2:$C$679,0)))</f>
        <v/>
      </c>
      <c r="O662" s="8">
        <f>IF(ISNA(MATCH(653,'Transfer Engine'!$C$2:$C$679,0)),"",INDEX('Compliance Database'!$O$2:$O$679,MATCH(653,'Transfer Engine'!$C$2:$C$679,0)))</f>
        <v/>
      </c>
      <c r="P662">
        <f>IF(ISNA(MATCH(653,'Transfer Engine'!$C$2:$C$679,0)),"",HYPERLINK(INDEX('Compliance Database'!$P$2:$P$679,MATCH(653,'Transfer Engine'!$C$2:$C$679,0)),"Open PDF"))</f>
        <v/>
      </c>
    </row>
    <row r="663">
      <c r="A663">
        <f>IF(ISNA(MATCH(654,'Transfer Engine'!$C$2:$C$679,0)),"",INDEX('Compliance Database'!$A$2:$A$679,MATCH(654,'Transfer Engine'!$C$2:$C$679,0)))</f>
        <v/>
      </c>
      <c r="B663">
        <f>IF(ISNA(MATCH(654,'Transfer Engine'!$C$2:$C$679,0)),"",INDEX('Compliance Database'!$B$2:$B$679,MATCH(654,'Transfer Engine'!$C$2:$C$679,0)))</f>
        <v/>
      </c>
      <c r="C663">
        <f>IF(ISNA(MATCH(654,'Transfer Engine'!$C$2:$C$679,0)),"",INDEX('Compliance Database'!$C$2:$C$679,MATCH(654,'Transfer Engine'!$C$2:$C$679,0)))</f>
        <v/>
      </c>
      <c r="D663" s="8">
        <f>IF(ISNA(MATCH(654,'Transfer Engine'!$C$2:$C$679,0)),"",INDEX('Compliance Database'!$D$2:$D$679,MATCH(654,'Transfer Engine'!$C$2:$C$679,0)))</f>
        <v/>
      </c>
      <c r="E663">
        <f>IF(ISNA(MATCH(654,'Transfer Engine'!$C$2:$C$679,0)),"",INDEX('Compliance Database'!$E$2:$E$679,MATCH(654,'Transfer Engine'!$C$2:$C$679,0)))</f>
        <v/>
      </c>
      <c r="F663">
        <f>IF(ISNA(MATCH(654,'Transfer Engine'!$C$2:$C$679,0)),"",INDEX('Compliance Database'!$F$2:$F$679,MATCH(654,'Transfer Engine'!$C$2:$C$679,0)))</f>
        <v/>
      </c>
      <c r="G663">
        <f>IF(ISNA(MATCH(654,'Transfer Engine'!$C$2:$C$679,0)),"",INDEX('Compliance Database'!$G$2:$G$679,MATCH(654,'Transfer Engine'!$C$2:$C$679,0)))</f>
        <v/>
      </c>
      <c r="H663">
        <f>IF(ISNA(MATCH(654,'Transfer Engine'!$C$2:$C$679,0)),"",INDEX('Compliance Database'!$H$2:$H$679,MATCH(654,'Transfer Engine'!$C$2:$C$679,0)))</f>
        <v/>
      </c>
      <c r="I663" s="8">
        <f>IF(ISNA(MATCH(654,'Transfer Engine'!$C$2:$C$679,0)),"",INDEX('Compliance Database'!$I$2:$I$679,MATCH(654,'Transfer Engine'!$C$2:$C$679,0)))</f>
        <v/>
      </c>
      <c r="J663" s="8">
        <f>IF(ISNA(MATCH(654,'Transfer Engine'!$C$2:$C$679,0)),"",INDEX('Compliance Database'!$J$2:$J$679,MATCH(654,'Transfer Engine'!$C$2:$C$679,0)))</f>
        <v/>
      </c>
      <c r="K663">
        <f>IF(ISNA(MATCH(654,'Transfer Engine'!$C$2:$C$679,0)),"",INDEX('Compliance Database'!$K$2:$K$679,MATCH(654,'Transfer Engine'!$C$2:$C$679,0)))</f>
        <v/>
      </c>
      <c r="L663" s="8">
        <f>IF(ISNA(MATCH(654,'Transfer Engine'!$C$2:$C$679,0)),"",INDEX('Compliance Database'!$L$2:$L$679,MATCH(654,'Transfer Engine'!$C$2:$C$679,0)))</f>
        <v/>
      </c>
      <c r="M663" s="8">
        <f>IF(ISNA(MATCH(654,'Transfer Engine'!$C$2:$C$679,0)),"",INDEX('Compliance Database'!$M$2:$M$679,MATCH(654,'Transfer Engine'!$C$2:$C$679,0)))</f>
        <v/>
      </c>
      <c r="N663" s="8">
        <f>IF(ISNA(MATCH(654,'Transfer Engine'!$C$2:$C$679,0)),"",INDEX('Compliance Database'!$N$2:$N$679,MATCH(654,'Transfer Engine'!$C$2:$C$679,0)))</f>
        <v/>
      </c>
      <c r="O663" s="8">
        <f>IF(ISNA(MATCH(654,'Transfer Engine'!$C$2:$C$679,0)),"",INDEX('Compliance Database'!$O$2:$O$679,MATCH(654,'Transfer Engine'!$C$2:$C$679,0)))</f>
        <v/>
      </c>
      <c r="P663">
        <f>IF(ISNA(MATCH(654,'Transfer Engine'!$C$2:$C$679,0)),"",HYPERLINK(INDEX('Compliance Database'!$P$2:$P$679,MATCH(654,'Transfer Engine'!$C$2:$C$679,0)),"Open PDF"))</f>
        <v/>
      </c>
    </row>
    <row r="664">
      <c r="A664">
        <f>IF(ISNA(MATCH(655,'Transfer Engine'!$C$2:$C$679,0)),"",INDEX('Compliance Database'!$A$2:$A$679,MATCH(655,'Transfer Engine'!$C$2:$C$679,0)))</f>
        <v/>
      </c>
      <c r="B664">
        <f>IF(ISNA(MATCH(655,'Transfer Engine'!$C$2:$C$679,0)),"",INDEX('Compliance Database'!$B$2:$B$679,MATCH(655,'Transfer Engine'!$C$2:$C$679,0)))</f>
        <v/>
      </c>
      <c r="C664">
        <f>IF(ISNA(MATCH(655,'Transfer Engine'!$C$2:$C$679,0)),"",INDEX('Compliance Database'!$C$2:$C$679,MATCH(655,'Transfer Engine'!$C$2:$C$679,0)))</f>
        <v/>
      </c>
      <c r="D664" s="8">
        <f>IF(ISNA(MATCH(655,'Transfer Engine'!$C$2:$C$679,0)),"",INDEX('Compliance Database'!$D$2:$D$679,MATCH(655,'Transfer Engine'!$C$2:$C$679,0)))</f>
        <v/>
      </c>
      <c r="E664">
        <f>IF(ISNA(MATCH(655,'Transfer Engine'!$C$2:$C$679,0)),"",INDEX('Compliance Database'!$E$2:$E$679,MATCH(655,'Transfer Engine'!$C$2:$C$679,0)))</f>
        <v/>
      </c>
      <c r="F664">
        <f>IF(ISNA(MATCH(655,'Transfer Engine'!$C$2:$C$679,0)),"",INDEX('Compliance Database'!$F$2:$F$679,MATCH(655,'Transfer Engine'!$C$2:$C$679,0)))</f>
        <v/>
      </c>
      <c r="G664">
        <f>IF(ISNA(MATCH(655,'Transfer Engine'!$C$2:$C$679,0)),"",INDEX('Compliance Database'!$G$2:$G$679,MATCH(655,'Transfer Engine'!$C$2:$C$679,0)))</f>
        <v/>
      </c>
      <c r="H664">
        <f>IF(ISNA(MATCH(655,'Transfer Engine'!$C$2:$C$679,0)),"",INDEX('Compliance Database'!$H$2:$H$679,MATCH(655,'Transfer Engine'!$C$2:$C$679,0)))</f>
        <v/>
      </c>
      <c r="I664" s="8">
        <f>IF(ISNA(MATCH(655,'Transfer Engine'!$C$2:$C$679,0)),"",INDEX('Compliance Database'!$I$2:$I$679,MATCH(655,'Transfer Engine'!$C$2:$C$679,0)))</f>
        <v/>
      </c>
      <c r="J664" s="8">
        <f>IF(ISNA(MATCH(655,'Transfer Engine'!$C$2:$C$679,0)),"",INDEX('Compliance Database'!$J$2:$J$679,MATCH(655,'Transfer Engine'!$C$2:$C$679,0)))</f>
        <v/>
      </c>
      <c r="K664">
        <f>IF(ISNA(MATCH(655,'Transfer Engine'!$C$2:$C$679,0)),"",INDEX('Compliance Database'!$K$2:$K$679,MATCH(655,'Transfer Engine'!$C$2:$C$679,0)))</f>
        <v/>
      </c>
      <c r="L664" s="8">
        <f>IF(ISNA(MATCH(655,'Transfer Engine'!$C$2:$C$679,0)),"",INDEX('Compliance Database'!$L$2:$L$679,MATCH(655,'Transfer Engine'!$C$2:$C$679,0)))</f>
        <v/>
      </c>
      <c r="M664" s="8">
        <f>IF(ISNA(MATCH(655,'Transfer Engine'!$C$2:$C$679,0)),"",INDEX('Compliance Database'!$M$2:$M$679,MATCH(655,'Transfer Engine'!$C$2:$C$679,0)))</f>
        <v/>
      </c>
      <c r="N664" s="8">
        <f>IF(ISNA(MATCH(655,'Transfer Engine'!$C$2:$C$679,0)),"",INDEX('Compliance Database'!$N$2:$N$679,MATCH(655,'Transfer Engine'!$C$2:$C$679,0)))</f>
        <v/>
      </c>
      <c r="O664" s="8">
        <f>IF(ISNA(MATCH(655,'Transfer Engine'!$C$2:$C$679,0)),"",INDEX('Compliance Database'!$O$2:$O$679,MATCH(655,'Transfer Engine'!$C$2:$C$679,0)))</f>
        <v/>
      </c>
      <c r="P664">
        <f>IF(ISNA(MATCH(655,'Transfer Engine'!$C$2:$C$679,0)),"",HYPERLINK(INDEX('Compliance Database'!$P$2:$P$679,MATCH(655,'Transfer Engine'!$C$2:$C$679,0)),"Open PDF"))</f>
        <v/>
      </c>
    </row>
    <row r="665">
      <c r="A665">
        <f>IF(ISNA(MATCH(656,'Transfer Engine'!$C$2:$C$679,0)),"",INDEX('Compliance Database'!$A$2:$A$679,MATCH(656,'Transfer Engine'!$C$2:$C$679,0)))</f>
        <v/>
      </c>
      <c r="B665">
        <f>IF(ISNA(MATCH(656,'Transfer Engine'!$C$2:$C$679,0)),"",INDEX('Compliance Database'!$B$2:$B$679,MATCH(656,'Transfer Engine'!$C$2:$C$679,0)))</f>
        <v/>
      </c>
      <c r="C665">
        <f>IF(ISNA(MATCH(656,'Transfer Engine'!$C$2:$C$679,0)),"",INDEX('Compliance Database'!$C$2:$C$679,MATCH(656,'Transfer Engine'!$C$2:$C$679,0)))</f>
        <v/>
      </c>
      <c r="D665" s="8">
        <f>IF(ISNA(MATCH(656,'Transfer Engine'!$C$2:$C$679,0)),"",INDEX('Compliance Database'!$D$2:$D$679,MATCH(656,'Transfer Engine'!$C$2:$C$679,0)))</f>
        <v/>
      </c>
      <c r="E665">
        <f>IF(ISNA(MATCH(656,'Transfer Engine'!$C$2:$C$679,0)),"",INDEX('Compliance Database'!$E$2:$E$679,MATCH(656,'Transfer Engine'!$C$2:$C$679,0)))</f>
        <v/>
      </c>
      <c r="F665">
        <f>IF(ISNA(MATCH(656,'Transfer Engine'!$C$2:$C$679,0)),"",INDEX('Compliance Database'!$F$2:$F$679,MATCH(656,'Transfer Engine'!$C$2:$C$679,0)))</f>
        <v/>
      </c>
      <c r="G665">
        <f>IF(ISNA(MATCH(656,'Transfer Engine'!$C$2:$C$679,0)),"",INDEX('Compliance Database'!$G$2:$G$679,MATCH(656,'Transfer Engine'!$C$2:$C$679,0)))</f>
        <v/>
      </c>
      <c r="H665">
        <f>IF(ISNA(MATCH(656,'Transfer Engine'!$C$2:$C$679,0)),"",INDEX('Compliance Database'!$H$2:$H$679,MATCH(656,'Transfer Engine'!$C$2:$C$679,0)))</f>
        <v/>
      </c>
      <c r="I665" s="8">
        <f>IF(ISNA(MATCH(656,'Transfer Engine'!$C$2:$C$679,0)),"",INDEX('Compliance Database'!$I$2:$I$679,MATCH(656,'Transfer Engine'!$C$2:$C$679,0)))</f>
        <v/>
      </c>
      <c r="J665" s="8">
        <f>IF(ISNA(MATCH(656,'Transfer Engine'!$C$2:$C$679,0)),"",INDEX('Compliance Database'!$J$2:$J$679,MATCH(656,'Transfer Engine'!$C$2:$C$679,0)))</f>
        <v/>
      </c>
      <c r="K665">
        <f>IF(ISNA(MATCH(656,'Transfer Engine'!$C$2:$C$679,0)),"",INDEX('Compliance Database'!$K$2:$K$679,MATCH(656,'Transfer Engine'!$C$2:$C$679,0)))</f>
        <v/>
      </c>
      <c r="L665" s="8">
        <f>IF(ISNA(MATCH(656,'Transfer Engine'!$C$2:$C$679,0)),"",INDEX('Compliance Database'!$L$2:$L$679,MATCH(656,'Transfer Engine'!$C$2:$C$679,0)))</f>
        <v/>
      </c>
      <c r="M665" s="8">
        <f>IF(ISNA(MATCH(656,'Transfer Engine'!$C$2:$C$679,0)),"",INDEX('Compliance Database'!$M$2:$M$679,MATCH(656,'Transfer Engine'!$C$2:$C$679,0)))</f>
        <v/>
      </c>
      <c r="N665" s="8">
        <f>IF(ISNA(MATCH(656,'Transfer Engine'!$C$2:$C$679,0)),"",INDEX('Compliance Database'!$N$2:$N$679,MATCH(656,'Transfer Engine'!$C$2:$C$679,0)))</f>
        <v/>
      </c>
      <c r="O665" s="8">
        <f>IF(ISNA(MATCH(656,'Transfer Engine'!$C$2:$C$679,0)),"",INDEX('Compliance Database'!$O$2:$O$679,MATCH(656,'Transfer Engine'!$C$2:$C$679,0)))</f>
        <v/>
      </c>
      <c r="P665">
        <f>IF(ISNA(MATCH(656,'Transfer Engine'!$C$2:$C$679,0)),"",HYPERLINK(INDEX('Compliance Database'!$P$2:$P$679,MATCH(656,'Transfer Engine'!$C$2:$C$679,0)),"Open PDF"))</f>
        <v/>
      </c>
    </row>
    <row r="666">
      <c r="A666">
        <f>IF(ISNA(MATCH(657,'Transfer Engine'!$C$2:$C$679,0)),"",INDEX('Compliance Database'!$A$2:$A$679,MATCH(657,'Transfer Engine'!$C$2:$C$679,0)))</f>
        <v/>
      </c>
      <c r="B666">
        <f>IF(ISNA(MATCH(657,'Transfer Engine'!$C$2:$C$679,0)),"",INDEX('Compliance Database'!$B$2:$B$679,MATCH(657,'Transfer Engine'!$C$2:$C$679,0)))</f>
        <v/>
      </c>
      <c r="C666">
        <f>IF(ISNA(MATCH(657,'Transfer Engine'!$C$2:$C$679,0)),"",INDEX('Compliance Database'!$C$2:$C$679,MATCH(657,'Transfer Engine'!$C$2:$C$679,0)))</f>
        <v/>
      </c>
      <c r="D666" s="8">
        <f>IF(ISNA(MATCH(657,'Transfer Engine'!$C$2:$C$679,0)),"",INDEX('Compliance Database'!$D$2:$D$679,MATCH(657,'Transfer Engine'!$C$2:$C$679,0)))</f>
        <v/>
      </c>
      <c r="E666">
        <f>IF(ISNA(MATCH(657,'Transfer Engine'!$C$2:$C$679,0)),"",INDEX('Compliance Database'!$E$2:$E$679,MATCH(657,'Transfer Engine'!$C$2:$C$679,0)))</f>
        <v/>
      </c>
      <c r="F666">
        <f>IF(ISNA(MATCH(657,'Transfer Engine'!$C$2:$C$679,0)),"",INDEX('Compliance Database'!$F$2:$F$679,MATCH(657,'Transfer Engine'!$C$2:$C$679,0)))</f>
        <v/>
      </c>
      <c r="G666">
        <f>IF(ISNA(MATCH(657,'Transfer Engine'!$C$2:$C$679,0)),"",INDEX('Compliance Database'!$G$2:$G$679,MATCH(657,'Transfer Engine'!$C$2:$C$679,0)))</f>
        <v/>
      </c>
      <c r="H666">
        <f>IF(ISNA(MATCH(657,'Transfer Engine'!$C$2:$C$679,0)),"",INDEX('Compliance Database'!$H$2:$H$679,MATCH(657,'Transfer Engine'!$C$2:$C$679,0)))</f>
        <v/>
      </c>
      <c r="I666" s="8">
        <f>IF(ISNA(MATCH(657,'Transfer Engine'!$C$2:$C$679,0)),"",INDEX('Compliance Database'!$I$2:$I$679,MATCH(657,'Transfer Engine'!$C$2:$C$679,0)))</f>
        <v/>
      </c>
      <c r="J666" s="8">
        <f>IF(ISNA(MATCH(657,'Transfer Engine'!$C$2:$C$679,0)),"",INDEX('Compliance Database'!$J$2:$J$679,MATCH(657,'Transfer Engine'!$C$2:$C$679,0)))</f>
        <v/>
      </c>
      <c r="K666">
        <f>IF(ISNA(MATCH(657,'Transfer Engine'!$C$2:$C$679,0)),"",INDEX('Compliance Database'!$K$2:$K$679,MATCH(657,'Transfer Engine'!$C$2:$C$679,0)))</f>
        <v/>
      </c>
      <c r="L666" s="8">
        <f>IF(ISNA(MATCH(657,'Transfer Engine'!$C$2:$C$679,0)),"",INDEX('Compliance Database'!$L$2:$L$679,MATCH(657,'Transfer Engine'!$C$2:$C$679,0)))</f>
        <v/>
      </c>
      <c r="M666" s="8">
        <f>IF(ISNA(MATCH(657,'Transfer Engine'!$C$2:$C$679,0)),"",INDEX('Compliance Database'!$M$2:$M$679,MATCH(657,'Transfer Engine'!$C$2:$C$679,0)))</f>
        <v/>
      </c>
      <c r="N666" s="8">
        <f>IF(ISNA(MATCH(657,'Transfer Engine'!$C$2:$C$679,0)),"",INDEX('Compliance Database'!$N$2:$N$679,MATCH(657,'Transfer Engine'!$C$2:$C$679,0)))</f>
        <v/>
      </c>
      <c r="O666" s="8">
        <f>IF(ISNA(MATCH(657,'Transfer Engine'!$C$2:$C$679,0)),"",INDEX('Compliance Database'!$O$2:$O$679,MATCH(657,'Transfer Engine'!$C$2:$C$679,0)))</f>
        <v/>
      </c>
      <c r="P666">
        <f>IF(ISNA(MATCH(657,'Transfer Engine'!$C$2:$C$679,0)),"",HYPERLINK(INDEX('Compliance Database'!$P$2:$P$679,MATCH(657,'Transfer Engine'!$C$2:$C$679,0)),"Open PDF"))</f>
        <v/>
      </c>
    </row>
    <row r="667">
      <c r="A667">
        <f>IF(ISNA(MATCH(658,'Transfer Engine'!$C$2:$C$679,0)),"",INDEX('Compliance Database'!$A$2:$A$679,MATCH(658,'Transfer Engine'!$C$2:$C$679,0)))</f>
        <v/>
      </c>
      <c r="B667">
        <f>IF(ISNA(MATCH(658,'Transfer Engine'!$C$2:$C$679,0)),"",INDEX('Compliance Database'!$B$2:$B$679,MATCH(658,'Transfer Engine'!$C$2:$C$679,0)))</f>
        <v/>
      </c>
      <c r="C667">
        <f>IF(ISNA(MATCH(658,'Transfer Engine'!$C$2:$C$679,0)),"",INDEX('Compliance Database'!$C$2:$C$679,MATCH(658,'Transfer Engine'!$C$2:$C$679,0)))</f>
        <v/>
      </c>
      <c r="D667" s="8">
        <f>IF(ISNA(MATCH(658,'Transfer Engine'!$C$2:$C$679,0)),"",INDEX('Compliance Database'!$D$2:$D$679,MATCH(658,'Transfer Engine'!$C$2:$C$679,0)))</f>
        <v/>
      </c>
      <c r="E667">
        <f>IF(ISNA(MATCH(658,'Transfer Engine'!$C$2:$C$679,0)),"",INDEX('Compliance Database'!$E$2:$E$679,MATCH(658,'Transfer Engine'!$C$2:$C$679,0)))</f>
        <v/>
      </c>
      <c r="F667">
        <f>IF(ISNA(MATCH(658,'Transfer Engine'!$C$2:$C$679,0)),"",INDEX('Compliance Database'!$F$2:$F$679,MATCH(658,'Transfer Engine'!$C$2:$C$679,0)))</f>
        <v/>
      </c>
      <c r="G667">
        <f>IF(ISNA(MATCH(658,'Transfer Engine'!$C$2:$C$679,0)),"",INDEX('Compliance Database'!$G$2:$G$679,MATCH(658,'Transfer Engine'!$C$2:$C$679,0)))</f>
        <v/>
      </c>
      <c r="H667">
        <f>IF(ISNA(MATCH(658,'Transfer Engine'!$C$2:$C$679,0)),"",INDEX('Compliance Database'!$H$2:$H$679,MATCH(658,'Transfer Engine'!$C$2:$C$679,0)))</f>
        <v/>
      </c>
      <c r="I667" s="8">
        <f>IF(ISNA(MATCH(658,'Transfer Engine'!$C$2:$C$679,0)),"",INDEX('Compliance Database'!$I$2:$I$679,MATCH(658,'Transfer Engine'!$C$2:$C$679,0)))</f>
        <v/>
      </c>
      <c r="J667" s="8">
        <f>IF(ISNA(MATCH(658,'Transfer Engine'!$C$2:$C$679,0)),"",INDEX('Compliance Database'!$J$2:$J$679,MATCH(658,'Transfer Engine'!$C$2:$C$679,0)))</f>
        <v/>
      </c>
      <c r="K667">
        <f>IF(ISNA(MATCH(658,'Transfer Engine'!$C$2:$C$679,0)),"",INDEX('Compliance Database'!$K$2:$K$679,MATCH(658,'Transfer Engine'!$C$2:$C$679,0)))</f>
        <v/>
      </c>
      <c r="L667" s="8">
        <f>IF(ISNA(MATCH(658,'Transfer Engine'!$C$2:$C$679,0)),"",INDEX('Compliance Database'!$L$2:$L$679,MATCH(658,'Transfer Engine'!$C$2:$C$679,0)))</f>
        <v/>
      </c>
      <c r="M667" s="8">
        <f>IF(ISNA(MATCH(658,'Transfer Engine'!$C$2:$C$679,0)),"",INDEX('Compliance Database'!$M$2:$M$679,MATCH(658,'Transfer Engine'!$C$2:$C$679,0)))</f>
        <v/>
      </c>
      <c r="N667" s="8">
        <f>IF(ISNA(MATCH(658,'Transfer Engine'!$C$2:$C$679,0)),"",INDEX('Compliance Database'!$N$2:$N$679,MATCH(658,'Transfer Engine'!$C$2:$C$679,0)))</f>
        <v/>
      </c>
      <c r="O667" s="8">
        <f>IF(ISNA(MATCH(658,'Transfer Engine'!$C$2:$C$679,0)),"",INDEX('Compliance Database'!$O$2:$O$679,MATCH(658,'Transfer Engine'!$C$2:$C$679,0)))</f>
        <v/>
      </c>
      <c r="P667">
        <f>IF(ISNA(MATCH(658,'Transfer Engine'!$C$2:$C$679,0)),"",HYPERLINK(INDEX('Compliance Database'!$P$2:$P$679,MATCH(658,'Transfer Engine'!$C$2:$C$679,0)),"Open PDF"))</f>
        <v/>
      </c>
    </row>
    <row r="668">
      <c r="A668">
        <f>IF(ISNA(MATCH(659,'Transfer Engine'!$C$2:$C$679,0)),"",INDEX('Compliance Database'!$A$2:$A$679,MATCH(659,'Transfer Engine'!$C$2:$C$679,0)))</f>
        <v/>
      </c>
      <c r="B668">
        <f>IF(ISNA(MATCH(659,'Transfer Engine'!$C$2:$C$679,0)),"",INDEX('Compliance Database'!$B$2:$B$679,MATCH(659,'Transfer Engine'!$C$2:$C$679,0)))</f>
        <v/>
      </c>
      <c r="C668">
        <f>IF(ISNA(MATCH(659,'Transfer Engine'!$C$2:$C$679,0)),"",INDEX('Compliance Database'!$C$2:$C$679,MATCH(659,'Transfer Engine'!$C$2:$C$679,0)))</f>
        <v/>
      </c>
      <c r="D668" s="8">
        <f>IF(ISNA(MATCH(659,'Transfer Engine'!$C$2:$C$679,0)),"",INDEX('Compliance Database'!$D$2:$D$679,MATCH(659,'Transfer Engine'!$C$2:$C$679,0)))</f>
        <v/>
      </c>
      <c r="E668">
        <f>IF(ISNA(MATCH(659,'Transfer Engine'!$C$2:$C$679,0)),"",INDEX('Compliance Database'!$E$2:$E$679,MATCH(659,'Transfer Engine'!$C$2:$C$679,0)))</f>
        <v/>
      </c>
      <c r="F668">
        <f>IF(ISNA(MATCH(659,'Transfer Engine'!$C$2:$C$679,0)),"",INDEX('Compliance Database'!$F$2:$F$679,MATCH(659,'Transfer Engine'!$C$2:$C$679,0)))</f>
        <v/>
      </c>
      <c r="G668">
        <f>IF(ISNA(MATCH(659,'Transfer Engine'!$C$2:$C$679,0)),"",INDEX('Compliance Database'!$G$2:$G$679,MATCH(659,'Transfer Engine'!$C$2:$C$679,0)))</f>
        <v/>
      </c>
      <c r="H668">
        <f>IF(ISNA(MATCH(659,'Transfer Engine'!$C$2:$C$679,0)),"",INDEX('Compliance Database'!$H$2:$H$679,MATCH(659,'Transfer Engine'!$C$2:$C$679,0)))</f>
        <v/>
      </c>
      <c r="I668" s="8">
        <f>IF(ISNA(MATCH(659,'Transfer Engine'!$C$2:$C$679,0)),"",INDEX('Compliance Database'!$I$2:$I$679,MATCH(659,'Transfer Engine'!$C$2:$C$679,0)))</f>
        <v/>
      </c>
      <c r="J668" s="8">
        <f>IF(ISNA(MATCH(659,'Transfer Engine'!$C$2:$C$679,0)),"",INDEX('Compliance Database'!$J$2:$J$679,MATCH(659,'Transfer Engine'!$C$2:$C$679,0)))</f>
        <v/>
      </c>
      <c r="K668">
        <f>IF(ISNA(MATCH(659,'Transfer Engine'!$C$2:$C$679,0)),"",INDEX('Compliance Database'!$K$2:$K$679,MATCH(659,'Transfer Engine'!$C$2:$C$679,0)))</f>
        <v/>
      </c>
      <c r="L668" s="8">
        <f>IF(ISNA(MATCH(659,'Transfer Engine'!$C$2:$C$679,0)),"",INDEX('Compliance Database'!$L$2:$L$679,MATCH(659,'Transfer Engine'!$C$2:$C$679,0)))</f>
        <v/>
      </c>
      <c r="M668" s="8">
        <f>IF(ISNA(MATCH(659,'Transfer Engine'!$C$2:$C$679,0)),"",INDEX('Compliance Database'!$M$2:$M$679,MATCH(659,'Transfer Engine'!$C$2:$C$679,0)))</f>
        <v/>
      </c>
      <c r="N668" s="8">
        <f>IF(ISNA(MATCH(659,'Transfer Engine'!$C$2:$C$679,0)),"",INDEX('Compliance Database'!$N$2:$N$679,MATCH(659,'Transfer Engine'!$C$2:$C$679,0)))</f>
        <v/>
      </c>
      <c r="O668" s="8">
        <f>IF(ISNA(MATCH(659,'Transfer Engine'!$C$2:$C$679,0)),"",INDEX('Compliance Database'!$O$2:$O$679,MATCH(659,'Transfer Engine'!$C$2:$C$679,0)))</f>
        <v/>
      </c>
      <c r="P668">
        <f>IF(ISNA(MATCH(659,'Transfer Engine'!$C$2:$C$679,0)),"",HYPERLINK(INDEX('Compliance Database'!$P$2:$P$679,MATCH(659,'Transfer Engine'!$C$2:$C$679,0)),"Open PDF"))</f>
        <v/>
      </c>
    </row>
    <row r="669">
      <c r="A669">
        <f>IF(ISNA(MATCH(660,'Transfer Engine'!$C$2:$C$679,0)),"",INDEX('Compliance Database'!$A$2:$A$679,MATCH(660,'Transfer Engine'!$C$2:$C$679,0)))</f>
        <v/>
      </c>
      <c r="B669">
        <f>IF(ISNA(MATCH(660,'Transfer Engine'!$C$2:$C$679,0)),"",INDEX('Compliance Database'!$B$2:$B$679,MATCH(660,'Transfer Engine'!$C$2:$C$679,0)))</f>
        <v/>
      </c>
      <c r="C669">
        <f>IF(ISNA(MATCH(660,'Transfer Engine'!$C$2:$C$679,0)),"",INDEX('Compliance Database'!$C$2:$C$679,MATCH(660,'Transfer Engine'!$C$2:$C$679,0)))</f>
        <v/>
      </c>
      <c r="D669" s="8">
        <f>IF(ISNA(MATCH(660,'Transfer Engine'!$C$2:$C$679,0)),"",INDEX('Compliance Database'!$D$2:$D$679,MATCH(660,'Transfer Engine'!$C$2:$C$679,0)))</f>
        <v/>
      </c>
      <c r="E669">
        <f>IF(ISNA(MATCH(660,'Transfer Engine'!$C$2:$C$679,0)),"",INDEX('Compliance Database'!$E$2:$E$679,MATCH(660,'Transfer Engine'!$C$2:$C$679,0)))</f>
        <v/>
      </c>
      <c r="F669">
        <f>IF(ISNA(MATCH(660,'Transfer Engine'!$C$2:$C$679,0)),"",INDEX('Compliance Database'!$F$2:$F$679,MATCH(660,'Transfer Engine'!$C$2:$C$679,0)))</f>
        <v/>
      </c>
      <c r="G669">
        <f>IF(ISNA(MATCH(660,'Transfer Engine'!$C$2:$C$679,0)),"",INDEX('Compliance Database'!$G$2:$G$679,MATCH(660,'Transfer Engine'!$C$2:$C$679,0)))</f>
        <v/>
      </c>
      <c r="H669">
        <f>IF(ISNA(MATCH(660,'Transfer Engine'!$C$2:$C$679,0)),"",INDEX('Compliance Database'!$H$2:$H$679,MATCH(660,'Transfer Engine'!$C$2:$C$679,0)))</f>
        <v/>
      </c>
      <c r="I669" s="8">
        <f>IF(ISNA(MATCH(660,'Transfer Engine'!$C$2:$C$679,0)),"",INDEX('Compliance Database'!$I$2:$I$679,MATCH(660,'Transfer Engine'!$C$2:$C$679,0)))</f>
        <v/>
      </c>
      <c r="J669" s="8">
        <f>IF(ISNA(MATCH(660,'Transfer Engine'!$C$2:$C$679,0)),"",INDEX('Compliance Database'!$J$2:$J$679,MATCH(660,'Transfer Engine'!$C$2:$C$679,0)))</f>
        <v/>
      </c>
      <c r="K669">
        <f>IF(ISNA(MATCH(660,'Transfer Engine'!$C$2:$C$679,0)),"",INDEX('Compliance Database'!$K$2:$K$679,MATCH(660,'Transfer Engine'!$C$2:$C$679,0)))</f>
        <v/>
      </c>
      <c r="L669" s="8">
        <f>IF(ISNA(MATCH(660,'Transfer Engine'!$C$2:$C$679,0)),"",INDEX('Compliance Database'!$L$2:$L$679,MATCH(660,'Transfer Engine'!$C$2:$C$679,0)))</f>
        <v/>
      </c>
      <c r="M669" s="8">
        <f>IF(ISNA(MATCH(660,'Transfer Engine'!$C$2:$C$679,0)),"",INDEX('Compliance Database'!$M$2:$M$679,MATCH(660,'Transfer Engine'!$C$2:$C$679,0)))</f>
        <v/>
      </c>
      <c r="N669" s="8">
        <f>IF(ISNA(MATCH(660,'Transfer Engine'!$C$2:$C$679,0)),"",INDEX('Compliance Database'!$N$2:$N$679,MATCH(660,'Transfer Engine'!$C$2:$C$679,0)))</f>
        <v/>
      </c>
      <c r="O669" s="8">
        <f>IF(ISNA(MATCH(660,'Transfer Engine'!$C$2:$C$679,0)),"",INDEX('Compliance Database'!$O$2:$O$679,MATCH(660,'Transfer Engine'!$C$2:$C$679,0)))</f>
        <v/>
      </c>
      <c r="P669">
        <f>IF(ISNA(MATCH(660,'Transfer Engine'!$C$2:$C$679,0)),"",HYPERLINK(INDEX('Compliance Database'!$P$2:$P$679,MATCH(660,'Transfer Engine'!$C$2:$C$679,0)),"Open PDF"))</f>
        <v/>
      </c>
    </row>
    <row r="670">
      <c r="A670">
        <f>IF(ISNA(MATCH(661,'Transfer Engine'!$C$2:$C$679,0)),"",INDEX('Compliance Database'!$A$2:$A$679,MATCH(661,'Transfer Engine'!$C$2:$C$679,0)))</f>
        <v/>
      </c>
      <c r="B670">
        <f>IF(ISNA(MATCH(661,'Transfer Engine'!$C$2:$C$679,0)),"",INDEX('Compliance Database'!$B$2:$B$679,MATCH(661,'Transfer Engine'!$C$2:$C$679,0)))</f>
        <v/>
      </c>
      <c r="C670">
        <f>IF(ISNA(MATCH(661,'Transfer Engine'!$C$2:$C$679,0)),"",INDEX('Compliance Database'!$C$2:$C$679,MATCH(661,'Transfer Engine'!$C$2:$C$679,0)))</f>
        <v/>
      </c>
      <c r="D670" s="8">
        <f>IF(ISNA(MATCH(661,'Transfer Engine'!$C$2:$C$679,0)),"",INDEX('Compliance Database'!$D$2:$D$679,MATCH(661,'Transfer Engine'!$C$2:$C$679,0)))</f>
        <v/>
      </c>
      <c r="E670">
        <f>IF(ISNA(MATCH(661,'Transfer Engine'!$C$2:$C$679,0)),"",INDEX('Compliance Database'!$E$2:$E$679,MATCH(661,'Transfer Engine'!$C$2:$C$679,0)))</f>
        <v/>
      </c>
      <c r="F670">
        <f>IF(ISNA(MATCH(661,'Transfer Engine'!$C$2:$C$679,0)),"",INDEX('Compliance Database'!$F$2:$F$679,MATCH(661,'Transfer Engine'!$C$2:$C$679,0)))</f>
        <v/>
      </c>
      <c r="G670">
        <f>IF(ISNA(MATCH(661,'Transfer Engine'!$C$2:$C$679,0)),"",INDEX('Compliance Database'!$G$2:$G$679,MATCH(661,'Transfer Engine'!$C$2:$C$679,0)))</f>
        <v/>
      </c>
      <c r="H670">
        <f>IF(ISNA(MATCH(661,'Transfer Engine'!$C$2:$C$679,0)),"",INDEX('Compliance Database'!$H$2:$H$679,MATCH(661,'Transfer Engine'!$C$2:$C$679,0)))</f>
        <v/>
      </c>
      <c r="I670" s="8">
        <f>IF(ISNA(MATCH(661,'Transfer Engine'!$C$2:$C$679,0)),"",INDEX('Compliance Database'!$I$2:$I$679,MATCH(661,'Transfer Engine'!$C$2:$C$679,0)))</f>
        <v/>
      </c>
      <c r="J670" s="8">
        <f>IF(ISNA(MATCH(661,'Transfer Engine'!$C$2:$C$679,0)),"",INDEX('Compliance Database'!$J$2:$J$679,MATCH(661,'Transfer Engine'!$C$2:$C$679,0)))</f>
        <v/>
      </c>
      <c r="K670">
        <f>IF(ISNA(MATCH(661,'Transfer Engine'!$C$2:$C$679,0)),"",INDEX('Compliance Database'!$K$2:$K$679,MATCH(661,'Transfer Engine'!$C$2:$C$679,0)))</f>
        <v/>
      </c>
      <c r="L670" s="8">
        <f>IF(ISNA(MATCH(661,'Transfer Engine'!$C$2:$C$679,0)),"",INDEX('Compliance Database'!$L$2:$L$679,MATCH(661,'Transfer Engine'!$C$2:$C$679,0)))</f>
        <v/>
      </c>
      <c r="M670" s="8">
        <f>IF(ISNA(MATCH(661,'Transfer Engine'!$C$2:$C$679,0)),"",INDEX('Compliance Database'!$M$2:$M$679,MATCH(661,'Transfer Engine'!$C$2:$C$679,0)))</f>
        <v/>
      </c>
      <c r="N670" s="8">
        <f>IF(ISNA(MATCH(661,'Transfer Engine'!$C$2:$C$679,0)),"",INDEX('Compliance Database'!$N$2:$N$679,MATCH(661,'Transfer Engine'!$C$2:$C$679,0)))</f>
        <v/>
      </c>
      <c r="O670" s="8">
        <f>IF(ISNA(MATCH(661,'Transfer Engine'!$C$2:$C$679,0)),"",INDEX('Compliance Database'!$O$2:$O$679,MATCH(661,'Transfer Engine'!$C$2:$C$679,0)))</f>
        <v/>
      </c>
      <c r="P670">
        <f>IF(ISNA(MATCH(661,'Transfer Engine'!$C$2:$C$679,0)),"",HYPERLINK(INDEX('Compliance Database'!$P$2:$P$679,MATCH(661,'Transfer Engine'!$C$2:$C$679,0)),"Open PDF"))</f>
        <v/>
      </c>
    </row>
    <row r="671">
      <c r="A671">
        <f>IF(ISNA(MATCH(662,'Transfer Engine'!$C$2:$C$679,0)),"",INDEX('Compliance Database'!$A$2:$A$679,MATCH(662,'Transfer Engine'!$C$2:$C$679,0)))</f>
        <v/>
      </c>
      <c r="B671">
        <f>IF(ISNA(MATCH(662,'Transfer Engine'!$C$2:$C$679,0)),"",INDEX('Compliance Database'!$B$2:$B$679,MATCH(662,'Transfer Engine'!$C$2:$C$679,0)))</f>
        <v/>
      </c>
      <c r="C671">
        <f>IF(ISNA(MATCH(662,'Transfer Engine'!$C$2:$C$679,0)),"",INDEX('Compliance Database'!$C$2:$C$679,MATCH(662,'Transfer Engine'!$C$2:$C$679,0)))</f>
        <v/>
      </c>
      <c r="D671" s="8">
        <f>IF(ISNA(MATCH(662,'Transfer Engine'!$C$2:$C$679,0)),"",INDEX('Compliance Database'!$D$2:$D$679,MATCH(662,'Transfer Engine'!$C$2:$C$679,0)))</f>
        <v/>
      </c>
      <c r="E671">
        <f>IF(ISNA(MATCH(662,'Transfer Engine'!$C$2:$C$679,0)),"",INDEX('Compliance Database'!$E$2:$E$679,MATCH(662,'Transfer Engine'!$C$2:$C$679,0)))</f>
        <v/>
      </c>
      <c r="F671">
        <f>IF(ISNA(MATCH(662,'Transfer Engine'!$C$2:$C$679,0)),"",INDEX('Compliance Database'!$F$2:$F$679,MATCH(662,'Transfer Engine'!$C$2:$C$679,0)))</f>
        <v/>
      </c>
      <c r="G671">
        <f>IF(ISNA(MATCH(662,'Transfer Engine'!$C$2:$C$679,0)),"",INDEX('Compliance Database'!$G$2:$G$679,MATCH(662,'Transfer Engine'!$C$2:$C$679,0)))</f>
        <v/>
      </c>
      <c r="H671">
        <f>IF(ISNA(MATCH(662,'Transfer Engine'!$C$2:$C$679,0)),"",INDEX('Compliance Database'!$H$2:$H$679,MATCH(662,'Transfer Engine'!$C$2:$C$679,0)))</f>
        <v/>
      </c>
      <c r="I671" s="8">
        <f>IF(ISNA(MATCH(662,'Transfer Engine'!$C$2:$C$679,0)),"",INDEX('Compliance Database'!$I$2:$I$679,MATCH(662,'Transfer Engine'!$C$2:$C$679,0)))</f>
        <v/>
      </c>
      <c r="J671" s="8">
        <f>IF(ISNA(MATCH(662,'Transfer Engine'!$C$2:$C$679,0)),"",INDEX('Compliance Database'!$J$2:$J$679,MATCH(662,'Transfer Engine'!$C$2:$C$679,0)))</f>
        <v/>
      </c>
      <c r="K671">
        <f>IF(ISNA(MATCH(662,'Transfer Engine'!$C$2:$C$679,0)),"",INDEX('Compliance Database'!$K$2:$K$679,MATCH(662,'Transfer Engine'!$C$2:$C$679,0)))</f>
        <v/>
      </c>
      <c r="L671" s="8">
        <f>IF(ISNA(MATCH(662,'Transfer Engine'!$C$2:$C$679,0)),"",INDEX('Compliance Database'!$L$2:$L$679,MATCH(662,'Transfer Engine'!$C$2:$C$679,0)))</f>
        <v/>
      </c>
      <c r="M671" s="8">
        <f>IF(ISNA(MATCH(662,'Transfer Engine'!$C$2:$C$679,0)),"",INDEX('Compliance Database'!$M$2:$M$679,MATCH(662,'Transfer Engine'!$C$2:$C$679,0)))</f>
        <v/>
      </c>
      <c r="N671" s="8">
        <f>IF(ISNA(MATCH(662,'Transfer Engine'!$C$2:$C$679,0)),"",INDEX('Compliance Database'!$N$2:$N$679,MATCH(662,'Transfer Engine'!$C$2:$C$679,0)))</f>
        <v/>
      </c>
      <c r="O671" s="8">
        <f>IF(ISNA(MATCH(662,'Transfer Engine'!$C$2:$C$679,0)),"",INDEX('Compliance Database'!$O$2:$O$679,MATCH(662,'Transfer Engine'!$C$2:$C$679,0)))</f>
        <v/>
      </c>
      <c r="P671">
        <f>IF(ISNA(MATCH(662,'Transfer Engine'!$C$2:$C$679,0)),"",HYPERLINK(INDEX('Compliance Database'!$P$2:$P$679,MATCH(662,'Transfer Engine'!$C$2:$C$679,0)),"Open PDF"))</f>
        <v/>
      </c>
    </row>
    <row r="672">
      <c r="A672">
        <f>IF(ISNA(MATCH(663,'Transfer Engine'!$C$2:$C$679,0)),"",INDEX('Compliance Database'!$A$2:$A$679,MATCH(663,'Transfer Engine'!$C$2:$C$679,0)))</f>
        <v/>
      </c>
      <c r="B672">
        <f>IF(ISNA(MATCH(663,'Transfer Engine'!$C$2:$C$679,0)),"",INDEX('Compliance Database'!$B$2:$B$679,MATCH(663,'Transfer Engine'!$C$2:$C$679,0)))</f>
        <v/>
      </c>
      <c r="C672">
        <f>IF(ISNA(MATCH(663,'Transfer Engine'!$C$2:$C$679,0)),"",INDEX('Compliance Database'!$C$2:$C$679,MATCH(663,'Transfer Engine'!$C$2:$C$679,0)))</f>
        <v/>
      </c>
      <c r="D672" s="8">
        <f>IF(ISNA(MATCH(663,'Transfer Engine'!$C$2:$C$679,0)),"",INDEX('Compliance Database'!$D$2:$D$679,MATCH(663,'Transfer Engine'!$C$2:$C$679,0)))</f>
        <v/>
      </c>
      <c r="E672">
        <f>IF(ISNA(MATCH(663,'Transfer Engine'!$C$2:$C$679,0)),"",INDEX('Compliance Database'!$E$2:$E$679,MATCH(663,'Transfer Engine'!$C$2:$C$679,0)))</f>
        <v/>
      </c>
      <c r="F672">
        <f>IF(ISNA(MATCH(663,'Transfer Engine'!$C$2:$C$679,0)),"",INDEX('Compliance Database'!$F$2:$F$679,MATCH(663,'Transfer Engine'!$C$2:$C$679,0)))</f>
        <v/>
      </c>
      <c r="G672">
        <f>IF(ISNA(MATCH(663,'Transfer Engine'!$C$2:$C$679,0)),"",INDEX('Compliance Database'!$G$2:$G$679,MATCH(663,'Transfer Engine'!$C$2:$C$679,0)))</f>
        <v/>
      </c>
      <c r="H672">
        <f>IF(ISNA(MATCH(663,'Transfer Engine'!$C$2:$C$679,0)),"",INDEX('Compliance Database'!$H$2:$H$679,MATCH(663,'Transfer Engine'!$C$2:$C$679,0)))</f>
        <v/>
      </c>
      <c r="I672" s="8">
        <f>IF(ISNA(MATCH(663,'Transfer Engine'!$C$2:$C$679,0)),"",INDEX('Compliance Database'!$I$2:$I$679,MATCH(663,'Transfer Engine'!$C$2:$C$679,0)))</f>
        <v/>
      </c>
      <c r="J672" s="8">
        <f>IF(ISNA(MATCH(663,'Transfer Engine'!$C$2:$C$679,0)),"",INDEX('Compliance Database'!$J$2:$J$679,MATCH(663,'Transfer Engine'!$C$2:$C$679,0)))</f>
        <v/>
      </c>
      <c r="K672">
        <f>IF(ISNA(MATCH(663,'Transfer Engine'!$C$2:$C$679,0)),"",INDEX('Compliance Database'!$K$2:$K$679,MATCH(663,'Transfer Engine'!$C$2:$C$679,0)))</f>
        <v/>
      </c>
      <c r="L672" s="8">
        <f>IF(ISNA(MATCH(663,'Transfer Engine'!$C$2:$C$679,0)),"",INDEX('Compliance Database'!$L$2:$L$679,MATCH(663,'Transfer Engine'!$C$2:$C$679,0)))</f>
        <v/>
      </c>
      <c r="M672" s="8">
        <f>IF(ISNA(MATCH(663,'Transfer Engine'!$C$2:$C$679,0)),"",INDEX('Compliance Database'!$M$2:$M$679,MATCH(663,'Transfer Engine'!$C$2:$C$679,0)))</f>
        <v/>
      </c>
      <c r="N672" s="8">
        <f>IF(ISNA(MATCH(663,'Transfer Engine'!$C$2:$C$679,0)),"",INDEX('Compliance Database'!$N$2:$N$679,MATCH(663,'Transfer Engine'!$C$2:$C$679,0)))</f>
        <v/>
      </c>
      <c r="O672" s="8">
        <f>IF(ISNA(MATCH(663,'Transfer Engine'!$C$2:$C$679,0)),"",INDEX('Compliance Database'!$O$2:$O$679,MATCH(663,'Transfer Engine'!$C$2:$C$679,0)))</f>
        <v/>
      </c>
      <c r="P672">
        <f>IF(ISNA(MATCH(663,'Transfer Engine'!$C$2:$C$679,0)),"",HYPERLINK(INDEX('Compliance Database'!$P$2:$P$679,MATCH(663,'Transfer Engine'!$C$2:$C$679,0)),"Open PDF"))</f>
        <v/>
      </c>
    </row>
    <row r="673">
      <c r="A673">
        <f>IF(ISNA(MATCH(664,'Transfer Engine'!$C$2:$C$679,0)),"",INDEX('Compliance Database'!$A$2:$A$679,MATCH(664,'Transfer Engine'!$C$2:$C$679,0)))</f>
        <v/>
      </c>
      <c r="B673">
        <f>IF(ISNA(MATCH(664,'Transfer Engine'!$C$2:$C$679,0)),"",INDEX('Compliance Database'!$B$2:$B$679,MATCH(664,'Transfer Engine'!$C$2:$C$679,0)))</f>
        <v/>
      </c>
      <c r="C673">
        <f>IF(ISNA(MATCH(664,'Transfer Engine'!$C$2:$C$679,0)),"",INDEX('Compliance Database'!$C$2:$C$679,MATCH(664,'Transfer Engine'!$C$2:$C$679,0)))</f>
        <v/>
      </c>
      <c r="D673" s="8">
        <f>IF(ISNA(MATCH(664,'Transfer Engine'!$C$2:$C$679,0)),"",INDEX('Compliance Database'!$D$2:$D$679,MATCH(664,'Transfer Engine'!$C$2:$C$679,0)))</f>
        <v/>
      </c>
      <c r="E673">
        <f>IF(ISNA(MATCH(664,'Transfer Engine'!$C$2:$C$679,0)),"",INDEX('Compliance Database'!$E$2:$E$679,MATCH(664,'Transfer Engine'!$C$2:$C$679,0)))</f>
        <v/>
      </c>
      <c r="F673">
        <f>IF(ISNA(MATCH(664,'Transfer Engine'!$C$2:$C$679,0)),"",INDEX('Compliance Database'!$F$2:$F$679,MATCH(664,'Transfer Engine'!$C$2:$C$679,0)))</f>
        <v/>
      </c>
      <c r="G673">
        <f>IF(ISNA(MATCH(664,'Transfer Engine'!$C$2:$C$679,0)),"",INDEX('Compliance Database'!$G$2:$G$679,MATCH(664,'Transfer Engine'!$C$2:$C$679,0)))</f>
        <v/>
      </c>
      <c r="H673">
        <f>IF(ISNA(MATCH(664,'Transfer Engine'!$C$2:$C$679,0)),"",INDEX('Compliance Database'!$H$2:$H$679,MATCH(664,'Transfer Engine'!$C$2:$C$679,0)))</f>
        <v/>
      </c>
      <c r="I673" s="8">
        <f>IF(ISNA(MATCH(664,'Transfer Engine'!$C$2:$C$679,0)),"",INDEX('Compliance Database'!$I$2:$I$679,MATCH(664,'Transfer Engine'!$C$2:$C$679,0)))</f>
        <v/>
      </c>
      <c r="J673" s="8">
        <f>IF(ISNA(MATCH(664,'Transfer Engine'!$C$2:$C$679,0)),"",INDEX('Compliance Database'!$J$2:$J$679,MATCH(664,'Transfer Engine'!$C$2:$C$679,0)))</f>
        <v/>
      </c>
      <c r="K673">
        <f>IF(ISNA(MATCH(664,'Transfer Engine'!$C$2:$C$679,0)),"",INDEX('Compliance Database'!$K$2:$K$679,MATCH(664,'Transfer Engine'!$C$2:$C$679,0)))</f>
        <v/>
      </c>
      <c r="L673" s="8">
        <f>IF(ISNA(MATCH(664,'Transfer Engine'!$C$2:$C$679,0)),"",INDEX('Compliance Database'!$L$2:$L$679,MATCH(664,'Transfer Engine'!$C$2:$C$679,0)))</f>
        <v/>
      </c>
      <c r="M673" s="8">
        <f>IF(ISNA(MATCH(664,'Transfer Engine'!$C$2:$C$679,0)),"",INDEX('Compliance Database'!$M$2:$M$679,MATCH(664,'Transfer Engine'!$C$2:$C$679,0)))</f>
        <v/>
      </c>
      <c r="N673" s="8">
        <f>IF(ISNA(MATCH(664,'Transfer Engine'!$C$2:$C$679,0)),"",INDEX('Compliance Database'!$N$2:$N$679,MATCH(664,'Transfer Engine'!$C$2:$C$679,0)))</f>
        <v/>
      </c>
      <c r="O673" s="8">
        <f>IF(ISNA(MATCH(664,'Transfer Engine'!$C$2:$C$679,0)),"",INDEX('Compliance Database'!$O$2:$O$679,MATCH(664,'Transfer Engine'!$C$2:$C$679,0)))</f>
        <v/>
      </c>
      <c r="P673">
        <f>IF(ISNA(MATCH(664,'Transfer Engine'!$C$2:$C$679,0)),"",HYPERLINK(INDEX('Compliance Database'!$P$2:$P$679,MATCH(664,'Transfer Engine'!$C$2:$C$679,0)),"Open PDF"))</f>
        <v/>
      </c>
    </row>
    <row r="674">
      <c r="A674">
        <f>IF(ISNA(MATCH(665,'Transfer Engine'!$C$2:$C$679,0)),"",INDEX('Compliance Database'!$A$2:$A$679,MATCH(665,'Transfer Engine'!$C$2:$C$679,0)))</f>
        <v/>
      </c>
      <c r="B674">
        <f>IF(ISNA(MATCH(665,'Transfer Engine'!$C$2:$C$679,0)),"",INDEX('Compliance Database'!$B$2:$B$679,MATCH(665,'Transfer Engine'!$C$2:$C$679,0)))</f>
        <v/>
      </c>
      <c r="C674">
        <f>IF(ISNA(MATCH(665,'Transfer Engine'!$C$2:$C$679,0)),"",INDEX('Compliance Database'!$C$2:$C$679,MATCH(665,'Transfer Engine'!$C$2:$C$679,0)))</f>
        <v/>
      </c>
      <c r="D674" s="8">
        <f>IF(ISNA(MATCH(665,'Transfer Engine'!$C$2:$C$679,0)),"",INDEX('Compliance Database'!$D$2:$D$679,MATCH(665,'Transfer Engine'!$C$2:$C$679,0)))</f>
        <v/>
      </c>
      <c r="E674">
        <f>IF(ISNA(MATCH(665,'Transfer Engine'!$C$2:$C$679,0)),"",INDEX('Compliance Database'!$E$2:$E$679,MATCH(665,'Transfer Engine'!$C$2:$C$679,0)))</f>
        <v/>
      </c>
      <c r="F674">
        <f>IF(ISNA(MATCH(665,'Transfer Engine'!$C$2:$C$679,0)),"",INDEX('Compliance Database'!$F$2:$F$679,MATCH(665,'Transfer Engine'!$C$2:$C$679,0)))</f>
        <v/>
      </c>
      <c r="G674">
        <f>IF(ISNA(MATCH(665,'Transfer Engine'!$C$2:$C$679,0)),"",INDEX('Compliance Database'!$G$2:$G$679,MATCH(665,'Transfer Engine'!$C$2:$C$679,0)))</f>
        <v/>
      </c>
      <c r="H674">
        <f>IF(ISNA(MATCH(665,'Transfer Engine'!$C$2:$C$679,0)),"",INDEX('Compliance Database'!$H$2:$H$679,MATCH(665,'Transfer Engine'!$C$2:$C$679,0)))</f>
        <v/>
      </c>
      <c r="I674" s="8">
        <f>IF(ISNA(MATCH(665,'Transfer Engine'!$C$2:$C$679,0)),"",INDEX('Compliance Database'!$I$2:$I$679,MATCH(665,'Transfer Engine'!$C$2:$C$679,0)))</f>
        <v/>
      </c>
      <c r="J674" s="8">
        <f>IF(ISNA(MATCH(665,'Transfer Engine'!$C$2:$C$679,0)),"",INDEX('Compliance Database'!$J$2:$J$679,MATCH(665,'Transfer Engine'!$C$2:$C$679,0)))</f>
        <v/>
      </c>
      <c r="K674">
        <f>IF(ISNA(MATCH(665,'Transfer Engine'!$C$2:$C$679,0)),"",INDEX('Compliance Database'!$K$2:$K$679,MATCH(665,'Transfer Engine'!$C$2:$C$679,0)))</f>
        <v/>
      </c>
      <c r="L674" s="8">
        <f>IF(ISNA(MATCH(665,'Transfer Engine'!$C$2:$C$679,0)),"",INDEX('Compliance Database'!$L$2:$L$679,MATCH(665,'Transfer Engine'!$C$2:$C$679,0)))</f>
        <v/>
      </c>
      <c r="M674" s="8">
        <f>IF(ISNA(MATCH(665,'Transfer Engine'!$C$2:$C$679,0)),"",INDEX('Compliance Database'!$M$2:$M$679,MATCH(665,'Transfer Engine'!$C$2:$C$679,0)))</f>
        <v/>
      </c>
      <c r="N674" s="8">
        <f>IF(ISNA(MATCH(665,'Transfer Engine'!$C$2:$C$679,0)),"",INDEX('Compliance Database'!$N$2:$N$679,MATCH(665,'Transfer Engine'!$C$2:$C$679,0)))</f>
        <v/>
      </c>
      <c r="O674" s="8">
        <f>IF(ISNA(MATCH(665,'Transfer Engine'!$C$2:$C$679,0)),"",INDEX('Compliance Database'!$O$2:$O$679,MATCH(665,'Transfer Engine'!$C$2:$C$679,0)))</f>
        <v/>
      </c>
      <c r="P674">
        <f>IF(ISNA(MATCH(665,'Transfer Engine'!$C$2:$C$679,0)),"",HYPERLINK(INDEX('Compliance Database'!$P$2:$P$679,MATCH(665,'Transfer Engine'!$C$2:$C$679,0)),"Open PDF"))</f>
        <v/>
      </c>
    </row>
    <row r="675">
      <c r="A675">
        <f>IF(ISNA(MATCH(666,'Transfer Engine'!$C$2:$C$679,0)),"",INDEX('Compliance Database'!$A$2:$A$679,MATCH(666,'Transfer Engine'!$C$2:$C$679,0)))</f>
        <v/>
      </c>
      <c r="B675">
        <f>IF(ISNA(MATCH(666,'Transfer Engine'!$C$2:$C$679,0)),"",INDEX('Compliance Database'!$B$2:$B$679,MATCH(666,'Transfer Engine'!$C$2:$C$679,0)))</f>
        <v/>
      </c>
      <c r="C675">
        <f>IF(ISNA(MATCH(666,'Transfer Engine'!$C$2:$C$679,0)),"",INDEX('Compliance Database'!$C$2:$C$679,MATCH(666,'Transfer Engine'!$C$2:$C$679,0)))</f>
        <v/>
      </c>
      <c r="D675" s="8">
        <f>IF(ISNA(MATCH(666,'Transfer Engine'!$C$2:$C$679,0)),"",INDEX('Compliance Database'!$D$2:$D$679,MATCH(666,'Transfer Engine'!$C$2:$C$679,0)))</f>
        <v/>
      </c>
      <c r="E675">
        <f>IF(ISNA(MATCH(666,'Transfer Engine'!$C$2:$C$679,0)),"",INDEX('Compliance Database'!$E$2:$E$679,MATCH(666,'Transfer Engine'!$C$2:$C$679,0)))</f>
        <v/>
      </c>
      <c r="F675">
        <f>IF(ISNA(MATCH(666,'Transfer Engine'!$C$2:$C$679,0)),"",INDEX('Compliance Database'!$F$2:$F$679,MATCH(666,'Transfer Engine'!$C$2:$C$679,0)))</f>
        <v/>
      </c>
      <c r="G675">
        <f>IF(ISNA(MATCH(666,'Transfer Engine'!$C$2:$C$679,0)),"",INDEX('Compliance Database'!$G$2:$G$679,MATCH(666,'Transfer Engine'!$C$2:$C$679,0)))</f>
        <v/>
      </c>
      <c r="H675">
        <f>IF(ISNA(MATCH(666,'Transfer Engine'!$C$2:$C$679,0)),"",INDEX('Compliance Database'!$H$2:$H$679,MATCH(666,'Transfer Engine'!$C$2:$C$679,0)))</f>
        <v/>
      </c>
      <c r="I675" s="8">
        <f>IF(ISNA(MATCH(666,'Transfer Engine'!$C$2:$C$679,0)),"",INDEX('Compliance Database'!$I$2:$I$679,MATCH(666,'Transfer Engine'!$C$2:$C$679,0)))</f>
        <v/>
      </c>
      <c r="J675" s="8">
        <f>IF(ISNA(MATCH(666,'Transfer Engine'!$C$2:$C$679,0)),"",INDEX('Compliance Database'!$J$2:$J$679,MATCH(666,'Transfer Engine'!$C$2:$C$679,0)))</f>
        <v/>
      </c>
      <c r="K675">
        <f>IF(ISNA(MATCH(666,'Transfer Engine'!$C$2:$C$679,0)),"",INDEX('Compliance Database'!$K$2:$K$679,MATCH(666,'Transfer Engine'!$C$2:$C$679,0)))</f>
        <v/>
      </c>
      <c r="L675" s="8">
        <f>IF(ISNA(MATCH(666,'Transfer Engine'!$C$2:$C$679,0)),"",INDEX('Compliance Database'!$L$2:$L$679,MATCH(666,'Transfer Engine'!$C$2:$C$679,0)))</f>
        <v/>
      </c>
      <c r="M675" s="8">
        <f>IF(ISNA(MATCH(666,'Transfer Engine'!$C$2:$C$679,0)),"",INDEX('Compliance Database'!$M$2:$M$679,MATCH(666,'Transfer Engine'!$C$2:$C$679,0)))</f>
        <v/>
      </c>
      <c r="N675" s="8">
        <f>IF(ISNA(MATCH(666,'Transfer Engine'!$C$2:$C$679,0)),"",INDEX('Compliance Database'!$N$2:$N$679,MATCH(666,'Transfer Engine'!$C$2:$C$679,0)))</f>
        <v/>
      </c>
      <c r="O675" s="8">
        <f>IF(ISNA(MATCH(666,'Transfer Engine'!$C$2:$C$679,0)),"",INDEX('Compliance Database'!$O$2:$O$679,MATCH(666,'Transfer Engine'!$C$2:$C$679,0)))</f>
        <v/>
      </c>
      <c r="P675">
        <f>IF(ISNA(MATCH(666,'Transfer Engine'!$C$2:$C$679,0)),"",HYPERLINK(INDEX('Compliance Database'!$P$2:$P$679,MATCH(666,'Transfer Engine'!$C$2:$C$679,0)),"Open PDF"))</f>
        <v/>
      </c>
    </row>
    <row r="676">
      <c r="A676">
        <f>IF(ISNA(MATCH(667,'Transfer Engine'!$C$2:$C$679,0)),"",INDEX('Compliance Database'!$A$2:$A$679,MATCH(667,'Transfer Engine'!$C$2:$C$679,0)))</f>
        <v/>
      </c>
      <c r="B676">
        <f>IF(ISNA(MATCH(667,'Transfer Engine'!$C$2:$C$679,0)),"",INDEX('Compliance Database'!$B$2:$B$679,MATCH(667,'Transfer Engine'!$C$2:$C$679,0)))</f>
        <v/>
      </c>
      <c r="C676">
        <f>IF(ISNA(MATCH(667,'Transfer Engine'!$C$2:$C$679,0)),"",INDEX('Compliance Database'!$C$2:$C$679,MATCH(667,'Transfer Engine'!$C$2:$C$679,0)))</f>
        <v/>
      </c>
      <c r="D676" s="8">
        <f>IF(ISNA(MATCH(667,'Transfer Engine'!$C$2:$C$679,0)),"",INDEX('Compliance Database'!$D$2:$D$679,MATCH(667,'Transfer Engine'!$C$2:$C$679,0)))</f>
        <v/>
      </c>
      <c r="E676">
        <f>IF(ISNA(MATCH(667,'Transfer Engine'!$C$2:$C$679,0)),"",INDEX('Compliance Database'!$E$2:$E$679,MATCH(667,'Transfer Engine'!$C$2:$C$679,0)))</f>
        <v/>
      </c>
      <c r="F676">
        <f>IF(ISNA(MATCH(667,'Transfer Engine'!$C$2:$C$679,0)),"",INDEX('Compliance Database'!$F$2:$F$679,MATCH(667,'Transfer Engine'!$C$2:$C$679,0)))</f>
        <v/>
      </c>
      <c r="G676">
        <f>IF(ISNA(MATCH(667,'Transfer Engine'!$C$2:$C$679,0)),"",INDEX('Compliance Database'!$G$2:$G$679,MATCH(667,'Transfer Engine'!$C$2:$C$679,0)))</f>
        <v/>
      </c>
      <c r="H676">
        <f>IF(ISNA(MATCH(667,'Transfer Engine'!$C$2:$C$679,0)),"",INDEX('Compliance Database'!$H$2:$H$679,MATCH(667,'Transfer Engine'!$C$2:$C$679,0)))</f>
        <v/>
      </c>
      <c r="I676" s="8">
        <f>IF(ISNA(MATCH(667,'Transfer Engine'!$C$2:$C$679,0)),"",INDEX('Compliance Database'!$I$2:$I$679,MATCH(667,'Transfer Engine'!$C$2:$C$679,0)))</f>
        <v/>
      </c>
      <c r="J676" s="8">
        <f>IF(ISNA(MATCH(667,'Transfer Engine'!$C$2:$C$679,0)),"",INDEX('Compliance Database'!$J$2:$J$679,MATCH(667,'Transfer Engine'!$C$2:$C$679,0)))</f>
        <v/>
      </c>
      <c r="K676">
        <f>IF(ISNA(MATCH(667,'Transfer Engine'!$C$2:$C$679,0)),"",INDEX('Compliance Database'!$K$2:$K$679,MATCH(667,'Transfer Engine'!$C$2:$C$679,0)))</f>
        <v/>
      </c>
      <c r="L676" s="8">
        <f>IF(ISNA(MATCH(667,'Transfer Engine'!$C$2:$C$679,0)),"",INDEX('Compliance Database'!$L$2:$L$679,MATCH(667,'Transfer Engine'!$C$2:$C$679,0)))</f>
        <v/>
      </c>
      <c r="M676" s="8">
        <f>IF(ISNA(MATCH(667,'Transfer Engine'!$C$2:$C$679,0)),"",INDEX('Compliance Database'!$M$2:$M$679,MATCH(667,'Transfer Engine'!$C$2:$C$679,0)))</f>
        <v/>
      </c>
      <c r="N676" s="8">
        <f>IF(ISNA(MATCH(667,'Transfer Engine'!$C$2:$C$679,0)),"",INDEX('Compliance Database'!$N$2:$N$679,MATCH(667,'Transfer Engine'!$C$2:$C$679,0)))</f>
        <v/>
      </c>
      <c r="O676" s="8">
        <f>IF(ISNA(MATCH(667,'Transfer Engine'!$C$2:$C$679,0)),"",INDEX('Compliance Database'!$O$2:$O$679,MATCH(667,'Transfer Engine'!$C$2:$C$679,0)))</f>
        <v/>
      </c>
      <c r="P676">
        <f>IF(ISNA(MATCH(667,'Transfer Engine'!$C$2:$C$679,0)),"",HYPERLINK(INDEX('Compliance Database'!$P$2:$P$679,MATCH(667,'Transfer Engine'!$C$2:$C$679,0)),"Open PDF"))</f>
        <v/>
      </c>
    </row>
    <row r="677">
      <c r="A677">
        <f>IF(ISNA(MATCH(668,'Transfer Engine'!$C$2:$C$679,0)),"",INDEX('Compliance Database'!$A$2:$A$679,MATCH(668,'Transfer Engine'!$C$2:$C$679,0)))</f>
        <v/>
      </c>
      <c r="B677">
        <f>IF(ISNA(MATCH(668,'Transfer Engine'!$C$2:$C$679,0)),"",INDEX('Compliance Database'!$B$2:$B$679,MATCH(668,'Transfer Engine'!$C$2:$C$679,0)))</f>
        <v/>
      </c>
      <c r="C677">
        <f>IF(ISNA(MATCH(668,'Transfer Engine'!$C$2:$C$679,0)),"",INDEX('Compliance Database'!$C$2:$C$679,MATCH(668,'Transfer Engine'!$C$2:$C$679,0)))</f>
        <v/>
      </c>
      <c r="D677" s="8">
        <f>IF(ISNA(MATCH(668,'Transfer Engine'!$C$2:$C$679,0)),"",INDEX('Compliance Database'!$D$2:$D$679,MATCH(668,'Transfer Engine'!$C$2:$C$679,0)))</f>
        <v/>
      </c>
      <c r="E677">
        <f>IF(ISNA(MATCH(668,'Transfer Engine'!$C$2:$C$679,0)),"",INDEX('Compliance Database'!$E$2:$E$679,MATCH(668,'Transfer Engine'!$C$2:$C$679,0)))</f>
        <v/>
      </c>
      <c r="F677">
        <f>IF(ISNA(MATCH(668,'Transfer Engine'!$C$2:$C$679,0)),"",INDEX('Compliance Database'!$F$2:$F$679,MATCH(668,'Transfer Engine'!$C$2:$C$679,0)))</f>
        <v/>
      </c>
      <c r="G677">
        <f>IF(ISNA(MATCH(668,'Transfer Engine'!$C$2:$C$679,0)),"",INDEX('Compliance Database'!$G$2:$G$679,MATCH(668,'Transfer Engine'!$C$2:$C$679,0)))</f>
        <v/>
      </c>
      <c r="H677">
        <f>IF(ISNA(MATCH(668,'Transfer Engine'!$C$2:$C$679,0)),"",INDEX('Compliance Database'!$H$2:$H$679,MATCH(668,'Transfer Engine'!$C$2:$C$679,0)))</f>
        <v/>
      </c>
      <c r="I677" s="8">
        <f>IF(ISNA(MATCH(668,'Transfer Engine'!$C$2:$C$679,0)),"",INDEX('Compliance Database'!$I$2:$I$679,MATCH(668,'Transfer Engine'!$C$2:$C$679,0)))</f>
        <v/>
      </c>
      <c r="J677" s="8">
        <f>IF(ISNA(MATCH(668,'Transfer Engine'!$C$2:$C$679,0)),"",INDEX('Compliance Database'!$J$2:$J$679,MATCH(668,'Transfer Engine'!$C$2:$C$679,0)))</f>
        <v/>
      </c>
      <c r="K677">
        <f>IF(ISNA(MATCH(668,'Transfer Engine'!$C$2:$C$679,0)),"",INDEX('Compliance Database'!$K$2:$K$679,MATCH(668,'Transfer Engine'!$C$2:$C$679,0)))</f>
        <v/>
      </c>
      <c r="L677" s="8">
        <f>IF(ISNA(MATCH(668,'Transfer Engine'!$C$2:$C$679,0)),"",INDEX('Compliance Database'!$L$2:$L$679,MATCH(668,'Transfer Engine'!$C$2:$C$679,0)))</f>
        <v/>
      </c>
      <c r="M677" s="8">
        <f>IF(ISNA(MATCH(668,'Transfer Engine'!$C$2:$C$679,0)),"",INDEX('Compliance Database'!$M$2:$M$679,MATCH(668,'Transfer Engine'!$C$2:$C$679,0)))</f>
        <v/>
      </c>
      <c r="N677" s="8">
        <f>IF(ISNA(MATCH(668,'Transfer Engine'!$C$2:$C$679,0)),"",INDEX('Compliance Database'!$N$2:$N$679,MATCH(668,'Transfer Engine'!$C$2:$C$679,0)))</f>
        <v/>
      </c>
      <c r="O677" s="8">
        <f>IF(ISNA(MATCH(668,'Transfer Engine'!$C$2:$C$679,0)),"",INDEX('Compliance Database'!$O$2:$O$679,MATCH(668,'Transfer Engine'!$C$2:$C$679,0)))</f>
        <v/>
      </c>
      <c r="P677">
        <f>IF(ISNA(MATCH(668,'Transfer Engine'!$C$2:$C$679,0)),"",HYPERLINK(INDEX('Compliance Database'!$P$2:$P$679,MATCH(668,'Transfer Engine'!$C$2:$C$679,0)),"Open PDF"))</f>
        <v/>
      </c>
    </row>
    <row r="678">
      <c r="A678">
        <f>IF(ISNA(MATCH(669,'Transfer Engine'!$C$2:$C$679,0)),"",INDEX('Compliance Database'!$A$2:$A$679,MATCH(669,'Transfer Engine'!$C$2:$C$679,0)))</f>
        <v/>
      </c>
      <c r="B678">
        <f>IF(ISNA(MATCH(669,'Transfer Engine'!$C$2:$C$679,0)),"",INDEX('Compliance Database'!$B$2:$B$679,MATCH(669,'Transfer Engine'!$C$2:$C$679,0)))</f>
        <v/>
      </c>
      <c r="C678">
        <f>IF(ISNA(MATCH(669,'Transfer Engine'!$C$2:$C$679,0)),"",INDEX('Compliance Database'!$C$2:$C$679,MATCH(669,'Transfer Engine'!$C$2:$C$679,0)))</f>
        <v/>
      </c>
      <c r="D678" s="8">
        <f>IF(ISNA(MATCH(669,'Transfer Engine'!$C$2:$C$679,0)),"",INDEX('Compliance Database'!$D$2:$D$679,MATCH(669,'Transfer Engine'!$C$2:$C$679,0)))</f>
        <v/>
      </c>
      <c r="E678">
        <f>IF(ISNA(MATCH(669,'Transfer Engine'!$C$2:$C$679,0)),"",INDEX('Compliance Database'!$E$2:$E$679,MATCH(669,'Transfer Engine'!$C$2:$C$679,0)))</f>
        <v/>
      </c>
      <c r="F678">
        <f>IF(ISNA(MATCH(669,'Transfer Engine'!$C$2:$C$679,0)),"",INDEX('Compliance Database'!$F$2:$F$679,MATCH(669,'Transfer Engine'!$C$2:$C$679,0)))</f>
        <v/>
      </c>
      <c r="G678">
        <f>IF(ISNA(MATCH(669,'Transfer Engine'!$C$2:$C$679,0)),"",INDEX('Compliance Database'!$G$2:$G$679,MATCH(669,'Transfer Engine'!$C$2:$C$679,0)))</f>
        <v/>
      </c>
      <c r="H678">
        <f>IF(ISNA(MATCH(669,'Transfer Engine'!$C$2:$C$679,0)),"",INDEX('Compliance Database'!$H$2:$H$679,MATCH(669,'Transfer Engine'!$C$2:$C$679,0)))</f>
        <v/>
      </c>
      <c r="I678" s="8">
        <f>IF(ISNA(MATCH(669,'Transfer Engine'!$C$2:$C$679,0)),"",INDEX('Compliance Database'!$I$2:$I$679,MATCH(669,'Transfer Engine'!$C$2:$C$679,0)))</f>
        <v/>
      </c>
      <c r="J678" s="8">
        <f>IF(ISNA(MATCH(669,'Transfer Engine'!$C$2:$C$679,0)),"",INDEX('Compliance Database'!$J$2:$J$679,MATCH(669,'Transfer Engine'!$C$2:$C$679,0)))</f>
        <v/>
      </c>
      <c r="K678">
        <f>IF(ISNA(MATCH(669,'Transfer Engine'!$C$2:$C$679,0)),"",INDEX('Compliance Database'!$K$2:$K$679,MATCH(669,'Transfer Engine'!$C$2:$C$679,0)))</f>
        <v/>
      </c>
      <c r="L678" s="8">
        <f>IF(ISNA(MATCH(669,'Transfer Engine'!$C$2:$C$679,0)),"",INDEX('Compliance Database'!$L$2:$L$679,MATCH(669,'Transfer Engine'!$C$2:$C$679,0)))</f>
        <v/>
      </c>
      <c r="M678" s="8">
        <f>IF(ISNA(MATCH(669,'Transfer Engine'!$C$2:$C$679,0)),"",INDEX('Compliance Database'!$M$2:$M$679,MATCH(669,'Transfer Engine'!$C$2:$C$679,0)))</f>
        <v/>
      </c>
      <c r="N678" s="8">
        <f>IF(ISNA(MATCH(669,'Transfer Engine'!$C$2:$C$679,0)),"",INDEX('Compliance Database'!$N$2:$N$679,MATCH(669,'Transfer Engine'!$C$2:$C$679,0)))</f>
        <v/>
      </c>
      <c r="O678" s="8">
        <f>IF(ISNA(MATCH(669,'Transfer Engine'!$C$2:$C$679,0)),"",INDEX('Compliance Database'!$O$2:$O$679,MATCH(669,'Transfer Engine'!$C$2:$C$679,0)))</f>
        <v/>
      </c>
      <c r="P678">
        <f>IF(ISNA(MATCH(669,'Transfer Engine'!$C$2:$C$679,0)),"",HYPERLINK(INDEX('Compliance Database'!$P$2:$P$679,MATCH(669,'Transfer Engine'!$C$2:$C$679,0)),"Open PDF"))</f>
        <v/>
      </c>
    </row>
    <row r="679">
      <c r="A679">
        <f>IF(ISNA(MATCH(670,'Transfer Engine'!$C$2:$C$679,0)),"",INDEX('Compliance Database'!$A$2:$A$679,MATCH(670,'Transfer Engine'!$C$2:$C$679,0)))</f>
        <v/>
      </c>
      <c r="B679">
        <f>IF(ISNA(MATCH(670,'Transfer Engine'!$C$2:$C$679,0)),"",INDEX('Compliance Database'!$B$2:$B$679,MATCH(670,'Transfer Engine'!$C$2:$C$679,0)))</f>
        <v/>
      </c>
      <c r="C679">
        <f>IF(ISNA(MATCH(670,'Transfer Engine'!$C$2:$C$679,0)),"",INDEX('Compliance Database'!$C$2:$C$679,MATCH(670,'Transfer Engine'!$C$2:$C$679,0)))</f>
        <v/>
      </c>
      <c r="D679" s="8">
        <f>IF(ISNA(MATCH(670,'Transfer Engine'!$C$2:$C$679,0)),"",INDEX('Compliance Database'!$D$2:$D$679,MATCH(670,'Transfer Engine'!$C$2:$C$679,0)))</f>
        <v/>
      </c>
      <c r="E679">
        <f>IF(ISNA(MATCH(670,'Transfer Engine'!$C$2:$C$679,0)),"",INDEX('Compliance Database'!$E$2:$E$679,MATCH(670,'Transfer Engine'!$C$2:$C$679,0)))</f>
        <v/>
      </c>
      <c r="F679">
        <f>IF(ISNA(MATCH(670,'Transfer Engine'!$C$2:$C$679,0)),"",INDEX('Compliance Database'!$F$2:$F$679,MATCH(670,'Transfer Engine'!$C$2:$C$679,0)))</f>
        <v/>
      </c>
      <c r="G679">
        <f>IF(ISNA(MATCH(670,'Transfer Engine'!$C$2:$C$679,0)),"",INDEX('Compliance Database'!$G$2:$G$679,MATCH(670,'Transfer Engine'!$C$2:$C$679,0)))</f>
        <v/>
      </c>
      <c r="H679">
        <f>IF(ISNA(MATCH(670,'Transfer Engine'!$C$2:$C$679,0)),"",INDEX('Compliance Database'!$H$2:$H$679,MATCH(670,'Transfer Engine'!$C$2:$C$679,0)))</f>
        <v/>
      </c>
      <c r="I679" s="8">
        <f>IF(ISNA(MATCH(670,'Transfer Engine'!$C$2:$C$679,0)),"",INDEX('Compliance Database'!$I$2:$I$679,MATCH(670,'Transfer Engine'!$C$2:$C$679,0)))</f>
        <v/>
      </c>
      <c r="J679" s="8">
        <f>IF(ISNA(MATCH(670,'Transfer Engine'!$C$2:$C$679,0)),"",INDEX('Compliance Database'!$J$2:$J$679,MATCH(670,'Transfer Engine'!$C$2:$C$679,0)))</f>
        <v/>
      </c>
      <c r="K679">
        <f>IF(ISNA(MATCH(670,'Transfer Engine'!$C$2:$C$679,0)),"",INDEX('Compliance Database'!$K$2:$K$679,MATCH(670,'Transfer Engine'!$C$2:$C$679,0)))</f>
        <v/>
      </c>
      <c r="L679" s="8">
        <f>IF(ISNA(MATCH(670,'Transfer Engine'!$C$2:$C$679,0)),"",INDEX('Compliance Database'!$L$2:$L$679,MATCH(670,'Transfer Engine'!$C$2:$C$679,0)))</f>
        <v/>
      </c>
      <c r="M679" s="8">
        <f>IF(ISNA(MATCH(670,'Transfer Engine'!$C$2:$C$679,0)),"",INDEX('Compliance Database'!$M$2:$M$679,MATCH(670,'Transfer Engine'!$C$2:$C$679,0)))</f>
        <v/>
      </c>
      <c r="N679" s="8">
        <f>IF(ISNA(MATCH(670,'Transfer Engine'!$C$2:$C$679,0)),"",INDEX('Compliance Database'!$N$2:$N$679,MATCH(670,'Transfer Engine'!$C$2:$C$679,0)))</f>
        <v/>
      </c>
      <c r="O679" s="8">
        <f>IF(ISNA(MATCH(670,'Transfer Engine'!$C$2:$C$679,0)),"",INDEX('Compliance Database'!$O$2:$O$679,MATCH(670,'Transfer Engine'!$C$2:$C$679,0)))</f>
        <v/>
      </c>
      <c r="P679">
        <f>IF(ISNA(MATCH(670,'Transfer Engine'!$C$2:$C$679,0)),"",HYPERLINK(INDEX('Compliance Database'!$P$2:$P$679,MATCH(670,'Transfer Engine'!$C$2:$C$679,0)),"Open PDF"))</f>
        <v/>
      </c>
    </row>
    <row r="680">
      <c r="A680">
        <f>IF(ISNA(MATCH(671,'Transfer Engine'!$C$2:$C$679,0)),"",INDEX('Compliance Database'!$A$2:$A$679,MATCH(671,'Transfer Engine'!$C$2:$C$679,0)))</f>
        <v/>
      </c>
      <c r="B680">
        <f>IF(ISNA(MATCH(671,'Transfer Engine'!$C$2:$C$679,0)),"",INDEX('Compliance Database'!$B$2:$B$679,MATCH(671,'Transfer Engine'!$C$2:$C$679,0)))</f>
        <v/>
      </c>
      <c r="C680">
        <f>IF(ISNA(MATCH(671,'Transfer Engine'!$C$2:$C$679,0)),"",INDEX('Compliance Database'!$C$2:$C$679,MATCH(671,'Transfer Engine'!$C$2:$C$679,0)))</f>
        <v/>
      </c>
      <c r="D680" s="8">
        <f>IF(ISNA(MATCH(671,'Transfer Engine'!$C$2:$C$679,0)),"",INDEX('Compliance Database'!$D$2:$D$679,MATCH(671,'Transfer Engine'!$C$2:$C$679,0)))</f>
        <v/>
      </c>
      <c r="E680">
        <f>IF(ISNA(MATCH(671,'Transfer Engine'!$C$2:$C$679,0)),"",INDEX('Compliance Database'!$E$2:$E$679,MATCH(671,'Transfer Engine'!$C$2:$C$679,0)))</f>
        <v/>
      </c>
      <c r="F680">
        <f>IF(ISNA(MATCH(671,'Transfer Engine'!$C$2:$C$679,0)),"",INDEX('Compliance Database'!$F$2:$F$679,MATCH(671,'Transfer Engine'!$C$2:$C$679,0)))</f>
        <v/>
      </c>
      <c r="G680">
        <f>IF(ISNA(MATCH(671,'Transfer Engine'!$C$2:$C$679,0)),"",INDEX('Compliance Database'!$G$2:$G$679,MATCH(671,'Transfer Engine'!$C$2:$C$679,0)))</f>
        <v/>
      </c>
      <c r="H680">
        <f>IF(ISNA(MATCH(671,'Transfer Engine'!$C$2:$C$679,0)),"",INDEX('Compliance Database'!$H$2:$H$679,MATCH(671,'Transfer Engine'!$C$2:$C$679,0)))</f>
        <v/>
      </c>
      <c r="I680" s="8">
        <f>IF(ISNA(MATCH(671,'Transfer Engine'!$C$2:$C$679,0)),"",INDEX('Compliance Database'!$I$2:$I$679,MATCH(671,'Transfer Engine'!$C$2:$C$679,0)))</f>
        <v/>
      </c>
      <c r="J680" s="8">
        <f>IF(ISNA(MATCH(671,'Transfer Engine'!$C$2:$C$679,0)),"",INDEX('Compliance Database'!$J$2:$J$679,MATCH(671,'Transfer Engine'!$C$2:$C$679,0)))</f>
        <v/>
      </c>
      <c r="K680">
        <f>IF(ISNA(MATCH(671,'Transfer Engine'!$C$2:$C$679,0)),"",INDEX('Compliance Database'!$K$2:$K$679,MATCH(671,'Transfer Engine'!$C$2:$C$679,0)))</f>
        <v/>
      </c>
      <c r="L680" s="8">
        <f>IF(ISNA(MATCH(671,'Transfer Engine'!$C$2:$C$679,0)),"",INDEX('Compliance Database'!$L$2:$L$679,MATCH(671,'Transfer Engine'!$C$2:$C$679,0)))</f>
        <v/>
      </c>
      <c r="M680" s="8">
        <f>IF(ISNA(MATCH(671,'Transfer Engine'!$C$2:$C$679,0)),"",INDEX('Compliance Database'!$M$2:$M$679,MATCH(671,'Transfer Engine'!$C$2:$C$679,0)))</f>
        <v/>
      </c>
      <c r="N680" s="8">
        <f>IF(ISNA(MATCH(671,'Transfer Engine'!$C$2:$C$679,0)),"",INDEX('Compliance Database'!$N$2:$N$679,MATCH(671,'Transfer Engine'!$C$2:$C$679,0)))</f>
        <v/>
      </c>
      <c r="O680" s="8">
        <f>IF(ISNA(MATCH(671,'Transfer Engine'!$C$2:$C$679,0)),"",INDEX('Compliance Database'!$O$2:$O$679,MATCH(671,'Transfer Engine'!$C$2:$C$679,0)))</f>
        <v/>
      </c>
      <c r="P680">
        <f>IF(ISNA(MATCH(671,'Transfer Engine'!$C$2:$C$679,0)),"",HYPERLINK(INDEX('Compliance Database'!$P$2:$P$679,MATCH(671,'Transfer Engine'!$C$2:$C$679,0)),"Open PDF"))</f>
        <v/>
      </c>
    </row>
    <row r="681">
      <c r="A681">
        <f>IF(ISNA(MATCH(672,'Transfer Engine'!$C$2:$C$679,0)),"",INDEX('Compliance Database'!$A$2:$A$679,MATCH(672,'Transfer Engine'!$C$2:$C$679,0)))</f>
        <v/>
      </c>
      <c r="B681">
        <f>IF(ISNA(MATCH(672,'Transfer Engine'!$C$2:$C$679,0)),"",INDEX('Compliance Database'!$B$2:$B$679,MATCH(672,'Transfer Engine'!$C$2:$C$679,0)))</f>
        <v/>
      </c>
      <c r="C681">
        <f>IF(ISNA(MATCH(672,'Transfer Engine'!$C$2:$C$679,0)),"",INDEX('Compliance Database'!$C$2:$C$679,MATCH(672,'Transfer Engine'!$C$2:$C$679,0)))</f>
        <v/>
      </c>
      <c r="D681" s="8">
        <f>IF(ISNA(MATCH(672,'Transfer Engine'!$C$2:$C$679,0)),"",INDEX('Compliance Database'!$D$2:$D$679,MATCH(672,'Transfer Engine'!$C$2:$C$679,0)))</f>
        <v/>
      </c>
      <c r="E681">
        <f>IF(ISNA(MATCH(672,'Transfer Engine'!$C$2:$C$679,0)),"",INDEX('Compliance Database'!$E$2:$E$679,MATCH(672,'Transfer Engine'!$C$2:$C$679,0)))</f>
        <v/>
      </c>
      <c r="F681">
        <f>IF(ISNA(MATCH(672,'Transfer Engine'!$C$2:$C$679,0)),"",INDEX('Compliance Database'!$F$2:$F$679,MATCH(672,'Transfer Engine'!$C$2:$C$679,0)))</f>
        <v/>
      </c>
      <c r="G681">
        <f>IF(ISNA(MATCH(672,'Transfer Engine'!$C$2:$C$679,0)),"",INDEX('Compliance Database'!$G$2:$G$679,MATCH(672,'Transfer Engine'!$C$2:$C$679,0)))</f>
        <v/>
      </c>
      <c r="H681">
        <f>IF(ISNA(MATCH(672,'Transfer Engine'!$C$2:$C$679,0)),"",INDEX('Compliance Database'!$H$2:$H$679,MATCH(672,'Transfer Engine'!$C$2:$C$679,0)))</f>
        <v/>
      </c>
      <c r="I681" s="8">
        <f>IF(ISNA(MATCH(672,'Transfer Engine'!$C$2:$C$679,0)),"",INDEX('Compliance Database'!$I$2:$I$679,MATCH(672,'Transfer Engine'!$C$2:$C$679,0)))</f>
        <v/>
      </c>
      <c r="J681" s="8">
        <f>IF(ISNA(MATCH(672,'Transfer Engine'!$C$2:$C$679,0)),"",INDEX('Compliance Database'!$J$2:$J$679,MATCH(672,'Transfer Engine'!$C$2:$C$679,0)))</f>
        <v/>
      </c>
      <c r="K681">
        <f>IF(ISNA(MATCH(672,'Transfer Engine'!$C$2:$C$679,0)),"",INDEX('Compliance Database'!$K$2:$K$679,MATCH(672,'Transfer Engine'!$C$2:$C$679,0)))</f>
        <v/>
      </c>
      <c r="L681" s="8">
        <f>IF(ISNA(MATCH(672,'Transfer Engine'!$C$2:$C$679,0)),"",INDEX('Compliance Database'!$L$2:$L$679,MATCH(672,'Transfer Engine'!$C$2:$C$679,0)))</f>
        <v/>
      </c>
      <c r="M681" s="8">
        <f>IF(ISNA(MATCH(672,'Transfer Engine'!$C$2:$C$679,0)),"",INDEX('Compliance Database'!$M$2:$M$679,MATCH(672,'Transfer Engine'!$C$2:$C$679,0)))</f>
        <v/>
      </c>
      <c r="N681" s="8">
        <f>IF(ISNA(MATCH(672,'Transfer Engine'!$C$2:$C$679,0)),"",INDEX('Compliance Database'!$N$2:$N$679,MATCH(672,'Transfer Engine'!$C$2:$C$679,0)))</f>
        <v/>
      </c>
      <c r="O681" s="8">
        <f>IF(ISNA(MATCH(672,'Transfer Engine'!$C$2:$C$679,0)),"",INDEX('Compliance Database'!$O$2:$O$679,MATCH(672,'Transfer Engine'!$C$2:$C$679,0)))</f>
        <v/>
      </c>
      <c r="P681">
        <f>IF(ISNA(MATCH(672,'Transfer Engine'!$C$2:$C$679,0)),"",HYPERLINK(INDEX('Compliance Database'!$P$2:$P$679,MATCH(672,'Transfer Engine'!$C$2:$C$679,0)),"Open PDF"))</f>
        <v/>
      </c>
    </row>
    <row r="682">
      <c r="A682">
        <f>IF(ISNA(MATCH(673,'Transfer Engine'!$C$2:$C$679,0)),"",INDEX('Compliance Database'!$A$2:$A$679,MATCH(673,'Transfer Engine'!$C$2:$C$679,0)))</f>
        <v/>
      </c>
      <c r="B682">
        <f>IF(ISNA(MATCH(673,'Transfer Engine'!$C$2:$C$679,0)),"",INDEX('Compliance Database'!$B$2:$B$679,MATCH(673,'Transfer Engine'!$C$2:$C$679,0)))</f>
        <v/>
      </c>
      <c r="C682">
        <f>IF(ISNA(MATCH(673,'Transfer Engine'!$C$2:$C$679,0)),"",INDEX('Compliance Database'!$C$2:$C$679,MATCH(673,'Transfer Engine'!$C$2:$C$679,0)))</f>
        <v/>
      </c>
      <c r="D682" s="8">
        <f>IF(ISNA(MATCH(673,'Transfer Engine'!$C$2:$C$679,0)),"",INDEX('Compliance Database'!$D$2:$D$679,MATCH(673,'Transfer Engine'!$C$2:$C$679,0)))</f>
        <v/>
      </c>
      <c r="E682">
        <f>IF(ISNA(MATCH(673,'Transfer Engine'!$C$2:$C$679,0)),"",INDEX('Compliance Database'!$E$2:$E$679,MATCH(673,'Transfer Engine'!$C$2:$C$679,0)))</f>
        <v/>
      </c>
      <c r="F682">
        <f>IF(ISNA(MATCH(673,'Transfer Engine'!$C$2:$C$679,0)),"",INDEX('Compliance Database'!$F$2:$F$679,MATCH(673,'Transfer Engine'!$C$2:$C$679,0)))</f>
        <v/>
      </c>
      <c r="G682">
        <f>IF(ISNA(MATCH(673,'Transfer Engine'!$C$2:$C$679,0)),"",INDEX('Compliance Database'!$G$2:$G$679,MATCH(673,'Transfer Engine'!$C$2:$C$679,0)))</f>
        <v/>
      </c>
      <c r="H682">
        <f>IF(ISNA(MATCH(673,'Transfer Engine'!$C$2:$C$679,0)),"",INDEX('Compliance Database'!$H$2:$H$679,MATCH(673,'Transfer Engine'!$C$2:$C$679,0)))</f>
        <v/>
      </c>
      <c r="I682" s="8">
        <f>IF(ISNA(MATCH(673,'Transfer Engine'!$C$2:$C$679,0)),"",INDEX('Compliance Database'!$I$2:$I$679,MATCH(673,'Transfer Engine'!$C$2:$C$679,0)))</f>
        <v/>
      </c>
      <c r="J682" s="8">
        <f>IF(ISNA(MATCH(673,'Transfer Engine'!$C$2:$C$679,0)),"",INDEX('Compliance Database'!$J$2:$J$679,MATCH(673,'Transfer Engine'!$C$2:$C$679,0)))</f>
        <v/>
      </c>
      <c r="K682">
        <f>IF(ISNA(MATCH(673,'Transfer Engine'!$C$2:$C$679,0)),"",INDEX('Compliance Database'!$K$2:$K$679,MATCH(673,'Transfer Engine'!$C$2:$C$679,0)))</f>
        <v/>
      </c>
      <c r="L682" s="8">
        <f>IF(ISNA(MATCH(673,'Transfer Engine'!$C$2:$C$679,0)),"",INDEX('Compliance Database'!$L$2:$L$679,MATCH(673,'Transfer Engine'!$C$2:$C$679,0)))</f>
        <v/>
      </c>
      <c r="M682" s="8">
        <f>IF(ISNA(MATCH(673,'Transfer Engine'!$C$2:$C$679,0)),"",INDEX('Compliance Database'!$M$2:$M$679,MATCH(673,'Transfer Engine'!$C$2:$C$679,0)))</f>
        <v/>
      </c>
      <c r="N682" s="8">
        <f>IF(ISNA(MATCH(673,'Transfer Engine'!$C$2:$C$679,0)),"",INDEX('Compliance Database'!$N$2:$N$679,MATCH(673,'Transfer Engine'!$C$2:$C$679,0)))</f>
        <v/>
      </c>
      <c r="O682" s="8">
        <f>IF(ISNA(MATCH(673,'Transfer Engine'!$C$2:$C$679,0)),"",INDEX('Compliance Database'!$O$2:$O$679,MATCH(673,'Transfer Engine'!$C$2:$C$679,0)))</f>
        <v/>
      </c>
      <c r="P682">
        <f>IF(ISNA(MATCH(673,'Transfer Engine'!$C$2:$C$679,0)),"",HYPERLINK(INDEX('Compliance Database'!$P$2:$P$679,MATCH(673,'Transfer Engine'!$C$2:$C$679,0)),"Open PDF"))</f>
        <v/>
      </c>
    </row>
    <row r="683">
      <c r="A683">
        <f>IF(ISNA(MATCH(674,'Transfer Engine'!$C$2:$C$679,0)),"",INDEX('Compliance Database'!$A$2:$A$679,MATCH(674,'Transfer Engine'!$C$2:$C$679,0)))</f>
        <v/>
      </c>
      <c r="B683">
        <f>IF(ISNA(MATCH(674,'Transfer Engine'!$C$2:$C$679,0)),"",INDEX('Compliance Database'!$B$2:$B$679,MATCH(674,'Transfer Engine'!$C$2:$C$679,0)))</f>
        <v/>
      </c>
      <c r="C683">
        <f>IF(ISNA(MATCH(674,'Transfer Engine'!$C$2:$C$679,0)),"",INDEX('Compliance Database'!$C$2:$C$679,MATCH(674,'Transfer Engine'!$C$2:$C$679,0)))</f>
        <v/>
      </c>
      <c r="D683" s="8">
        <f>IF(ISNA(MATCH(674,'Transfer Engine'!$C$2:$C$679,0)),"",INDEX('Compliance Database'!$D$2:$D$679,MATCH(674,'Transfer Engine'!$C$2:$C$679,0)))</f>
        <v/>
      </c>
      <c r="E683">
        <f>IF(ISNA(MATCH(674,'Transfer Engine'!$C$2:$C$679,0)),"",INDEX('Compliance Database'!$E$2:$E$679,MATCH(674,'Transfer Engine'!$C$2:$C$679,0)))</f>
        <v/>
      </c>
      <c r="F683">
        <f>IF(ISNA(MATCH(674,'Transfer Engine'!$C$2:$C$679,0)),"",INDEX('Compliance Database'!$F$2:$F$679,MATCH(674,'Transfer Engine'!$C$2:$C$679,0)))</f>
        <v/>
      </c>
      <c r="G683">
        <f>IF(ISNA(MATCH(674,'Transfer Engine'!$C$2:$C$679,0)),"",INDEX('Compliance Database'!$G$2:$G$679,MATCH(674,'Transfer Engine'!$C$2:$C$679,0)))</f>
        <v/>
      </c>
      <c r="H683">
        <f>IF(ISNA(MATCH(674,'Transfer Engine'!$C$2:$C$679,0)),"",INDEX('Compliance Database'!$H$2:$H$679,MATCH(674,'Transfer Engine'!$C$2:$C$679,0)))</f>
        <v/>
      </c>
      <c r="I683" s="8">
        <f>IF(ISNA(MATCH(674,'Transfer Engine'!$C$2:$C$679,0)),"",INDEX('Compliance Database'!$I$2:$I$679,MATCH(674,'Transfer Engine'!$C$2:$C$679,0)))</f>
        <v/>
      </c>
      <c r="J683" s="8">
        <f>IF(ISNA(MATCH(674,'Transfer Engine'!$C$2:$C$679,0)),"",INDEX('Compliance Database'!$J$2:$J$679,MATCH(674,'Transfer Engine'!$C$2:$C$679,0)))</f>
        <v/>
      </c>
      <c r="K683">
        <f>IF(ISNA(MATCH(674,'Transfer Engine'!$C$2:$C$679,0)),"",INDEX('Compliance Database'!$K$2:$K$679,MATCH(674,'Transfer Engine'!$C$2:$C$679,0)))</f>
        <v/>
      </c>
      <c r="L683" s="8">
        <f>IF(ISNA(MATCH(674,'Transfer Engine'!$C$2:$C$679,0)),"",INDEX('Compliance Database'!$L$2:$L$679,MATCH(674,'Transfer Engine'!$C$2:$C$679,0)))</f>
        <v/>
      </c>
      <c r="M683" s="8">
        <f>IF(ISNA(MATCH(674,'Transfer Engine'!$C$2:$C$679,0)),"",INDEX('Compliance Database'!$M$2:$M$679,MATCH(674,'Transfer Engine'!$C$2:$C$679,0)))</f>
        <v/>
      </c>
      <c r="N683" s="8">
        <f>IF(ISNA(MATCH(674,'Transfer Engine'!$C$2:$C$679,0)),"",INDEX('Compliance Database'!$N$2:$N$679,MATCH(674,'Transfer Engine'!$C$2:$C$679,0)))</f>
        <v/>
      </c>
      <c r="O683" s="8">
        <f>IF(ISNA(MATCH(674,'Transfer Engine'!$C$2:$C$679,0)),"",INDEX('Compliance Database'!$O$2:$O$679,MATCH(674,'Transfer Engine'!$C$2:$C$679,0)))</f>
        <v/>
      </c>
      <c r="P683">
        <f>IF(ISNA(MATCH(674,'Transfer Engine'!$C$2:$C$679,0)),"",HYPERLINK(INDEX('Compliance Database'!$P$2:$P$679,MATCH(674,'Transfer Engine'!$C$2:$C$679,0)),"Open PDF"))</f>
        <v/>
      </c>
    </row>
    <row r="684">
      <c r="A684">
        <f>IF(ISNA(MATCH(675,'Transfer Engine'!$C$2:$C$679,0)),"",INDEX('Compliance Database'!$A$2:$A$679,MATCH(675,'Transfer Engine'!$C$2:$C$679,0)))</f>
        <v/>
      </c>
      <c r="B684">
        <f>IF(ISNA(MATCH(675,'Transfer Engine'!$C$2:$C$679,0)),"",INDEX('Compliance Database'!$B$2:$B$679,MATCH(675,'Transfer Engine'!$C$2:$C$679,0)))</f>
        <v/>
      </c>
      <c r="C684">
        <f>IF(ISNA(MATCH(675,'Transfer Engine'!$C$2:$C$679,0)),"",INDEX('Compliance Database'!$C$2:$C$679,MATCH(675,'Transfer Engine'!$C$2:$C$679,0)))</f>
        <v/>
      </c>
      <c r="D684" s="8">
        <f>IF(ISNA(MATCH(675,'Transfer Engine'!$C$2:$C$679,0)),"",INDEX('Compliance Database'!$D$2:$D$679,MATCH(675,'Transfer Engine'!$C$2:$C$679,0)))</f>
        <v/>
      </c>
      <c r="E684">
        <f>IF(ISNA(MATCH(675,'Transfer Engine'!$C$2:$C$679,0)),"",INDEX('Compliance Database'!$E$2:$E$679,MATCH(675,'Transfer Engine'!$C$2:$C$679,0)))</f>
        <v/>
      </c>
      <c r="F684">
        <f>IF(ISNA(MATCH(675,'Transfer Engine'!$C$2:$C$679,0)),"",INDEX('Compliance Database'!$F$2:$F$679,MATCH(675,'Transfer Engine'!$C$2:$C$679,0)))</f>
        <v/>
      </c>
      <c r="G684">
        <f>IF(ISNA(MATCH(675,'Transfer Engine'!$C$2:$C$679,0)),"",INDEX('Compliance Database'!$G$2:$G$679,MATCH(675,'Transfer Engine'!$C$2:$C$679,0)))</f>
        <v/>
      </c>
      <c r="H684">
        <f>IF(ISNA(MATCH(675,'Transfer Engine'!$C$2:$C$679,0)),"",INDEX('Compliance Database'!$H$2:$H$679,MATCH(675,'Transfer Engine'!$C$2:$C$679,0)))</f>
        <v/>
      </c>
      <c r="I684" s="8">
        <f>IF(ISNA(MATCH(675,'Transfer Engine'!$C$2:$C$679,0)),"",INDEX('Compliance Database'!$I$2:$I$679,MATCH(675,'Transfer Engine'!$C$2:$C$679,0)))</f>
        <v/>
      </c>
      <c r="J684" s="8">
        <f>IF(ISNA(MATCH(675,'Transfer Engine'!$C$2:$C$679,0)),"",INDEX('Compliance Database'!$J$2:$J$679,MATCH(675,'Transfer Engine'!$C$2:$C$679,0)))</f>
        <v/>
      </c>
      <c r="K684">
        <f>IF(ISNA(MATCH(675,'Transfer Engine'!$C$2:$C$679,0)),"",INDEX('Compliance Database'!$K$2:$K$679,MATCH(675,'Transfer Engine'!$C$2:$C$679,0)))</f>
        <v/>
      </c>
      <c r="L684" s="8">
        <f>IF(ISNA(MATCH(675,'Transfer Engine'!$C$2:$C$679,0)),"",INDEX('Compliance Database'!$L$2:$L$679,MATCH(675,'Transfer Engine'!$C$2:$C$679,0)))</f>
        <v/>
      </c>
      <c r="M684" s="8">
        <f>IF(ISNA(MATCH(675,'Transfer Engine'!$C$2:$C$679,0)),"",INDEX('Compliance Database'!$M$2:$M$679,MATCH(675,'Transfer Engine'!$C$2:$C$679,0)))</f>
        <v/>
      </c>
      <c r="N684" s="8">
        <f>IF(ISNA(MATCH(675,'Transfer Engine'!$C$2:$C$679,0)),"",INDEX('Compliance Database'!$N$2:$N$679,MATCH(675,'Transfer Engine'!$C$2:$C$679,0)))</f>
        <v/>
      </c>
      <c r="O684" s="8">
        <f>IF(ISNA(MATCH(675,'Transfer Engine'!$C$2:$C$679,0)),"",INDEX('Compliance Database'!$O$2:$O$679,MATCH(675,'Transfer Engine'!$C$2:$C$679,0)))</f>
        <v/>
      </c>
      <c r="P684">
        <f>IF(ISNA(MATCH(675,'Transfer Engine'!$C$2:$C$679,0)),"",HYPERLINK(INDEX('Compliance Database'!$P$2:$P$679,MATCH(675,'Transfer Engine'!$C$2:$C$679,0)),"Open PDF"))</f>
        <v/>
      </c>
    </row>
    <row r="685">
      <c r="A685">
        <f>IF(ISNA(MATCH(676,'Transfer Engine'!$C$2:$C$679,0)),"",INDEX('Compliance Database'!$A$2:$A$679,MATCH(676,'Transfer Engine'!$C$2:$C$679,0)))</f>
        <v/>
      </c>
      <c r="B685">
        <f>IF(ISNA(MATCH(676,'Transfer Engine'!$C$2:$C$679,0)),"",INDEX('Compliance Database'!$B$2:$B$679,MATCH(676,'Transfer Engine'!$C$2:$C$679,0)))</f>
        <v/>
      </c>
      <c r="C685">
        <f>IF(ISNA(MATCH(676,'Transfer Engine'!$C$2:$C$679,0)),"",INDEX('Compliance Database'!$C$2:$C$679,MATCH(676,'Transfer Engine'!$C$2:$C$679,0)))</f>
        <v/>
      </c>
      <c r="D685" s="8">
        <f>IF(ISNA(MATCH(676,'Transfer Engine'!$C$2:$C$679,0)),"",INDEX('Compliance Database'!$D$2:$D$679,MATCH(676,'Transfer Engine'!$C$2:$C$679,0)))</f>
        <v/>
      </c>
      <c r="E685">
        <f>IF(ISNA(MATCH(676,'Transfer Engine'!$C$2:$C$679,0)),"",INDEX('Compliance Database'!$E$2:$E$679,MATCH(676,'Transfer Engine'!$C$2:$C$679,0)))</f>
        <v/>
      </c>
      <c r="F685">
        <f>IF(ISNA(MATCH(676,'Transfer Engine'!$C$2:$C$679,0)),"",INDEX('Compliance Database'!$F$2:$F$679,MATCH(676,'Transfer Engine'!$C$2:$C$679,0)))</f>
        <v/>
      </c>
      <c r="G685">
        <f>IF(ISNA(MATCH(676,'Transfer Engine'!$C$2:$C$679,0)),"",INDEX('Compliance Database'!$G$2:$G$679,MATCH(676,'Transfer Engine'!$C$2:$C$679,0)))</f>
        <v/>
      </c>
      <c r="H685">
        <f>IF(ISNA(MATCH(676,'Transfer Engine'!$C$2:$C$679,0)),"",INDEX('Compliance Database'!$H$2:$H$679,MATCH(676,'Transfer Engine'!$C$2:$C$679,0)))</f>
        <v/>
      </c>
      <c r="I685" s="8">
        <f>IF(ISNA(MATCH(676,'Transfer Engine'!$C$2:$C$679,0)),"",INDEX('Compliance Database'!$I$2:$I$679,MATCH(676,'Transfer Engine'!$C$2:$C$679,0)))</f>
        <v/>
      </c>
      <c r="J685" s="8">
        <f>IF(ISNA(MATCH(676,'Transfer Engine'!$C$2:$C$679,0)),"",INDEX('Compliance Database'!$J$2:$J$679,MATCH(676,'Transfer Engine'!$C$2:$C$679,0)))</f>
        <v/>
      </c>
      <c r="K685">
        <f>IF(ISNA(MATCH(676,'Transfer Engine'!$C$2:$C$679,0)),"",INDEX('Compliance Database'!$K$2:$K$679,MATCH(676,'Transfer Engine'!$C$2:$C$679,0)))</f>
        <v/>
      </c>
      <c r="L685" s="8">
        <f>IF(ISNA(MATCH(676,'Transfer Engine'!$C$2:$C$679,0)),"",INDEX('Compliance Database'!$L$2:$L$679,MATCH(676,'Transfer Engine'!$C$2:$C$679,0)))</f>
        <v/>
      </c>
      <c r="M685" s="8">
        <f>IF(ISNA(MATCH(676,'Transfer Engine'!$C$2:$C$679,0)),"",INDEX('Compliance Database'!$M$2:$M$679,MATCH(676,'Transfer Engine'!$C$2:$C$679,0)))</f>
        <v/>
      </c>
      <c r="N685" s="8">
        <f>IF(ISNA(MATCH(676,'Transfer Engine'!$C$2:$C$679,0)),"",INDEX('Compliance Database'!$N$2:$N$679,MATCH(676,'Transfer Engine'!$C$2:$C$679,0)))</f>
        <v/>
      </c>
      <c r="O685" s="8">
        <f>IF(ISNA(MATCH(676,'Transfer Engine'!$C$2:$C$679,0)),"",INDEX('Compliance Database'!$O$2:$O$679,MATCH(676,'Transfer Engine'!$C$2:$C$679,0)))</f>
        <v/>
      </c>
      <c r="P685">
        <f>IF(ISNA(MATCH(676,'Transfer Engine'!$C$2:$C$679,0)),"",HYPERLINK(INDEX('Compliance Database'!$P$2:$P$679,MATCH(676,'Transfer Engine'!$C$2:$C$679,0)),"Open PDF"))</f>
        <v/>
      </c>
    </row>
    <row r="686">
      <c r="A686">
        <f>IF(ISNA(MATCH(677,'Transfer Engine'!$C$2:$C$679,0)),"",INDEX('Compliance Database'!$A$2:$A$679,MATCH(677,'Transfer Engine'!$C$2:$C$679,0)))</f>
        <v/>
      </c>
      <c r="B686">
        <f>IF(ISNA(MATCH(677,'Transfer Engine'!$C$2:$C$679,0)),"",INDEX('Compliance Database'!$B$2:$B$679,MATCH(677,'Transfer Engine'!$C$2:$C$679,0)))</f>
        <v/>
      </c>
      <c r="C686">
        <f>IF(ISNA(MATCH(677,'Transfer Engine'!$C$2:$C$679,0)),"",INDEX('Compliance Database'!$C$2:$C$679,MATCH(677,'Transfer Engine'!$C$2:$C$679,0)))</f>
        <v/>
      </c>
      <c r="D686" s="8">
        <f>IF(ISNA(MATCH(677,'Transfer Engine'!$C$2:$C$679,0)),"",INDEX('Compliance Database'!$D$2:$D$679,MATCH(677,'Transfer Engine'!$C$2:$C$679,0)))</f>
        <v/>
      </c>
      <c r="E686">
        <f>IF(ISNA(MATCH(677,'Transfer Engine'!$C$2:$C$679,0)),"",INDEX('Compliance Database'!$E$2:$E$679,MATCH(677,'Transfer Engine'!$C$2:$C$679,0)))</f>
        <v/>
      </c>
      <c r="F686">
        <f>IF(ISNA(MATCH(677,'Transfer Engine'!$C$2:$C$679,0)),"",INDEX('Compliance Database'!$F$2:$F$679,MATCH(677,'Transfer Engine'!$C$2:$C$679,0)))</f>
        <v/>
      </c>
      <c r="G686">
        <f>IF(ISNA(MATCH(677,'Transfer Engine'!$C$2:$C$679,0)),"",INDEX('Compliance Database'!$G$2:$G$679,MATCH(677,'Transfer Engine'!$C$2:$C$679,0)))</f>
        <v/>
      </c>
      <c r="H686">
        <f>IF(ISNA(MATCH(677,'Transfer Engine'!$C$2:$C$679,0)),"",INDEX('Compliance Database'!$H$2:$H$679,MATCH(677,'Transfer Engine'!$C$2:$C$679,0)))</f>
        <v/>
      </c>
      <c r="I686" s="8">
        <f>IF(ISNA(MATCH(677,'Transfer Engine'!$C$2:$C$679,0)),"",INDEX('Compliance Database'!$I$2:$I$679,MATCH(677,'Transfer Engine'!$C$2:$C$679,0)))</f>
        <v/>
      </c>
      <c r="J686" s="8">
        <f>IF(ISNA(MATCH(677,'Transfer Engine'!$C$2:$C$679,0)),"",INDEX('Compliance Database'!$J$2:$J$679,MATCH(677,'Transfer Engine'!$C$2:$C$679,0)))</f>
        <v/>
      </c>
      <c r="K686">
        <f>IF(ISNA(MATCH(677,'Transfer Engine'!$C$2:$C$679,0)),"",INDEX('Compliance Database'!$K$2:$K$679,MATCH(677,'Transfer Engine'!$C$2:$C$679,0)))</f>
        <v/>
      </c>
      <c r="L686" s="8">
        <f>IF(ISNA(MATCH(677,'Transfer Engine'!$C$2:$C$679,0)),"",INDEX('Compliance Database'!$L$2:$L$679,MATCH(677,'Transfer Engine'!$C$2:$C$679,0)))</f>
        <v/>
      </c>
      <c r="M686" s="8">
        <f>IF(ISNA(MATCH(677,'Transfer Engine'!$C$2:$C$679,0)),"",INDEX('Compliance Database'!$M$2:$M$679,MATCH(677,'Transfer Engine'!$C$2:$C$679,0)))</f>
        <v/>
      </c>
      <c r="N686" s="8">
        <f>IF(ISNA(MATCH(677,'Transfer Engine'!$C$2:$C$679,0)),"",INDEX('Compliance Database'!$N$2:$N$679,MATCH(677,'Transfer Engine'!$C$2:$C$679,0)))</f>
        <v/>
      </c>
      <c r="O686" s="8">
        <f>IF(ISNA(MATCH(677,'Transfer Engine'!$C$2:$C$679,0)),"",INDEX('Compliance Database'!$O$2:$O$679,MATCH(677,'Transfer Engine'!$C$2:$C$679,0)))</f>
        <v/>
      </c>
      <c r="P686">
        <f>IF(ISNA(MATCH(677,'Transfer Engine'!$C$2:$C$679,0)),"",HYPERLINK(INDEX('Compliance Database'!$P$2:$P$679,MATCH(677,'Transfer Engine'!$C$2:$C$679,0)),"Open PDF"))</f>
        <v/>
      </c>
    </row>
    <row r="687">
      <c r="A687">
        <f>IF(ISNA(MATCH(678,'Transfer Engine'!$C$2:$C$679,0)),"",INDEX('Compliance Database'!$A$2:$A$679,MATCH(678,'Transfer Engine'!$C$2:$C$679,0)))</f>
        <v/>
      </c>
      <c r="B687">
        <f>IF(ISNA(MATCH(678,'Transfer Engine'!$C$2:$C$679,0)),"",INDEX('Compliance Database'!$B$2:$B$679,MATCH(678,'Transfer Engine'!$C$2:$C$679,0)))</f>
        <v/>
      </c>
      <c r="C687">
        <f>IF(ISNA(MATCH(678,'Transfer Engine'!$C$2:$C$679,0)),"",INDEX('Compliance Database'!$C$2:$C$679,MATCH(678,'Transfer Engine'!$C$2:$C$679,0)))</f>
        <v/>
      </c>
      <c r="D687" s="8">
        <f>IF(ISNA(MATCH(678,'Transfer Engine'!$C$2:$C$679,0)),"",INDEX('Compliance Database'!$D$2:$D$679,MATCH(678,'Transfer Engine'!$C$2:$C$679,0)))</f>
        <v/>
      </c>
      <c r="E687">
        <f>IF(ISNA(MATCH(678,'Transfer Engine'!$C$2:$C$679,0)),"",INDEX('Compliance Database'!$E$2:$E$679,MATCH(678,'Transfer Engine'!$C$2:$C$679,0)))</f>
        <v/>
      </c>
      <c r="F687">
        <f>IF(ISNA(MATCH(678,'Transfer Engine'!$C$2:$C$679,0)),"",INDEX('Compliance Database'!$F$2:$F$679,MATCH(678,'Transfer Engine'!$C$2:$C$679,0)))</f>
        <v/>
      </c>
      <c r="G687">
        <f>IF(ISNA(MATCH(678,'Transfer Engine'!$C$2:$C$679,0)),"",INDEX('Compliance Database'!$G$2:$G$679,MATCH(678,'Transfer Engine'!$C$2:$C$679,0)))</f>
        <v/>
      </c>
      <c r="H687">
        <f>IF(ISNA(MATCH(678,'Transfer Engine'!$C$2:$C$679,0)),"",INDEX('Compliance Database'!$H$2:$H$679,MATCH(678,'Transfer Engine'!$C$2:$C$679,0)))</f>
        <v/>
      </c>
      <c r="I687" s="8">
        <f>IF(ISNA(MATCH(678,'Transfer Engine'!$C$2:$C$679,0)),"",INDEX('Compliance Database'!$I$2:$I$679,MATCH(678,'Transfer Engine'!$C$2:$C$679,0)))</f>
        <v/>
      </c>
      <c r="J687" s="8">
        <f>IF(ISNA(MATCH(678,'Transfer Engine'!$C$2:$C$679,0)),"",INDEX('Compliance Database'!$J$2:$J$679,MATCH(678,'Transfer Engine'!$C$2:$C$679,0)))</f>
        <v/>
      </c>
      <c r="K687">
        <f>IF(ISNA(MATCH(678,'Transfer Engine'!$C$2:$C$679,0)),"",INDEX('Compliance Database'!$K$2:$K$679,MATCH(678,'Transfer Engine'!$C$2:$C$679,0)))</f>
        <v/>
      </c>
      <c r="L687" s="8">
        <f>IF(ISNA(MATCH(678,'Transfer Engine'!$C$2:$C$679,0)),"",INDEX('Compliance Database'!$L$2:$L$679,MATCH(678,'Transfer Engine'!$C$2:$C$679,0)))</f>
        <v/>
      </c>
      <c r="M687" s="8">
        <f>IF(ISNA(MATCH(678,'Transfer Engine'!$C$2:$C$679,0)),"",INDEX('Compliance Database'!$M$2:$M$679,MATCH(678,'Transfer Engine'!$C$2:$C$679,0)))</f>
        <v/>
      </c>
      <c r="N687" s="8">
        <f>IF(ISNA(MATCH(678,'Transfer Engine'!$C$2:$C$679,0)),"",INDEX('Compliance Database'!$N$2:$N$679,MATCH(678,'Transfer Engine'!$C$2:$C$679,0)))</f>
        <v/>
      </c>
      <c r="O687" s="8">
        <f>IF(ISNA(MATCH(678,'Transfer Engine'!$C$2:$C$679,0)),"",INDEX('Compliance Database'!$O$2:$O$679,MATCH(678,'Transfer Engine'!$C$2:$C$679,0)))</f>
        <v/>
      </c>
      <c r="P687">
        <f>IF(ISNA(MATCH(678,'Transfer Engine'!$C$2:$C$679,0)),"",HYPERLINK(INDEX('Compliance Database'!$P$2:$P$679,MATCH(678,'Transfer Engine'!$C$2:$C$679,0)),"Open PDF"))</f>
        <v/>
      </c>
    </row>
  </sheetData>
  <mergeCells count="1">
    <mergeCell ref="A1:D1"/>
  </mergeCells>
  <dataValidations count="2">
    <dataValidation sqref="B4" showDropDown="0" showInputMessage="0" showErrorMessage="0" allowBlank="1" type="list">
      <formula1>Lists!$A$3:$A$11</formula1>
    </dataValidation>
    <dataValidation sqref="B5" showDropDown="0" showInputMessage="0" showErrorMessage="0" allowBlank="1" type="list">
      <formula1>Lists!$A$3:$A$11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79"/>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3" customWidth="1" min="3" max="3"/>
    <col width="45" customWidth="1" min="4" max="4"/>
    <col width="12" customWidth="1" min="5" max="5"/>
    <col width="38" customWidth="1" min="6" max="6"/>
    <col width="21" customWidth="1" min="7" max="7"/>
    <col width="31" customWidth="1" min="8" max="8"/>
    <col width="45" customWidth="1" min="9" max="9"/>
    <col width="45" customWidth="1" min="10" max="10"/>
    <col width="60" customWidth="1" min="11" max="11"/>
    <col width="45" customWidth="1" min="12" max="12"/>
    <col width="45" customWidth="1" min="13" max="13"/>
    <col width="45" customWidth="1" min="14" max="14"/>
    <col width="45" customWidth="1" min="15" max="15"/>
    <col width="12" customWidth="1" min="16" max="16"/>
  </cols>
  <sheetData>
    <row r="1">
      <c r="A1" s="9" t="inlineStr">
        <is>
          <t>Country</t>
        </is>
      </c>
      <c r="B1" s="9" t="inlineStr">
        <is>
          <t>Act</t>
        </is>
      </c>
      <c r="C1" s="9" t="inlineStr">
        <is>
          <t>Section</t>
        </is>
      </c>
      <c r="D1" s="9" t="inlineStr">
        <is>
          <t>Heading</t>
        </is>
      </c>
      <c r="E1" s="9" t="inlineStr">
        <is>
          <t>Pages</t>
        </is>
      </c>
      <c r="F1" s="9" t="inlineStr">
        <is>
          <t>Category</t>
        </is>
      </c>
      <c r="G1" s="9" t="inlineStr">
        <is>
          <t>Financial Relevance</t>
        </is>
      </c>
      <c r="H1" s="9" t="inlineStr">
        <is>
          <t>Confidence</t>
        </is>
      </c>
      <c r="I1" s="9" t="inlineStr">
        <is>
          <t>Topics</t>
        </is>
      </c>
      <c r="J1" s="9" t="inlineStr">
        <is>
          <t>Data Types</t>
        </is>
      </c>
      <c r="K1" s="9" t="inlineStr">
        <is>
          <t>Authority</t>
        </is>
      </c>
      <c r="L1" s="9" t="inlineStr">
        <is>
          <t>Summary</t>
        </is>
      </c>
      <c r="M1" s="9" t="inlineStr">
        <is>
          <t>DTIA Summary</t>
        </is>
      </c>
      <c r="N1" s="9" t="inlineStr">
        <is>
          <t>Requirements</t>
        </is>
      </c>
      <c r="O1" s="9" t="inlineStr">
        <is>
          <t>Source Quote</t>
        </is>
      </c>
      <c r="P1" s="9" t="inlineStr">
        <is>
          <t>Source</t>
        </is>
      </c>
    </row>
    <row r="2">
      <c r="A2" t="inlineStr">
        <is>
          <t>Australia</t>
        </is>
      </c>
      <c r="B2" t="inlineStr">
        <is>
          <t>C2004A01182 (Australia - Row 25)</t>
        </is>
      </c>
      <c r="C2" t="inlineStr">
        <is>
          <t>4</t>
        </is>
      </c>
      <c r="D2" s="8" t="inlineStr">
        <is>
          <t>Vocational Education and Training Funding Act 1992</t>
        </is>
      </c>
      <c r="E2" t="inlineStr">
        <is>
          <t>3–10</t>
        </is>
      </c>
      <c r="F2" t="inlineStr">
        <is>
          <t>Other</t>
        </is>
      </c>
      <c r="G2" t="inlineStr">
        <is>
          <t>None</t>
        </is>
      </c>
      <c r="H2" t="inlineStr">
        <is>
          <t>High</t>
        </is>
      </c>
      <c r="I2" s="8" t="inlineStr"/>
      <c r="J2" s="8" t="inlineStr"/>
      <c r="K2" t="inlineStr">
        <is>
          <t>Commonwealth Minister</t>
        </is>
      </c>
      <c r="L2" s="8" t="inlineStr">
        <is>
          <t>Section 4 of the Australian National Training Authority Amendment Act 2003 establishes the short title of the Act and outlines its commencement dates. It specifies that Sections 1 to 3 and any other provisions not covered by the commencement table commence on 14 October 2003, while Schedule 1 commences on 14 April 2004 and Schedule 2 on 1 January 2004. The Act amends and repeals provisions of the Australian National Training Authority Act 1992.</t>
        </is>
      </c>
      <c r="M2" s="8" t="inlineStr"/>
      <c r="N2" s="8" t="inlineStr">
        <is>
          <t>[Must] Each provision of this Act specified in column 1 of the table commences, or is taken to have commenced, in accordance with column 2 of the table.
[Must] The day on which this Act receives the Royal Assent is 14 October 2003.
[Must] Schedule 1 commences on a single day to be fixed by Proclamation, but no later than 14 April 2004.
[Must] Schedule 2 commences on 1 January 2004.
[Must] The Commonwealth Minister must cause a copy of the agreement and any amendment to the agreement to be laid before each House of the Parliament within 15 sitting days of that House after the agreement is made or amended.
[Must] The Commonwealth Minister must cause the Authority to publish the agreement or any amendment of the agreement on its website within 15 sitting days of either House of the Parliament after the agreement is made or amended.</t>
        </is>
      </c>
      <c r="O2" s="8" t="inlineStr">
        <is>
          <t>This Act may be cited as the Australian National Training Authority Amendment Act 2003.</t>
        </is>
      </c>
      <c r="P2" s="10" t="inlineStr">
        <is>
          <t>Open PDF</t>
        </is>
      </c>
    </row>
    <row r="3">
      <c r="A3" t="inlineStr">
        <is>
          <t>Australia</t>
        </is>
      </c>
      <c r="B3" t="inlineStr">
        <is>
          <t>C2004C01271-1 (Australia - Row 7)</t>
        </is>
      </c>
      <c r="C3" t="inlineStr">
        <is>
          <t>7</t>
        </is>
      </c>
      <c r="D3" s="8" t="inlineStr">
        <is>
          <t>An Act to provide income tax deductions for</t>
        </is>
      </c>
      <c r="E3" t="inlineStr">
        <is>
          <t>3–11</t>
        </is>
      </c>
      <c r="F3" t="inlineStr">
        <is>
          <t>Other</t>
        </is>
      </c>
      <c r="G3" t="inlineStr">
        <is>
          <t>None</t>
        </is>
      </c>
      <c r="H3" t="inlineStr">
        <is>
          <t>High</t>
        </is>
      </c>
      <c r="I3" s="8" t="inlineStr"/>
      <c r="J3" s="8" t="inlineStr"/>
      <c r="K3" t="inlineStr">
        <is>
          <t>Arts Minister, Commissioner</t>
        </is>
      </c>
      <c r="L3" s="8" t="inlineStr">
        <is>
          <t>Section 7 amends the Taxation Laws to provide income tax deductions for investments in film licensed investment companies (FLICs). It inserts new Subdivision 375-H, which outlines deductions for shares in FLICs, special tax rules for FLICs, and conditions for claiming deductions. The deductions apply to shares issued during the period the FLIC's concessional capital licence is in force, which cannot be in force after 30 June 2000.</t>
        </is>
      </c>
      <c r="M3" s="8" t="inlineStr"/>
      <c r="N3" s="8" t="inlineStr">
        <is>
          <t>[Must] You can deduct money you pay for shares in a film licensed investment company (FLIC) if the shares are issued to you by the FLIC during the period the FLIC's concessional capital licence is in force.
[Must] A film licensed investment company is a company that has been granted a licence to raise concessional capital under the Film Licensed Investment Company Act 1998.
[Must] If you pay for the shares in an income year and the shares are issued in the same income year, you get the deduction for that income year.
[Must] If you pay for the shares in an income year but the shares are not issued until a later income year, you get the deduction for the later income year.
[Must Not] You lose your entitlement to the deduction if the Arts Minister decides to remove the concessional status of your shares.
[Must Not] You also lose your entitlement to the deduction if the Commissioner is satisfied that the FLIC in which you hold shares has breached a condition imposed on it under the Film Licensed Investment Company Act 1998.
[Must] If the Commissioner is satisfied of the matters set out in subsection (2), the Commissioner must, within 28 days, give written notice to the Arts Minister about the loss of entitlement that has occurred under subsection (2).
[Must Not] A FLIC cannot transfer to another company a tax loss or a net capital loss for an income year if the FLIC's concessional capital licence is in force during some or all of that income year.
[Must Not] A company cannot transfer to a FLIC a tax loss or a net capital loss for an income year if the FLIC's concessional capital licence is in force during some or all of that income year.
[Must Not] If a FLIC has spent an amount of FLIC concessional capital in respect of a film, the FLIC cannot deduct the amount under this Act.</t>
        </is>
      </c>
      <c r="O3" s="8" t="inlineStr">
        <is>
          <t>You can deduct amounts you have paid for shares issued to you by a film licensed investment company (FLIC). The deduction does not apply to shares issued after 1 July 2000.</t>
        </is>
      </c>
      <c r="P3" s="10" t="inlineStr">
        <is>
          <t>Open PDF</t>
        </is>
      </c>
    </row>
    <row r="4">
      <c r="A4" t="inlineStr">
        <is>
          <t>Australia</t>
        </is>
      </c>
      <c r="B4" t="inlineStr">
        <is>
          <t>Essential Eight explained (November 2023) (Australia - Row 11)</t>
        </is>
      </c>
      <c r="C4" t="inlineStr">
        <is>
          <t>p1</t>
        </is>
      </c>
      <c r="D4" s="8" t="inlineStr">
        <is>
          <t>Essential Eight explained</t>
        </is>
      </c>
      <c r="E4" t="inlineStr">
        <is>
          <t>1–2</t>
        </is>
      </c>
      <c r="F4" t="inlineStr">
        <is>
          <t>Other</t>
        </is>
      </c>
      <c r="G4" t="inlineStr">
        <is>
          <t>None</t>
        </is>
      </c>
      <c r="H4" t="inlineStr">
        <is>
          <t>High (explicit)</t>
        </is>
      </c>
      <c r="I4" s="8" t="inlineStr">
        <is>
          <t>Security, Processing</t>
        </is>
      </c>
      <c r="J4" s="8" t="inlineStr">
        <is>
          <t>Personal Information</t>
        </is>
      </c>
      <c r="K4" t="inlineStr">
        <is>
          <t>Australian Signals Directorate (ASD)</t>
        </is>
      </c>
      <c r="L4" s="8" t="inlineStr">
        <is>
          <t>The Essential Eight is a set of eight prioritised cyber security mitigation strategies developed by the Australian Signals Directorate (ASD) to protect organisations' internet-connected information technology networks from cyber threats. These strategies include patching applications and operating systems, multi-factor authentication, restricting administrative privileges, application control, restricting Microsoft Office macros, user application hardening, and regular backups. The Essential Eight maturity model provides a framework for implementing these strategies based on ASD's cyber threat intelligence and incident response experience.</t>
        </is>
      </c>
      <c r="M4" s="8" t="inlineStr"/>
      <c r="N4" s="8" t="inlineStr">
        <is>
          <t>[Must] The Essential Eight has been designed to protect organisations' internet-connected information technology networks.
[Must] The Essential Eight maturity model supports the implementation of the Essential Eight.</t>
        </is>
      </c>
      <c r="O4" s="8" t="inlineStr">
        <is>
          <t>The Essential Eight has been designed to protect organisations' internet-connected information technology networks.</t>
        </is>
      </c>
      <c r="P4" s="10" t="inlineStr">
        <is>
          <t>Open PDF</t>
        </is>
      </c>
    </row>
    <row r="5">
      <c r="A5" t="inlineStr">
        <is>
          <t>Australia</t>
        </is>
      </c>
      <c r="B5" t="inlineStr">
        <is>
          <t>Essential Eight explained (November 2023) (Australia - Row 11)</t>
        </is>
      </c>
      <c r="C5" t="inlineStr">
        <is>
          <t>p2</t>
        </is>
      </c>
      <c r="D5" s="8" t="inlineStr">
        <is>
          <t>Essential Eight explained</t>
        </is>
      </c>
      <c r="E5" t="inlineStr">
        <is>
          <t>2–3</t>
        </is>
      </c>
      <c r="F5" t="inlineStr">
        <is>
          <t>Other</t>
        </is>
      </c>
      <c r="G5" t="inlineStr">
        <is>
          <t>None</t>
        </is>
      </c>
      <c r="H5" t="inlineStr">
        <is>
          <t>High (explicit)</t>
        </is>
      </c>
      <c r="I5" s="8" t="inlineStr">
        <is>
          <t>Security, Processing</t>
        </is>
      </c>
      <c r="J5" s="8" t="inlineStr">
        <is>
          <t>Personal Information</t>
        </is>
      </c>
      <c r="K5" t="inlineStr"/>
      <c r="L5" s="8" t="inlineStr">
        <is>
          <t>Organisations should conduct assessments against the Essential Eight using the Essential Eight assessment process guide. Additional information on the Essential Eight maturity model and implementation is available through the Essential Eight maturity model FAQ publication. Contact details for inquiries include a phone number (1300 CYBER1) and email (cyber.gov.au).</t>
        </is>
      </c>
      <c r="M5" s="8" t="inlineStr"/>
      <c r="N5" s="8" t="inlineStr">
        <is>
          <t>[Must] Assessments against the Essential Eight should be conducted using the Essential Eight assessment process guide.</t>
        </is>
      </c>
      <c r="O5" s="8" t="inlineStr">
        <is>
          <t>Assessments against the Essential Eight should be conducted using the Essential Eight assessment process guide.</t>
        </is>
      </c>
      <c r="P5" s="10" t="inlineStr">
        <is>
          <t>Open PDF</t>
        </is>
      </c>
    </row>
    <row r="6">
      <c r="A6" t="inlineStr">
        <is>
          <t>Australia</t>
        </is>
      </c>
      <c r="B6" t="inlineStr">
        <is>
          <t>Essential Eight explained (November 2023) (Australia - Row 11)</t>
        </is>
      </c>
      <c r="C6" t="inlineStr">
        <is>
          <t>p3</t>
        </is>
      </c>
      <c r="D6" s="8" t="inlineStr">
        <is>
          <t>Disclaimer</t>
        </is>
      </c>
      <c r="E6" t="inlineStr">
        <is>
          <t>3</t>
        </is>
      </c>
      <c r="F6" t="inlineStr">
        <is>
          <t>Other</t>
        </is>
      </c>
      <c r="G6" t="inlineStr">
        <is>
          <t>None</t>
        </is>
      </c>
      <c r="H6" t="inlineStr">
        <is>
          <t>High (explicit)</t>
        </is>
      </c>
      <c r="I6" s="8" t="inlineStr">
        <is>
          <t>Security</t>
        </is>
      </c>
      <c r="J6" s="8" t="inlineStr">
        <is>
          <t>Personal Information</t>
        </is>
      </c>
      <c r="K6" t="inlineStr"/>
      <c r="L6" s="8" t="inlineStr">
        <is>
          <t>This document includes a disclaimer stating that the material is of general nature and not legal advice, and the Commonwealth accepts no responsibility for damage or loss resulting from reliance on the information. The document is provided under a Creative Commons Attribution 4.0 International licence with specific conditions for use.</t>
        </is>
      </c>
      <c r="M6" s="8" t="inlineStr"/>
      <c r="N6" s="8" t="inlineStr">
        <is>
          <t>[Must] The material in this guide is of a general nature and should not be regarded as legal advice or relied on for assistance in any particular circumstance or emergency situation.</t>
        </is>
      </c>
      <c r="O6" s="8" t="inlineStr">
        <is>
          <t>The material in this guide is of a general nature and should not be regarded as legal advice or relied on for assistance in any particular circumstance or emergency situation.</t>
        </is>
      </c>
      <c r="P6" s="10" t="inlineStr">
        <is>
          <t>Open PDF</t>
        </is>
      </c>
    </row>
    <row r="7">
      <c r="A7" t="inlineStr">
        <is>
          <t>Australia</t>
        </is>
      </c>
      <c r="B7" t="inlineStr">
        <is>
          <t>Prudential-Standard-CPS-232-Business-Continuity-Management-(July-2017) (Australia - Row 5)</t>
        </is>
      </c>
      <c r="C7" t="inlineStr">
        <is>
          <t>1</t>
        </is>
      </c>
      <c r="D7" s="8" t="inlineStr">
        <is>
          <t>Prudential Standard authority basis</t>
        </is>
      </c>
      <c r="E7" t="inlineStr">
        <is>
          <t>3</t>
        </is>
      </c>
      <c r="F7" t="inlineStr">
        <is>
          <t>Other</t>
        </is>
      </c>
      <c r="G7" t="inlineStr">
        <is>
          <t>None</t>
        </is>
      </c>
      <c r="H7" t="inlineStr">
        <is>
          <t>High (explicit)</t>
        </is>
      </c>
      <c r="I7" s="8" t="inlineStr">
        <is>
          <t>Governance</t>
        </is>
      </c>
      <c r="J7" s="8" t="inlineStr"/>
      <c r="K7" t="inlineStr">
        <is>
          <t>APRA</t>
        </is>
      </c>
      <c r="L7" s="8" t="inlineStr">
        <is>
          <t>This section specifies that the Prudential Standard is enacted under three specific sections of Australian legislation: the Banking Act 1959, the Insurance Act 1973, and the Life Insurance Act 1995. It establishes the legal foundation for the standard by referencing the relevant regulatory acts that authorize its implementation.</t>
        </is>
      </c>
      <c r="M7" s="8" t="inlineStr"/>
      <c r="N7" s="8" t="inlineStr">
        <is>
          <t>[Must] This Prudential Standard is made under: section 11AF of the Banking Act 1959 (Banking Act); section 32 of the Insurance Act 1973 (Insurance Act); and section 230A of the Life Insurance Act 1995 (Life Insurance Act).</t>
        </is>
      </c>
      <c r="O7" s="8" t="inlineStr">
        <is>
          <t>This Prudential Standard is made under: section 11AF of the Banking Act 1959 (Banking Act); section 32 of the Insurance Act 1973 (Insurance Act); and section 230A of the Life Insurance Act 1995 (Life Insurance Act).</t>
        </is>
      </c>
      <c r="P7" s="10" t="inlineStr">
        <is>
          <t>Open PDF</t>
        </is>
      </c>
    </row>
    <row r="8">
      <c r="A8" t="inlineStr">
        <is>
          <t>Australia</t>
        </is>
      </c>
      <c r="B8" t="inlineStr">
        <is>
          <t>Prudential-Standard-CPS-232-Business-Continuity-Management-(July-2017) (Australia - Row 5)</t>
        </is>
      </c>
      <c r="C8" t="inlineStr">
        <is>
          <t>2</t>
        </is>
      </c>
      <c r="D8" s="8" t="inlineStr">
        <is>
          <t>APRA-regulated institutions scope</t>
        </is>
      </c>
      <c r="E8" t="inlineStr">
        <is>
          <t>3</t>
        </is>
      </c>
      <c r="F8" t="inlineStr">
        <is>
          <t>Other</t>
        </is>
      </c>
      <c r="G8" t="inlineStr">
        <is>
          <t>None</t>
        </is>
      </c>
      <c r="H8" t="inlineStr">
        <is>
          <t>High (explicit)</t>
        </is>
      </c>
      <c r="I8" s="8" t="inlineStr">
        <is>
          <t>Governance</t>
        </is>
      </c>
      <c r="J8" s="8" t="inlineStr"/>
      <c r="K8" t="inlineStr">
        <is>
          <t>APRA</t>
        </is>
      </c>
      <c r="L8" s="8" t="inlineStr">
        <is>
          <t>This section defines which financial institutions are covered by the Prudential Standard. It includes authorized deposit-taking institutions (ADIs), foreign ADIs, non-operating holding companies under the Banking Act, general insurers, Category C insurers, non-operating holding companies under the Insurance Act, and life companies including friendly societies and eligible foreign life insurance companies.</t>
        </is>
      </c>
      <c r="M8" s="8" t="inlineStr"/>
      <c r="N8" s="8" t="inlineStr">
        <is>
          <t>[Must] This Prudential Standard applies to all ‘APRA-regulated institutions', defined as: all authorised deposit-taking institutions (ADIs), including foreign ADIs, and non-operating holding companies authorised under the Banking Act (authorised banking NOHCs); all general insurers, including Category C insurers, non-operating holding companies authorised under the Insurance Act (authorised insurance NOHCs) and parent entities of Level 2 insurance groups; and all life companies, including friendly societies and eligible foreign life insurance companies (EFLICs), and non-operating holding companies registered under the Life Insurance Act (registered life NOHCs).</t>
        </is>
      </c>
      <c r="O8" s="8" t="inlineStr">
        <is>
          <t>This Prudential Standard applies to all ‘APRA-regulated institutions', defined as: all authorised deposit-taking institutions (ADIs), including foreign ADIs, and non-operating holding companies authorised under the Banking Act (authorised banking NOHCs); all general insurers, including Category C insurers, non-operating holding companies authorised under the Insurance Act (authorised insurance NOHCs) and parent entities of Level 2 insurance groups; and all life companies, including friendly societies and eligible foreign life insurance companies (EFLICs), and non-operating holding companies registered under the Life Insurance Act (registered life NOHCs).</t>
        </is>
      </c>
      <c r="P8" s="10" t="inlineStr">
        <is>
          <t>Open PDF</t>
        </is>
      </c>
    </row>
    <row r="9">
      <c r="A9" t="inlineStr">
        <is>
          <t>Australia</t>
        </is>
      </c>
      <c r="B9" t="inlineStr">
        <is>
          <t>Prudential-Standard-CPS-232-Business-Continuity-Management-(July-2017) (Australia - Row 5)</t>
        </is>
      </c>
      <c r="C9" t="inlineStr">
        <is>
          <t>8</t>
        </is>
      </c>
      <c r="D9" s="8" t="inlineStr">
        <is>
          <t>Defined terms reference</t>
        </is>
      </c>
      <c r="E9" t="inlineStr">
        <is>
          <t>4</t>
        </is>
      </c>
      <c r="F9" t="inlineStr">
        <is>
          <t>Other</t>
        </is>
      </c>
      <c r="G9" t="inlineStr">
        <is>
          <t>None</t>
        </is>
      </c>
      <c r="H9" t="inlineStr">
        <is>
          <t>High (explicit)</t>
        </is>
      </c>
      <c r="I9" s="8" t="inlineStr">
        <is>
          <t>Governance</t>
        </is>
      </c>
      <c r="J9" s="8" t="inlineStr"/>
      <c r="K9" t="inlineStr"/>
      <c r="L9" s="8" t="inlineStr">
        <is>
          <t>This section states that terms defined in other Prudential Standards (APS 001, GPS 001, LPS 001) will be in bold for the first time they appear in this standard. It clarifies how terminology is handled across different regulatory frameworks.</t>
        </is>
      </c>
      <c r="M9" s="8" t="inlineStr"/>
      <c r="N9" s="8" t="inlineStr">
        <is>
          <t>[Must] Terms that are defined in Prudential Standard 3PS 001 Definitions, Prudential Standard APS 001 Definitions (APS 001), Prudential Standard GPS 001 Definitions (GPS 001) or Prudential Standard LPS 001 Definitions appear in bold the first time they are used in this Prudential Standard.</t>
        </is>
      </c>
      <c r="O9" s="8" t="inlineStr">
        <is>
          <t>Terms that are defined in Prudential Standard 3PS 001 Definitions, Prudential Standard APS 001 Definitions (APS 001), Prudential Standard GPS 001 Definitions (GPS 001) or Prudential Standard LPS 001 Definitions appear in bold the first time they are used in this Prudential Standard.</t>
        </is>
      </c>
      <c r="P9" s="10" t="inlineStr">
        <is>
          <t>Open PDF</t>
        </is>
      </c>
    </row>
    <row r="10">
      <c r="A10" t="inlineStr">
        <is>
          <t>Australia</t>
        </is>
      </c>
      <c r="B10" t="inlineStr">
        <is>
          <t>Prudential-Standard-CPS-232-Business-Continuity-Management-(July-2017) (Australia - Row 5)</t>
        </is>
      </c>
      <c r="C10" t="inlineStr">
        <is>
          <t>10</t>
        </is>
      </c>
      <c r="D10" s="8" t="inlineStr">
        <is>
          <t>Group and Head definitions</t>
        </is>
      </c>
      <c r="E10" t="inlineStr">
        <is>
          <t>4</t>
        </is>
      </c>
      <c r="F10" t="inlineStr">
        <is>
          <t>Other</t>
        </is>
      </c>
      <c r="G10" t="inlineStr">
        <is>
          <t>None</t>
        </is>
      </c>
      <c r="H10" t="inlineStr">
        <is>
          <t>High (explicit)</t>
        </is>
      </c>
      <c r="I10" s="8" t="inlineStr">
        <is>
          <t>Governance</t>
        </is>
      </c>
      <c r="J10" s="8" t="inlineStr"/>
      <c r="K10" t="inlineStr"/>
      <c r="L10" s="8" t="inlineStr">
        <is>
          <t>This section defines key terms such as 'group', 'Head of a group', 'Level 2 group', and 'Level 2 Head' for the purpose of business continuity management. It specifies the structure of institutional groups and their leadership roles under the Prudential Standard.</t>
        </is>
      </c>
      <c r="M10" s="8" t="inlineStr"/>
      <c r="N10" s="8" t="inlineStr">
        <is>
          <t>[Must] 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t>
        </is>
      </c>
      <c r="O10" s="8" t="inlineStr">
        <is>
          <t>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t>
        </is>
      </c>
      <c r="P10" s="10" t="inlineStr">
        <is>
          <t>Open PDF</t>
        </is>
      </c>
    </row>
    <row r="11">
      <c r="A11" t="inlineStr">
        <is>
          <t>Australia</t>
        </is>
      </c>
      <c r="B11" t="inlineStr">
        <is>
          <t>Prudential-Standard-CPS-232-Business-Continuity-Management-(July-2017) (Australia - Row 5)</t>
        </is>
      </c>
      <c r="C11" t="inlineStr">
        <is>
          <t>14</t>
        </is>
      </c>
      <c r="D11" s="8" t="inlineStr">
        <is>
          <t>Major disruption notification</t>
        </is>
      </c>
      <c r="E11" t="inlineStr">
        <is>
          <t>5</t>
        </is>
      </c>
      <c r="F11" t="inlineStr">
        <is>
          <t>Other</t>
        </is>
      </c>
      <c r="G11" t="inlineStr">
        <is>
          <t>None</t>
        </is>
      </c>
      <c r="H11" t="inlineStr">
        <is>
          <t>High (explicit)</t>
        </is>
      </c>
      <c r="I11" s="8" t="inlineStr">
        <is>
          <t>Incident Reporting</t>
        </is>
      </c>
      <c r="J11" s="8" t="inlineStr"/>
      <c r="K11" t="inlineStr">
        <is>
          <t>APRA</t>
        </is>
      </c>
      <c r="L11" s="8" t="inlineStr">
        <is>
          <t>This section requires the Head of a group to notify APRA if an institution experiences a major disruption that could materially impact its risk profile or financial soundness, with an exception if another APRA-regulated institution within the group has already notified APRA.</t>
        </is>
      </c>
      <c r="M11" s="8" t="inlineStr"/>
      <c r="N11" s="8" t="inlineStr">
        <is>
          <t>[Must] 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t>
        </is>
      </c>
      <c r="O11" s="8" t="inlineStr">
        <is>
          <t>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t>
        </is>
      </c>
      <c r="P11" s="10" t="inlineStr">
        <is>
          <t>Open PDF</t>
        </is>
      </c>
    </row>
    <row r="12">
      <c r="A12" t="inlineStr">
        <is>
          <t>Australia</t>
        </is>
      </c>
      <c r="B12" t="inlineStr">
        <is>
          <t>Prudential-Standard-CPS-232-Business-Continuity-Management-(July-2017) (Australia - Row 5)</t>
        </is>
      </c>
      <c r="C12" t="inlineStr">
        <is>
          <t>17</t>
        </is>
      </c>
      <c r="D12" s="8" t="inlineStr">
        <is>
          <t>Business continuity risk management</t>
        </is>
      </c>
      <c r="E12" t="inlineStr">
        <is>
          <t>5</t>
        </is>
      </c>
      <c r="F12" t="inlineStr">
        <is>
          <t>Other</t>
        </is>
      </c>
      <c r="G12" t="inlineStr">
        <is>
          <t>None</t>
        </is>
      </c>
      <c r="H12" t="inlineStr">
        <is>
          <t>High (explicit)</t>
        </is>
      </c>
      <c r="I12" s="8" t="inlineStr"/>
      <c r="J12" s="8" t="inlineStr"/>
      <c r="K12" t="inlineStr">
        <is>
          <t>APRA</t>
        </is>
      </c>
      <c r="L12" s="8" t="inlineStr">
        <is>
          <t>This section mandates that APRA-regulated institutions must identify, assess, manage, mitigate, and report on potential business continuity risks to ensure they can meet financial and service obligations to depositors, policyholders, and other stakeholders.</t>
        </is>
      </c>
      <c r="M12" s="8" t="inlineStr"/>
      <c r="N12" s="8" t="inlineStr">
        <is>
          <t>[Must] An APRA-regulated institution must identify, assess, manage, mitigate and report on potential business continuity risks to ensure that the institution is able to meet its financial and service obligations to its depositors, policyholders and other stakeholders.</t>
        </is>
      </c>
      <c r="O12" s="8" t="inlineStr">
        <is>
          <t>An APRA-regulated institution must identify, assess, manage, mitigate and report on potential business continuity risks to ensure that the institution is able to meet its financial and service obligations to its depositors, policyholders and other stakeholders.</t>
        </is>
      </c>
      <c r="P12" s="10" t="inlineStr">
        <is>
          <t>Open PDF</t>
        </is>
      </c>
    </row>
    <row r="13">
      <c r="A13" t="inlineStr">
        <is>
          <t>Australia</t>
        </is>
      </c>
      <c r="B13" t="inlineStr">
        <is>
          <t>Prudential-Standard-CPS-232-Business-Continuity-Management-(July-2017) (Australia - Row 5)</t>
        </is>
      </c>
      <c r="C13" t="inlineStr">
        <is>
          <t>19</t>
        </is>
      </c>
      <c r="D13" s="8" t="inlineStr">
        <is>
          <t>Board must integrate business continuity risks into risk management</t>
        </is>
      </c>
      <c r="E13" t="inlineStr">
        <is>
          <t>5–6</t>
        </is>
      </c>
      <c r="F13" t="inlineStr">
        <is>
          <t>Other</t>
        </is>
      </c>
      <c r="G13" t="inlineStr">
        <is>
          <t>High</t>
        </is>
      </c>
      <c r="H13" t="inlineStr">
        <is>
          <t>High (explicit)</t>
        </is>
      </c>
      <c r="I13" s="8" t="inlineStr"/>
      <c r="J13" s="8" t="inlineStr">
        <is>
          <t>Financial Data</t>
        </is>
      </c>
      <c r="K13" t="inlineStr">
        <is>
          <t>APRA</t>
        </is>
      </c>
      <c r="L13" s="8" t="inlineStr">
        <is>
          <t>The Board must ensure business continuity risks and controls are incorporated into the institution's overall risk management strategy and included in the risk management declaration submitted to APRA. This requirement applies to APRA-regulated financial institutions to maintain robust risk oversight.</t>
        </is>
      </c>
      <c r="M13" s="8" t="inlineStr">
        <is>
          <t>This section mandates that business continuity risks be systematically integrated into risk management, which is critical for DTIAs to assess how disruptions might affect cross-border operations and regulatory compliance.</t>
        </is>
      </c>
      <c r="N13" s="8" t="inlineStr">
        <is>
          <t>[Must] The Board must ensure that the business continuity risks and controls are taken into account as part of the institution's risk management strategy
[Must] The Board must ensure that the business continuity risks and controls are taken into account when completing a risk management declaration required to be provided to APRA</t>
        </is>
      </c>
      <c r="O13" s="8" t="inlineStr">
        <is>
          <t>The Board must ensure that the business continuity risks and controls are taken into account as part of the institution's risk management strategy and when completing a risk management declaration required to be provided to APRA.</t>
        </is>
      </c>
      <c r="P13" s="10" t="inlineStr">
        <is>
          <t>Open PDF</t>
        </is>
      </c>
    </row>
    <row r="14">
      <c r="A14" t="inlineStr">
        <is>
          <t>Australia</t>
        </is>
      </c>
      <c r="B14" t="inlineStr">
        <is>
          <t>Prudential-Standard-CPS-232-Business-Continuity-Management-(July-2017) (Australia - Row 5)</t>
        </is>
      </c>
      <c r="C14" t="inlineStr">
        <is>
          <t>20</t>
        </is>
      </c>
      <c r="D14" s="8" t="inlineStr">
        <is>
          <t>Business continuity management as whole-of-business approach</t>
        </is>
      </c>
      <c r="E14" t="inlineStr">
        <is>
          <t>6</t>
        </is>
      </c>
      <c r="F14" t="inlineStr">
        <is>
          <t>Other</t>
        </is>
      </c>
      <c r="G14" t="inlineStr">
        <is>
          <t>High</t>
        </is>
      </c>
      <c r="H14" t="inlineStr">
        <is>
          <t>High (explicit)</t>
        </is>
      </c>
      <c r="I14" s="8" t="inlineStr"/>
      <c r="J14" s="8" t="inlineStr">
        <is>
          <t>Financial Data</t>
        </is>
      </c>
      <c r="K14" t="inlineStr"/>
      <c r="L14" s="8" t="inlineStr">
        <is>
          <t>Business continuity management requires institutions to establish policies, standards, and procedures that ensure critical business operations can be maintained or recovered during disruptions. This approach aims to minimize financial, legal, regulatory, and reputational consequences from operational interruptions.</t>
        </is>
      </c>
      <c r="M14" s="8" t="inlineStr">
        <is>
          <t>This section defines business continuity as a whole-of-business process, which is essential for DTIAs to evaluate how disruptions might impact cross-border data flows and recovery strategies.</t>
        </is>
      </c>
      <c r="N14" s="8" t="inlineStr">
        <is>
          <t>[Definition] BCM is a whole-of-business approach that includes policies, standards and procedures for ensuring that critical business operations can be maintained or recovered in a timely fashion, in the event of a disruption</t>
        </is>
      </c>
      <c r="O14" s="8" t="inlineStr">
        <is>
          <t>BCM is a whole-of-business approach that includes policies, standards and procedures for ensuring that critical business operations can be maintained or recovered in a timely fashion, in the event of a disruption.</t>
        </is>
      </c>
      <c r="P14" s="10" t="inlineStr">
        <is>
          <t>Open PDF</t>
        </is>
      </c>
    </row>
    <row r="15">
      <c r="A15" t="inlineStr">
        <is>
          <t>Australia</t>
        </is>
      </c>
      <c r="B15" t="inlineStr">
        <is>
          <t>Prudential-Standard-CPS-232-Business-Continuity-Management-(July-2017) (Australia - Row 5)</t>
        </is>
      </c>
      <c r="C15" t="inlineStr">
        <is>
          <t>27</t>
        </is>
      </c>
      <c r="D15" s="8" t="inlineStr">
        <is>
          <t>BIA must consider disruption scenarios and impacts</t>
        </is>
      </c>
      <c r="E15" t="inlineStr">
        <is>
          <t>6–7</t>
        </is>
      </c>
      <c r="F15" t="inlineStr">
        <is>
          <t>Other</t>
        </is>
      </c>
      <c r="G15" t="inlineStr">
        <is>
          <t>High</t>
        </is>
      </c>
      <c r="H15" t="inlineStr">
        <is>
          <t>High (explicit)</t>
        </is>
      </c>
      <c r="I15" s="8" t="inlineStr"/>
      <c r="J15" s="8" t="inlineStr">
        <is>
          <t>Financial Data</t>
        </is>
      </c>
      <c r="K15" t="inlineStr">
        <is>
          <t>APRA</t>
        </is>
      </c>
      <c r="L15" s="8" t="inlineStr">
        <is>
          <t>When conducting a Business Impact Analysis (BIA), institutions must evaluate plausible disruption scenarios over time, the operational downtime for critical functions, the impact on depositors/policyholders, and the financial, legal, regulatory, and reputational consequences of disruptions.</t>
        </is>
      </c>
      <c r="M15" s="8" t="inlineStr">
        <is>
          <t>This section requires detailed analysis of disruption impacts, which is vital for DTIAs to assess how business continuity risks might affect cross-border data transfers and recovery processes.</t>
        </is>
      </c>
      <c r="N15" s="8" t="inlineStr">
        <is>
          <t>[Must] When conducting the BIA, the APRA-regulated institution must consider plausible disruption scenarios over varying periods of time
[Must] When conducting the BIA, the APRA-regulated institution must consider the period of time for which the institution could not operate without each of its critical business operations
[Must] When conducting the BIA, the APRA-regulated institution must consider the extent to which a disruption to the critical business operations might have a material impact on the interests of depositors and/or policyholders of the institution
[Must] When conducting the BIA, the APRA-regulated institution must consider the financial, legal, regulatory and reputational impact of a disruption to the institution's critical business operations over varying periods of time</t>
        </is>
      </c>
      <c r="O15" s="8" t="inlineStr">
        <is>
          <t>When conducting the BIA, the APRA-regulated institution must consider: (a) plausible disruption scenarios over varying periods of time; (b) the period of time for which the institution could not operate without each of its critical business operations; (c) the extent to which a disruption to the critical business operations might have a material impact on the interests of depositors and/or policyholders of the institution; and (d) the financial, legal, regulatory and reputational impact of a disruption to the institution's critical business operations over varying periods of time.</t>
        </is>
      </c>
      <c r="P15" s="10" t="inlineStr">
        <is>
          <t>Open PDF</t>
        </is>
      </c>
    </row>
    <row r="16">
      <c r="A16" t="inlineStr">
        <is>
          <t>Australia</t>
        </is>
      </c>
      <c r="B16" t="inlineStr">
        <is>
          <t>Prudential-Standard-CPS-232-Business-Continuity-Management-(July-2017) (Australia - Row 5)</t>
        </is>
      </c>
      <c r="C16" t="inlineStr">
        <is>
          <t>36</t>
        </is>
      </c>
      <c r="D16" s="8" t="inlineStr">
        <is>
          <t>Notify APRA of major disruptions within 24 hours</t>
        </is>
      </c>
      <c r="E16" t="inlineStr">
        <is>
          <t>8</t>
        </is>
      </c>
      <c r="F16" t="inlineStr">
        <is>
          <t>Other</t>
        </is>
      </c>
      <c r="G16" t="inlineStr">
        <is>
          <t>High</t>
        </is>
      </c>
      <c r="H16" t="inlineStr">
        <is>
          <t>High (explicit)</t>
        </is>
      </c>
      <c r="I16" s="8" t="inlineStr"/>
      <c r="J16" s="8" t="inlineStr">
        <is>
          <t>Financial Data</t>
        </is>
      </c>
      <c r="K16" t="inlineStr">
        <is>
          <t>APRA</t>
        </is>
      </c>
      <c r="L16" s="8" t="inlineStr">
        <is>
          <t>APRA-regulated institutions must report major disruptions that could materially impact their risk profile or financial stability to APRA within 24 hours, including details about the disruption, actions taken, expected effects, and timeline for recovery. They must also notify APRA when normal operations resume.</t>
        </is>
      </c>
      <c r="M16" s="8" t="inlineStr">
        <is>
          <t>This section requires timely reporting of disruptions, which is crucial for DTIAs to understand how cross-border data transfers might be affected by operational interruptions.</t>
        </is>
      </c>
      <c r="N16" s="8" t="inlineStr">
        <is>
          <t>[Must] An APRA-regulated institution must notify APRA as soon as possible and no later than 24 hours after the institution experiences a major disruption that has the potential to have a material impact on the institution's risk profile, or affect its financial soundness
[Must] The APRA-regulated institution must explain to APRA the nature of the disruption, the action being taken, the likely effect and the timeframe for returning to normal operations
[Must] The APRA-regulated institution must notify APRA when normal operations resume</t>
        </is>
      </c>
      <c r="O16" s="8" t="inlineStr">
        <is>
          <t>An APRA-regulated institution must notify APRA as soon as possible and no later than 24 hours after the institution experiences a major disruption that has the potential to have a material impact on the institution's risk profile, or affect its financial soundness.</t>
        </is>
      </c>
      <c r="P16" s="10" t="inlineStr">
        <is>
          <t>Open PDF</t>
        </is>
      </c>
    </row>
    <row r="17">
      <c r="A17" t="inlineStr">
        <is>
          <t>Australia</t>
        </is>
      </c>
      <c r="B17" t="inlineStr">
        <is>
          <t>Prudential-Standard-CPS-232-Business-Continuity-Management-(July-2017) (Australia - Row 5)</t>
        </is>
      </c>
      <c r="C17" t="inlineStr">
        <is>
          <t>40</t>
        </is>
      </c>
      <c r="D17" s="8" t="inlineStr">
        <is>
          <t>APRA may adjust or exclude prudential requirements</t>
        </is>
      </c>
      <c r="E17" t="inlineStr">
        <is>
          <t>8–9</t>
        </is>
      </c>
      <c r="F17" t="inlineStr">
        <is>
          <t>Other</t>
        </is>
      </c>
      <c r="G17" t="inlineStr">
        <is>
          <t>High</t>
        </is>
      </c>
      <c r="H17" t="inlineStr">
        <is>
          <t>High (explicit)</t>
        </is>
      </c>
      <c r="I17" s="8" t="inlineStr"/>
      <c r="J17" s="8" t="inlineStr">
        <is>
          <t>Financial Data</t>
        </is>
      </c>
      <c r="K17" t="inlineStr">
        <is>
          <t>APRA</t>
        </is>
      </c>
      <c r="L17" s="8" t="inlineStr">
        <is>
          <t>APRA has the authority to modify or exclude specific requirements within this Prudential Standard for regulated institutions, subject to relevant legislation such as the Banking Act, Insurance Act, and Life Insurance Act.</t>
        </is>
      </c>
      <c r="M17" s="8" t="inlineStr">
        <is>
          <t>This section allows APRA to tailor business continuity requirements, which may impact DTIAs by adjusting cross-border data transfer obligations for specific institutions.</t>
        </is>
      </c>
      <c r="N17" s="8" t="inlineStr">
        <is>
          <t>[May] APRA may adjust or exclude a specific requirement in this Prudential Standard in relation to an APRA-regulated institution</t>
        </is>
      </c>
      <c r="O17" s="8" t="inlineStr">
        <is>
          <t>APRA may adjust or exclude a specific requirement in this Prudential Standard in relation to an APRA-regulated institution.</t>
        </is>
      </c>
      <c r="P17" s="10" t="inlineStr">
        <is>
          <t>Open PDF</t>
        </is>
      </c>
    </row>
    <row r="18">
      <c r="A18" t="inlineStr">
        <is>
          <t>Australia</t>
        </is>
      </c>
      <c r="B18" t="inlineStr">
        <is>
          <t>Statutory tort for serious invasions of privacy _ OAIC (Australia - Row 24)</t>
        </is>
      </c>
      <c r="C18" t="inlineStr">
        <is>
          <t>p1</t>
        </is>
      </c>
      <c r="D18" s="8" t="inlineStr">
        <is>
          <t>Statutory tort for serious invasions of privacy</t>
        </is>
      </c>
      <c r="E18" t="inlineStr">
        <is>
          <t>1–2</t>
        </is>
      </c>
      <c r="F18" t="inlineStr">
        <is>
          <t>Other</t>
        </is>
      </c>
      <c r="G18" t="inlineStr">
        <is>
          <t>None</t>
        </is>
      </c>
      <c r="H18" t="inlineStr">
        <is>
          <t>High (explicit)</t>
        </is>
      </c>
      <c r="I18"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18" s="8" t="inlineStr">
        <is>
          <t>Personal Information</t>
        </is>
      </c>
      <c r="K18" t="inlineStr"/>
      <c r="L18" s="8" t="inlineStr">
        <is>
          <t>This section introduces the statutory tort for serious invasions of privacy as a legal mechanism allowing individuals to seek redress for privacy harms in court. It establishes that the tort applies beyond traditional Privacy Act entities to include individuals and other entities. The framework aims to address current and emerging privacy risks through a flexible approach.</t>
        </is>
      </c>
      <c r="M18" s="8" t="inlineStr"/>
      <c r="N18" s="8" t="inlineStr">
        <is>
          <t>[[]] Statutory tort for serious invasions of privacy</t>
        </is>
      </c>
      <c r="O18" s="8" t="inlineStr">
        <is>
          <t>Statutory tort for serious invasions of privacy | OAIC</t>
        </is>
      </c>
      <c r="P18" s="10" t="inlineStr">
        <is>
          <t>Open PDF</t>
        </is>
      </c>
    </row>
    <row r="19">
      <c r="A19" t="inlineStr">
        <is>
          <t>Australia</t>
        </is>
      </c>
      <c r="B19" t="inlineStr">
        <is>
          <t>Statutory tort for serious invasions of privacy _ OAIC (Australia - Row 24)</t>
        </is>
      </c>
      <c r="C19" t="inlineStr">
        <is>
          <t>p2</t>
        </is>
      </c>
      <c r="D19" s="8" t="inlineStr">
        <is>
          <t>Statutory tort for serious invasions of privacy: legal framework and scope</t>
        </is>
      </c>
      <c r="E19" t="inlineStr">
        <is>
          <t>2–3</t>
        </is>
      </c>
      <c r="F19" t="inlineStr">
        <is>
          <t>Other</t>
        </is>
      </c>
      <c r="G19" t="inlineStr">
        <is>
          <t>None</t>
        </is>
      </c>
      <c r="H19" t="inlineStr">
        <is>
          <t>High (explicit)</t>
        </is>
      </c>
      <c r="I19"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19" s="8" t="inlineStr">
        <is>
          <t>Personal Information</t>
        </is>
      </c>
      <c r="K19" t="inlineStr"/>
      <c r="L19" s="8" t="inlineStr">
        <is>
          <t>This section details the statutory tort for serious invasions of privacy, which allows individuals to seek legal redress for privacy harms. It specifies that the tort applies broadly beyond Privacy Act entities, covering individuals and other entities. The tort requires demonstrating that the plaintiff had a reasonable expectation of privacy and that the public interest in privacy outweighs any countervailing public interest.</t>
        </is>
      </c>
      <c r="M19" s="8" t="inlineStr"/>
      <c r="N19" s="8" t="inlineStr">
        <is>
          <t>[Must] An individual (plaintiff) may have a cause of action against another person or organisation (defendant) who has invaded their privacy by doing one or more of the following, in instances where the plaintiff would have had a reasonable expectation of privacy in all the circumstances: intruding upon the individual's seclusion – for example, by physically intruding into their private space; misusing information that relates to the plaintiff.
[Must] A plaintiff will also be required to demonstrate that the public interest in protecting their privacy outweighs any countervailing public interest.</t>
        </is>
      </c>
      <c r="O19" s="8" t="inlineStr">
        <is>
          <t>An individual (plaintiff) may have a cause of action against another person or organisation (defendant) who has invaded their privacy by doing one or more of the following, in instances where the plaintiff would have had a reasonable expectation of privacy in all the circumstances: intruding upon the individual's seclusion – for example, by physically intruding into their private space; misusing information that relates to the plaintiff.</t>
        </is>
      </c>
      <c r="P19" s="10" t="inlineStr">
        <is>
          <t>Open PDF</t>
        </is>
      </c>
    </row>
    <row r="20">
      <c r="A20" t="inlineStr">
        <is>
          <t>Australia</t>
        </is>
      </c>
      <c r="B20" t="inlineStr">
        <is>
          <t>Statutory tort for serious invasions of privacy _ OAIC (Australia - Row 24)</t>
        </is>
      </c>
      <c r="C20" t="inlineStr">
        <is>
          <t>p3</t>
        </is>
      </c>
      <c r="D20" s="8" t="inlineStr">
        <is>
          <t>Timeframes for statutory tort proceedings</t>
        </is>
      </c>
      <c r="E20" t="inlineStr">
        <is>
          <t>3–4</t>
        </is>
      </c>
      <c r="F20" t="inlineStr">
        <is>
          <t>Other</t>
        </is>
      </c>
      <c r="G20" t="inlineStr">
        <is>
          <t>None</t>
        </is>
      </c>
      <c r="H20" t="inlineStr">
        <is>
          <t>High (explicit)</t>
        </is>
      </c>
      <c r="I20"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20" s="8" t="inlineStr">
        <is>
          <t>Personal Information</t>
        </is>
      </c>
      <c r="K20" t="inlineStr"/>
      <c r="L20" s="8" t="inlineStr">
        <is>
          <t>This section outlines the timeframes for initiating statutory tort proceedings for serious invasions of privacy. If the plaintiff is under 18 at the time of the alleged invasion, proceedings must commence before their 21st birthday. Otherwise, the timeframe is the earlier of one year after the plaintiff became aware of the invasion or three years after the invasion occurred.</t>
        </is>
      </c>
      <c r="M20" s="8" t="inlineStr"/>
      <c r="N20" s="8" t="inlineStr">
        <is>
          <t>[Must] If a plaintiff is under 18 years of age when the alleged invasion of privacy occurred, proceedings must commence before their 21st birthday.
[Must] In other circumstances, the timeframe is the earlier of: 1 year after the day on which the plaintiff became aware of the invasion of privacy; and 3 years after the invasion of privacy occurred.</t>
        </is>
      </c>
      <c r="O20" s="8" t="inlineStr">
        <is>
          <t>Proceedings under the statutory tort must be commenced within certain timeframes. If a plaintiff is under 18 years of age when the alleged invasion of privacy occurred, proceedings must commence before their 21st birthday. In other circumstances, the timeframe is the earlier of: 1 year after the day on which the plaintiff became aware of the invasion of privacy; and 3 years after the invasion of privacy occurred.</t>
        </is>
      </c>
      <c r="P20" s="10" t="inlineStr">
        <is>
          <t>Open PDF</t>
        </is>
      </c>
    </row>
    <row r="21">
      <c r="A21" t="inlineStr">
        <is>
          <t>Australia</t>
        </is>
      </c>
      <c r="B21" t="inlineStr">
        <is>
          <t>Statutory tort for serious invasions of privacy _ OAIC (Australia - Row 24)</t>
        </is>
      </c>
      <c r="C21" t="inlineStr">
        <is>
          <t>p4</t>
        </is>
      </c>
      <c r="D21" s="8" t="inlineStr">
        <is>
          <t>Site map and navigation</t>
        </is>
      </c>
      <c r="E21" t="inlineStr">
        <is>
          <t>4–5</t>
        </is>
      </c>
      <c r="F21" t="inlineStr">
        <is>
          <t>Other</t>
        </is>
      </c>
      <c r="G21" t="inlineStr">
        <is>
          <t>None</t>
        </is>
      </c>
      <c r="H21" t="inlineStr">
        <is>
          <t>High (explicit)</t>
        </is>
      </c>
      <c r="I21"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21" s="8" t="inlineStr">
        <is>
          <t>Personal Information</t>
        </is>
      </c>
      <c r="K21" t="inlineStr"/>
      <c r="L21" s="8" t="inlineStr">
        <is>
          <t>This section provides a site map for the OAIC website, including links to copyright, terms and conditions, privacy policy, accessibility, and contact information. It does not contain substantive legal content relevant to data transfers or privacy torts.</t>
        </is>
      </c>
      <c r="M21" s="8" t="inlineStr"/>
      <c r="N21" s="8" t="inlineStr">
        <is>
          <t>[[]] Site map</t>
        </is>
      </c>
      <c r="O21" s="8" t="inlineStr">
        <is>
          <t>Site map</t>
        </is>
      </c>
      <c r="P21" s="10" t="inlineStr">
        <is>
          <t>Open PDF</t>
        </is>
      </c>
    </row>
    <row r="22">
      <c r="A22" t="inlineStr">
        <is>
          <t>Australia</t>
        </is>
      </c>
      <c r="B22" t="inlineStr">
        <is>
          <t>Statutory tort for serious invasions of privacy _ OAIC (Australia - Row 24)</t>
        </is>
      </c>
      <c r="C22" t="inlineStr">
        <is>
          <t>p5</t>
        </is>
      </c>
      <c r="D22" s="8" t="inlineStr">
        <is>
          <t>Contact information and acknowledgements</t>
        </is>
      </c>
      <c r="E22" t="inlineStr">
        <is>
          <t>5</t>
        </is>
      </c>
      <c r="F22" t="inlineStr">
        <is>
          <t>Other</t>
        </is>
      </c>
      <c r="G22" t="inlineStr">
        <is>
          <t>None</t>
        </is>
      </c>
      <c r="H22" t="inlineStr">
        <is>
          <t>High (explicit)</t>
        </is>
      </c>
      <c r="I22"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22" s="8" t="inlineStr">
        <is>
          <t>Personal Information</t>
        </is>
      </c>
      <c r="K22" t="inlineStr"/>
      <c r="L22" s="8" t="inlineStr">
        <is>
          <t>This section provides contact details for the OAIC, including a phone number and operating hours, and includes an acknowledgement of Country statement recognizing Traditional Custodians of Australia. It does not contain substantive legal content relevant to data transfers or privacy torts.</t>
        </is>
      </c>
      <c r="M22" s="8" t="inlineStr"/>
      <c r="N22" s="8" t="inlineStr">
        <is>
          <t>[[]] Contact us</t>
        </is>
      </c>
      <c r="O22" s="8" t="inlineStr">
        <is>
          <t>Contact us</t>
        </is>
      </c>
      <c r="P22" s="10" t="inlineStr">
        <is>
          <t>Open PDF</t>
        </is>
      </c>
    </row>
    <row r="23">
      <c r="A23" t="inlineStr">
        <is>
          <t>GDPR</t>
        </is>
      </c>
      <c r="B23" t="inlineStr">
        <is>
          <t>CELEX_32002L0058_EN_TXT (GDPR Row 7)</t>
        </is>
      </c>
      <c r="C23" t="inlineStr">
        <is>
          <t>1</t>
        </is>
      </c>
      <c r="D23" s="8" t="inlineStr">
        <is>
          <t>This Directive harmonises the provisions of the Member</t>
        </is>
      </c>
      <c r="E23" t="inlineStr">
        <is>
          <t>6–7</t>
        </is>
      </c>
      <c r="F23" t="inlineStr">
        <is>
          <t>Other</t>
        </is>
      </c>
      <c r="G23" t="inlineStr">
        <is>
          <t>Low</t>
        </is>
      </c>
      <c r="H23" t="inlineStr">
        <is>
          <t>High</t>
        </is>
      </c>
      <c r="I23" s="8" t="inlineStr">
        <is>
          <t>Data Residency, Data Storage, Data Sharing, Consent</t>
        </is>
      </c>
      <c r="J23" s="8" t="inlineStr"/>
      <c r="K23" t="inlineStr"/>
      <c r="L23"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23" s="8" t="inlineStr">
        <is>
          <t>This section mandates that location data other than traffic data must be anonymised or processed with user consent, which is relevant for assessing data residency and processing in cross-border contexts.</t>
        </is>
      </c>
      <c r="N23"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23"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P23" s="10" t="inlineStr">
        <is>
          <t>Open PDF</t>
        </is>
      </c>
    </row>
    <row r="24">
      <c r="A24" t="inlineStr">
        <is>
          <t>GDPR</t>
        </is>
      </c>
      <c r="B24" t="inlineStr">
        <is>
          <t>CELEX_32002L0058_EN_TXT (GDPR Row 7)</t>
        </is>
      </c>
      <c r="C24" t="inlineStr">
        <is>
          <t>1</t>
        </is>
      </c>
      <c r="D24" s="8" t="inlineStr">
        <is>
          <t>This Directive shall apply to the processing of personal</t>
        </is>
      </c>
      <c r="E24" t="inlineStr">
        <is>
          <t>7</t>
        </is>
      </c>
      <c r="F24" t="inlineStr">
        <is>
          <t>Other</t>
        </is>
      </c>
      <c r="G24" t="inlineStr">
        <is>
          <t>Low</t>
        </is>
      </c>
      <c r="H24" t="inlineStr">
        <is>
          <t>High</t>
        </is>
      </c>
      <c r="I24" s="8" t="inlineStr">
        <is>
          <t>Data Residency, Data Storage, Data Sharing, Consent</t>
        </is>
      </c>
      <c r="J24" s="8" t="inlineStr"/>
      <c r="K24" t="inlineStr"/>
      <c r="L24"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24" s="8" t="inlineStr">
        <is>
          <t>This section mandates that location data other than traffic data must be anonymised or processed with user consent, which is relevant for assessing data residency and processing in cross-border contexts.</t>
        </is>
      </c>
      <c r="N24"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24"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P24" s="10" t="inlineStr">
        <is>
          <t>Open PDF</t>
        </is>
      </c>
    </row>
    <row r="25">
      <c r="A25" t="inlineStr">
        <is>
          <t>GDPR</t>
        </is>
      </c>
      <c r="B25" t="inlineStr">
        <is>
          <t>CELEX_32002L0058_EN_TXT (GDPR Row 7)</t>
        </is>
      </c>
      <c r="C25" t="inlineStr">
        <is>
          <t>1</t>
        </is>
      </c>
      <c r="D25" s="8" t="inlineStr">
        <is>
          <t>Member States shall ensure the confidentiality of commu-</t>
        </is>
      </c>
      <c r="E25" t="inlineStr">
        <is>
          <t>7–8</t>
        </is>
      </c>
      <c r="F25" t="inlineStr">
        <is>
          <t>Other</t>
        </is>
      </c>
      <c r="G25" t="inlineStr">
        <is>
          <t>Low</t>
        </is>
      </c>
      <c r="H25" t="inlineStr">
        <is>
          <t>High</t>
        </is>
      </c>
      <c r="I25" s="8" t="inlineStr">
        <is>
          <t>Data Residency, Data Storage, Data Sharing, Consent</t>
        </is>
      </c>
      <c r="J25" s="8" t="inlineStr"/>
      <c r="K25" t="inlineStr"/>
      <c r="L25"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25" s="8" t="inlineStr">
        <is>
          <t>This section mandates that location data other than traffic data must be anonymised or processed with user consent, which is relevant for assessing data residency and processing in cross-border contexts.</t>
        </is>
      </c>
      <c r="N25"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25"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P25" s="10" t="inlineStr">
        <is>
          <t>Open PDF</t>
        </is>
      </c>
    </row>
    <row r="26">
      <c r="A26" t="inlineStr">
        <is>
          <t>GDPR</t>
        </is>
      </c>
      <c r="B26" t="inlineStr">
        <is>
          <t>CELEX_32002L0058_EN_TXT (GDPR Row 7)</t>
        </is>
      </c>
      <c r="C26" t="inlineStr">
        <is>
          <t>1</t>
        </is>
      </c>
      <c r="D26" s="8" t="inlineStr">
        <is>
          <t>Where location data other than traffic data, relating to</t>
        </is>
      </c>
      <c r="E26" t="inlineStr">
        <is>
          <t>9</t>
        </is>
      </c>
      <c r="F26" t="inlineStr">
        <is>
          <t>Other</t>
        </is>
      </c>
      <c r="G26" t="inlineStr">
        <is>
          <t>Low</t>
        </is>
      </c>
      <c r="H26" t="inlineStr">
        <is>
          <t>High</t>
        </is>
      </c>
      <c r="I26" s="8" t="inlineStr">
        <is>
          <t>Data Residency, Data Storage, Data Sharing, Consent</t>
        </is>
      </c>
      <c r="J26" s="8" t="inlineStr"/>
      <c r="K26" t="inlineStr"/>
      <c r="L26"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26" s="8" t="inlineStr">
        <is>
          <t>This section mandates that location data other than traffic data must be anonymised or processed with user consent, which is relevant for assessing data residency and processing in cross-border contexts.</t>
        </is>
      </c>
      <c r="N26"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26"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P26" s="10" t="inlineStr">
        <is>
          <t>Open PDF</t>
        </is>
      </c>
    </row>
    <row r="27">
      <c r="A27" t="inlineStr">
        <is>
          <t>GDPR</t>
        </is>
      </c>
      <c r="B27" t="inlineStr">
        <is>
          <t>CELEX_32002L0058_EN_TXT (GDPR Row 7)</t>
        </is>
      </c>
      <c r="C27" t="inlineStr">
        <is>
          <t>1</t>
        </is>
      </c>
      <c r="D27" s="8" t="inlineStr">
        <is>
          <t>Member States shall ensure that subscribers are informed,</t>
        </is>
      </c>
      <c r="E27" t="inlineStr">
        <is>
          <t>9</t>
        </is>
      </c>
      <c r="F27" t="inlineStr">
        <is>
          <t>Other</t>
        </is>
      </c>
      <c r="G27" t="inlineStr">
        <is>
          <t>Low</t>
        </is>
      </c>
      <c r="H27" t="inlineStr">
        <is>
          <t>High</t>
        </is>
      </c>
      <c r="I27" s="8" t="inlineStr">
        <is>
          <t>Data Residency, Data Storage, Data Sharing, Consent</t>
        </is>
      </c>
      <c r="J27" s="8" t="inlineStr"/>
      <c r="K27" t="inlineStr"/>
      <c r="L27" s="8" t="inlineStr">
        <is>
          <t>This section requires that location data other than traffic data, relating to users or subscribers, can only be processed when made anonymous or with the consent of the users or subscribers, and that the service provider must inform them of the purposes and duration of processing.</t>
        </is>
      </c>
      <c r="M27" s="8" t="inlineStr">
        <is>
          <t>This section mandates that location data other than traffic data must be anonymised or processed with user consent, which is relevant for assessing data residency and processing in cross-border contexts.</t>
        </is>
      </c>
      <c r="N27" s="8" t="inlineStr">
        <is>
          <t>[Must] 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O27" s="8" t="inlineStr">
        <is>
          <t>Where location data other than traffic data, relating to users or subscribers of public communications networks or publicly available electronic communications services, can be processed, such data may only be processed when they are made anonymous, or with the consent of the users or subscribers to the extent and for the duration necessary for the provision of a value added service. The service provider must inform the users or subscribers, prior to obtaining their consent, of the type of location data other than traffic data which will be processed, of the purposes and duration of the processing and whether the data will be transmitted to a third party for the purpose of providing the value added service. Users or subscribers shall be given the possibility to withdraw their consent for the processing of location data other than traffic data at any time.</t>
        </is>
      </c>
      <c r="P27" s="10" t="inlineStr">
        <is>
          <t>Open PDF</t>
        </is>
      </c>
    </row>
    <row r="28">
      <c r="A28" t="inlineStr">
        <is>
          <t>GDPR</t>
        </is>
      </c>
      <c r="B28" t="inlineStr">
        <is>
          <t>CELEX_32002L0058_EN_TXT (GDPR Row 7)</t>
        </is>
      </c>
      <c r="C28" t="inlineStr">
        <is>
          <t>2</t>
        </is>
      </c>
      <c r="D28" s="8" t="inlineStr">
        <is>
          <t>In case of a particular risk of a breach of the security of</t>
        </is>
      </c>
      <c r="E28" t="inlineStr">
        <is>
          <t>7</t>
        </is>
      </c>
      <c r="F28" t="inlineStr">
        <is>
          <t>Other</t>
        </is>
      </c>
      <c r="G28" t="inlineStr">
        <is>
          <t>Low</t>
        </is>
      </c>
      <c r="H28" t="inlineStr">
        <is>
          <t>High</t>
        </is>
      </c>
      <c r="I28" s="8" t="inlineStr">
        <is>
          <t>Data Residency, Data Storage, Data Sharing</t>
        </is>
      </c>
      <c r="J28" s="8" t="inlineStr"/>
      <c r="K28" t="inlineStr"/>
      <c r="L28" s="8" t="inlineStr">
        <is>
          <t>This section requires that Member States shall communicate to the Commission the text of the provisions of national law which they adopt in the field governed by this Directive and any subsequent amendments to those provisions.</t>
        </is>
      </c>
      <c r="M28" s="8" t="inlineStr">
        <is>
          <t>This section mandates that Member States communicate their national law provisions to the Commission, which is relevant for assessing compliance and data residency in cross-border contexts.</t>
        </is>
      </c>
      <c r="N28" s="8" t="inlineStr">
        <is>
          <t>[Must] Member States shall communicate to the Commission the text of the provisions of national law which they adopt in the field governed by this Directive and of any subsequent amendments to those provisions.</t>
        </is>
      </c>
      <c r="O28" s="8" t="inlineStr">
        <is>
          <t>Member States shall communicate to the Commission the text of the provisions of national law which they adopt in the field governed by this Directive and of any subsequent amendments to those provisions.</t>
        </is>
      </c>
      <c r="P28" s="10" t="inlineStr">
        <is>
          <t>Open PDF</t>
        </is>
      </c>
    </row>
    <row r="29">
      <c r="A29" t="inlineStr">
        <is>
          <t>GDPR</t>
        </is>
      </c>
      <c r="B29" t="inlineStr">
        <is>
          <t>CELEX_32002L0058_EN_TXT (GDPR Row 7)</t>
        </is>
      </c>
      <c r="C29" t="inlineStr">
        <is>
          <t>2</t>
        </is>
      </c>
      <c r="D29" s="8" t="inlineStr">
        <is>
          <t>Traffic data necessary for the purposes of subscriber</t>
        </is>
      </c>
      <c r="E29" t="inlineStr">
        <is>
          <t>8</t>
        </is>
      </c>
      <c r="F29" t="inlineStr">
        <is>
          <t>Other</t>
        </is>
      </c>
      <c r="G29" t="inlineStr">
        <is>
          <t>Low</t>
        </is>
      </c>
      <c r="H29" t="inlineStr">
        <is>
          <t>High</t>
        </is>
      </c>
      <c r="I29" s="8" t="inlineStr">
        <is>
          <t>Data Residency, Data Storage, Data Sharing</t>
        </is>
      </c>
      <c r="J29" s="8" t="inlineStr"/>
      <c r="K29" t="inlineStr"/>
      <c r="L29" s="8" t="inlineStr">
        <is>
          <t>This section requires that Member States shall communicate to the Commission the text of the provisions of national law which they adopt in the field governed by this Directive and any subsequent amendments to those provisions.</t>
        </is>
      </c>
      <c r="M29" s="8" t="inlineStr">
        <is>
          <t>This section mandates that Member States communicate their national law provisions to the Commission, which is relevant for assessing compliance and data residency in cross-border contexts.</t>
        </is>
      </c>
      <c r="N29" s="8" t="inlineStr">
        <is>
          <t>[Must] Member States shall communicate to the Commission the text of the provisions of national law which they adopt in the field governed by this Directive and of any subsequent amendments to those provisions.</t>
        </is>
      </c>
      <c r="O29" s="8" t="inlineStr">
        <is>
          <t>Member States shall communicate to the Commission the text of the provisions of national law which they adopt in the field governed by this Directive and of any subsequent amendments to those provisions.</t>
        </is>
      </c>
      <c r="P29" s="10" t="inlineStr">
        <is>
          <t>Open PDF</t>
        </is>
      </c>
    </row>
    <row r="30">
      <c r="A30" t="inlineStr">
        <is>
          <t>GDPR</t>
        </is>
      </c>
      <c r="B30" t="inlineStr">
        <is>
          <t>CELEX_32002L0058_EN_TXT (GDPR Row 7)</t>
        </is>
      </c>
      <c r="C30" t="inlineStr">
        <is>
          <t>2</t>
        </is>
      </c>
      <c r="D30" s="8" t="inlineStr">
        <is>
          <t>Member States shall apply national provisions in order to</t>
        </is>
      </c>
      <c r="E30" t="inlineStr">
        <is>
          <t>8</t>
        </is>
      </c>
      <c r="F30" t="inlineStr">
        <is>
          <t>Other</t>
        </is>
      </c>
      <c r="G30" t="inlineStr">
        <is>
          <t>Low</t>
        </is>
      </c>
      <c r="H30" t="inlineStr">
        <is>
          <t>High</t>
        </is>
      </c>
      <c r="I30" s="8" t="inlineStr">
        <is>
          <t>Data Residency, Data Storage, Data Sharing</t>
        </is>
      </c>
      <c r="J30" s="8" t="inlineStr"/>
      <c r="K30" t="inlineStr"/>
      <c r="L30" s="8" t="inlineStr">
        <is>
          <t>This section requires that Member States shall communicate to the Commission the text of the provisions of national law which they adopt in the field governed by this Directive and any subsequent amendments to those provisions.</t>
        </is>
      </c>
      <c r="M30" s="8" t="inlineStr">
        <is>
          <t>This section mandates that Member States communicate their national law provisions to the Commission, which is relevant for assessing compliance and data residency in cross-border contexts.</t>
        </is>
      </c>
      <c r="N30" s="8" t="inlineStr">
        <is>
          <t>[Must] Member States shall communicate to the Commission the text of the provisions of national law which they adopt in the field governed by this Directive and of any subsequent amendments to those provisions.</t>
        </is>
      </c>
      <c r="O30" s="8" t="inlineStr">
        <is>
          <t>Member States shall communicate to the Commission the text of the provisions of national law which they adopt in the field governed by this Directive and of any subsequent amendments to those provisions.</t>
        </is>
      </c>
      <c r="P30" s="10" t="inlineStr">
        <is>
          <t>Open PDF</t>
        </is>
      </c>
    </row>
    <row r="31">
      <c r="A31" t="inlineStr">
        <is>
          <t>GDPR</t>
        </is>
      </c>
      <c r="B31" t="inlineStr">
        <is>
          <t>CELEX_32002L0058_EN_TXT (GDPR Row 7)</t>
        </is>
      </c>
      <c r="C31" t="inlineStr">
        <is>
          <t>2</t>
        </is>
      </c>
      <c r="D31" s="8" t="inlineStr">
        <is>
          <t>Where consent of the users or subscribers has been</t>
        </is>
      </c>
      <c r="E31" t="inlineStr">
        <is>
          <t>9</t>
        </is>
      </c>
      <c r="F31" t="inlineStr">
        <is>
          <t>Other</t>
        </is>
      </c>
      <c r="G31" t="inlineStr">
        <is>
          <t>Low</t>
        </is>
      </c>
      <c r="H31" t="inlineStr">
        <is>
          <t>High</t>
        </is>
      </c>
      <c r="I31" s="8" t="inlineStr">
        <is>
          <t>Data Residency, Data Storage, Data Sharing</t>
        </is>
      </c>
      <c r="J31" s="8" t="inlineStr"/>
      <c r="K31" t="inlineStr"/>
      <c r="L31" s="8" t="inlineStr">
        <is>
          <t>This section requires that Member States shall communicate to the Commission the text of the provisions of national law which they adopt in the field governed by this Directive and any subsequent amendments to those provisions.</t>
        </is>
      </c>
      <c r="M31" s="8" t="inlineStr">
        <is>
          <t>This section mandates that Member States communicate their national law provisions to the Commission, which is relevant for assessing compliance and data residency in cross-border contexts.</t>
        </is>
      </c>
      <c r="N31" s="8" t="inlineStr">
        <is>
          <t>[Must] Member States shall communicate to the Commission the text of the provisions of national law which they adopt in the field governed by this Directive and of any subsequent amendments to those provisions.</t>
        </is>
      </c>
      <c r="O31" s="8" t="inlineStr">
        <is>
          <t>Member States shall communicate to the Commission the text of the provisions of national law which they adopt in the field governed by this Directive and of any subsequent amendments to those provisions.</t>
        </is>
      </c>
      <c r="P31" s="10" t="inlineStr">
        <is>
          <t>Open PDF</t>
        </is>
      </c>
    </row>
    <row r="32">
      <c r="A32" t="inlineStr">
        <is>
          <t>GDPR</t>
        </is>
      </c>
      <c r="B32" t="inlineStr">
        <is>
          <t>CELEX_32002L0058_EN_TXT (GDPR Row 7)</t>
        </is>
      </c>
      <c r="C32" t="inlineStr">
        <is>
          <t>2</t>
        </is>
      </c>
      <c r="D32" s="8" t="inlineStr">
        <is>
          <t>Member States shall ensure that subscribers are given the</t>
        </is>
      </c>
      <c r="E32" t="inlineStr">
        <is>
          <t>9</t>
        </is>
      </c>
      <c r="F32" t="inlineStr">
        <is>
          <t>Other</t>
        </is>
      </c>
      <c r="G32" t="inlineStr">
        <is>
          <t>Low</t>
        </is>
      </c>
      <c r="H32" t="inlineStr">
        <is>
          <t>High</t>
        </is>
      </c>
      <c r="I32" s="8" t="inlineStr">
        <is>
          <t>Data Residency, Data Storage, Data Sharing</t>
        </is>
      </c>
      <c r="J32" s="8" t="inlineStr"/>
      <c r="K32" t="inlineStr"/>
      <c r="L32" s="8" t="inlineStr">
        <is>
          <t>This section requires that Member States shall communicate to the Commission the text of the provisions of national law which they adopt in the field governed by this Directive and any subsequent amendments to those provisions.</t>
        </is>
      </c>
      <c r="M32" s="8" t="inlineStr">
        <is>
          <t>This section mandates that Member States communicate their national law provisions to the Commission, which is relevant for assessing compliance and data residency in cross-border contexts.</t>
        </is>
      </c>
      <c r="N32" s="8" t="inlineStr">
        <is>
          <t>[Must] Member States shall communicate to the Commission the text of the provisions of national law which they adopt in the field governed by this Directive and of any subsequent amendments to those provisions.</t>
        </is>
      </c>
      <c r="O32" s="8" t="inlineStr">
        <is>
          <t>Member States shall communicate to the Commission the text of the provisions of national law which they adopt in the field governed by this Directive and of any subsequent amendments to those provisions.</t>
        </is>
      </c>
      <c r="P32" s="10" t="inlineStr">
        <is>
          <t>Open PDF</t>
        </is>
      </c>
    </row>
    <row r="33">
      <c r="A33" t="inlineStr">
        <is>
          <t>GDPR</t>
        </is>
      </c>
      <c r="B33" t="inlineStr">
        <is>
          <t>CELEX_32002L0058_EN_TXT (GDPR Row 7)</t>
        </is>
      </c>
      <c r="C33" t="inlineStr">
        <is>
          <t>2</t>
        </is>
      </c>
      <c r="D33" s="8" t="inlineStr">
        <is>
          <t>Where the personal data of subscribers to fixed or mobile</t>
        </is>
      </c>
      <c r="E33" t="inlineStr">
        <is>
          <t>10</t>
        </is>
      </c>
      <c r="F33" t="inlineStr">
        <is>
          <t>Other</t>
        </is>
      </c>
      <c r="G33" t="inlineStr">
        <is>
          <t>Low</t>
        </is>
      </c>
      <c r="H33" t="inlineStr">
        <is>
          <t>High</t>
        </is>
      </c>
      <c r="I33" s="8" t="inlineStr">
        <is>
          <t>Data Residency, Data Storage, Data Sharing</t>
        </is>
      </c>
      <c r="J33" s="8" t="inlineStr"/>
      <c r="K33" t="inlineStr"/>
      <c r="L33" s="8" t="inlineStr">
        <is>
          <t>This section requires that Member States shall communicate to the Commission the text of the provisions of national law which they adopt in the field governed by this Directive and any subsequent amendments to those provisions.</t>
        </is>
      </c>
      <c r="M33" s="8" t="inlineStr">
        <is>
          <t>This section mandates that Member States communicate their national law provisions to the Commission, which is relevant for assessing compliance and data residency in cross-border contexts.</t>
        </is>
      </c>
      <c r="N33" s="8" t="inlineStr">
        <is>
          <t>[Must] Member States shall communicate to the Commission the text of the provisions of national law which they adopt in the field governed by this Directive and of any subsequent amendments to those provisions.</t>
        </is>
      </c>
      <c r="O33" s="8" t="inlineStr">
        <is>
          <t>Member States shall communicate to the Commission the text of the provisions of national law which they adopt in the field governed by this Directive and of any subsequent amendments to those provisions.</t>
        </is>
      </c>
      <c r="P33" s="10" t="inlineStr">
        <is>
          <t>Open PDF</t>
        </is>
      </c>
    </row>
    <row r="34">
      <c r="A34" t="inlineStr">
        <is>
          <t>GDPR</t>
        </is>
      </c>
      <c r="B34" t="inlineStr">
        <is>
          <t>CELEX_32002L0058_EN_TXT (GDPR Row 7)</t>
        </is>
      </c>
      <c r="C34" t="inlineStr">
        <is>
          <t>2</t>
        </is>
      </c>
      <c r="D34" s="8" t="inlineStr">
        <is>
          <t>Member States shall communicate to the Commission the</t>
        </is>
      </c>
      <c r="E34" t="inlineStr">
        <is>
          <t>11</t>
        </is>
      </c>
      <c r="F34" t="inlineStr">
        <is>
          <t>Other</t>
        </is>
      </c>
      <c r="G34" t="inlineStr">
        <is>
          <t>Low</t>
        </is>
      </c>
      <c r="H34" t="inlineStr">
        <is>
          <t>High</t>
        </is>
      </c>
      <c r="I34" s="8" t="inlineStr">
        <is>
          <t>Data Residency, Data Storage, Data Sharing</t>
        </is>
      </c>
      <c r="J34" s="8" t="inlineStr"/>
      <c r="K34" t="inlineStr"/>
      <c r="L34" s="8" t="inlineStr">
        <is>
          <t>This section requires that Member States shall communicate to the Commission the text of the provisions of national law which they adopt in the field governed by this Directive and any subsequent amendments to those provisions.</t>
        </is>
      </c>
      <c r="M34" s="8" t="inlineStr">
        <is>
          <t>This section mandates that Member States communicate their national law provisions to the Commission, which is relevant for assessing compliance and data residency in cross-border contexts.</t>
        </is>
      </c>
      <c r="N34" s="8" t="inlineStr">
        <is>
          <t>[Must] Member States shall communicate to the Commission the text of the provisions of national law which they adopt in the field governed by this Directive and of any subsequent amendments to those provisions.</t>
        </is>
      </c>
      <c r="O34" s="8" t="inlineStr">
        <is>
          <t>Member States shall communicate to the Commission the text of the provisions of national law which they adopt in the field governed by this Directive and of any subsequent amendments to those provisions.</t>
        </is>
      </c>
      <c r="P34" s="10" t="inlineStr">
        <is>
          <t>Open PDF</t>
        </is>
      </c>
    </row>
    <row r="35">
      <c r="A35" t="inlineStr">
        <is>
          <t>GDPR</t>
        </is>
      </c>
      <c r="B35" t="inlineStr">
        <is>
          <t>CELEX_32002L0058_EN_TXT (GDPR Row 7)</t>
        </is>
      </c>
      <c r="C35" t="inlineStr">
        <is>
          <t>3</t>
        </is>
      </c>
      <c r="D35" s="8" t="inlineStr">
        <is>
          <t>This Directive shall not apply to activities which fall</t>
        </is>
      </c>
      <c r="E35" t="inlineStr">
        <is>
          <t>7</t>
        </is>
      </c>
      <c r="F35" t="inlineStr">
        <is>
          <t>Other</t>
        </is>
      </c>
      <c r="G35" t="inlineStr">
        <is>
          <t>Low</t>
        </is>
      </c>
      <c r="H35" t="inlineStr">
        <is>
          <t>High</t>
        </is>
      </c>
      <c r="I35" s="8" t="inlineStr">
        <is>
          <t>Data Residency, Data Storage, Data Sharing, Security</t>
        </is>
      </c>
      <c r="J35" s="8" t="inlineStr"/>
      <c r="K35" t="inlineStr"/>
      <c r="L35"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35" s="8" t="inlineStr">
        <is>
          <t>This section limits the processing of location data other than traffic data to necessary purposes and authorised persons, which is relevant for assessing data residency and processing in cross-border contexts.</t>
        </is>
      </c>
      <c r="N35"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35"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35" s="10" t="inlineStr">
        <is>
          <t>Open PDF</t>
        </is>
      </c>
    </row>
    <row r="36">
      <c r="A36" t="inlineStr">
        <is>
          <t>GDPR</t>
        </is>
      </c>
      <c r="B36" t="inlineStr">
        <is>
          <t>CELEX_32002L0058_EN_TXT (GDPR Row 7)</t>
        </is>
      </c>
      <c r="C36" t="inlineStr">
        <is>
          <t>3</t>
        </is>
      </c>
      <c r="D36" s="8" t="inlineStr">
        <is>
          <t>Member States shall ensure that the use of electronic</t>
        </is>
      </c>
      <c r="E36" t="inlineStr">
        <is>
          <t>8</t>
        </is>
      </c>
      <c r="F36" t="inlineStr">
        <is>
          <t>Other</t>
        </is>
      </c>
      <c r="G36" t="inlineStr">
        <is>
          <t>Low</t>
        </is>
      </c>
      <c r="H36" t="inlineStr">
        <is>
          <t>High</t>
        </is>
      </c>
      <c r="I36" s="8" t="inlineStr">
        <is>
          <t>Data Residency, Data Storage, Data Sharing, Security</t>
        </is>
      </c>
      <c r="J36" s="8" t="inlineStr"/>
      <c r="K36" t="inlineStr"/>
      <c r="L36"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36" s="8" t="inlineStr">
        <is>
          <t>This section limits the processing of location data other than traffic data to necessary purposes and authorised persons, which is relevant for assessing data residency and processing in cross-border contexts.</t>
        </is>
      </c>
      <c r="N36"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36"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36" s="10" t="inlineStr">
        <is>
          <t>Open PDF</t>
        </is>
      </c>
    </row>
    <row r="37">
      <c r="A37" t="inlineStr">
        <is>
          <t>GDPR</t>
        </is>
      </c>
      <c r="B37" t="inlineStr">
        <is>
          <t>CELEX_32002L0058_EN_TXT (GDPR Row 7)</t>
        </is>
      </c>
      <c r="C37" t="inlineStr">
        <is>
          <t>3</t>
        </is>
      </c>
      <c r="D37" s="8" t="inlineStr">
        <is>
          <t>For the purpose of marketing electronic communications</t>
        </is>
      </c>
      <c r="E37" t="inlineStr">
        <is>
          <t>8</t>
        </is>
      </c>
      <c r="F37" t="inlineStr">
        <is>
          <t>Other</t>
        </is>
      </c>
      <c r="G37" t="inlineStr">
        <is>
          <t>Low</t>
        </is>
      </c>
      <c r="H37" t="inlineStr">
        <is>
          <t>High</t>
        </is>
      </c>
      <c r="I37" s="8" t="inlineStr">
        <is>
          <t>Data Residency, Data Storage, Data Sharing, Security</t>
        </is>
      </c>
      <c r="J37" s="8" t="inlineStr"/>
      <c r="K37" t="inlineStr"/>
      <c r="L37"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37" s="8" t="inlineStr">
        <is>
          <t>This section limits the processing of location data other than traffic data to necessary purposes and authorised persons, which is relevant for assessing data residency and processing in cross-border contexts.</t>
        </is>
      </c>
      <c r="N37"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37"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37" s="10" t="inlineStr">
        <is>
          <t>Open PDF</t>
        </is>
      </c>
    </row>
    <row r="38">
      <c r="A38" t="inlineStr">
        <is>
          <t>GDPR</t>
        </is>
      </c>
      <c r="B38" t="inlineStr">
        <is>
          <t>CELEX_32002L0058_EN_TXT (GDPR Row 7)</t>
        </is>
      </c>
      <c r="C38" t="inlineStr">
        <is>
          <t>3</t>
        </is>
      </c>
      <c r="D38" s="8" t="inlineStr">
        <is>
          <t>Processing of location data other than traffic data in</t>
        </is>
      </c>
      <c r="E38" t="inlineStr">
        <is>
          <t>9</t>
        </is>
      </c>
      <c r="F38" t="inlineStr">
        <is>
          <t>Other</t>
        </is>
      </c>
      <c r="G38" t="inlineStr">
        <is>
          <t>Low</t>
        </is>
      </c>
      <c r="H38" t="inlineStr">
        <is>
          <t>High</t>
        </is>
      </c>
      <c r="I38" s="8" t="inlineStr">
        <is>
          <t>Data Residency, Data Storage, Data Sharing, Security</t>
        </is>
      </c>
      <c r="J38" s="8" t="inlineStr"/>
      <c r="K38" t="inlineStr"/>
      <c r="L38"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38" s="8" t="inlineStr">
        <is>
          <t>This section limits the processing of location data other than traffic data to necessary purposes and authorised persons, which is relevant for assessing data residency and processing in cross-border contexts.</t>
        </is>
      </c>
      <c r="N38"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38"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38" s="10" t="inlineStr">
        <is>
          <t>Open PDF</t>
        </is>
      </c>
    </row>
    <row r="39">
      <c r="A39" t="inlineStr">
        <is>
          <t>GDPR</t>
        </is>
      </c>
      <c r="B39" t="inlineStr">
        <is>
          <t>CELEX_32002L0058_EN_TXT (GDPR Row 7)</t>
        </is>
      </c>
      <c r="C39" t="inlineStr">
        <is>
          <t>3</t>
        </is>
      </c>
      <c r="D39" s="8" t="inlineStr">
        <is>
          <t>Where required, measures may be adopted to ensure that</t>
        </is>
      </c>
      <c r="E39" t="inlineStr">
        <is>
          <t>10</t>
        </is>
      </c>
      <c r="F39" t="inlineStr">
        <is>
          <t>Other</t>
        </is>
      </c>
      <c r="G39" t="inlineStr">
        <is>
          <t>Low</t>
        </is>
      </c>
      <c r="H39" t="inlineStr">
        <is>
          <t>High</t>
        </is>
      </c>
      <c r="I39" s="8" t="inlineStr">
        <is>
          <t>Data Residency, Data Storage, Data Sharing, Security</t>
        </is>
      </c>
      <c r="J39" s="8" t="inlineStr"/>
      <c r="K39" t="inlineStr"/>
      <c r="L39"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39" s="8" t="inlineStr">
        <is>
          <t>This section limits the processing of location data other than traffic data to necessary purposes and authorised persons, which is relevant for assessing data residency and processing in cross-border contexts.</t>
        </is>
      </c>
      <c r="N39"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39"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39" s="10" t="inlineStr">
        <is>
          <t>Open PDF</t>
        </is>
      </c>
    </row>
    <row r="40">
      <c r="A40" t="inlineStr">
        <is>
          <t>GDPR</t>
        </is>
      </c>
      <c r="B40" t="inlineStr">
        <is>
          <t>CELEX_32002L0058_EN_TXT (GDPR Row 7)</t>
        </is>
      </c>
      <c r="C40" t="inlineStr">
        <is>
          <t>3</t>
        </is>
      </c>
      <c r="D40" s="8" t="inlineStr">
        <is>
          <t>The Working Party on the Protection of Individuals with</t>
        </is>
      </c>
      <c r="E40" t="inlineStr">
        <is>
          <t>10</t>
        </is>
      </c>
      <c r="F40" t="inlineStr">
        <is>
          <t>Other</t>
        </is>
      </c>
      <c r="G40" t="inlineStr">
        <is>
          <t>Low</t>
        </is>
      </c>
      <c r="H40" t="inlineStr">
        <is>
          <t>High</t>
        </is>
      </c>
      <c r="I40" s="8" t="inlineStr">
        <is>
          <t>Data Residency, Data Storage, Data Sharing, Security</t>
        </is>
      </c>
      <c r="J40" s="8" t="inlineStr"/>
      <c r="K40" t="inlineStr"/>
      <c r="L40" s="8" t="inlineStr">
        <is>
          <t>This section requires that the processing of location data other than traffic data must be restricted to persons acting under the authority of providers of public communications networks and publicly available electronic communications services, and to what is necessary for the purposes of such activities.</t>
        </is>
      </c>
      <c r="M40" s="8" t="inlineStr">
        <is>
          <t>This section limits the processing of location data other than traffic data to necessary purposes and authorised persons, which is relevant for assessing data residency and processing in cross-border contexts.</t>
        </is>
      </c>
      <c r="N40" s="8" t="inlineStr">
        <is>
          <t>[Must] 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40" s="8" t="inlineStr">
        <is>
          <t>Processing of location data other than traffic data, in accordance with paragraphs 1 and 2,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40" s="10" t="inlineStr">
        <is>
          <t>Open PDF</t>
        </is>
      </c>
    </row>
    <row r="41">
      <c r="A41" t="inlineStr">
        <is>
          <t>GDPR</t>
        </is>
      </c>
      <c r="B41" t="inlineStr">
        <is>
          <t>CELEX_32002L0058_EN_TXT (GDPR Row 7)</t>
        </is>
      </c>
      <c r="C41" t="inlineStr">
        <is>
          <t>4</t>
        </is>
      </c>
      <c r="D41" s="8" t="inlineStr">
        <is>
          <t>The service provider must inform the subscriber or user</t>
        </is>
      </c>
      <c r="E41" t="inlineStr">
        <is>
          <t>8</t>
        </is>
      </c>
      <c r="F41" t="inlineStr">
        <is>
          <t>Data Sharing</t>
        </is>
      </c>
      <c r="G41" t="inlineStr">
        <is>
          <t>Low</t>
        </is>
      </c>
      <c r="H41" t="inlineStr">
        <is>
          <t>High</t>
        </is>
      </c>
      <c r="I41" s="8" t="inlineStr">
        <is>
          <t>Data Sharing, Data Residency, Data Storage, Consent</t>
        </is>
      </c>
      <c r="J41" s="8" t="inlineStr"/>
      <c r="K41" t="inlineStr"/>
      <c r="L41" s="8" t="inlineStr">
        <is>
          <t>This section requires the service provider to inform the subscriber or user of the types of traffic data processed and the duration of such processing for the purposes mentioned in paragraphs 2 and 3, prior to obtaining consent.</t>
        </is>
      </c>
      <c r="M41" s="8" t="inlineStr">
        <is>
          <t>This section mandates that service providers must inform subscribers about the types and duration of traffic data processing, which is relevant for assessing data sharing and processing in cross-border contexts.</t>
        </is>
      </c>
      <c r="N41" s="8" t="inlineStr">
        <is>
          <t>[Must] The service provider must inform the subscriber or user of the types of traffic data which are processed and of the duration of such processing for the purposes mentioned in paragraph 2 and, prior to obtaining consent, for the purposes mentioned in paragraph 3.</t>
        </is>
      </c>
      <c r="O41" s="8" t="inlineStr">
        <is>
          <t>The service provider must inform the subscriber or user of the types of traffic data which are processed and of the duration of such processing for the purposes mentioned in paragraph 2 and, prior to obtaining consent, for the purposes mentioned in paragraph 3.</t>
        </is>
      </c>
      <c r="P41" s="10" t="inlineStr">
        <is>
          <t>Open PDF</t>
        </is>
      </c>
    </row>
    <row r="42">
      <c r="A42" t="inlineStr">
        <is>
          <t>GDPR</t>
        </is>
      </c>
      <c r="B42" t="inlineStr">
        <is>
          <t>CELEX_32002L0058_EN_TXT (GDPR Row 7)</t>
        </is>
      </c>
      <c r="C42" t="inlineStr">
        <is>
          <t>5</t>
        </is>
      </c>
      <c r="D42" s="8" t="inlineStr">
        <is>
          <t>Processing of traffic data, in accordance with paragraphs</t>
        </is>
      </c>
      <c r="E42" t="inlineStr">
        <is>
          <t>8</t>
        </is>
      </c>
      <c r="F42" t="inlineStr">
        <is>
          <t>Data Sharing</t>
        </is>
      </c>
      <c r="G42" t="inlineStr">
        <is>
          <t>Low</t>
        </is>
      </c>
      <c r="H42" t="inlineStr">
        <is>
          <t>High</t>
        </is>
      </c>
      <c r="I42" s="8" t="inlineStr">
        <is>
          <t>Data Sharing, Data Residency, Data Storage, Security</t>
        </is>
      </c>
      <c r="J42" s="8" t="inlineStr"/>
      <c r="K42" t="inlineStr"/>
      <c r="L42" s="8" t="inlineStr">
        <is>
          <t>This section restricts the processing of traffic data to persons acting under the authority of providers of public communications networks and publicly available electronic communications services, and to what is necessary for the purposes of such activities.</t>
        </is>
      </c>
      <c r="M42" s="8" t="inlineStr">
        <is>
          <t>This section limits the processing of traffic data to necessary purposes and authorised persons, which is relevant for assessing data sharing and processing in cross-border contexts.</t>
        </is>
      </c>
      <c r="N42" s="8" t="inlineStr">
        <is>
          <t>[Must]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42" s="8" t="inlineStr">
        <is>
          <t>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42" s="10" t="inlineStr">
        <is>
          <t>Open PDF</t>
        </is>
      </c>
    </row>
    <row r="43">
      <c r="A43" t="inlineStr">
        <is>
          <t>GDPR</t>
        </is>
      </c>
      <c r="B43" t="inlineStr">
        <is>
          <t>CELEX_32018L1673_EN_TXT (GDPR - Row 2)</t>
        </is>
      </c>
      <c r="C43" t="inlineStr">
        <is>
          <t>1</t>
        </is>
      </c>
      <c r="D43" s="8" t="inlineStr">
        <is>
          <t>This Directive establishes minimum rules concerning the definition of criminal offences and sanctions in the area of</t>
        </is>
      </c>
      <c r="E43" t="inlineStr">
        <is>
          <t>4–5</t>
        </is>
      </c>
      <c r="F43" t="inlineStr">
        <is>
          <t>Other</t>
        </is>
      </c>
      <c r="G43" t="inlineStr">
        <is>
          <t>Low</t>
        </is>
      </c>
      <c r="H43" t="inlineStr">
        <is>
          <t>High</t>
        </is>
      </c>
      <c r="I43" s="8" t="inlineStr">
        <is>
          <t>Governance, Record Keeping</t>
        </is>
      </c>
      <c r="J43" s="8" t="inlineStr"/>
      <c r="K43" t="inlineStr"/>
      <c r="L43"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43" s="8" t="inlineStr"/>
      <c r="N43"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43" s="8" t="inlineStr">
        <is>
          <t>Member States shall bring into force the laws, regulations and administrative provisions necessary to comply with this Directive by 3 December 2020.</t>
        </is>
      </c>
      <c r="P43" s="10" t="inlineStr">
        <is>
          <t>Open PDF</t>
        </is>
      </c>
    </row>
    <row r="44">
      <c r="A44" t="inlineStr">
        <is>
          <t>GDPR</t>
        </is>
      </c>
      <c r="B44" t="inlineStr">
        <is>
          <t>CELEX_32018L1673_EN_TXT (GDPR - Row 2)</t>
        </is>
      </c>
      <c r="C44" t="inlineStr">
        <is>
          <t>1</t>
        </is>
      </c>
      <c r="D44" s="8" t="inlineStr">
        <is>
          <t>Member States shall take the necessary measures to ensure that the following conduct, when committed inten­</t>
        </is>
      </c>
      <c r="E44" t="inlineStr">
        <is>
          <t>6</t>
        </is>
      </c>
      <c r="F44" t="inlineStr">
        <is>
          <t>Other</t>
        </is>
      </c>
      <c r="G44" t="inlineStr">
        <is>
          <t>Low</t>
        </is>
      </c>
      <c r="H44" t="inlineStr">
        <is>
          <t>High</t>
        </is>
      </c>
      <c r="I44" s="8" t="inlineStr">
        <is>
          <t>Governance, Record Keeping</t>
        </is>
      </c>
      <c r="J44" s="8" t="inlineStr"/>
      <c r="K44" t="inlineStr"/>
      <c r="L44"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44" s="8" t="inlineStr"/>
      <c r="N44"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44" s="8" t="inlineStr">
        <is>
          <t>Member States shall bring into force the laws, regulations and administrative provisions necessary to comply with this Directive by 3 December 2020.</t>
        </is>
      </c>
      <c r="P44" s="10" t="inlineStr">
        <is>
          <t>Open PDF</t>
        </is>
      </c>
    </row>
    <row r="45">
      <c r="A45" t="inlineStr">
        <is>
          <t>GDPR</t>
        </is>
      </c>
      <c r="B45" t="inlineStr">
        <is>
          <t>CELEX_32018L1673_EN_TXT (GDPR - Row 2)</t>
        </is>
      </c>
      <c r="C45" t="inlineStr">
        <is>
          <t>1</t>
        </is>
      </c>
      <c r="D45" s="8" t="inlineStr">
        <is>
          <t>Member States shall take the necessary measures to ensure that the offences referred to in Articles 3 and 4 are</t>
        </is>
      </c>
      <c r="E45" t="inlineStr">
        <is>
          <t>7</t>
        </is>
      </c>
      <c r="F45" t="inlineStr">
        <is>
          <t>Other</t>
        </is>
      </c>
      <c r="G45" t="inlineStr">
        <is>
          <t>Low</t>
        </is>
      </c>
      <c r="H45" t="inlineStr">
        <is>
          <t>High</t>
        </is>
      </c>
      <c r="I45" s="8" t="inlineStr">
        <is>
          <t>Governance, Record Keeping</t>
        </is>
      </c>
      <c r="J45" s="8" t="inlineStr"/>
      <c r="K45" t="inlineStr"/>
      <c r="L45"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45" s="8" t="inlineStr"/>
      <c r="N45"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45" s="8" t="inlineStr">
        <is>
          <t>Member States shall bring into force the laws, regulations and administrative provisions necessary to comply with this Directive by 3 December 2020.</t>
        </is>
      </c>
      <c r="P45" s="10" t="inlineStr">
        <is>
          <t>Open PDF</t>
        </is>
      </c>
    </row>
    <row r="46">
      <c r="A46" t="inlineStr">
        <is>
          <t>GDPR</t>
        </is>
      </c>
      <c r="B46" t="inlineStr">
        <is>
          <t>CELEX_32018L1673_EN_TXT (GDPR - Row 2)</t>
        </is>
      </c>
      <c r="C46" t="inlineStr">
        <is>
          <t>1</t>
        </is>
      </c>
      <c r="D46" s="8" t="inlineStr">
        <is>
          <t>Member States shall take the necessary measures to ensure that, in relation to the offences referred to in Article 3(1)</t>
        </is>
      </c>
      <c r="E46" t="inlineStr">
        <is>
          <t>7</t>
        </is>
      </c>
      <c r="F46" t="inlineStr">
        <is>
          <t>Other</t>
        </is>
      </c>
      <c r="G46" t="inlineStr">
        <is>
          <t>Low</t>
        </is>
      </c>
      <c r="H46" t="inlineStr">
        <is>
          <t>High</t>
        </is>
      </c>
      <c r="I46" s="8" t="inlineStr">
        <is>
          <t>Governance, Record Keeping</t>
        </is>
      </c>
      <c r="J46" s="8" t="inlineStr"/>
      <c r="K46" t="inlineStr"/>
      <c r="L46"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46" s="8" t="inlineStr"/>
      <c r="N46"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46" s="8" t="inlineStr">
        <is>
          <t>Member States shall bring into force the laws, regulations and administrative provisions necessary to comply with this Directive by 3 December 2020.</t>
        </is>
      </c>
      <c r="P46" s="10" t="inlineStr">
        <is>
          <t>Open PDF</t>
        </is>
      </c>
    </row>
    <row r="47">
      <c r="A47" t="inlineStr">
        <is>
          <t>GDPR</t>
        </is>
      </c>
      <c r="B47" t="inlineStr">
        <is>
          <t>CELEX_32018L1673_EN_TXT (GDPR - Row 2)</t>
        </is>
      </c>
      <c r="C47" t="inlineStr">
        <is>
          <t>1</t>
        </is>
      </c>
      <c r="D47" s="8" t="inlineStr">
        <is>
          <t>Member States shall take the necessary measures to ensure that legal persons can be held liable for any of the</t>
        </is>
      </c>
      <c r="E47" t="inlineStr">
        <is>
          <t>7–8</t>
        </is>
      </c>
      <c r="F47" t="inlineStr">
        <is>
          <t>Other</t>
        </is>
      </c>
      <c r="G47" t="inlineStr">
        <is>
          <t>Low</t>
        </is>
      </c>
      <c r="H47" t="inlineStr">
        <is>
          <t>High</t>
        </is>
      </c>
      <c r="I47" s="8" t="inlineStr">
        <is>
          <t>Governance, Record Keeping</t>
        </is>
      </c>
      <c r="J47" s="8" t="inlineStr"/>
      <c r="K47" t="inlineStr"/>
      <c r="L47"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47" s="8" t="inlineStr"/>
      <c r="N47"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47" s="8" t="inlineStr">
        <is>
          <t>Member States shall bring into force the laws, regulations and administrative provisions necessary to comply with this Directive by 3 December 2020.</t>
        </is>
      </c>
      <c r="P47" s="10" t="inlineStr">
        <is>
          <t>Open PDF</t>
        </is>
      </c>
    </row>
    <row r="48">
      <c r="A48" t="inlineStr">
        <is>
          <t>GDPR</t>
        </is>
      </c>
      <c r="B48" t="inlineStr">
        <is>
          <t>CELEX_32018L1673_EN_TXT (GDPR - Row 2)</t>
        </is>
      </c>
      <c r="C48" t="inlineStr">
        <is>
          <t>1</t>
        </is>
      </c>
      <c r="D48" s="8" t="inlineStr">
        <is>
          <t>Each Member State shall take the necessary measures to establish its jurisdiction over the offences referred to in</t>
        </is>
      </c>
      <c r="E48" t="inlineStr">
        <is>
          <t>8</t>
        </is>
      </c>
      <c r="F48" t="inlineStr">
        <is>
          <t>Other</t>
        </is>
      </c>
      <c r="G48" t="inlineStr">
        <is>
          <t>Low</t>
        </is>
      </c>
      <c r="H48" t="inlineStr">
        <is>
          <t>High</t>
        </is>
      </c>
      <c r="I48" s="8" t="inlineStr">
        <is>
          <t>Governance, Record Keeping</t>
        </is>
      </c>
      <c r="J48" s="8" t="inlineStr"/>
      <c r="K48" t="inlineStr"/>
      <c r="L48"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48" s="8" t="inlineStr"/>
      <c r="N48"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48" s="8" t="inlineStr">
        <is>
          <t>Member States shall bring into force the laws, regulations and administrative provisions necessary to comply with this Directive by 3 December 2020.</t>
        </is>
      </c>
      <c r="P48" s="10" t="inlineStr">
        <is>
          <t>Open PDF</t>
        </is>
      </c>
    </row>
    <row r="49">
      <c r="A49" t="inlineStr">
        <is>
          <t>GDPR</t>
        </is>
      </c>
      <c r="B49" t="inlineStr">
        <is>
          <t>CELEX_32018L1673_EN_TXT (GDPR - Row 2)</t>
        </is>
      </c>
      <c r="C49" t="inlineStr">
        <is>
          <t>1</t>
        </is>
      </c>
      <c r="D49" s="8" t="inlineStr">
        <is>
          <t>Member States shall bring into force the laws, regulations and administrative provisions necessary to comply with</t>
        </is>
      </c>
      <c r="E49" t="inlineStr">
        <is>
          <t>9</t>
        </is>
      </c>
      <c r="F49" t="inlineStr">
        <is>
          <t>Other</t>
        </is>
      </c>
      <c r="G49" t="inlineStr">
        <is>
          <t>Low</t>
        </is>
      </c>
      <c r="H49" t="inlineStr">
        <is>
          <t>High</t>
        </is>
      </c>
      <c r="I49" s="8" t="inlineStr">
        <is>
          <t>Governance, Record Keeping</t>
        </is>
      </c>
      <c r="J49" s="8" t="inlineStr"/>
      <c r="K49" t="inlineStr"/>
      <c r="L49" s="8" t="inlineStr">
        <is>
          <t>This section requires Member States to implement national laws, regulations, and administrative provisions to comply with the GDPR by 3 December 2020. They must inform the Commission of these measures and include a reference to the Directive in their official publications.</t>
        </is>
      </c>
      <c r="M49" s="8" t="inlineStr"/>
      <c r="N49" s="8" t="inlineStr">
        <is>
          <t>[Must] Member States shall bring into force the laws, regulations and administrative provisions necessary to comply with this Directive by 3 December 2020.
[Notification] Member States shall immediately inform the Commission thereof.
[Must] When Member States adopt those measures, they shall contain a reference to this Directive or be accompanied by such a reference on the occasion of their official publication.</t>
        </is>
      </c>
      <c r="O49" s="8" t="inlineStr">
        <is>
          <t>Member States shall bring into force the laws, regulations and administrative provisions necessary to comply with this Directive by 3 December 2020.</t>
        </is>
      </c>
      <c r="P49" s="10" t="inlineStr">
        <is>
          <t>Open PDF</t>
        </is>
      </c>
    </row>
    <row r="50">
      <c r="A50" t="inlineStr">
        <is>
          <t>GDPR</t>
        </is>
      </c>
      <c r="B50" t="inlineStr">
        <is>
          <t>CELEX_32018L1673_EN_TXT (GDPR - Row 2)</t>
        </is>
      </c>
      <c r="C50" t="inlineStr">
        <is>
          <t>2</t>
        </is>
      </c>
      <c r="D50" s="8" t="inlineStr">
        <is>
          <t>This Directive does not apply to money laundering as regards property derived from criminal offences affecting the</t>
        </is>
      </c>
      <c r="E50" t="inlineStr">
        <is>
          <t>5–6</t>
        </is>
      </c>
      <c r="F50" t="inlineStr">
        <is>
          <t>Other</t>
        </is>
      </c>
      <c r="G50" t="inlineStr">
        <is>
          <t>Medium</t>
        </is>
      </c>
      <c r="H50" t="inlineStr">
        <is>
          <t>High</t>
        </is>
      </c>
      <c r="I50" s="8" t="inlineStr">
        <is>
          <t>Governance, Record Keeping</t>
        </is>
      </c>
      <c r="J50" s="8" t="inlineStr"/>
      <c r="K50" t="inlineStr"/>
      <c r="L50"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50" s="8" t="inlineStr"/>
      <c r="N50"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50" s="8" t="inlineStr">
        <is>
          <t>Member States shall communicate to the Commission the text of the main provisions of national law which they adopt in the field covered by this Directive.</t>
        </is>
      </c>
      <c r="P50" s="10" t="inlineStr">
        <is>
          <t>Open PDF</t>
        </is>
      </c>
    </row>
    <row r="51">
      <c r="A51" t="inlineStr">
        <is>
          <t>GDPR</t>
        </is>
      </c>
      <c r="B51" t="inlineStr">
        <is>
          <t>CELEX_32018L1673_EN_TXT (GDPR - Row 2)</t>
        </is>
      </c>
      <c r="C51" t="inlineStr">
        <is>
          <t>2</t>
        </is>
      </c>
      <c r="D51" s="8" t="inlineStr">
        <is>
          <t>Member States may take the necessary measures to ensure that the conduct referred to in paragraph 1 is punishable</t>
        </is>
      </c>
      <c r="E51" t="inlineStr">
        <is>
          <t>6–7</t>
        </is>
      </c>
      <c r="F51" t="inlineStr">
        <is>
          <t>Other</t>
        </is>
      </c>
      <c r="G51" t="inlineStr">
        <is>
          <t>Medium</t>
        </is>
      </c>
      <c r="H51" t="inlineStr">
        <is>
          <t>High</t>
        </is>
      </c>
      <c r="I51" s="8" t="inlineStr">
        <is>
          <t>Governance, Record Keeping</t>
        </is>
      </c>
      <c r="J51" s="8" t="inlineStr"/>
      <c r="K51" t="inlineStr"/>
      <c r="L51"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51" s="8" t="inlineStr"/>
      <c r="N51"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51" s="8" t="inlineStr">
        <is>
          <t>Member States shall communicate to the Commission the text of the main provisions of national law which they adopt in the field covered by this Directive.</t>
        </is>
      </c>
      <c r="P51" s="10" t="inlineStr">
        <is>
          <t>Open PDF</t>
        </is>
      </c>
    </row>
    <row r="52">
      <c r="A52" t="inlineStr">
        <is>
          <t>GDPR</t>
        </is>
      </c>
      <c r="B52" t="inlineStr">
        <is>
          <t>CELEX_32018L1673_EN_TXT (GDPR - Row 2)</t>
        </is>
      </c>
      <c r="C52" t="inlineStr">
        <is>
          <t>2</t>
        </is>
      </c>
      <c r="D52" s="8" t="inlineStr">
        <is>
          <t>Member States shall take the necessary measures to ensure that the offences referred to in Article 3(1) and (5) are</t>
        </is>
      </c>
      <c r="E52" t="inlineStr">
        <is>
          <t>7</t>
        </is>
      </c>
      <c r="F52" t="inlineStr">
        <is>
          <t>Other</t>
        </is>
      </c>
      <c r="G52" t="inlineStr">
        <is>
          <t>Medium</t>
        </is>
      </c>
      <c r="H52" t="inlineStr">
        <is>
          <t>High</t>
        </is>
      </c>
      <c r="I52" s="8" t="inlineStr">
        <is>
          <t>Governance, Record Keeping</t>
        </is>
      </c>
      <c r="J52" s="8" t="inlineStr"/>
      <c r="K52" t="inlineStr"/>
      <c r="L52"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52" s="8" t="inlineStr"/>
      <c r="N52"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52" s="8" t="inlineStr">
        <is>
          <t>Member States shall communicate to the Commission the text of the main provisions of national law which they adopt in the field covered by this Directive.</t>
        </is>
      </c>
      <c r="P52" s="10" t="inlineStr">
        <is>
          <t>Open PDF</t>
        </is>
      </c>
    </row>
    <row r="53">
      <c r="A53" t="inlineStr">
        <is>
          <t>GDPR</t>
        </is>
      </c>
      <c r="B53" t="inlineStr">
        <is>
          <t>CELEX_32018L1673_EN_TXT (GDPR - Row 2)</t>
        </is>
      </c>
      <c r="C53" t="inlineStr">
        <is>
          <t>2</t>
        </is>
      </c>
      <c r="D53" s="8" t="inlineStr">
        <is>
          <t>Member States may provide that, in relation to the offences referred to in Article 3(1) and (5) and Article 4, the</t>
        </is>
      </c>
      <c r="E53" t="inlineStr">
        <is>
          <t>7</t>
        </is>
      </c>
      <c r="F53" t="inlineStr">
        <is>
          <t>Other</t>
        </is>
      </c>
      <c r="G53" t="inlineStr">
        <is>
          <t>Medium</t>
        </is>
      </c>
      <c r="H53" t="inlineStr">
        <is>
          <t>High</t>
        </is>
      </c>
      <c r="I53" s="8" t="inlineStr">
        <is>
          <t>Governance, Record Keeping</t>
        </is>
      </c>
      <c r="J53" s="8" t="inlineStr"/>
      <c r="K53" t="inlineStr"/>
      <c r="L53"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53" s="8" t="inlineStr"/>
      <c r="N53"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53" s="8" t="inlineStr">
        <is>
          <t>Member States shall communicate to the Commission the text of the main provisions of national law which they adopt in the field covered by this Directive.</t>
        </is>
      </c>
      <c r="P53" s="10" t="inlineStr">
        <is>
          <t>Open PDF</t>
        </is>
      </c>
    </row>
    <row r="54">
      <c r="A54" t="inlineStr">
        <is>
          <t>GDPR</t>
        </is>
      </c>
      <c r="B54" t="inlineStr">
        <is>
          <t>CELEX_32018L1673_EN_TXT (GDPR - Row 2)</t>
        </is>
      </c>
      <c r="C54" t="inlineStr">
        <is>
          <t>2</t>
        </is>
      </c>
      <c r="D54" s="8" t="inlineStr">
        <is>
          <t>Member States shall take the necessary measures to ensure that legal persons can be held liable where the lack of</t>
        </is>
      </c>
      <c r="E54" t="inlineStr">
        <is>
          <t>8</t>
        </is>
      </c>
      <c r="F54" t="inlineStr">
        <is>
          <t>Other</t>
        </is>
      </c>
      <c r="G54" t="inlineStr">
        <is>
          <t>Medium</t>
        </is>
      </c>
      <c r="H54" t="inlineStr">
        <is>
          <t>High</t>
        </is>
      </c>
      <c r="I54" s="8" t="inlineStr">
        <is>
          <t>Governance, Record Keeping</t>
        </is>
      </c>
      <c r="J54" s="8" t="inlineStr"/>
      <c r="K54" t="inlineStr"/>
      <c r="L54"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54" s="8" t="inlineStr"/>
      <c r="N54"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54" s="8" t="inlineStr">
        <is>
          <t>Member States shall communicate to the Commission the text of the main provisions of national law which they adopt in the field covered by this Directive.</t>
        </is>
      </c>
      <c r="P54" s="10" t="inlineStr">
        <is>
          <t>Open PDF</t>
        </is>
      </c>
    </row>
    <row r="55">
      <c r="A55" t="inlineStr">
        <is>
          <t>GDPR</t>
        </is>
      </c>
      <c r="B55" t="inlineStr">
        <is>
          <t>CELEX_32018L1673_EN_TXT (GDPR - Row 2)</t>
        </is>
      </c>
      <c r="C55" t="inlineStr">
        <is>
          <t>2</t>
        </is>
      </c>
      <c r="D55" s="8" t="inlineStr">
        <is>
          <t>A Member State shall inform the Commission where it decides to extend its jurisdiction to offences referred to in</t>
        </is>
      </c>
      <c r="E55" t="inlineStr">
        <is>
          <t>8</t>
        </is>
      </c>
      <c r="F55" t="inlineStr">
        <is>
          <t>Other</t>
        </is>
      </c>
      <c r="G55" t="inlineStr">
        <is>
          <t>Medium</t>
        </is>
      </c>
      <c r="H55" t="inlineStr">
        <is>
          <t>High</t>
        </is>
      </c>
      <c r="I55" s="8" t="inlineStr">
        <is>
          <t>Governance, Record Keeping</t>
        </is>
      </c>
      <c r="J55" s="8" t="inlineStr"/>
      <c r="K55" t="inlineStr"/>
      <c r="L55"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55" s="8" t="inlineStr"/>
      <c r="N55"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55" s="8" t="inlineStr">
        <is>
          <t>Member States shall communicate to the Commission the text of the main provisions of national law which they adopt in the field covered by this Directive.</t>
        </is>
      </c>
      <c r="P55" s="10" t="inlineStr">
        <is>
          <t>Open PDF</t>
        </is>
      </c>
    </row>
    <row r="56">
      <c r="A56" t="inlineStr">
        <is>
          <t>GDPR</t>
        </is>
      </c>
      <c r="B56" t="inlineStr">
        <is>
          <t>CELEX_32018L1673_EN_TXT (GDPR - Row 2)</t>
        </is>
      </c>
      <c r="C56" t="inlineStr">
        <is>
          <t>2</t>
        </is>
      </c>
      <c r="D56" s="8" t="inlineStr">
        <is>
          <t>Member States shall communicate to the Commission the text of the main provisions of national law which they</t>
        </is>
      </c>
      <c r="E56" t="inlineStr">
        <is>
          <t>9</t>
        </is>
      </c>
      <c r="F56" t="inlineStr">
        <is>
          <t>Other</t>
        </is>
      </c>
      <c r="G56" t="inlineStr">
        <is>
          <t>Medium</t>
        </is>
      </c>
      <c r="H56" t="inlineStr">
        <is>
          <t>High</t>
        </is>
      </c>
      <c r="I56" s="8" t="inlineStr">
        <is>
          <t>Governance, Record Keeping</t>
        </is>
      </c>
      <c r="J56" s="8" t="inlineStr"/>
      <c r="K56" t="inlineStr"/>
      <c r="L56" s="8" t="inlineStr">
        <is>
          <t>This section mandates Member States to communicate the text of national laws adopted in the field covered by the GDPR to the Commission. The Commission must submit reports by 3 December 2022 and 3 December 2023 assessing compliance and impact on money laundering and fundamental rights.</t>
        </is>
      </c>
      <c r="M56" s="8" t="inlineStr"/>
      <c r="N56" s="8" t="inlineStr">
        <is>
          <t>[Must] Member States shall communicate to the Commission the text of the main provisions of national law which they adopt in the field covered by this Directive.
[Notification] The Commission shall, by 3 December 2022, submit a report to the European Parliament and to the Council, assessing the extent to which the Member States have taken the necessary measures to comply with this Directive.
[Notification] The Commission shall, by 3 December 2023, submit a report to the European Parliament and to the Council assessing the added value of this Directive with regard to combating money laundering as well as its impact on fundamental rights and freedoms.
[Must] The Commission shall take into account the information provided by Member States.</t>
        </is>
      </c>
      <c r="O56" s="8" t="inlineStr">
        <is>
          <t>Member States shall communicate to the Commission the text of the main provisions of national law which they adopt in the field covered by this Directive.</t>
        </is>
      </c>
      <c r="P56" s="10" t="inlineStr">
        <is>
          <t>Open PDF</t>
        </is>
      </c>
    </row>
    <row r="57">
      <c r="A57" t="inlineStr">
        <is>
          <t>GDPR</t>
        </is>
      </c>
      <c r="B57" t="inlineStr">
        <is>
          <t>CELEX_32018L1673_EN_TXT (GDPR - Row 2)</t>
        </is>
      </c>
      <c r="C57" t="inlineStr">
        <is>
          <t>3</t>
        </is>
      </c>
      <c r="D57" s="8" t="inlineStr">
        <is>
          <t>Member States shall take the necessary measures to ensure that:</t>
        </is>
      </c>
      <c r="E57" t="inlineStr">
        <is>
          <t>7</t>
        </is>
      </c>
      <c r="F57" t="inlineStr">
        <is>
          <t>Other</t>
        </is>
      </c>
      <c r="G57" t="inlineStr">
        <is>
          <t>Low</t>
        </is>
      </c>
      <c r="H57" t="inlineStr">
        <is>
          <t>High</t>
        </is>
      </c>
      <c r="I57" s="8" t="inlineStr"/>
      <c r="J57" s="8" t="inlineStr"/>
      <c r="K57" t="inlineStr"/>
      <c r="L57"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57" s="8" t="inlineStr"/>
      <c r="N57"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57"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P57" s="10" t="inlineStr">
        <is>
          <t>Open PDF</t>
        </is>
      </c>
    </row>
    <row r="58">
      <c r="A58" t="inlineStr">
        <is>
          <t>GDPR</t>
        </is>
      </c>
      <c r="B58" t="inlineStr">
        <is>
          <t>CELEX_32018L1673_EN_TXT (GDPR - Row 2)</t>
        </is>
      </c>
      <c r="C58" t="inlineStr">
        <is>
          <t>3</t>
        </is>
      </c>
      <c r="D58" s="8" t="inlineStr">
        <is>
          <t>Member States shall also take the necessary measures to ensure that natural persons who have committed the</t>
        </is>
      </c>
      <c r="E58" t="inlineStr">
        <is>
          <t>7</t>
        </is>
      </c>
      <c r="F58" t="inlineStr">
        <is>
          <t>Other</t>
        </is>
      </c>
      <c r="G58" t="inlineStr">
        <is>
          <t>Low</t>
        </is>
      </c>
      <c r="H58" t="inlineStr">
        <is>
          <t>High</t>
        </is>
      </c>
      <c r="I58" s="8" t="inlineStr"/>
      <c r="J58" s="8" t="inlineStr"/>
      <c r="K58" t="inlineStr"/>
      <c r="L58"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58" s="8" t="inlineStr"/>
      <c r="N58"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58"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P58" s="10" t="inlineStr">
        <is>
          <t>Open PDF</t>
        </is>
      </c>
    </row>
    <row r="59">
      <c r="A59" t="inlineStr">
        <is>
          <t>GDPR</t>
        </is>
      </c>
      <c r="B59" t="inlineStr">
        <is>
          <t>CELEX_32018L1673_EN_TXT (GDPR - Row 2)</t>
        </is>
      </c>
      <c r="C59" t="inlineStr">
        <is>
          <t>3</t>
        </is>
      </c>
      <c r="D59" s="8" t="inlineStr">
        <is>
          <t>Liability of legal persons under paragraphs 1 and 2 of this Article shall not preclude criminal proceedings from</t>
        </is>
      </c>
      <c r="E59" t="inlineStr">
        <is>
          <t>8</t>
        </is>
      </c>
      <c r="F59" t="inlineStr">
        <is>
          <t>Other</t>
        </is>
      </c>
      <c r="G59" t="inlineStr">
        <is>
          <t>Low</t>
        </is>
      </c>
      <c r="H59" t="inlineStr">
        <is>
          <t>High</t>
        </is>
      </c>
      <c r="I59" s="8" t="inlineStr"/>
      <c r="J59" s="8" t="inlineStr"/>
      <c r="K59" t="inlineStr"/>
      <c r="L59"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59" s="8" t="inlineStr"/>
      <c r="N59"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59"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P59" s="10" t="inlineStr">
        <is>
          <t>Open PDF</t>
        </is>
      </c>
    </row>
    <row r="60">
      <c r="A60" t="inlineStr">
        <is>
          <t>GDPR</t>
        </is>
      </c>
      <c r="B60" t="inlineStr">
        <is>
          <t>CELEX_32018L1673_EN_TXT (GDPR - Row 2)</t>
        </is>
      </c>
      <c r="C60" t="inlineStr">
        <is>
          <t>3</t>
        </is>
      </c>
      <c r="D60" s="8" t="inlineStr">
        <is>
          <t>Where an offence referred to in Articles 3 and 4 falls within the jurisdiction of more than one Member State and</t>
        </is>
      </c>
      <c r="E60" t="inlineStr">
        <is>
          <t>8–9</t>
        </is>
      </c>
      <c r="F60" t="inlineStr">
        <is>
          <t>Other</t>
        </is>
      </c>
      <c r="G60" t="inlineStr">
        <is>
          <t>Low</t>
        </is>
      </c>
      <c r="H60" t="inlineStr">
        <is>
          <t>High</t>
        </is>
      </c>
      <c r="I60" s="8" t="inlineStr"/>
      <c r="J60" s="8" t="inlineStr"/>
      <c r="K60" t="inlineStr"/>
      <c r="L60" s="8" t="inlineStr">
        <is>
          <t>This section states that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M60" s="8" t="inlineStr"/>
      <c r="N60" s="8" t="inlineStr">
        <is>
          <t>[Must] 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O60" s="8"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 The matter shall, where appropriate and in accordance with Article 12 of Framework Decision 2009/948/JHA, be referred to Eurojust.</t>
        </is>
      </c>
      <c r="P60" s="10" t="inlineStr">
        <is>
          <t>Open PDF</t>
        </is>
      </c>
    </row>
    <row r="61">
      <c r="A61" t="inlineStr">
        <is>
          <t>GDPR</t>
        </is>
      </c>
      <c r="B61" t="inlineStr">
        <is>
          <t>CELEX_32018L1673_EN_TXT (GDPR - Row 2)</t>
        </is>
      </c>
      <c r="C61" t="inlineStr">
        <is>
          <t>4</t>
        </is>
      </c>
      <c r="D61" s="8" t="inlineStr">
        <is>
          <t>In the case of point (c) of paragraph 3 of this Article, Member States may further require that the relevant conduct</t>
        </is>
      </c>
      <c r="E61" t="inlineStr">
        <is>
          <t>7</t>
        </is>
      </c>
      <c r="F61" t="inlineStr">
        <is>
          <t>Other</t>
        </is>
      </c>
      <c r="G61" t="inlineStr">
        <is>
          <t>Low</t>
        </is>
      </c>
      <c r="H61" t="inlineStr">
        <is>
          <t>High</t>
        </is>
      </c>
      <c r="I61" s="8" t="inlineStr"/>
      <c r="J61" s="8" t="inlineStr"/>
      <c r="K61" t="inlineStr"/>
      <c r="L61" s="8" t="inlineStr">
        <is>
          <t>This section allows Member States to require that the relevant conduct in point (c) of paragraph 3 constitutes a criminal offence under the national law of the other Member State or third country, except where the conduct constitutes one of the specified offences under Article 2.</t>
        </is>
      </c>
      <c r="M61" s="8" t="inlineStr"/>
      <c r="N61" s="8" t="inlineStr">
        <is>
          <t>[May] In the case of point (c) of paragraph 3 of this Article, Member States may further require that the relevant conduct constitutes a criminal offence under the national law of the other Member State or of the third country where that conduct was committed, except where that conduct constitutes one of the offences referred to in points (a) to (e) and (h) of point (1) of Article 2 and as defined in the applicable Union law.</t>
        </is>
      </c>
      <c r="O61" s="8" t="inlineStr">
        <is>
          <t>In the case of point (c) of paragraph 3 of this Article, Member States may further require that the relevant conduct constitutes a criminal offence under the national law of the other Member State or of the third country where that conduct was committed, except where that conduct constitutes one of the offences referred to in points (a) to (e) and (h) of point (1) of Article 2 and as defined in the applicable Union law.</t>
        </is>
      </c>
      <c r="P61" s="10" t="inlineStr">
        <is>
          <t>Open PDF</t>
        </is>
      </c>
    </row>
    <row r="62">
      <c r="A62" t="inlineStr">
        <is>
          <t>GDPR</t>
        </is>
      </c>
      <c r="B62" t="inlineStr">
        <is>
          <t>CELEX_32018L1673_EN_TXT (GDPR - Row 2)</t>
        </is>
      </c>
      <c r="C62" t="inlineStr">
        <is>
          <t>5</t>
        </is>
      </c>
      <c r="D62" s="8" t="inlineStr">
        <is>
          <t>Member States shall take the necessary measures to ensure that the conduct referred to in points (a) and (b) of</t>
        </is>
      </c>
      <c r="E62" t="inlineStr">
        <is>
          <t>7</t>
        </is>
      </c>
      <c r="F62" t="inlineStr">
        <is>
          <t>Other</t>
        </is>
      </c>
      <c r="G62" t="inlineStr">
        <is>
          <t>Low</t>
        </is>
      </c>
      <c r="H62" t="inlineStr">
        <is>
          <t>High</t>
        </is>
      </c>
      <c r="I62" s="8" t="inlineStr"/>
      <c r="J62" s="8" t="inlineStr"/>
      <c r="K62" t="inlineStr"/>
      <c r="L62" s="8" t="inlineStr">
        <is>
          <t>This section requires Member States to take necessary measures to ensure that the conduct referred to in points (a) and (b) of paragraph 1 is punishable as a criminal offence when committed by persons who committed, or were involved in, the criminal activity from which the property was derived.</t>
        </is>
      </c>
      <c r="M62" s="8" t="inlineStr"/>
      <c r="N62" s="8" t="inlineStr">
        <is>
          <t>[Must] Member States shall take the necessary measures to ensure that the conduct referred to in points (a) and (b) of paragraph 1 is punishable as a criminal offence when committed by persons who committed, or were involved in, the criminal activity from which the property was derived.</t>
        </is>
      </c>
      <c r="O62" s="8" t="inlineStr">
        <is>
          <t>Member States shall take the necessary measures to ensure that the conduct referred to in points (a) and (b) of paragraph 1 is punishable as a criminal offence when committed by persons who committed, or were involved in, the criminal activity from which the property was derived.</t>
        </is>
      </c>
      <c r="P62" s="10" t="inlineStr">
        <is>
          <t>Open PDF</t>
        </is>
      </c>
    </row>
    <row r="63">
      <c r="A63" t="inlineStr">
        <is>
          <t>GDPR</t>
        </is>
      </c>
      <c r="B63" t="inlineStr">
        <is>
          <t>CELEX_52023PC0360_EN_TXT (GDPR - Row 13)</t>
        </is>
      </c>
      <c r="C63" t="inlineStr">
        <is>
          <t>1</t>
        </is>
      </c>
      <c r="D63" s="8" t="inlineStr">
        <is>
          <t>Regulation Evaluation Timeline and Scope</t>
        </is>
      </c>
      <c r="E63" t="inlineStr">
        <is>
          <t>2–4</t>
        </is>
      </c>
      <c r="F63" t="inlineStr">
        <is>
          <t>Other</t>
        </is>
      </c>
      <c r="G63" t="inlineStr">
        <is>
          <t>None</t>
        </is>
      </c>
      <c r="H63" t="inlineStr">
        <is>
          <t>High (explicit)</t>
        </is>
      </c>
      <c r="I63" s="8" t="inlineStr"/>
      <c r="J63" s="8" t="inlineStr"/>
      <c r="K63" t="inlineStr"/>
      <c r="L63"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63" s="8" t="inlineStr"/>
      <c r="N63"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3"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3" s="10" t="inlineStr">
        <is>
          <t>Open PDF</t>
        </is>
      </c>
    </row>
    <row r="64">
      <c r="A64" t="inlineStr">
        <is>
          <t>GDPR</t>
        </is>
      </c>
      <c r="B64" t="inlineStr">
        <is>
          <t>CELEX_52023PC0360_EN_TXT (GDPR - Row 13)</t>
        </is>
      </c>
      <c r="C64" t="inlineStr">
        <is>
          <t>1</t>
        </is>
      </c>
      <c r="D64" s="8" t="inlineStr">
        <is>
          <t>Regulation Evaluation Timeline and Scope</t>
        </is>
      </c>
      <c r="E64" t="inlineStr">
        <is>
          <t>27–28</t>
        </is>
      </c>
      <c r="F64" t="inlineStr">
        <is>
          <t>Other</t>
        </is>
      </c>
      <c r="G64" t="inlineStr">
        <is>
          <t>None</t>
        </is>
      </c>
      <c r="H64" t="inlineStr">
        <is>
          <t>High (explicit)</t>
        </is>
      </c>
      <c r="I64" s="8" t="inlineStr"/>
      <c r="J64" s="8" t="inlineStr"/>
      <c r="K64" t="inlineStr"/>
      <c r="L64"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64" s="8" t="inlineStr"/>
      <c r="N64"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4"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4" s="10" t="inlineStr">
        <is>
          <t>Open PDF</t>
        </is>
      </c>
    </row>
    <row r="65">
      <c r="A65" t="inlineStr">
        <is>
          <t>GDPR</t>
        </is>
      </c>
      <c r="B65" t="inlineStr">
        <is>
          <t>CELEX_52023PC0360_EN_TXT (GDPR - Row 13)</t>
        </is>
      </c>
      <c r="C65" t="inlineStr">
        <is>
          <t>1</t>
        </is>
      </c>
      <c r="D65" s="8" t="inlineStr">
        <is>
          <t>Regulation Evaluation Timeline and Scope</t>
        </is>
      </c>
      <c r="E65" t="inlineStr">
        <is>
          <t>31</t>
        </is>
      </c>
      <c r="F65" t="inlineStr">
        <is>
          <t>Other</t>
        </is>
      </c>
      <c r="G65" t="inlineStr">
        <is>
          <t>None</t>
        </is>
      </c>
      <c r="H65" t="inlineStr">
        <is>
          <t>High (explicit)</t>
        </is>
      </c>
      <c r="I65" s="8" t="inlineStr"/>
      <c r="J65" s="8" t="inlineStr"/>
      <c r="K65" t="inlineStr"/>
      <c r="L65"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65" s="8" t="inlineStr"/>
      <c r="N65"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5"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5" s="10" t="inlineStr">
        <is>
          <t>Open PDF</t>
        </is>
      </c>
    </row>
    <row r="66">
      <c r="A66" t="inlineStr">
        <is>
          <t>GDPR</t>
        </is>
      </c>
      <c r="B66" t="inlineStr">
        <is>
          <t>CELEX_52023PC0360_EN_TXT (GDPR - Row 13)</t>
        </is>
      </c>
      <c r="C66" t="inlineStr">
        <is>
          <t>1</t>
        </is>
      </c>
      <c r="D66" s="8" t="inlineStr">
        <is>
          <t>Regulation Evaluation Timeline and Scope</t>
        </is>
      </c>
      <c r="E66" t="inlineStr">
        <is>
          <t>32</t>
        </is>
      </c>
      <c r="F66" t="inlineStr">
        <is>
          <t>Other</t>
        </is>
      </c>
      <c r="G66" t="inlineStr">
        <is>
          <t>None</t>
        </is>
      </c>
      <c r="H66" t="inlineStr">
        <is>
          <t>High (explicit)</t>
        </is>
      </c>
      <c r="I66" s="8" t="inlineStr"/>
      <c r="J66" s="8" t="inlineStr"/>
      <c r="K66" t="inlineStr"/>
      <c r="L66"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66" s="8" t="inlineStr"/>
      <c r="N66"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6"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6" s="10" t="inlineStr">
        <is>
          <t>Open PDF</t>
        </is>
      </c>
    </row>
    <row r="67">
      <c r="A67" t="inlineStr">
        <is>
          <t>GDPR</t>
        </is>
      </c>
      <c r="B67" t="inlineStr">
        <is>
          <t>CELEX_52023PC0360_EN_TXT (GDPR - Row 13)</t>
        </is>
      </c>
      <c r="C67" t="inlineStr">
        <is>
          <t>1</t>
        </is>
      </c>
      <c r="D67" s="8" t="inlineStr">
        <is>
          <t>Regulation Evaluation Timeline and Scope</t>
        </is>
      </c>
      <c r="E67" t="inlineStr">
        <is>
          <t>32</t>
        </is>
      </c>
      <c r="F67" t="inlineStr">
        <is>
          <t>Other</t>
        </is>
      </c>
      <c r="G67" t="inlineStr">
        <is>
          <t>None</t>
        </is>
      </c>
      <c r="H67" t="inlineStr">
        <is>
          <t>High (explicit)</t>
        </is>
      </c>
      <c r="I67" s="8" t="inlineStr"/>
      <c r="J67" s="8" t="inlineStr"/>
      <c r="K67" t="inlineStr"/>
      <c r="L67"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67" s="8" t="inlineStr"/>
      <c r="N67"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7"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7" s="10" t="inlineStr">
        <is>
          <t>Open PDF</t>
        </is>
      </c>
    </row>
    <row r="68">
      <c r="A68" t="inlineStr">
        <is>
          <t>GDPR</t>
        </is>
      </c>
      <c r="B68" t="inlineStr">
        <is>
          <t>CELEX_52023PC0360_EN_TXT (GDPR - Row 13)</t>
        </is>
      </c>
      <c r="C68" t="inlineStr">
        <is>
          <t>1</t>
        </is>
      </c>
      <c r="D68" s="8" t="inlineStr">
        <is>
          <t>Regulation Evaluation Timeline and Scope</t>
        </is>
      </c>
      <c r="E68" t="inlineStr">
        <is>
          <t>34</t>
        </is>
      </c>
      <c r="F68" t="inlineStr">
        <is>
          <t>Other</t>
        </is>
      </c>
      <c r="G68" t="inlineStr">
        <is>
          <t>None</t>
        </is>
      </c>
      <c r="H68" t="inlineStr">
        <is>
          <t>High (explicit)</t>
        </is>
      </c>
      <c r="I68" s="8" t="inlineStr"/>
      <c r="J68" s="8" t="inlineStr"/>
      <c r="K68" t="inlineStr"/>
      <c r="L68"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68" s="8" t="inlineStr"/>
      <c r="N68"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8"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8" s="10" t="inlineStr">
        <is>
          <t>Open PDF</t>
        </is>
      </c>
    </row>
    <row r="69">
      <c r="A69" t="inlineStr">
        <is>
          <t>GDPR</t>
        </is>
      </c>
      <c r="B69" t="inlineStr">
        <is>
          <t>CELEX_52023PC0360_EN_TXT (GDPR - Row 13)</t>
        </is>
      </c>
      <c r="C69" t="inlineStr">
        <is>
          <t>1</t>
        </is>
      </c>
      <c r="D69" s="8" t="inlineStr">
        <is>
          <t>Regulation Evaluation Timeline and Scope</t>
        </is>
      </c>
      <c r="E69" t="inlineStr">
        <is>
          <t>34–36</t>
        </is>
      </c>
      <c r="F69" t="inlineStr">
        <is>
          <t>Other</t>
        </is>
      </c>
      <c r="G69" t="inlineStr">
        <is>
          <t>None</t>
        </is>
      </c>
      <c r="H69" t="inlineStr">
        <is>
          <t>High (explicit)</t>
        </is>
      </c>
      <c r="I69" s="8" t="inlineStr"/>
      <c r="J69" s="8" t="inlineStr"/>
      <c r="K69" t="inlineStr"/>
      <c r="L69"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69" s="8" t="inlineStr"/>
      <c r="N69"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69"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69" s="10" t="inlineStr">
        <is>
          <t>Open PDF</t>
        </is>
      </c>
    </row>
    <row r="70">
      <c r="A70" t="inlineStr">
        <is>
          <t>GDPR</t>
        </is>
      </c>
      <c r="B70" t="inlineStr">
        <is>
          <t>CELEX_52023PC0360_EN_TXT (GDPR - Row 13)</t>
        </is>
      </c>
      <c r="C70" t="inlineStr">
        <is>
          <t>1</t>
        </is>
      </c>
      <c r="D70" s="8" t="inlineStr">
        <is>
          <t>Regulation Evaluation Timeline and Scope</t>
        </is>
      </c>
      <c r="E70" t="inlineStr">
        <is>
          <t>39</t>
        </is>
      </c>
      <c r="F70" t="inlineStr">
        <is>
          <t>Other</t>
        </is>
      </c>
      <c r="G70" t="inlineStr">
        <is>
          <t>None</t>
        </is>
      </c>
      <c r="H70" t="inlineStr">
        <is>
          <t>High (explicit)</t>
        </is>
      </c>
      <c r="I70" s="8" t="inlineStr"/>
      <c r="J70" s="8" t="inlineStr"/>
      <c r="K70" t="inlineStr"/>
      <c r="L70"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70" s="8" t="inlineStr"/>
      <c r="N70"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0"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0" s="10" t="inlineStr">
        <is>
          <t>Open PDF</t>
        </is>
      </c>
    </row>
    <row r="71">
      <c r="A71" t="inlineStr">
        <is>
          <t>GDPR</t>
        </is>
      </c>
      <c r="B71" t="inlineStr">
        <is>
          <t>CELEX_52023PC0360_EN_TXT (GDPR - Row 13)</t>
        </is>
      </c>
      <c r="C71" t="inlineStr">
        <is>
          <t>1</t>
        </is>
      </c>
      <c r="D71" s="8" t="inlineStr">
        <is>
          <t>Regulation Evaluation Timeline and Scope</t>
        </is>
      </c>
      <c r="E71" t="inlineStr">
        <is>
          <t>39–40</t>
        </is>
      </c>
      <c r="F71" t="inlineStr">
        <is>
          <t>Other</t>
        </is>
      </c>
      <c r="G71" t="inlineStr">
        <is>
          <t>None</t>
        </is>
      </c>
      <c r="H71" t="inlineStr">
        <is>
          <t>High (explicit)</t>
        </is>
      </c>
      <c r="I71" s="8" t="inlineStr"/>
      <c r="J71" s="8" t="inlineStr"/>
      <c r="K71" t="inlineStr"/>
      <c r="L71"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71" s="8" t="inlineStr"/>
      <c r="N71"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1"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1" s="10" t="inlineStr">
        <is>
          <t>Open PDF</t>
        </is>
      </c>
    </row>
    <row r="72">
      <c r="A72" t="inlineStr">
        <is>
          <t>GDPR</t>
        </is>
      </c>
      <c r="B72" t="inlineStr">
        <is>
          <t>CELEX_52023PC0360_EN_TXT (GDPR - Row 13)</t>
        </is>
      </c>
      <c r="C72" t="inlineStr">
        <is>
          <t>1</t>
        </is>
      </c>
      <c r="D72" s="8" t="inlineStr">
        <is>
          <t>Regulation Evaluation Timeline and Scope</t>
        </is>
      </c>
      <c r="E72" t="inlineStr">
        <is>
          <t>41</t>
        </is>
      </c>
      <c r="F72" t="inlineStr">
        <is>
          <t>Other</t>
        </is>
      </c>
      <c r="G72" t="inlineStr">
        <is>
          <t>None</t>
        </is>
      </c>
      <c r="H72" t="inlineStr">
        <is>
          <t>High (explicit)</t>
        </is>
      </c>
      <c r="I72" s="8" t="inlineStr"/>
      <c r="J72" s="8" t="inlineStr"/>
      <c r="K72" t="inlineStr"/>
      <c r="L72"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72" s="8" t="inlineStr"/>
      <c r="N72"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2"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2" s="10" t="inlineStr">
        <is>
          <t>Open PDF</t>
        </is>
      </c>
    </row>
    <row r="73">
      <c r="A73" t="inlineStr">
        <is>
          <t>GDPR</t>
        </is>
      </c>
      <c r="B73" t="inlineStr">
        <is>
          <t>CELEX_52023PC0360_EN_TXT (GDPR - Row 13)</t>
        </is>
      </c>
      <c r="C73" t="inlineStr">
        <is>
          <t>1</t>
        </is>
      </c>
      <c r="D73" s="8" t="inlineStr">
        <is>
          <t>Regulation Evaluation Timeline and Scope</t>
        </is>
      </c>
      <c r="E73" t="inlineStr">
        <is>
          <t>42</t>
        </is>
      </c>
      <c r="F73" t="inlineStr">
        <is>
          <t>Other</t>
        </is>
      </c>
      <c r="G73" t="inlineStr">
        <is>
          <t>None</t>
        </is>
      </c>
      <c r="H73" t="inlineStr">
        <is>
          <t>High (explicit)</t>
        </is>
      </c>
      <c r="I73" s="8" t="inlineStr"/>
      <c r="J73" s="8" t="inlineStr"/>
      <c r="K73" t="inlineStr"/>
      <c r="L73"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73" s="8" t="inlineStr"/>
      <c r="N73"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3"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3" s="10" t="inlineStr">
        <is>
          <t>Open PDF</t>
        </is>
      </c>
    </row>
    <row r="74">
      <c r="A74" t="inlineStr">
        <is>
          <t>GDPR</t>
        </is>
      </c>
      <c r="B74" t="inlineStr">
        <is>
          <t>CELEX_52023PC0360_EN_TXT (GDPR - Row 13)</t>
        </is>
      </c>
      <c r="C74" t="inlineStr">
        <is>
          <t>1</t>
        </is>
      </c>
      <c r="D74" s="8" t="inlineStr">
        <is>
          <t>Regulation Evaluation Timeline and Scope</t>
        </is>
      </c>
      <c r="E74" t="inlineStr">
        <is>
          <t>42–44</t>
        </is>
      </c>
      <c r="F74" t="inlineStr">
        <is>
          <t>Other</t>
        </is>
      </c>
      <c r="G74" t="inlineStr">
        <is>
          <t>None</t>
        </is>
      </c>
      <c r="H74" t="inlineStr">
        <is>
          <t>High (explicit)</t>
        </is>
      </c>
      <c r="I74" s="8" t="inlineStr"/>
      <c r="J74" s="8" t="inlineStr"/>
      <c r="K74" t="inlineStr"/>
      <c r="L74"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74" s="8" t="inlineStr"/>
      <c r="N74"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4"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4" s="10" t="inlineStr">
        <is>
          <t>Open PDF</t>
        </is>
      </c>
    </row>
    <row r="75">
      <c r="A75" t="inlineStr">
        <is>
          <t>GDPR</t>
        </is>
      </c>
      <c r="B75" t="inlineStr">
        <is>
          <t>CELEX_52023PC0360_EN_TXT (GDPR - Row 13)</t>
        </is>
      </c>
      <c r="C75" t="inlineStr">
        <is>
          <t>1</t>
        </is>
      </c>
      <c r="D75" s="8" t="inlineStr">
        <is>
          <t>Regulation Evaluation Timeline and Scope</t>
        </is>
      </c>
      <c r="E75" t="inlineStr">
        <is>
          <t>44</t>
        </is>
      </c>
      <c r="F75" t="inlineStr">
        <is>
          <t>Other</t>
        </is>
      </c>
      <c r="G75" t="inlineStr">
        <is>
          <t>None</t>
        </is>
      </c>
      <c r="H75" t="inlineStr">
        <is>
          <t>High (explicit)</t>
        </is>
      </c>
      <c r="I75" s="8" t="inlineStr"/>
      <c r="J75" s="8" t="inlineStr"/>
      <c r="K75" t="inlineStr"/>
      <c r="L75"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75" s="8" t="inlineStr"/>
      <c r="N75"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5"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5" s="10" t="inlineStr">
        <is>
          <t>Open PDF</t>
        </is>
      </c>
    </row>
    <row r="76">
      <c r="A76" t="inlineStr">
        <is>
          <t>GDPR</t>
        </is>
      </c>
      <c r="B76" t="inlineStr">
        <is>
          <t>CELEX_52023PC0360_EN_TXT (GDPR - Row 13)</t>
        </is>
      </c>
      <c r="C76" t="inlineStr">
        <is>
          <t>1</t>
        </is>
      </c>
      <c r="D76" s="8" t="inlineStr">
        <is>
          <t>Regulation Evaluation Timeline and Scope</t>
        </is>
      </c>
      <c r="E76" t="inlineStr">
        <is>
          <t>45</t>
        </is>
      </c>
      <c r="F76" t="inlineStr">
        <is>
          <t>Other</t>
        </is>
      </c>
      <c r="G76" t="inlineStr">
        <is>
          <t>None</t>
        </is>
      </c>
      <c r="H76" t="inlineStr">
        <is>
          <t>High (explicit)</t>
        </is>
      </c>
      <c r="I76" s="8" t="inlineStr"/>
      <c r="J76" s="8" t="inlineStr"/>
      <c r="K76" t="inlineStr"/>
      <c r="L76"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76" s="8" t="inlineStr"/>
      <c r="N76"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6"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6" s="10" t="inlineStr">
        <is>
          <t>Open PDF</t>
        </is>
      </c>
    </row>
    <row r="77">
      <c r="A77" t="inlineStr">
        <is>
          <t>GDPR</t>
        </is>
      </c>
      <c r="B77" t="inlineStr">
        <is>
          <t>CELEX_52023PC0360_EN_TXT (GDPR - Row 13)</t>
        </is>
      </c>
      <c r="C77" t="inlineStr">
        <is>
          <t>1</t>
        </is>
      </c>
      <c r="D77" s="8" t="inlineStr">
        <is>
          <t>Regulation Evaluation Timeline and Scope</t>
        </is>
      </c>
      <c r="E77" t="inlineStr">
        <is>
          <t>46–47</t>
        </is>
      </c>
      <c r="F77" t="inlineStr">
        <is>
          <t>Other</t>
        </is>
      </c>
      <c r="G77" t="inlineStr">
        <is>
          <t>None</t>
        </is>
      </c>
      <c r="H77" t="inlineStr">
        <is>
          <t>High (explicit)</t>
        </is>
      </c>
      <c r="I77" s="8" t="inlineStr"/>
      <c r="J77" s="8" t="inlineStr"/>
      <c r="K77" t="inlineStr"/>
      <c r="L77"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77" s="8" t="inlineStr"/>
      <c r="N77"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7"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7" s="10" t="inlineStr">
        <is>
          <t>Open PDF</t>
        </is>
      </c>
    </row>
    <row r="78">
      <c r="A78" t="inlineStr">
        <is>
          <t>GDPR</t>
        </is>
      </c>
      <c r="B78" t="inlineStr">
        <is>
          <t>CELEX_52023PC0360_EN_TXT (GDPR - Row 13)</t>
        </is>
      </c>
      <c r="C78" t="inlineStr">
        <is>
          <t>1</t>
        </is>
      </c>
      <c r="D78" s="8" t="inlineStr">
        <is>
          <t>Regulation Evaluation Timeline and Scope</t>
        </is>
      </c>
      <c r="E78" t="inlineStr">
        <is>
          <t>47–48</t>
        </is>
      </c>
      <c r="F78" t="inlineStr">
        <is>
          <t>Other</t>
        </is>
      </c>
      <c r="G78" t="inlineStr">
        <is>
          <t>None</t>
        </is>
      </c>
      <c r="H78" t="inlineStr">
        <is>
          <t>High (explicit)</t>
        </is>
      </c>
      <c r="I78" s="8" t="inlineStr"/>
      <c r="J78" s="8" t="inlineStr"/>
      <c r="K78" t="inlineStr"/>
      <c r="L78"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78" s="8" t="inlineStr"/>
      <c r="N78"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8"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8" s="10" t="inlineStr">
        <is>
          <t>Open PDF</t>
        </is>
      </c>
    </row>
    <row r="79">
      <c r="A79" t="inlineStr">
        <is>
          <t>GDPR</t>
        </is>
      </c>
      <c r="B79" t="inlineStr">
        <is>
          <t>CELEX_52023PC0360_EN_TXT (GDPR - Row 13)</t>
        </is>
      </c>
      <c r="C79" t="inlineStr">
        <is>
          <t>1</t>
        </is>
      </c>
      <c r="D79" s="8" t="inlineStr">
        <is>
          <t>Regulation Evaluation Timeline and Scope</t>
        </is>
      </c>
      <c r="E79" t="inlineStr">
        <is>
          <t>48</t>
        </is>
      </c>
      <c r="F79" t="inlineStr">
        <is>
          <t>Other</t>
        </is>
      </c>
      <c r="G79" t="inlineStr">
        <is>
          <t>None</t>
        </is>
      </c>
      <c r="H79" t="inlineStr">
        <is>
          <t>High (explicit)</t>
        </is>
      </c>
      <c r="I79" s="8" t="inlineStr"/>
      <c r="J79" s="8" t="inlineStr"/>
      <c r="K79" t="inlineStr"/>
      <c r="L79"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79" s="8" t="inlineStr"/>
      <c r="N79"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79"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79" s="10" t="inlineStr">
        <is>
          <t>Open PDF</t>
        </is>
      </c>
    </row>
    <row r="80">
      <c r="A80" t="inlineStr">
        <is>
          <t>GDPR</t>
        </is>
      </c>
      <c r="B80" t="inlineStr">
        <is>
          <t>CELEX_52023PC0360_EN_TXT (GDPR - Row 13)</t>
        </is>
      </c>
      <c r="C80" t="inlineStr">
        <is>
          <t>1</t>
        </is>
      </c>
      <c r="D80" s="8" t="inlineStr">
        <is>
          <t>Regulation Evaluation Timeline and Scope</t>
        </is>
      </c>
      <c r="E80" t="inlineStr">
        <is>
          <t>48</t>
        </is>
      </c>
      <c r="F80" t="inlineStr">
        <is>
          <t>Other</t>
        </is>
      </c>
      <c r="G80" t="inlineStr">
        <is>
          <t>None</t>
        </is>
      </c>
      <c r="H80" t="inlineStr">
        <is>
          <t>High (explicit)</t>
        </is>
      </c>
      <c r="I80" s="8" t="inlineStr"/>
      <c r="J80" s="8" t="inlineStr"/>
      <c r="K80" t="inlineStr"/>
      <c r="L80"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80" s="8" t="inlineStr"/>
      <c r="N80"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80"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80" s="10" t="inlineStr">
        <is>
          <t>Open PDF</t>
        </is>
      </c>
    </row>
    <row r="81">
      <c r="A81" t="inlineStr">
        <is>
          <t>GDPR</t>
        </is>
      </c>
      <c r="B81" t="inlineStr">
        <is>
          <t>CELEX_52023PC0360_EN_TXT (GDPR - Row 13)</t>
        </is>
      </c>
      <c r="C81" t="inlineStr">
        <is>
          <t>1</t>
        </is>
      </c>
      <c r="D81" s="8" t="inlineStr">
        <is>
          <t>Regulation Evaluation Timeline and Scope</t>
        </is>
      </c>
      <c r="E81" t="inlineStr">
        <is>
          <t>49</t>
        </is>
      </c>
      <c r="F81" t="inlineStr">
        <is>
          <t>Other</t>
        </is>
      </c>
      <c r="G81" t="inlineStr">
        <is>
          <t>None</t>
        </is>
      </c>
      <c r="H81" t="inlineStr">
        <is>
          <t>High (explicit)</t>
        </is>
      </c>
      <c r="I81" s="8" t="inlineStr"/>
      <c r="J81" s="8" t="inlineStr"/>
      <c r="K81" t="inlineStr"/>
      <c r="L81"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81" s="8" t="inlineStr"/>
      <c r="N81"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81"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81" s="10" t="inlineStr">
        <is>
          <t>Open PDF</t>
        </is>
      </c>
    </row>
    <row r="82">
      <c r="A82" t="inlineStr">
        <is>
          <t>GDPR</t>
        </is>
      </c>
      <c r="B82" t="inlineStr">
        <is>
          <t>CELEX_52023PC0360_EN_TXT (GDPR - Row 13)</t>
        </is>
      </c>
      <c r="C82" t="inlineStr">
        <is>
          <t>1</t>
        </is>
      </c>
      <c r="D82" s="8" t="inlineStr">
        <is>
          <t>Regulation Evaluation Timeline and Scope</t>
        </is>
      </c>
      <c r="E82" t="inlineStr">
        <is>
          <t>49–50</t>
        </is>
      </c>
      <c r="F82" t="inlineStr">
        <is>
          <t>Other</t>
        </is>
      </c>
      <c r="G82" t="inlineStr">
        <is>
          <t>None</t>
        </is>
      </c>
      <c r="H82" t="inlineStr">
        <is>
          <t>High (explicit)</t>
        </is>
      </c>
      <c r="I82" s="8" t="inlineStr"/>
      <c r="J82" s="8" t="inlineStr"/>
      <c r="K82" t="inlineStr"/>
      <c r="L82"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82" s="8" t="inlineStr"/>
      <c r="N82"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82"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82" s="10" t="inlineStr">
        <is>
          <t>Open PDF</t>
        </is>
      </c>
    </row>
    <row r="83">
      <c r="A83" t="inlineStr">
        <is>
          <t>GDPR</t>
        </is>
      </c>
      <c r="B83" t="inlineStr">
        <is>
          <t>CELEX_52023PC0360_EN_TXT (GDPR - Row 13)</t>
        </is>
      </c>
      <c r="C83" t="inlineStr">
        <is>
          <t>1</t>
        </is>
      </c>
      <c r="D83" s="8" t="inlineStr">
        <is>
          <t>Regulation Evaluation Timeline and Scope</t>
        </is>
      </c>
      <c r="E83" t="inlineStr">
        <is>
          <t>50</t>
        </is>
      </c>
      <c r="F83" t="inlineStr">
        <is>
          <t>Other</t>
        </is>
      </c>
      <c r="G83" t="inlineStr">
        <is>
          <t>None</t>
        </is>
      </c>
      <c r="H83" t="inlineStr">
        <is>
          <t>High (explicit)</t>
        </is>
      </c>
      <c r="I83" s="8" t="inlineStr"/>
      <c r="J83" s="8" t="inlineStr"/>
      <c r="K83" t="inlineStr"/>
      <c r="L83"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83" s="8" t="inlineStr"/>
      <c r="N83"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83"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83" s="10" t="inlineStr">
        <is>
          <t>Open PDF</t>
        </is>
      </c>
    </row>
    <row r="84">
      <c r="A84" t="inlineStr">
        <is>
          <t>GDPR</t>
        </is>
      </c>
      <c r="B84" t="inlineStr">
        <is>
          <t>CELEX_52023PC0360_EN_TXT (GDPR - Row 13)</t>
        </is>
      </c>
      <c r="C84" t="inlineStr">
        <is>
          <t>1</t>
        </is>
      </c>
      <c r="D84" s="8" t="inlineStr">
        <is>
          <t>Regulation Evaluation Timeline and Scope</t>
        </is>
      </c>
      <c r="E84" t="inlineStr">
        <is>
          <t>51–52</t>
        </is>
      </c>
      <c r="F84" t="inlineStr">
        <is>
          <t>Other</t>
        </is>
      </c>
      <c r="G84" t="inlineStr">
        <is>
          <t>None</t>
        </is>
      </c>
      <c r="H84" t="inlineStr">
        <is>
          <t>High (explicit)</t>
        </is>
      </c>
      <c r="I84" s="8" t="inlineStr"/>
      <c r="J84" s="8" t="inlineStr"/>
      <c r="K84" t="inlineStr"/>
      <c r="L84" s="8"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the impact of compensation on data users.</t>
        </is>
      </c>
      <c r="M84" s="8" t="inlineStr"/>
      <c r="N84" s="8" t="inlineStr">
        <is>
          <t>[Must] 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
[Must] That evaluation shall assess, in particular: (a) other categories or sets of data to be made accessible; (b) the exclusion from the scope of certain categories of data and entities; (c) changes in contractual practices of data holders and data users and the operation of financial data sharing schemes; (d) the inclusion of other types of entities to those entities granted the right of access to data; (e) the impact of compensation on the ability of data users to participate in financial data sharing schemes and access data from data holders.</t>
        </is>
      </c>
      <c r="O84"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84" s="10" t="inlineStr">
        <is>
          <t>Open PDF</t>
        </is>
      </c>
    </row>
    <row r="85">
      <c r="A85" t="inlineStr">
        <is>
          <t>GDPR</t>
        </is>
      </c>
      <c r="B85" t="inlineStr">
        <is>
          <t>CELEX_52023PC0360_EN_TXT (GDPR - Row 13)</t>
        </is>
      </c>
      <c r="C85" t="inlineStr">
        <is>
          <t>2</t>
        </is>
      </c>
      <c r="D85" s="8" t="inlineStr">
        <is>
          <t>Financial Data Access Report Submission Timeline</t>
        </is>
      </c>
      <c r="E85" t="inlineStr">
        <is>
          <t>4–5</t>
        </is>
      </c>
      <c r="F85" t="inlineStr">
        <is>
          <t>Other</t>
        </is>
      </c>
      <c r="G85" t="inlineStr">
        <is>
          <t>None</t>
        </is>
      </c>
      <c r="H85" t="inlineStr">
        <is>
          <t>High (explicit)</t>
        </is>
      </c>
      <c r="I85" s="8" t="inlineStr"/>
      <c r="J85" s="8" t="inlineStr"/>
      <c r="K85" t="inlineStr"/>
      <c r="L85"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85" s="8" t="inlineStr"/>
      <c r="N85"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5"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5" s="10" t="inlineStr">
        <is>
          <t>Open PDF</t>
        </is>
      </c>
    </row>
    <row r="86">
      <c r="A86" t="inlineStr">
        <is>
          <t>GDPR</t>
        </is>
      </c>
      <c r="B86" t="inlineStr">
        <is>
          <t>CELEX_52023PC0360_EN_TXT (GDPR - Row 13)</t>
        </is>
      </c>
      <c r="C86" t="inlineStr">
        <is>
          <t>2</t>
        </is>
      </c>
      <c r="D86" s="8" t="inlineStr">
        <is>
          <t>Financial Data Access Report Submission Timeline</t>
        </is>
      </c>
      <c r="E86" t="inlineStr">
        <is>
          <t>28</t>
        </is>
      </c>
      <c r="F86" t="inlineStr">
        <is>
          <t>Other</t>
        </is>
      </c>
      <c r="G86" t="inlineStr">
        <is>
          <t>None</t>
        </is>
      </c>
      <c r="H86" t="inlineStr">
        <is>
          <t>High (explicit)</t>
        </is>
      </c>
      <c r="I86" s="8" t="inlineStr"/>
      <c r="J86" s="8" t="inlineStr"/>
      <c r="K86" t="inlineStr"/>
      <c r="L86"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86" s="8" t="inlineStr"/>
      <c r="N86"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6"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6" s="10" t="inlineStr">
        <is>
          <t>Open PDF</t>
        </is>
      </c>
    </row>
    <row r="87">
      <c r="A87" t="inlineStr">
        <is>
          <t>GDPR</t>
        </is>
      </c>
      <c r="B87" t="inlineStr">
        <is>
          <t>CELEX_52023PC0360_EN_TXT (GDPR - Row 13)</t>
        </is>
      </c>
      <c r="C87" t="inlineStr">
        <is>
          <t>2</t>
        </is>
      </c>
      <c r="D87" s="8" t="inlineStr">
        <is>
          <t>Financial Data Access Report Submission Timeline</t>
        </is>
      </c>
      <c r="E87" t="inlineStr">
        <is>
          <t>31</t>
        </is>
      </c>
      <c r="F87" t="inlineStr">
        <is>
          <t>Other</t>
        </is>
      </c>
      <c r="G87" t="inlineStr">
        <is>
          <t>None</t>
        </is>
      </c>
      <c r="H87" t="inlineStr">
        <is>
          <t>High (explicit)</t>
        </is>
      </c>
      <c r="I87" s="8" t="inlineStr"/>
      <c r="J87" s="8" t="inlineStr"/>
      <c r="K87" t="inlineStr"/>
      <c r="L87"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87" s="8" t="inlineStr"/>
      <c r="N87"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7"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7" s="10" t="inlineStr">
        <is>
          <t>Open PDF</t>
        </is>
      </c>
    </row>
    <row r="88">
      <c r="A88" t="inlineStr">
        <is>
          <t>GDPR</t>
        </is>
      </c>
      <c r="B88" t="inlineStr">
        <is>
          <t>CELEX_52023PC0360_EN_TXT (GDPR - Row 13)</t>
        </is>
      </c>
      <c r="C88" t="inlineStr">
        <is>
          <t>2</t>
        </is>
      </c>
      <c r="D88" s="8" t="inlineStr">
        <is>
          <t>Financial Data Access Report Submission Timeline</t>
        </is>
      </c>
      <c r="E88" t="inlineStr">
        <is>
          <t>32</t>
        </is>
      </c>
      <c r="F88" t="inlineStr">
        <is>
          <t>Other</t>
        </is>
      </c>
      <c r="G88" t="inlineStr">
        <is>
          <t>None</t>
        </is>
      </c>
      <c r="H88" t="inlineStr">
        <is>
          <t>High (explicit)</t>
        </is>
      </c>
      <c r="I88" s="8" t="inlineStr"/>
      <c r="J88" s="8" t="inlineStr"/>
      <c r="K88" t="inlineStr"/>
      <c r="L88"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88" s="8" t="inlineStr"/>
      <c r="N88"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8"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8" s="10" t="inlineStr">
        <is>
          <t>Open PDF</t>
        </is>
      </c>
    </row>
    <row r="89">
      <c r="A89" t="inlineStr">
        <is>
          <t>GDPR</t>
        </is>
      </c>
      <c r="B89" t="inlineStr">
        <is>
          <t>CELEX_52023PC0360_EN_TXT (GDPR - Row 13)</t>
        </is>
      </c>
      <c r="C89" t="inlineStr">
        <is>
          <t>2</t>
        </is>
      </c>
      <c r="D89" s="8" t="inlineStr">
        <is>
          <t>Financial Data Access Report Submission Timeline</t>
        </is>
      </c>
      <c r="E89" t="inlineStr">
        <is>
          <t>32</t>
        </is>
      </c>
      <c r="F89" t="inlineStr">
        <is>
          <t>Other</t>
        </is>
      </c>
      <c r="G89" t="inlineStr">
        <is>
          <t>None</t>
        </is>
      </c>
      <c r="H89" t="inlineStr">
        <is>
          <t>High (explicit)</t>
        </is>
      </c>
      <c r="I89" s="8" t="inlineStr"/>
      <c r="J89" s="8" t="inlineStr"/>
      <c r="K89" t="inlineStr"/>
      <c r="L89"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89" s="8" t="inlineStr"/>
      <c r="N89"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89"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89" s="10" t="inlineStr">
        <is>
          <t>Open PDF</t>
        </is>
      </c>
    </row>
    <row r="90">
      <c r="A90" t="inlineStr">
        <is>
          <t>GDPR</t>
        </is>
      </c>
      <c r="B90" t="inlineStr">
        <is>
          <t>CELEX_52023PC0360_EN_TXT (GDPR - Row 13)</t>
        </is>
      </c>
      <c r="C90" t="inlineStr">
        <is>
          <t>2</t>
        </is>
      </c>
      <c r="D90" s="8" t="inlineStr">
        <is>
          <t>Financial Data Access Report Submission Timeline</t>
        </is>
      </c>
      <c r="E90" t="inlineStr">
        <is>
          <t>33</t>
        </is>
      </c>
      <c r="F90" t="inlineStr">
        <is>
          <t>Other</t>
        </is>
      </c>
      <c r="G90" t="inlineStr">
        <is>
          <t>None</t>
        </is>
      </c>
      <c r="H90" t="inlineStr">
        <is>
          <t>High (explicit)</t>
        </is>
      </c>
      <c r="I90" s="8" t="inlineStr"/>
      <c r="J90" s="8" t="inlineStr"/>
      <c r="K90" t="inlineStr"/>
      <c r="L90"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90" s="8" t="inlineStr"/>
      <c r="N90"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0"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0" s="10" t="inlineStr">
        <is>
          <t>Open PDF</t>
        </is>
      </c>
    </row>
    <row r="91">
      <c r="A91" t="inlineStr">
        <is>
          <t>GDPR</t>
        </is>
      </c>
      <c r="B91" t="inlineStr">
        <is>
          <t>CELEX_52023PC0360_EN_TXT (GDPR - Row 13)</t>
        </is>
      </c>
      <c r="C91" t="inlineStr">
        <is>
          <t>2</t>
        </is>
      </c>
      <c r="D91" s="8" t="inlineStr">
        <is>
          <t>Financial Data Access Report Submission Timeline</t>
        </is>
      </c>
      <c r="E91" t="inlineStr">
        <is>
          <t>34</t>
        </is>
      </c>
      <c r="F91" t="inlineStr">
        <is>
          <t>Other</t>
        </is>
      </c>
      <c r="G91" t="inlineStr">
        <is>
          <t>None</t>
        </is>
      </c>
      <c r="H91" t="inlineStr">
        <is>
          <t>High (explicit)</t>
        </is>
      </c>
      <c r="I91" s="8" t="inlineStr"/>
      <c r="J91" s="8" t="inlineStr"/>
      <c r="K91" t="inlineStr"/>
      <c r="L91"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91" s="8" t="inlineStr"/>
      <c r="N91"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1"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1" s="10" t="inlineStr">
        <is>
          <t>Open PDF</t>
        </is>
      </c>
    </row>
    <row r="92">
      <c r="A92" t="inlineStr">
        <is>
          <t>GDPR</t>
        </is>
      </c>
      <c r="B92" t="inlineStr">
        <is>
          <t>CELEX_52023PC0360_EN_TXT (GDPR - Row 13)</t>
        </is>
      </c>
      <c r="C92" t="inlineStr">
        <is>
          <t>2</t>
        </is>
      </c>
      <c r="D92" s="8" t="inlineStr">
        <is>
          <t>Financial Data Access Report Submission Timeline</t>
        </is>
      </c>
      <c r="E92" t="inlineStr">
        <is>
          <t>37–38</t>
        </is>
      </c>
      <c r="F92" t="inlineStr">
        <is>
          <t>Other</t>
        </is>
      </c>
      <c r="G92" t="inlineStr">
        <is>
          <t>None</t>
        </is>
      </c>
      <c r="H92" t="inlineStr">
        <is>
          <t>High (explicit)</t>
        </is>
      </c>
      <c r="I92" s="8" t="inlineStr"/>
      <c r="J92" s="8" t="inlineStr"/>
      <c r="K92" t="inlineStr"/>
      <c r="L92"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92" s="8" t="inlineStr"/>
      <c r="N92"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2"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2" s="10" t="inlineStr">
        <is>
          <t>Open PDF</t>
        </is>
      </c>
    </row>
    <row r="93">
      <c r="A93" t="inlineStr">
        <is>
          <t>GDPR</t>
        </is>
      </c>
      <c r="B93" t="inlineStr">
        <is>
          <t>CELEX_52023PC0360_EN_TXT (GDPR - Row 13)</t>
        </is>
      </c>
      <c r="C93" t="inlineStr">
        <is>
          <t>2</t>
        </is>
      </c>
      <c r="D93" s="8" t="inlineStr">
        <is>
          <t>Financial Data Access Report Submission Timeline</t>
        </is>
      </c>
      <c r="E93" t="inlineStr">
        <is>
          <t>39</t>
        </is>
      </c>
      <c r="F93" t="inlineStr">
        <is>
          <t>Other</t>
        </is>
      </c>
      <c r="G93" t="inlineStr">
        <is>
          <t>None</t>
        </is>
      </c>
      <c r="H93" t="inlineStr">
        <is>
          <t>High (explicit)</t>
        </is>
      </c>
      <c r="I93" s="8" t="inlineStr"/>
      <c r="J93" s="8" t="inlineStr"/>
      <c r="K93" t="inlineStr"/>
      <c r="L93"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93" s="8" t="inlineStr"/>
      <c r="N93"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3"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3" s="10" t="inlineStr">
        <is>
          <t>Open PDF</t>
        </is>
      </c>
    </row>
    <row r="94">
      <c r="A94" t="inlineStr">
        <is>
          <t>GDPR</t>
        </is>
      </c>
      <c r="B94" t="inlineStr">
        <is>
          <t>CELEX_52023PC0360_EN_TXT (GDPR - Row 13)</t>
        </is>
      </c>
      <c r="C94" t="inlineStr">
        <is>
          <t>2</t>
        </is>
      </c>
      <c r="D94" s="8" t="inlineStr">
        <is>
          <t>Financial Data Access Report Submission Timeline</t>
        </is>
      </c>
      <c r="E94" t="inlineStr">
        <is>
          <t>40</t>
        </is>
      </c>
      <c r="F94" t="inlineStr">
        <is>
          <t>Other</t>
        </is>
      </c>
      <c r="G94" t="inlineStr">
        <is>
          <t>None</t>
        </is>
      </c>
      <c r="H94" t="inlineStr">
        <is>
          <t>High (explicit)</t>
        </is>
      </c>
      <c r="I94" s="8" t="inlineStr"/>
      <c r="J94" s="8" t="inlineStr"/>
      <c r="K94" t="inlineStr"/>
      <c r="L94"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94" s="8" t="inlineStr"/>
      <c r="N94"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4"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4" s="10" t="inlineStr">
        <is>
          <t>Open PDF</t>
        </is>
      </c>
    </row>
    <row r="95">
      <c r="A95" t="inlineStr">
        <is>
          <t>GDPR</t>
        </is>
      </c>
      <c r="B95" t="inlineStr">
        <is>
          <t>CELEX_52023PC0360_EN_TXT (GDPR - Row 13)</t>
        </is>
      </c>
      <c r="C95" t="inlineStr">
        <is>
          <t>2</t>
        </is>
      </c>
      <c r="D95" s="8" t="inlineStr">
        <is>
          <t>Financial Data Access Report Submission Timeline</t>
        </is>
      </c>
      <c r="E95" t="inlineStr">
        <is>
          <t>42</t>
        </is>
      </c>
      <c r="F95" t="inlineStr">
        <is>
          <t>Other</t>
        </is>
      </c>
      <c r="G95" t="inlineStr">
        <is>
          <t>None</t>
        </is>
      </c>
      <c r="H95" t="inlineStr">
        <is>
          <t>High (explicit)</t>
        </is>
      </c>
      <c r="I95" s="8" t="inlineStr"/>
      <c r="J95" s="8" t="inlineStr"/>
      <c r="K95" t="inlineStr"/>
      <c r="L95"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95" s="8" t="inlineStr"/>
      <c r="N95"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5"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5" s="10" t="inlineStr">
        <is>
          <t>Open PDF</t>
        </is>
      </c>
    </row>
    <row r="96">
      <c r="A96" t="inlineStr">
        <is>
          <t>GDPR</t>
        </is>
      </c>
      <c r="B96" t="inlineStr">
        <is>
          <t>CELEX_52023PC0360_EN_TXT (GDPR - Row 13)</t>
        </is>
      </c>
      <c r="C96" t="inlineStr">
        <is>
          <t>2</t>
        </is>
      </c>
      <c r="D96" s="8" t="inlineStr">
        <is>
          <t>Financial Data Access Report Submission Timeline</t>
        </is>
      </c>
      <c r="E96" t="inlineStr">
        <is>
          <t>44</t>
        </is>
      </c>
      <c r="F96" t="inlineStr">
        <is>
          <t>Other</t>
        </is>
      </c>
      <c r="G96" t="inlineStr">
        <is>
          <t>None</t>
        </is>
      </c>
      <c r="H96" t="inlineStr">
        <is>
          <t>High (explicit)</t>
        </is>
      </c>
      <c r="I96" s="8" t="inlineStr"/>
      <c r="J96" s="8" t="inlineStr"/>
      <c r="K96" t="inlineStr"/>
      <c r="L96"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96" s="8" t="inlineStr"/>
      <c r="N96"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6"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6" s="10" t="inlineStr">
        <is>
          <t>Open PDF</t>
        </is>
      </c>
    </row>
    <row r="97">
      <c r="A97" t="inlineStr">
        <is>
          <t>GDPR</t>
        </is>
      </c>
      <c r="B97" t="inlineStr">
        <is>
          <t>CELEX_52023PC0360_EN_TXT (GDPR - Row 13)</t>
        </is>
      </c>
      <c r="C97" t="inlineStr">
        <is>
          <t>2</t>
        </is>
      </c>
      <c r="D97" s="8" t="inlineStr">
        <is>
          <t>Financial Data Access Report Submission Timeline</t>
        </is>
      </c>
      <c r="E97" t="inlineStr">
        <is>
          <t>44–45</t>
        </is>
      </c>
      <c r="F97" t="inlineStr">
        <is>
          <t>Other</t>
        </is>
      </c>
      <c r="G97" t="inlineStr">
        <is>
          <t>None</t>
        </is>
      </c>
      <c r="H97" t="inlineStr">
        <is>
          <t>High (explicit)</t>
        </is>
      </c>
      <c r="I97" s="8" t="inlineStr"/>
      <c r="J97" s="8" t="inlineStr"/>
      <c r="K97" t="inlineStr"/>
      <c r="L97"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97" s="8" t="inlineStr"/>
      <c r="N97"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7"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7" s="10" t="inlineStr">
        <is>
          <t>Open PDF</t>
        </is>
      </c>
    </row>
    <row r="98">
      <c r="A98" t="inlineStr">
        <is>
          <t>GDPR</t>
        </is>
      </c>
      <c r="B98" t="inlineStr">
        <is>
          <t>CELEX_52023PC0360_EN_TXT (GDPR - Row 13)</t>
        </is>
      </c>
      <c r="C98" t="inlineStr">
        <is>
          <t>2</t>
        </is>
      </c>
      <c r="D98" s="8" t="inlineStr">
        <is>
          <t>Financial Data Access Report Submission Timeline</t>
        </is>
      </c>
      <c r="E98" t="inlineStr">
        <is>
          <t>45</t>
        </is>
      </c>
      <c r="F98" t="inlineStr">
        <is>
          <t>Other</t>
        </is>
      </c>
      <c r="G98" t="inlineStr">
        <is>
          <t>None</t>
        </is>
      </c>
      <c r="H98" t="inlineStr">
        <is>
          <t>High (explicit)</t>
        </is>
      </c>
      <c r="I98" s="8" t="inlineStr"/>
      <c r="J98" s="8" t="inlineStr"/>
      <c r="K98" t="inlineStr"/>
      <c r="L98"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98" s="8" t="inlineStr"/>
      <c r="N98"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8"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8" s="10" t="inlineStr">
        <is>
          <t>Open PDF</t>
        </is>
      </c>
    </row>
    <row r="99">
      <c r="A99" t="inlineStr">
        <is>
          <t>GDPR</t>
        </is>
      </c>
      <c r="B99" t="inlineStr">
        <is>
          <t>CELEX_52023PC0360_EN_TXT (GDPR - Row 13)</t>
        </is>
      </c>
      <c r="C99" t="inlineStr">
        <is>
          <t>2</t>
        </is>
      </c>
      <c r="D99" s="8" t="inlineStr">
        <is>
          <t>Financial Data Access Report Submission Timeline</t>
        </is>
      </c>
      <c r="E99" t="inlineStr">
        <is>
          <t>48</t>
        </is>
      </c>
      <c r="F99" t="inlineStr">
        <is>
          <t>Other</t>
        </is>
      </c>
      <c r="G99" t="inlineStr">
        <is>
          <t>None</t>
        </is>
      </c>
      <c r="H99" t="inlineStr">
        <is>
          <t>High (explicit)</t>
        </is>
      </c>
      <c r="I99" s="8" t="inlineStr"/>
      <c r="J99" s="8" t="inlineStr"/>
      <c r="K99" t="inlineStr"/>
      <c r="L99"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99" s="8" t="inlineStr"/>
      <c r="N99"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99"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99" s="10" t="inlineStr">
        <is>
          <t>Open PDF</t>
        </is>
      </c>
    </row>
    <row r="100">
      <c r="A100" t="inlineStr">
        <is>
          <t>GDPR</t>
        </is>
      </c>
      <c r="B100" t="inlineStr">
        <is>
          <t>CELEX_52023PC0360_EN_TXT (GDPR - Row 13)</t>
        </is>
      </c>
      <c r="C100" t="inlineStr">
        <is>
          <t>2</t>
        </is>
      </c>
      <c r="D100" s="8" t="inlineStr">
        <is>
          <t>Financial Data Access Report Submission Timeline</t>
        </is>
      </c>
      <c r="E100" t="inlineStr">
        <is>
          <t>48</t>
        </is>
      </c>
      <c r="F100" t="inlineStr">
        <is>
          <t>Other</t>
        </is>
      </c>
      <c r="G100" t="inlineStr">
        <is>
          <t>None</t>
        </is>
      </c>
      <c r="H100" t="inlineStr">
        <is>
          <t>High (explicit)</t>
        </is>
      </c>
      <c r="I100" s="8" t="inlineStr"/>
      <c r="J100" s="8" t="inlineStr"/>
      <c r="K100" t="inlineStr"/>
      <c r="L100"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100" s="8" t="inlineStr"/>
      <c r="N100"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100"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100" s="10" t="inlineStr">
        <is>
          <t>Open PDF</t>
        </is>
      </c>
    </row>
    <row r="101">
      <c r="A101" t="inlineStr">
        <is>
          <t>GDPR</t>
        </is>
      </c>
      <c r="B101" t="inlineStr">
        <is>
          <t>CELEX_52023PC0360_EN_TXT (GDPR - Row 13)</t>
        </is>
      </c>
      <c r="C101" t="inlineStr">
        <is>
          <t>2</t>
        </is>
      </c>
      <c r="D101" s="8" t="inlineStr">
        <is>
          <t>Financial Data Access Report Submission Timeline</t>
        </is>
      </c>
      <c r="E101" t="inlineStr">
        <is>
          <t>48–49</t>
        </is>
      </c>
      <c r="F101" t="inlineStr">
        <is>
          <t>Other</t>
        </is>
      </c>
      <c r="G101" t="inlineStr">
        <is>
          <t>None</t>
        </is>
      </c>
      <c r="H101" t="inlineStr">
        <is>
          <t>High (explicit)</t>
        </is>
      </c>
      <c r="I101" s="8" t="inlineStr"/>
      <c r="J101" s="8" t="inlineStr"/>
      <c r="K101" t="inlineStr"/>
      <c r="L101"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101" s="8" t="inlineStr"/>
      <c r="N101"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101"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101" s="10" t="inlineStr">
        <is>
          <t>Open PDF</t>
        </is>
      </c>
    </row>
    <row r="102">
      <c r="A102" t="inlineStr">
        <is>
          <t>GDPR</t>
        </is>
      </c>
      <c r="B102" t="inlineStr">
        <is>
          <t>CELEX_52023PC0360_EN_TXT (GDPR - Row 13)</t>
        </is>
      </c>
      <c r="C102" t="inlineStr">
        <is>
          <t>2</t>
        </is>
      </c>
      <c r="D102" s="8" t="inlineStr">
        <is>
          <t>Financial Data Access Report Submission Timeline</t>
        </is>
      </c>
      <c r="E102" t="inlineStr">
        <is>
          <t>49</t>
        </is>
      </c>
      <c r="F102" t="inlineStr">
        <is>
          <t>Other</t>
        </is>
      </c>
      <c r="G102" t="inlineStr">
        <is>
          <t>None</t>
        </is>
      </c>
      <c r="H102" t="inlineStr">
        <is>
          <t>High (explicit)</t>
        </is>
      </c>
      <c r="I102" s="8" t="inlineStr"/>
      <c r="J102" s="8" t="inlineStr"/>
      <c r="K102" t="inlineStr"/>
      <c r="L102"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102" s="8" t="inlineStr"/>
      <c r="N102"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102"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102" s="10" t="inlineStr">
        <is>
          <t>Open PDF</t>
        </is>
      </c>
    </row>
    <row r="103">
      <c r="A103" t="inlineStr">
        <is>
          <t>GDPR</t>
        </is>
      </c>
      <c r="B103" t="inlineStr">
        <is>
          <t>CELEX_52023PC0360_EN_TXT (GDPR - Row 13)</t>
        </is>
      </c>
      <c r="C103" t="inlineStr">
        <is>
          <t>2</t>
        </is>
      </c>
      <c r="D103" s="8" t="inlineStr">
        <is>
          <t>Financial Data Access Report Submission Timeline</t>
        </is>
      </c>
      <c r="E103" t="inlineStr">
        <is>
          <t>50</t>
        </is>
      </c>
      <c r="F103" t="inlineStr">
        <is>
          <t>Other</t>
        </is>
      </c>
      <c r="G103" t="inlineStr">
        <is>
          <t>None</t>
        </is>
      </c>
      <c r="H103" t="inlineStr">
        <is>
          <t>High (explicit)</t>
        </is>
      </c>
      <c r="I103" s="8" t="inlineStr"/>
      <c r="J103" s="8" t="inlineStr"/>
      <c r="K103" t="inlineStr"/>
      <c r="L103"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103" s="8" t="inlineStr"/>
      <c r="N103"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103"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103" s="10" t="inlineStr">
        <is>
          <t>Open PDF</t>
        </is>
      </c>
    </row>
    <row r="104">
      <c r="A104" t="inlineStr">
        <is>
          <t>GDPR</t>
        </is>
      </c>
      <c r="B104" t="inlineStr">
        <is>
          <t>CELEX_52023PC0360_EN_TXT (GDPR - Row 13)</t>
        </is>
      </c>
      <c r="C104" t="inlineStr">
        <is>
          <t>2</t>
        </is>
      </c>
      <c r="D104" s="8" t="inlineStr">
        <is>
          <t>Financial Data Access Report Submission Timeline</t>
        </is>
      </c>
      <c r="E104" t="inlineStr">
        <is>
          <t>50</t>
        </is>
      </c>
      <c r="F104" t="inlineStr">
        <is>
          <t>Other</t>
        </is>
      </c>
      <c r="G104" t="inlineStr">
        <is>
          <t>None</t>
        </is>
      </c>
      <c r="H104" t="inlineStr">
        <is>
          <t>High (explicit)</t>
        </is>
      </c>
      <c r="I104" s="8" t="inlineStr"/>
      <c r="J104" s="8" t="inlineStr"/>
      <c r="K104" t="inlineStr"/>
      <c r="L104"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104" s="8" t="inlineStr"/>
      <c r="N104"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104"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104" s="10" t="inlineStr">
        <is>
          <t>Open PDF</t>
        </is>
      </c>
    </row>
    <row r="105">
      <c r="A105" t="inlineStr">
        <is>
          <t>GDPR</t>
        </is>
      </c>
      <c r="B105" t="inlineStr">
        <is>
          <t>CELEX_52023PC0360_EN_TXT (GDPR - Row 13)</t>
        </is>
      </c>
      <c r="C105" t="inlineStr">
        <is>
          <t>2</t>
        </is>
      </c>
      <c r="D105" s="8" t="inlineStr">
        <is>
          <t>Financial Data Access Report Submission Timeline</t>
        </is>
      </c>
      <c r="E105" t="inlineStr">
        <is>
          <t>51</t>
        </is>
      </c>
      <c r="F105" t="inlineStr">
        <is>
          <t>Other</t>
        </is>
      </c>
      <c r="G105" t="inlineStr">
        <is>
          <t>None</t>
        </is>
      </c>
      <c r="H105" t="inlineStr">
        <is>
          <t>High (explicit)</t>
        </is>
      </c>
      <c r="I105" s="8" t="inlineStr"/>
      <c r="J105" s="8" t="inlineStr"/>
      <c r="K105" t="inlineStr"/>
      <c r="L105"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105" s="8" t="inlineStr"/>
      <c r="N105"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105"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105" s="10" t="inlineStr">
        <is>
          <t>Open PDF</t>
        </is>
      </c>
    </row>
    <row r="106">
      <c r="A106" t="inlineStr">
        <is>
          <t>GDPR</t>
        </is>
      </c>
      <c r="B106" t="inlineStr">
        <is>
          <t>CELEX_52023PC0360_EN_TXT (GDPR - Row 13)</t>
        </is>
      </c>
      <c r="C106" t="inlineStr">
        <is>
          <t>2</t>
        </is>
      </c>
      <c r="D106" s="8" t="inlineStr">
        <is>
          <t>Financial Data Access Report Submission Timeline</t>
        </is>
      </c>
      <c r="E106" t="inlineStr">
        <is>
          <t>52–54</t>
        </is>
      </c>
      <c r="F106" t="inlineStr">
        <is>
          <t>Other</t>
        </is>
      </c>
      <c r="G106" t="inlineStr">
        <is>
          <t>None</t>
        </is>
      </c>
      <c r="H106" t="inlineStr">
        <is>
          <t>High (explicit)</t>
        </is>
      </c>
      <c r="I106" s="8" t="inlineStr"/>
      <c r="J106" s="8" t="inlineStr"/>
      <c r="K106" t="inlineStr"/>
      <c r="L106" s="8" t="inlineStr">
        <is>
          <t>Four years after the Regulation's entry into force, the Commission must submit a report to the European Parliament and Council assessing access conditions for financial data applicable to account information service providers. The report may include a legislative proposal if deemed appropriate. This requirement focuses on evaluating financial data sharing mechanisms for specific service providers.</t>
        </is>
      </c>
      <c r="M106" s="8" t="inlineStr"/>
      <c r="N106" s="8" t="inlineStr">
        <is>
          <t>[Must] 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
[May] The report can be accompanied, if deemed appropriate, by a legislative proposal.</t>
        </is>
      </c>
      <c r="O106"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106" s="10" t="inlineStr">
        <is>
          <t>Open PDF</t>
        </is>
      </c>
    </row>
    <row r="107">
      <c r="A107" t="inlineStr">
        <is>
          <t>GDPR</t>
        </is>
      </c>
      <c r="B107" t="inlineStr">
        <is>
          <t>CELEX_52023PC0360_EN_TXT (GDPR - Row 13)</t>
        </is>
      </c>
      <c r="C107" t="inlineStr">
        <is>
          <t>3</t>
        </is>
      </c>
      <c r="D107" s="8" t="inlineStr">
        <is>
          <t>Revocation of delegated powers</t>
        </is>
      </c>
      <c r="E107" t="inlineStr">
        <is>
          <t>5–8</t>
        </is>
      </c>
      <c r="F107" t="inlineStr">
        <is>
          <t>Other</t>
        </is>
      </c>
      <c r="G107" t="inlineStr">
        <is>
          <t>Medium</t>
        </is>
      </c>
      <c r="H107" t="inlineStr">
        <is>
          <t>High (explicit)</t>
        </is>
      </c>
      <c r="I107" s="8" t="inlineStr"/>
      <c r="J107" s="8" t="inlineStr"/>
      <c r="K107" t="inlineStr"/>
      <c r="L107"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07" s="8" t="inlineStr">
        <is>
          <t>Allows for revocation of delegated powers by the European Parliament or Council, ensuring regulatory flexibility and oversight of delegated authority in financial data transfer rules.</t>
        </is>
      </c>
      <c r="N107"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07" s="8" t="inlineStr">
        <is>
          <t>The delegation of powers referred to in Article 11, may be revoked at any time by the European Parliament or by the Council.</t>
        </is>
      </c>
      <c r="P107" s="10" t="inlineStr">
        <is>
          <t>Open PDF</t>
        </is>
      </c>
    </row>
    <row r="108">
      <c r="A108" t="inlineStr">
        <is>
          <t>GDPR</t>
        </is>
      </c>
      <c r="B108" t="inlineStr">
        <is>
          <t>CELEX_52023PC0360_EN_TXT (GDPR - Row 13)</t>
        </is>
      </c>
      <c r="C108" t="inlineStr">
        <is>
          <t>3</t>
        </is>
      </c>
      <c r="D108" s="8" t="inlineStr">
        <is>
          <t>Revocation of delegated powers</t>
        </is>
      </c>
      <c r="E108" t="inlineStr">
        <is>
          <t>32</t>
        </is>
      </c>
      <c r="F108" t="inlineStr">
        <is>
          <t>Other</t>
        </is>
      </c>
      <c r="G108" t="inlineStr">
        <is>
          <t>Medium</t>
        </is>
      </c>
      <c r="H108" t="inlineStr">
        <is>
          <t>High (explicit)</t>
        </is>
      </c>
      <c r="I108" s="8" t="inlineStr"/>
      <c r="J108" s="8" t="inlineStr"/>
      <c r="K108" t="inlineStr"/>
      <c r="L108"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08" s="8" t="inlineStr">
        <is>
          <t>Allows for revocation of delegated powers by the European Parliament or Council, ensuring regulatory flexibility and oversight of delegated authority in financial data transfer rules.</t>
        </is>
      </c>
      <c r="N108"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08" s="8" t="inlineStr">
        <is>
          <t>The delegation of powers referred to in Article 11, may be revoked at any time by the European Parliament or by the Council.</t>
        </is>
      </c>
      <c r="P108" s="10" t="inlineStr">
        <is>
          <t>Open PDF</t>
        </is>
      </c>
    </row>
    <row r="109">
      <c r="A109" t="inlineStr">
        <is>
          <t>GDPR</t>
        </is>
      </c>
      <c r="B109" t="inlineStr">
        <is>
          <t>CELEX_52023PC0360_EN_TXT (GDPR - Row 13)</t>
        </is>
      </c>
      <c r="C109" t="inlineStr">
        <is>
          <t>3</t>
        </is>
      </c>
      <c r="D109" s="8" t="inlineStr">
        <is>
          <t>Revocation of delegated powers</t>
        </is>
      </c>
      <c r="E109" t="inlineStr">
        <is>
          <t>32–33</t>
        </is>
      </c>
      <c r="F109" t="inlineStr">
        <is>
          <t>Other</t>
        </is>
      </c>
      <c r="G109" t="inlineStr">
        <is>
          <t>Medium</t>
        </is>
      </c>
      <c r="H109" t="inlineStr">
        <is>
          <t>High (explicit)</t>
        </is>
      </c>
      <c r="I109" s="8" t="inlineStr"/>
      <c r="J109" s="8" t="inlineStr"/>
      <c r="K109" t="inlineStr"/>
      <c r="L109"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09" s="8" t="inlineStr">
        <is>
          <t>Allows for revocation of delegated powers by the European Parliament or Council, ensuring regulatory flexibility and oversight of delegated authority in financial data transfer rules.</t>
        </is>
      </c>
      <c r="N109"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09" s="8" t="inlineStr">
        <is>
          <t>The delegation of powers referred to in Article 11, may be revoked at any time by the European Parliament or by the Council.</t>
        </is>
      </c>
      <c r="P109" s="10" t="inlineStr">
        <is>
          <t>Open PDF</t>
        </is>
      </c>
    </row>
    <row r="110">
      <c r="A110" t="inlineStr">
        <is>
          <t>GDPR</t>
        </is>
      </c>
      <c r="B110" t="inlineStr">
        <is>
          <t>CELEX_52023PC0360_EN_TXT (GDPR - Row 13)</t>
        </is>
      </c>
      <c r="C110" t="inlineStr">
        <is>
          <t>3</t>
        </is>
      </c>
      <c r="D110" s="8" t="inlineStr">
        <is>
          <t>Revocation of delegated powers</t>
        </is>
      </c>
      <c r="E110" t="inlineStr">
        <is>
          <t>33</t>
        </is>
      </c>
      <c r="F110" t="inlineStr">
        <is>
          <t>Other</t>
        </is>
      </c>
      <c r="G110" t="inlineStr">
        <is>
          <t>Medium</t>
        </is>
      </c>
      <c r="H110" t="inlineStr">
        <is>
          <t>High (explicit)</t>
        </is>
      </c>
      <c r="I110" s="8" t="inlineStr"/>
      <c r="J110" s="8" t="inlineStr"/>
      <c r="K110" t="inlineStr"/>
      <c r="L110"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10" s="8" t="inlineStr">
        <is>
          <t>Allows for revocation of delegated powers by the European Parliament or Council, ensuring regulatory flexibility and oversight of delegated authority in financial data transfer rules.</t>
        </is>
      </c>
      <c r="N110"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10" s="8" t="inlineStr">
        <is>
          <t>The delegation of powers referred to in Article 11, may be revoked at any time by the European Parliament or by the Council.</t>
        </is>
      </c>
      <c r="P110" s="10" t="inlineStr">
        <is>
          <t>Open PDF</t>
        </is>
      </c>
    </row>
    <row r="111">
      <c r="A111" t="inlineStr">
        <is>
          <t>GDPR</t>
        </is>
      </c>
      <c r="B111" t="inlineStr">
        <is>
          <t>CELEX_52023PC0360_EN_TXT (GDPR - Row 13)</t>
        </is>
      </c>
      <c r="C111" t="inlineStr">
        <is>
          <t>3</t>
        </is>
      </c>
      <c r="D111" s="8" t="inlineStr">
        <is>
          <t>Revocation of delegated powers</t>
        </is>
      </c>
      <c r="E111" t="inlineStr">
        <is>
          <t>36</t>
        </is>
      </c>
      <c r="F111" t="inlineStr">
        <is>
          <t>Other</t>
        </is>
      </c>
      <c r="G111" t="inlineStr">
        <is>
          <t>Medium</t>
        </is>
      </c>
      <c r="H111" t="inlineStr">
        <is>
          <t>High (explicit)</t>
        </is>
      </c>
      <c r="I111" s="8" t="inlineStr"/>
      <c r="J111" s="8" t="inlineStr"/>
      <c r="K111" t="inlineStr"/>
      <c r="L111"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11" s="8" t="inlineStr">
        <is>
          <t>Allows for revocation of delegated powers by the European Parliament or Council, ensuring regulatory flexibility and oversight of delegated authority in financial data transfer rules.</t>
        </is>
      </c>
      <c r="N111"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11" s="8" t="inlineStr">
        <is>
          <t>The delegation of powers referred to in Article 11, may be revoked at any time by the European Parliament or by the Council.</t>
        </is>
      </c>
      <c r="P111" s="10" t="inlineStr">
        <is>
          <t>Open PDF</t>
        </is>
      </c>
    </row>
    <row r="112">
      <c r="A112" t="inlineStr">
        <is>
          <t>GDPR</t>
        </is>
      </c>
      <c r="B112" t="inlineStr">
        <is>
          <t>CELEX_52023PC0360_EN_TXT (GDPR - Row 13)</t>
        </is>
      </c>
      <c r="C112" t="inlineStr">
        <is>
          <t>3</t>
        </is>
      </c>
      <c r="D112" s="8" t="inlineStr">
        <is>
          <t>Revocation of delegated powers</t>
        </is>
      </c>
      <c r="E112" t="inlineStr">
        <is>
          <t>38</t>
        </is>
      </c>
      <c r="F112" t="inlineStr">
        <is>
          <t>Other</t>
        </is>
      </c>
      <c r="G112" t="inlineStr">
        <is>
          <t>Medium</t>
        </is>
      </c>
      <c r="H112" t="inlineStr">
        <is>
          <t>High (explicit)</t>
        </is>
      </c>
      <c r="I112" s="8" t="inlineStr"/>
      <c r="J112" s="8" t="inlineStr"/>
      <c r="K112" t="inlineStr"/>
      <c r="L112"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12" s="8" t="inlineStr">
        <is>
          <t>Allows for revocation of delegated powers by the European Parliament or Council, ensuring regulatory flexibility and oversight of delegated authority in financial data transfer rules.</t>
        </is>
      </c>
      <c r="N112"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12" s="8" t="inlineStr">
        <is>
          <t>The delegation of powers referred to in Article 11, may be revoked at any time by the European Parliament or by the Council.</t>
        </is>
      </c>
      <c r="P112" s="10" t="inlineStr">
        <is>
          <t>Open PDF</t>
        </is>
      </c>
    </row>
    <row r="113">
      <c r="A113" t="inlineStr">
        <is>
          <t>GDPR</t>
        </is>
      </c>
      <c r="B113" t="inlineStr">
        <is>
          <t>CELEX_52023PC0360_EN_TXT (GDPR - Row 13)</t>
        </is>
      </c>
      <c r="C113" t="inlineStr">
        <is>
          <t>3</t>
        </is>
      </c>
      <c r="D113" s="8" t="inlineStr">
        <is>
          <t>Revocation of delegated powers</t>
        </is>
      </c>
      <c r="E113" t="inlineStr">
        <is>
          <t>39</t>
        </is>
      </c>
      <c r="F113" t="inlineStr">
        <is>
          <t>Other</t>
        </is>
      </c>
      <c r="G113" t="inlineStr">
        <is>
          <t>Medium</t>
        </is>
      </c>
      <c r="H113" t="inlineStr">
        <is>
          <t>High (explicit)</t>
        </is>
      </c>
      <c r="I113" s="8" t="inlineStr"/>
      <c r="J113" s="8" t="inlineStr"/>
      <c r="K113" t="inlineStr"/>
      <c r="L113"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13" s="8" t="inlineStr">
        <is>
          <t>Allows for revocation of delegated powers by the European Parliament or Council, ensuring regulatory flexibility and oversight of delegated authority in financial data transfer rules.</t>
        </is>
      </c>
      <c r="N113"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13" s="8" t="inlineStr">
        <is>
          <t>The delegation of powers referred to in Article 11, may be revoked at any time by the European Parliament or by the Council.</t>
        </is>
      </c>
      <c r="P113" s="10" t="inlineStr">
        <is>
          <t>Open PDF</t>
        </is>
      </c>
    </row>
    <row r="114">
      <c r="A114" t="inlineStr">
        <is>
          <t>GDPR</t>
        </is>
      </c>
      <c r="B114" t="inlineStr">
        <is>
          <t>CELEX_52023PC0360_EN_TXT (GDPR - Row 13)</t>
        </is>
      </c>
      <c r="C114" t="inlineStr">
        <is>
          <t>3</t>
        </is>
      </c>
      <c r="D114" s="8" t="inlineStr">
        <is>
          <t>Revocation of delegated powers</t>
        </is>
      </c>
      <c r="E114" t="inlineStr">
        <is>
          <t>40</t>
        </is>
      </c>
      <c r="F114" t="inlineStr">
        <is>
          <t>Other</t>
        </is>
      </c>
      <c r="G114" t="inlineStr">
        <is>
          <t>Medium</t>
        </is>
      </c>
      <c r="H114" t="inlineStr">
        <is>
          <t>High (explicit)</t>
        </is>
      </c>
      <c r="I114" s="8" t="inlineStr"/>
      <c r="J114" s="8" t="inlineStr"/>
      <c r="K114" t="inlineStr"/>
      <c r="L114"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14" s="8" t="inlineStr">
        <is>
          <t>Allows for revocation of delegated powers by the European Parliament or Council, ensuring regulatory flexibility and oversight of delegated authority in financial data transfer rules.</t>
        </is>
      </c>
      <c r="N114"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14" s="8" t="inlineStr">
        <is>
          <t>The delegation of powers referred to in Article 11, may be revoked at any time by the European Parliament or by the Council.</t>
        </is>
      </c>
      <c r="P114" s="10" t="inlineStr">
        <is>
          <t>Open PDF</t>
        </is>
      </c>
    </row>
    <row r="115">
      <c r="A115" t="inlineStr">
        <is>
          <t>GDPR</t>
        </is>
      </c>
      <c r="B115" t="inlineStr">
        <is>
          <t>CELEX_52023PC0360_EN_TXT (GDPR - Row 13)</t>
        </is>
      </c>
      <c r="C115" t="inlineStr">
        <is>
          <t>3</t>
        </is>
      </c>
      <c r="D115" s="8" t="inlineStr">
        <is>
          <t>Revocation of delegated powers</t>
        </is>
      </c>
      <c r="E115" t="inlineStr">
        <is>
          <t>42</t>
        </is>
      </c>
      <c r="F115" t="inlineStr">
        <is>
          <t>Other</t>
        </is>
      </c>
      <c r="G115" t="inlineStr">
        <is>
          <t>Medium</t>
        </is>
      </c>
      <c r="H115" t="inlineStr">
        <is>
          <t>High (explicit)</t>
        </is>
      </c>
      <c r="I115" s="8" t="inlineStr"/>
      <c r="J115" s="8" t="inlineStr"/>
      <c r="K115" t="inlineStr"/>
      <c r="L115"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15" s="8" t="inlineStr">
        <is>
          <t>Allows for revocation of delegated powers by the European Parliament or Council, ensuring regulatory flexibility and oversight of delegated authority in financial data transfer rules.</t>
        </is>
      </c>
      <c r="N115"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15" s="8" t="inlineStr">
        <is>
          <t>The delegation of powers referred to in Article 11, may be revoked at any time by the European Parliament or by the Council.</t>
        </is>
      </c>
      <c r="P115" s="10" t="inlineStr">
        <is>
          <t>Open PDF</t>
        </is>
      </c>
    </row>
    <row r="116">
      <c r="A116" t="inlineStr">
        <is>
          <t>GDPR</t>
        </is>
      </c>
      <c r="B116" t="inlineStr">
        <is>
          <t>CELEX_52023PC0360_EN_TXT (GDPR - Row 13)</t>
        </is>
      </c>
      <c r="C116" t="inlineStr">
        <is>
          <t>3</t>
        </is>
      </c>
      <c r="D116" s="8" t="inlineStr">
        <is>
          <t>Revocation of delegated powers</t>
        </is>
      </c>
      <c r="E116" t="inlineStr">
        <is>
          <t>44</t>
        </is>
      </c>
      <c r="F116" t="inlineStr">
        <is>
          <t>Other</t>
        </is>
      </c>
      <c r="G116" t="inlineStr">
        <is>
          <t>Medium</t>
        </is>
      </c>
      <c r="H116" t="inlineStr">
        <is>
          <t>High (explicit)</t>
        </is>
      </c>
      <c r="I116" s="8" t="inlineStr"/>
      <c r="J116" s="8" t="inlineStr"/>
      <c r="K116" t="inlineStr"/>
      <c r="L116"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16" s="8" t="inlineStr">
        <is>
          <t>Allows for revocation of delegated powers by the European Parliament or Council, ensuring regulatory flexibility and oversight of delegated authority in financial data transfer rules.</t>
        </is>
      </c>
      <c r="N116"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16" s="8" t="inlineStr">
        <is>
          <t>The delegation of powers referred to in Article 11, may be revoked at any time by the European Parliament or by the Council.</t>
        </is>
      </c>
      <c r="P116" s="10" t="inlineStr">
        <is>
          <t>Open PDF</t>
        </is>
      </c>
    </row>
    <row r="117">
      <c r="A117" t="inlineStr">
        <is>
          <t>GDPR</t>
        </is>
      </c>
      <c r="B117" t="inlineStr">
        <is>
          <t>CELEX_52023PC0360_EN_TXT (GDPR - Row 13)</t>
        </is>
      </c>
      <c r="C117" t="inlineStr">
        <is>
          <t>3</t>
        </is>
      </c>
      <c r="D117" s="8" t="inlineStr">
        <is>
          <t>Revocation of delegated powers</t>
        </is>
      </c>
      <c r="E117" t="inlineStr">
        <is>
          <t>45</t>
        </is>
      </c>
      <c r="F117" t="inlineStr">
        <is>
          <t>Other</t>
        </is>
      </c>
      <c r="G117" t="inlineStr">
        <is>
          <t>Medium</t>
        </is>
      </c>
      <c r="H117" t="inlineStr">
        <is>
          <t>High (explicit)</t>
        </is>
      </c>
      <c r="I117" s="8" t="inlineStr"/>
      <c r="J117" s="8" t="inlineStr"/>
      <c r="K117" t="inlineStr"/>
      <c r="L117"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17" s="8" t="inlineStr">
        <is>
          <t>Allows for revocation of delegated powers by the European Parliament or Council, ensuring regulatory flexibility and oversight of delegated authority in financial data transfer rules.</t>
        </is>
      </c>
      <c r="N117"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17" s="8" t="inlineStr">
        <is>
          <t>The delegation of powers referred to in Article 11, may be revoked at any time by the European Parliament or by the Council.</t>
        </is>
      </c>
      <c r="P117" s="10" t="inlineStr">
        <is>
          <t>Open PDF</t>
        </is>
      </c>
    </row>
    <row r="118">
      <c r="A118" t="inlineStr">
        <is>
          <t>GDPR</t>
        </is>
      </c>
      <c r="B118" t="inlineStr">
        <is>
          <t>CELEX_52023PC0360_EN_TXT (GDPR - Row 13)</t>
        </is>
      </c>
      <c r="C118" t="inlineStr">
        <is>
          <t>3</t>
        </is>
      </c>
      <c r="D118" s="8" t="inlineStr">
        <is>
          <t>Revocation of delegated powers</t>
        </is>
      </c>
      <c r="E118" t="inlineStr">
        <is>
          <t>45–46</t>
        </is>
      </c>
      <c r="F118" t="inlineStr">
        <is>
          <t>Other</t>
        </is>
      </c>
      <c r="G118" t="inlineStr">
        <is>
          <t>Medium</t>
        </is>
      </c>
      <c r="H118" t="inlineStr">
        <is>
          <t>High (explicit)</t>
        </is>
      </c>
      <c r="I118" s="8" t="inlineStr"/>
      <c r="J118" s="8" t="inlineStr"/>
      <c r="K118" t="inlineStr"/>
      <c r="L118"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18" s="8" t="inlineStr">
        <is>
          <t>Allows for revocation of delegated powers by the European Parliament or Council, ensuring regulatory flexibility and oversight of delegated authority in financial data transfer rules.</t>
        </is>
      </c>
      <c r="N118"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18" s="8" t="inlineStr">
        <is>
          <t>The delegation of powers referred to in Article 11, may be revoked at any time by the European Parliament or by the Council.</t>
        </is>
      </c>
      <c r="P118" s="10" t="inlineStr">
        <is>
          <t>Open PDF</t>
        </is>
      </c>
    </row>
    <row r="119">
      <c r="A119" t="inlineStr">
        <is>
          <t>GDPR</t>
        </is>
      </c>
      <c r="B119" t="inlineStr">
        <is>
          <t>CELEX_52023PC0360_EN_TXT (GDPR - Row 13)</t>
        </is>
      </c>
      <c r="C119" t="inlineStr">
        <is>
          <t>3</t>
        </is>
      </c>
      <c r="D119" s="8" t="inlineStr">
        <is>
          <t>Revocation of delegated powers</t>
        </is>
      </c>
      <c r="E119" t="inlineStr">
        <is>
          <t>47</t>
        </is>
      </c>
      <c r="F119" t="inlineStr">
        <is>
          <t>Other</t>
        </is>
      </c>
      <c r="G119" t="inlineStr">
        <is>
          <t>Medium</t>
        </is>
      </c>
      <c r="H119" t="inlineStr">
        <is>
          <t>High (explicit)</t>
        </is>
      </c>
      <c r="I119" s="8" t="inlineStr"/>
      <c r="J119" s="8" t="inlineStr"/>
      <c r="K119" t="inlineStr"/>
      <c r="L119"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19" s="8" t="inlineStr">
        <is>
          <t>Allows for revocation of delegated powers by the European Parliament or Council, ensuring regulatory flexibility and oversight of delegated authority in financial data transfer rules.</t>
        </is>
      </c>
      <c r="N119"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19" s="8" t="inlineStr">
        <is>
          <t>The delegation of powers referred to in Article 11, may be revoked at any time by the European Parliament or by the Council.</t>
        </is>
      </c>
      <c r="P119" s="10" t="inlineStr">
        <is>
          <t>Open PDF</t>
        </is>
      </c>
    </row>
    <row r="120">
      <c r="A120" t="inlineStr">
        <is>
          <t>GDPR</t>
        </is>
      </c>
      <c r="B120" t="inlineStr">
        <is>
          <t>CELEX_52023PC0360_EN_TXT (GDPR - Row 13)</t>
        </is>
      </c>
      <c r="C120" t="inlineStr">
        <is>
          <t>3</t>
        </is>
      </c>
      <c r="D120" s="8" t="inlineStr">
        <is>
          <t>Revocation of delegated powers</t>
        </is>
      </c>
      <c r="E120" t="inlineStr">
        <is>
          <t>49</t>
        </is>
      </c>
      <c r="F120" t="inlineStr">
        <is>
          <t>Other</t>
        </is>
      </c>
      <c r="G120" t="inlineStr">
        <is>
          <t>Medium</t>
        </is>
      </c>
      <c r="H120" t="inlineStr">
        <is>
          <t>High (explicit)</t>
        </is>
      </c>
      <c r="I120" s="8" t="inlineStr"/>
      <c r="J120" s="8" t="inlineStr"/>
      <c r="K120" t="inlineStr"/>
      <c r="L120"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20" s="8" t="inlineStr">
        <is>
          <t>Allows for revocation of delegated powers by the European Parliament or Council, ensuring regulatory flexibility and oversight of delegated authority in financial data transfer rules.</t>
        </is>
      </c>
      <c r="N120"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20" s="8" t="inlineStr">
        <is>
          <t>The delegation of powers referred to in Article 11, may be revoked at any time by the European Parliament or by the Council.</t>
        </is>
      </c>
      <c r="P120" s="10" t="inlineStr">
        <is>
          <t>Open PDF</t>
        </is>
      </c>
    </row>
    <row r="121">
      <c r="A121" t="inlineStr">
        <is>
          <t>GDPR</t>
        </is>
      </c>
      <c r="B121" t="inlineStr">
        <is>
          <t>CELEX_52023PC0360_EN_TXT (GDPR - Row 13)</t>
        </is>
      </c>
      <c r="C121" t="inlineStr">
        <is>
          <t>3</t>
        </is>
      </c>
      <c r="D121" s="8" t="inlineStr">
        <is>
          <t>Revocation of delegated powers</t>
        </is>
      </c>
      <c r="E121" t="inlineStr">
        <is>
          <t>49</t>
        </is>
      </c>
      <c r="F121" t="inlineStr">
        <is>
          <t>Other</t>
        </is>
      </c>
      <c r="G121" t="inlineStr">
        <is>
          <t>Medium</t>
        </is>
      </c>
      <c r="H121" t="inlineStr">
        <is>
          <t>High (explicit)</t>
        </is>
      </c>
      <c r="I121" s="8" t="inlineStr"/>
      <c r="J121" s="8" t="inlineStr"/>
      <c r="K121" t="inlineStr"/>
      <c r="L121"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21" s="8" t="inlineStr">
        <is>
          <t>Allows for revocation of delegated powers by the European Parliament or Council, ensuring regulatory flexibility and oversight of delegated authority in financial data transfer rules.</t>
        </is>
      </c>
      <c r="N121"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21" s="8" t="inlineStr">
        <is>
          <t>The delegation of powers referred to in Article 11, may be revoked at any time by the European Parliament or by the Council.</t>
        </is>
      </c>
      <c r="P121" s="10" t="inlineStr">
        <is>
          <t>Open PDF</t>
        </is>
      </c>
    </row>
    <row r="122">
      <c r="A122" t="inlineStr">
        <is>
          <t>GDPR</t>
        </is>
      </c>
      <c r="B122" t="inlineStr">
        <is>
          <t>CELEX_52023PC0360_EN_TXT (GDPR - Row 13)</t>
        </is>
      </c>
      <c r="C122" t="inlineStr">
        <is>
          <t>3</t>
        </is>
      </c>
      <c r="D122" s="8" t="inlineStr">
        <is>
          <t>Revocation of delegated powers</t>
        </is>
      </c>
      <c r="E122" t="inlineStr">
        <is>
          <t>50</t>
        </is>
      </c>
      <c r="F122" t="inlineStr">
        <is>
          <t>Other</t>
        </is>
      </c>
      <c r="G122" t="inlineStr">
        <is>
          <t>Medium</t>
        </is>
      </c>
      <c r="H122" t="inlineStr">
        <is>
          <t>High (explicit)</t>
        </is>
      </c>
      <c r="I122" s="8" t="inlineStr"/>
      <c r="J122" s="8" t="inlineStr"/>
      <c r="K122" t="inlineStr"/>
      <c r="L122"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22" s="8" t="inlineStr">
        <is>
          <t>Allows for revocation of delegated powers by the European Parliament or Council, ensuring regulatory flexibility and oversight of delegated authority in financial data transfer rules.</t>
        </is>
      </c>
      <c r="N122"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22" s="8" t="inlineStr">
        <is>
          <t>The delegation of powers referred to in Article 11, may be revoked at any time by the European Parliament or by the Council.</t>
        </is>
      </c>
      <c r="P122" s="10" t="inlineStr">
        <is>
          <t>Open PDF</t>
        </is>
      </c>
    </row>
    <row r="123">
      <c r="A123" t="inlineStr">
        <is>
          <t>GDPR</t>
        </is>
      </c>
      <c r="B123" t="inlineStr">
        <is>
          <t>CELEX_52023PC0360_EN_TXT (GDPR - Row 13)</t>
        </is>
      </c>
      <c r="C123" t="inlineStr">
        <is>
          <t>3</t>
        </is>
      </c>
      <c r="D123" s="8" t="inlineStr">
        <is>
          <t>Revocation of delegated powers</t>
        </is>
      </c>
      <c r="E123" t="inlineStr">
        <is>
          <t>51</t>
        </is>
      </c>
      <c r="F123" t="inlineStr">
        <is>
          <t>Other</t>
        </is>
      </c>
      <c r="G123" t="inlineStr">
        <is>
          <t>Medium</t>
        </is>
      </c>
      <c r="H123" t="inlineStr">
        <is>
          <t>High (explicit)</t>
        </is>
      </c>
      <c r="I123" s="8" t="inlineStr"/>
      <c r="J123" s="8" t="inlineStr"/>
      <c r="K123" t="inlineStr"/>
      <c r="L123" s="8" t="inlineStr">
        <is>
          <t>The European Parliament or Council may revoke the delegation of powers at any time, with revocation taking effect the day after publication in the Official Journal of the European Union. Revocation does not affect the validity of previously adopted delegated acts.</t>
        </is>
      </c>
      <c r="M123" s="8" t="inlineStr">
        <is>
          <t>Allows for revocation of delegated powers by the European Parliament or Council, ensuring regulatory flexibility and oversight of delegated authority in financial data transfer rules.</t>
        </is>
      </c>
      <c r="N123" s="8" t="inlineStr">
        <is>
          <t>[Must] 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O123" s="8" t="inlineStr">
        <is>
          <t>The delegation of powers referred to in Article 11, may be revoked at any time by the European Parliament or by the Council.</t>
        </is>
      </c>
      <c r="P123" s="10" t="inlineStr">
        <is>
          <t>Open PDF</t>
        </is>
      </c>
    </row>
    <row r="124">
      <c r="A124" t="inlineStr">
        <is>
          <t>GDPR</t>
        </is>
      </c>
      <c r="B124" t="inlineStr">
        <is>
          <t>CELEX_52023PC0360_EN_TXT (GDPR - Row 13)</t>
        </is>
      </c>
      <c r="C124" t="inlineStr">
        <is>
          <t>3 (part 2)</t>
        </is>
      </c>
      <c r="D124" s="8" t="inlineStr">
        <is>
          <t>Financial data access economic impact assessment</t>
        </is>
      </c>
      <c r="E124" t="inlineStr">
        <is>
          <t>8–9</t>
        </is>
      </c>
      <c r="F124" t="inlineStr">
        <is>
          <t>Other</t>
        </is>
      </c>
      <c r="G124" t="inlineStr">
        <is>
          <t>High</t>
        </is>
      </c>
      <c r="H124" t="inlineStr">
        <is>
          <t>High (explicit)</t>
        </is>
      </c>
      <c r="I124" s="8" t="inlineStr">
        <is>
          <t>Financial Data</t>
        </is>
      </c>
      <c r="J124" s="8" t="inlineStr">
        <is>
          <t>Financial Data</t>
        </is>
      </c>
      <c r="K124" t="inlineStr"/>
      <c r="L124" s="8" t="inlineStr">
        <is>
          <t>This section provides a macroeconomic assessment of the potential economic benefits and costs of enhanced financial data access. It states that the proposal could generate annual benefits for the EU economy between EUR 4.6 billion and EUR 12.4 billion, including EUR 663 million to EUR 2 billion for the financial data economy. The proposal also involves one-off costs of EUR 2.2-2.4 billion and recurring annual costs of EUR 147-465 million. The assessment notes that while the proposal supports sustainable investment and inclusive finance, its economic impact is difficult to quantify precisely due to limited data availability and overlapping policy effects.</t>
        </is>
      </c>
      <c r="M124" s="8" t="inlineStr">
        <is>
          <t>This section describes potential economic benefits and costs of financial data sharing but does not specify technical safeguards or transfer conditions relevant to DTIAs. It is not directly applicable to data transfer impact assessments.</t>
        </is>
      </c>
      <c r="N124" s="8" t="inlineStr">
        <is>
          <t>[Information] The total annual benefits for the EU economy produced by enhanced access to and sharing of data in the EU financial sector ranges between EUR 4.6 billion and EUR 12.4 billion
[Information] The overall estimated cost of the proposal could be up to a range of EUR 2.2 billion to EUR 2.4 billion in one-off costs and between EUR 147 million to EUR 465 million in recurring annual costs</t>
        </is>
      </c>
      <c r="O124" s="8" t="inlineStr">
        <is>
          <t>According to this macroeconomic assessment, the total annual benefits for the EU economy produced by enhanced access to and sharing of data in the EU financial sector ranges between EUR 4.6 billion and EUR 12.4 billion, including the direct impact on the EU financial data economy in the range of EUR 663 million to EUR 2 billion per year.</t>
        </is>
      </c>
      <c r="P124" s="10" t="inlineStr">
        <is>
          <t>Open PDF</t>
        </is>
      </c>
    </row>
    <row r="125">
      <c r="A125" t="inlineStr">
        <is>
          <t>GDPR</t>
        </is>
      </c>
      <c r="B125" t="inlineStr">
        <is>
          <t>CELEX_52023PC0360_EN_TXT (GDPR - Row 13)</t>
        </is>
      </c>
      <c r="C125" t="inlineStr">
        <is>
          <t>4</t>
        </is>
      </c>
      <c r="D125" s="8" t="inlineStr">
        <is>
          <t>Consultation of Member State Experts Before Delegated Act Adoption</t>
        </is>
      </c>
      <c r="E125" t="inlineStr">
        <is>
          <t>9–10</t>
        </is>
      </c>
      <c r="F125" t="inlineStr">
        <is>
          <t>Other</t>
        </is>
      </c>
      <c r="G125" t="inlineStr">
        <is>
          <t>None</t>
        </is>
      </c>
      <c r="H125" t="inlineStr">
        <is>
          <t>High (explicit)</t>
        </is>
      </c>
      <c r="I125" s="8" t="inlineStr"/>
      <c r="J125" s="8" t="inlineStr"/>
      <c r="K125" t="inlineStr"/>
      <c r="L125"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25" s="8" t="inlineStr"/>
      <c r="N125" s="8" t="inlineStr">
        <is>
          <t>[Must] Before adopting a delegated act, the Commission shall consult experts signated by each Member State in accordance with the principles laid down in the Interinstitutional Agreement of 13 April 2016 on Better Law-Making.</t>
        </is>
      </c>
      <c r="O125" s="8" t="inlineStr">
        <is>
          <t>Before adopting a delegated act, the Commission shall consult experts signated by each Member State in accordance with the principles laid down in the Interinstitutional Agreement of 13 April 2016 on Better Law-Making.</t>
        </is>
      </c>
      <c r="P125" s="10" t="inlineStr">
        <is>
          <t>Open PDF</t>
        </is>
      </c>
    </row>
    <row r="126">
      <c r="A126" t="inlineStr">
        <is>
          <t>GDPR</t>
        </is>
      </c>
      <c r="B126" t="inlineStr">
        <is>
          <t>CELEX_52023PC0360_EN_TXT (GDPR - Row 13)</t>
        </is>
      </c>
      <c r="C126" t="inlineStr">
        <is>
          <t>4</t>
        </is>
      </c>
      <c r="D126" s="8" t="inlineStr">
        <is>
          <t>Consultation of Member State Experts Before Delegated Act Adoption</t>
        </is>
      </c>
      <c r="E126" t="inlineStr">
        <is>
          <t>28–31</t>
        </is>
      </c>
      <c r="F126" t="inlineStr">
        <is>
          <t>Other</t>
        </is>
      </c>
      <c r="G126" t="inlineStr">
        <is>
          <t>None</t>
        </is>
      </c>
      <c r="H126" t="inlineStr">
        <is>
          <t>High (explicit)</t>
        </is>
      </c>
      <c r="I126" s="8" t="inlineStr"/>
      <c r="J126" s="8" t="inlineStr"/>
      <c r="K126" t="inlineStr"/>
      <c r="L126"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26" s="8" t="inlineStr"/>
      <c r="N126" s="8" t="inlineStr">
        <is>
          <t>[Must] Before adopting a delegated act, the Commission shall consult experts signated by each Member State in accordance with the principles laid down in the Interinstitutional Agreement of 13 April 2016 on Better Law-Making.</t>
        </is>
      </c>
      <c r="O126" s="8" t="inlineStr">
        <is>
          <t>Before adopting a delegated act, the Commission shall consult experts signated by each Member State in accordance with the principles laid down in the Interinstitutional Agreement of 13 April 2016 on Better Law-Making.</t>
        </is>
      </c>
      <c r="P126" s="10" t="inlineStr">
        <is>
          <t>Open PDF</t>
        </is>
      </c>
    </row>
    <row r="127">
      <c r="A127" t="inlineStr">
        <is>
          <t>GDPR</t>
        </is>
      </c>
      <c r="B127" t="inlineStr">
        <is>
          <t>CELEX_52023PC0360_EN_TXT (GDPR - Row 13)</t>
        </is>
      </c>
      <c r="C127" t="inlineStr">
        <is>
          <t>4</t>
        </is>
      </c>
      <c r="D127" s="8" t="inlineStr">
        <is>
          <t>Consultation of Member State Experts Before Delegated Act Adoption</t>
        </is>
      </c>
      <c r="E127" t="inlineStr">
        <is>
          <t>32</t>
        </is>
      </c>
      <c r="F127" t="inlineStr">
        <is>
          <t>Other</t>
        </is>
      </c>
      <c r="G127" t="inlineStr">
        <is>
          <t>None</t>
        </is>
      </c>
      <c r="H127" t="inlineStr">
        <is>
          <t>High (explicit)</t>
        </is>
      </c>
      <c r="I127" s="8" t="inlineStr"/>
      <c r="J127" s="8" t="inlineStr"/>
      <c r="K127" t="inlineStr"/>
      <c r="L127"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27" s="8" t="inlineStr"/>
      <c r="N127" s="8" t="inlineStr">
        <is>
          <t>[Must] Before adopting a delegated act, the Commission shall consult experts signated by each Member State in accordance with the principles laid down in the Interinstitutional Agreement of 13 April 2016 on Better Law-Making.</t>
        </is>
      </c>
      <c r="O127" s="8" t="inlineStr">
        <is>
          <t>Before adopting a delegated act, the Commission shall consult experts signated by each Member State in accordance with the principles laid down in the Interinstitutional Agreement of 13 April 2016 on Better Law-Making.</t>
        </is>
      </c>
      <c r="P127" s="10" t="inlineStr">
        <is>
          <t>Open PDF</t>
        </is>
      </c>
    </row>
    <row r="128">
      <c r="A128" t="inlineStr">
        <is>
          <t>GDPR</t>
        </is>
      </c>
      <c r="B128" t="inlineStr">
        <is>
          <t>CELEX_52023PC0360_EN_TXT (GDPR - Row 13)</t>
        </is>
      </c>
      <c r="C128" t="inlineStr">
        <is>
          <t>4</t>
        </is>
      </c>
      <c r="D128" s="8" t="inlineStr">
        <is>
          <t>Consultation of Member State Experts Before Delegated Act Adoption</t>
        </is>
      </c>
      <c r="E128" t="inlineStr">
        <is>
          <t>33</t>
        </is>
      </c>
      <c r="F128" t="inlineStr">
        <is>
          <t>Other</t>
        </is>
      </c>
      <c r="G128" t="inlineStr">
        <is>
          <t>None</t>
        </is>
      </c>
      <c r="H128" t="inlineStr">
        <is>
          <t>High (explicit)</t>
        </is>
      </c>
      <c r="I128" s="8" t="inlineStr"/>
      <c r="J128" s="8" t="inlineStr"/>
      <c r="K128" t="inlineStr"/>
      <c r="L128"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28" s="8" t="inlineStr"/>
      <c r="N128" s="8" t="inlineStr">
        <is>
          <t>[Must] Before adopting a delegated act, the Commission shall consult experts signated by each Member State in accordance with the principles laid down in the Interinstitutional Agreement of 13 April 2016 on Better Law-Making.</t>
        </is>
      </c>
      <c r="O128" s="8" t="inlineStr">
        <is>
          <t>Before adopting a delegated act, the Commission shall consult experts signated by each Member State in accordance with the principles laid down in the Interinstitutional Agreement of 13 April 2016 on Better Law-Making.</t>
        </is>
      </c>
      <c r="P128" s="10" t="inlineStr">
        <is>
          <t>Open PDF</t>
        </is>
      </c>
    </row>
    <row r="129">
      <c r="A129" t="inlineStr">
        <is>
          <t>GDPR</t>
        </is>
      </c>
      <c r="B129" t="inlineStr">
        <is>
          <t>CELEX_52023PC0360_EN_TXT (GDPR - Row 13)</t>
        </is>
      </c>
      <c r="C129" t="inlineStr">
        <is>
          <t>4</t>
        </is>
      </c>
      <c r="D129" s="8" t="inlineStr">
        <is>
          <t>Consultation of Member State Experts Before Delegated Act Adoption</t>
        </is>
      </c>
      <c r="E129" t="inlineStr">
        <is>
          <t>33–34</t>
        </is>
      </c>
      <c r="F129" t="inlineStr">
        <is>
          <t>Other</t>
        </is>
      </c>
      <c r="G129" t="inlineStr">
        <is>
          <t>None</t>
        </is>
      </c>
      <c r="H129" t="inlineStr">
        <is>
          <t>High (explicit)</t>
        </is>
      </c>
      <c r="I129" s="8" t="inlineStr"/>
      <c r="J129" s="8" t="inlineStr"/>
      <c r="K129" t="inlineStr"/>
      <c r="L129"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29" s="8" t="inlineStr"/>
      <c r="N129" s="8" t="inlineStr">
        <is>
          <t>[Must] Before adopting a delegated act, the Commission shall consult experts signated by each Member State in accordance with the principles laid down in the Interinstitutional Agreement of 13 April 2016 on Better Law-Making.</t>
        </is>
      </c>
      <c r="O129" s="8" t="inlineStr">
        <is>
          <t>Before adopting a delegated act, the Commission shall consult experts signated by each Member State in accordance with the principles laid down in the Interinstitutional Agreement of 13 April 2016 on Better Law-Making.</t>
        </is>
      </c>
      <c r="P129" s="10" t="inlineStr">
        <is>
          <t>Open PDF</t>
        </is>
      </c>
    </row>
    <row r="130">
      <c r="A130" t="inlineStr">
        <is>
          <t>GDPR</t>
        </is>
      </c>
      <c r="B130" t="inlineStr">
        <is>
          <t>CELEX_52023PC0360_EN_TXT (GDPR - Row 13)</t>
        </is>
      </c>
      <c r="C130" t="inlineStr">
        <is>
          <t>4</t>
        </is>
      </c>
      <c r="D130" s="8" t="inlineStr">
        <is>
          <t>Consultation of Member State Experts Before Delegated Act Adoption</t>
        </is>
      </c>
      <c r="E130" t="inlineStr">
        <is>
          <t>36</t>
        </is>
      </c>
      <c r="F130" t="inlineStr">
        <is>
          <t>Other</t>
        </is>
      </c>
      <c r="G130" t="inlineStr">
        <is>
          <t>None</t>
        </is>
      </c>
      <c r="H130" t="inlineStr">
        <is>
          <t>High (explicit)</t>
        </is>
      </c>
      <c r="I130" s="8" t="inlineStr"/>
      <c r="J130" s="8" t="inlineStr"/>
      <c r="K130" t="inlineStr"/>
      <c r="L130"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30" s="8" t="inlineStr"/>
      <c r="N130" s="8" t="inlineStr">
        <is>
          <t>[Must] Before adopting a delegated act, the Commission shall consult experts signated by each Member State in accordance with the principles laid down in the Interinstitutional Agreement of 13 April 2016 on Better Law-Making.</t>
        </is>
      </c>
      <c r="O130" s="8" t="inlineStr">
        <is>
          <t>Before adopting a delegated act, the Commission shall consult experts signated by each Member State in accordance with the principles laid down in the Interinstitutional Agreement of 13 April 2016 on Better Law-Making.</t>
        </is>
      </c>
      <c r="P130" s="10" t="inlineStr">
        <is>
          <t>Open PDF</t>
        </is>
      </c>
    </row>
    <row r="131">
      <c r="A131" t="inlineStr">
        <is>
          <t>GDPR</t>
        </is>
      </c>
      <c r="B131" t="inlineStr">
        <is>
          <t>CELEX_52023PC0360_EN_TXT (GDPR - Row 13)</t>
        </is>
      </c>
      <c r="C131" t="inlineStr">
        <is>
          <t>4</t>
        </is>
      </c>
      <c r="D131" s="8" t="inlineStr">
        <is>
          <t>Consultation of Member State Experts Before Delegated Act Adoption</t>
        </is>
      </c>
      <c r="E131" t="inlineStr">
        <is>
          <t>38–39</t>
        </is>
      </c>
      <c r="F131" t="inlineStr">
        <is>
          <t>Other</t>
        </is>
      </c>
      <c r="G131" t="inlineStr">
        <is>
          <t>None</t>
        </is>
      </c>
      <c r="H131" t="inlineStr">
        <is>
          <t>High (explicit)</t>
        </is>
      </c>
      <c r="I131" s="8" t="inlineStr"/>
      <c r="J131" s="8" t="inlineStr"/>
      <c r="K131" t="inlineStr"/>
      <c r="L131"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31" s="8" t="inlineStr"/>
      <c r="N131" s="8" t="inlineStr">
        <is>
          <t>[Must] Before adopting a delegated act, the Commission shall consult experts signated by each Member State in accordance with the principles laid down in the Interinstitutional Agreement of 13 April 2016 on Better Law-Making.</t>
        </is>
      </c>
      <c r="O131" s="8" t="inlineStr">
        <is>
          <t>Before adopting a delegated act, the Commission shall consult experts signated by each Member State in accordance with the principles laid down in the Interinstitutional Agreement of 13 April 2016 on Better Law-Making.</t>
        </is>
      </c>
      <c r="P131" s="10" t="inlineStr">
        <is>
          <t>Open PDF</t>
        </is>
      </c>
    </row>
    <row r="132">
      <c r="A132" t="inlineStr">
        <is>
          <t>GDPR</t>
        </is>
      </c>
      <c r="B132" t="inlineStr">
        <is>
          <t>CELEX_52023PC0360_EN_TXT (GDPR - Row 13)</t>
        </is>
      </c>
      <c r="C132" t="inlineStr">
        <is>
          <t>4</t>
        </is>
      </c>
      <c r="D132" s="8" t="inlineStr">
        <is>
          <t>Consultation of Member State Experts Before Delegated Act Adoption</t>
        </is>
      </c>
      <c r="E132" t="inlineStr">
        <is>
          <t>39</t>
        </is>
      </c>
      <c r="F132" t="inlineStr">
        <is>
          <t>Other</t>
        </is>
      </c>
      <c r="G132" t="inlineStr">
        <is>
          <t>None</t>
        </is>
      </c>
      <c r="H132" t="inlineStr">
        <is>
          <t>High (explicit)</t>
        </is>
      </c>
      <c r="I132" s="8" t="inlineStr"/>
      <c r="J132" s="8" t="inlineStr"/>
      <c r="K132" t="inlineStr"/>
      <c r="L132"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32" s="8" t="inlineStr"/>
      <c r="N132" s="8" t="inlineStr">
        <is>
          <t>[Must] Before adopting a delegated act, the Commission shall consult experts signated by each Member State in accordance with the principles laid down in the Interinstitutional Agreement of 13 April 2016 on Better Law-Making.</t>
        </is>
      </c>
      <c r="O132" s="8" t="inlineStr">
        <is>
          <t>Before adopting a delegated act, the Commission shall consult experts signated by each Member State in accordance with the principles laid down in the Interinstitutional Agreement of 13 April 2016 on Better Law-Making.</t>
        </is>
      </c>
      <c r="P132" s="10" t="inlineStr">
        <is>
          <t>Open PDF</t>
        </is>
      </c>
    </row>
    <row r="133">
      <c r="A133" t="inlineStr">
        <is>
          <t>GDPR</t>
        </is>
      </c>
      <c r="B133" t="inlineStr">
        <is>
          <t>CELEX_52023PC0360_EN_TXT (GDPR - Row 13)</t>
        </is>
      </c>
      <c r="C133" t="inlineStr">
        <is>
          <t>4</t>
        </is>
      </c>
      <c r="D133" s="8" t="inlineStr">
        <is>
          <t>Consultation of Member State Experts Before Delegated Act Adoption</t>
        </is>
      </c>
      <c r="E133" t="inlineStr">
        <is>
          <t>40</t>
        </is>
      </c>
      <c r="F133" t="inlineStr">
        <is>
          <t>Other</t>
        </is>
      </c>
      <c r="G133" t="inlineStr">
        <is>
          <t>None</t>
        </is>
      </c>
      <c r="H133" t="inlineStr">
        <is>
          <t>High (explicit)</t>
        </is>
      </c>
      <c r="I133" s="8" t="inlineStr"/>
      <c r="J133" s="8" t="inlineStr"/>
      <c r="K133" t="inlineStr"/>
      <c r="L133"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33" s="8" t="inlineStr"/>
      <c r="N133" s="8" t="inlineStr">
        <is>
          <t>[Must] Before adopting a delegated act, the Commission shall consult experts signated by each Member State in accordance with the principles laid down in the Interinstitutional Agreement of 13 April 2016 on Better Law-Making.</t>
        </is>
      </c>
      <c r="O133" s="8" t="inlineStr">
        <is>
          <t>Before adopting a delegated act, the Commission shall consult experts signated by each Member State in accordance with the principles laid down in the Interinstitutional Agreement of 13 April 2016 on Better Law-Making.</t>
        </is>
      </c>
      <c r="P133" s="10" t="inlineStr">
        <is>
          <t>Open PDF</t>
        </is>
      </c>
    </row>
    <row r="134">
      <c r="A134" t="inlineStr">
        <is>
          <t>GDPR</t>
        </is>
      </c>
      <c r="B134" t="inlineStr">
        <is>
          <t>CELEX_52023PC0360_EN_TXT (GDPR - Row 13)</t>
        </is>
      </c>
      <c r="C134" t="inlineStr">
        <is>
          <t>4</t>
        </is>
      </c>
      <c r="D134" s="8" t="inlineStr">
        <is>
          <t>Consultation of Member State Experts Before Delegated Act Adoption</t>
        </is>
      </c>
      <c r="E134" t="inlineStr">
        <is>
          <t>41</t>
        </is>
      </c>
      <c r="F134" t="inlineStr">
        <is>
          <t>Other</t>
        </is>
      </c>
      <c r="G134" t="inlineStr">
        <is>
          <t>None</t>
        </is>
      </c>
      <c r="H134" t="inlineStr">
        <is>
          <t>High (explicit)</t>
        </is>
      </c>
      <c r="I134" s="8" t="inlineStr"/>
      <c r="J134" s="8" t="inlineStr"/>
      <c r="K134" t="inlineStr"/>
      <c r="L134"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34" s="8" t="inlineStr"/>
      <c r="N134" s="8" t="inlineStr">
        <is>
          <t>[Must] Before adopting a delegated act, the Commission shall consult experts signated by each Member State in accordance with the principles laid down in the Interinstitutional Agreement of 13 April 2016 on Better Law-Making.</t>
        </is>
      </c>
      <c r="O134" s="8" t="inlineStr">
        <is>
          <t>Before adopting a delegated act, the Commission shall consult experts signated by each Member State in accordance with the principles laid down in the Interinstitutional Agreement of 13 April 2016 on Better Law-Making.</t>
        </is>
      </c>
      <c r="P134" s="10" t="inlineStr">
        <is>
          <t>Open PDF</t>
        </is>
      </c>
    </row>
    <row r="135">
      <c r="A135" t="inlineStr">
        <is>
          <t>GDPR</t>
        </is>
      </c>
      <c r="B135" t="inlineStr">
        <is>
          <t>CELEX_52023PC0360_EN_TXT (GDPR - Row 13)</t>
        </is>
      </c>
      <c r="C135" t="inlineStr">
        <is>
          <t>4</t>
        </is>
      </c>
      <c r="D135" s="8" t="inlineStr">
        <is>
          <t>Consultation of Member State Experts Before Delegated Act Adoption</t>
        </is>
      </c>
      <c r="E135" t="inlineStr">
        <is>
          <t>42</t>
        </is>
      </c>
      <c r="F135" t="inlineStr">
        <is>
          <t>Other</t>
        </is>
      </c>
      <c r="G135" t="inlineStr">
        <is>
          <t>None</t>
        </is>
      </c>
      <c r="H135" t="inlineStr">
        <is>
          <t>High (explicit)</t>
        </is>
      </c>
      <c r="I135" s="8" t="inlineStr"/>
      <c r="J135" s="8" t="inlineStr"/>
      <c r="K135" t="inlineStr"/>
      <c r="L135"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35" s="8" t="inlineStr"/>
      <c r="N135" s="8" t="inlineStr">
        <is>
          <t>[Must] Before adopting a delegated act, the Commission shall consult experts signated by each Member State in accordance with the principles laid down in the Interinstitutional Agreement of 13 April 2016 on Better Law-Making.</t>
        </is>
      </c>
      <c r="O135" s="8" t="inlineStr">
        <is>
          <t>Before adopting a delegated act, the Commission shall consult experts signated by each Member State in accordance with the principles laid down in the Interinstitutional Agreement of 13 April 2016 on Better Law-Making.</t>
        </is>
      </c>
      <c r="P135" s="10" t="inlineStr">
        <is>
          <t>Open PDF</t>
        </is>
      </c>
    </row>
    <row r="136">
      <c r="A136" t="inlineStr">
        <is>
          <t>GDPR</t>
        </is>
      </c>
      <c r="B136" t="inlineStr">
        <is>
          <t>CELEX_52023PC0360_EN_TXT (GDPR - Row 13)</t>
        </is>
      </c>
      <c r="C136" t="inlineStr">
        <is>
          <t>4</t>
        </is>
      </c>
      <c r="D136" s="8" t="inlineStr">
        <is>
          <t>Consultation of Member State Experts Before Delegated Act Adoption</t>
        </is>
      </c>
      <c r="E136" t="inlineStr">
        <is>
          <t>46</t>
        </is>
      </c>
      <c r="F136" t="inlineStr">
        <is>
          <t>Other</t>
        </is>
      </c>
      <c r="G136" t="inlineStr">
        <is>
          <t>None</t>
        </is>
      </c>
      <c r="H136" t="inlineStr">
        <is>
          <t>High (explicit)</t>
        </is>
      </c>
      <c r="I136" s="8" t="inlineStr"/>
      <c r="J136" s="8" t="inlineStr"/>
      <c r="K136" t="inlineStr"/>
      <c r="L136"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36" s="8" t="inlineStr"/>
      <c r="N136" s="8" t="inlineStr">
        <is>
          <t>[Must] Before adopting a delegated act, the Commission shall consult experts signated by each Member State in accordance with the principles laid down in the Interinstitutional Agreement of 13 April 2016 on Better Law-Making.</t>
        </is>
      </c>
      <c r="O136" s="8" t="inlineStr">
        <is>
          <t>Before adopting a delegated act, the Commission shall consult experts signated by each Member State in accordance with the principles laid down in the Interinstitutional Agreement of 13 April 2016 on Better Law-Making.</t>
        </is>
      </c>
      <c r="P136" s="10" t="inlineStr">
        <is>
          <t>Open PDF</t>
        </is>
      </c>
    </row>
    <row r="137">
      <c r="A137" t="inlineStr">
        <is>
          <t>GDPR</t>
        </is>
      </c>
      <c r="B137" t="inlineStr">
        <is>
          <t>CELEX_52023PC0360_EN_TXT (GDPR - Row 13)</t>
        </is>
      </c>
      <c r="C137" t="inlineStr">
        <is>
          <t>4</t>
        </is>
      </c>
      <c r="D137" s="8" t="inlineStr">
        <is>
          <t>Consultation of Member State Experts Before Delegated Act Adoption</t>
        </is>
      </c>
      <c r="E137" t="inlineStr">
        <is>
          <t>49</t>
        </is>
      </c>
      <c r="F137" t="inlineStr">
        <is>
          <t>Other</t>
        </is>
      </c>
      <c r="G137" t="inlineStr">
        <is>
          <t>None</t>
        </is>
      </c>
      <c r="H137" t="inlineStr">
        <is>
          <t>High (explicit)</t>
        </is>
      </c>
      <c r="I137" s="8" t="inlineStr"/>
      <c r="J137" s="8" t="inlineStr"/>
      <c r="K137" t="inlineStr"/>
      <c r="L137"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37" s="8" t="inlineStr"/>
      <c r="N137" s="8" t="inlineStr">
        <is>
          <t>[Must] Before adopting a delegated act, the Commission shall consult experts signated by each Member State in accordance with the principles laid down in the Interinstitutional Agreement of 13 April 2016 on Better Law-Making.</t>
        </is>
      </c>
      <c r="O137" s="8" t="inlineStr">
        <is>
          <t>Before adopting a delegated act, the Commission shall consult experts signated by each Member State in accordance with the principles laid down in the Interinstitutional Agreement of 13 April 2016 on Better Law-Making.</t>
        </is>
      </c>
      <c r="P137" s="10" t="inlineStr">
        <is>
          <t>Open PDF</t>
        </is>
      </c>
    </row>
    <row r="138">
      <c r="A138" t="inlineStr">
        <is>
          <t>GDPR</t>
        </is>
      </c>
      <c r="B138" t="inlineStr">
        <is>
          <t>CELEX_52023PC0360_EN_TXT (GDPR - Row 13)</t>
        </is>
      </c>
      <c r="C138" t="inlineStr">
        <is>
          <t>4</t>
        </is>
      </c>
      <c r="D138" s="8" t="inlineStr">
        <is>
          <t>Consultation of Member State Experts Before Delegated Act Adoption</t>
        </is>
      </c>
      <c r="E138" t="inlineStr">
        <is>
          <t>49</t>
        </is>
      </c>
      <c r="F138" t="inlineStr">
        <is>
          <t>Other</t>
        </is>
      </c>
      <c r="G138" t="inlineStr">
        <is>
          <t>None</t>
        </is>
      </c>
      <c r="H138" t="inlineStr">
        <is>
          <t>High (explicit)</t>
        </is>
      </c>
      <c r="I138" s="8" t="inlineStr"/>
      <c r="J138" s="8" t="inlineStr"/>
      <c r="K138" t="inlineStr"/>
      <c r="L138"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38" s="8" t="inlineStr"/>
      <c r="N138" s="8" t="inlineStr">
        <is>
          <t>[Must] Before adopting a delegated act, the Commission shall consult experts signated by each Member State in accordance with the principles laid down in the Interinstitutional Agreement of 13 April 2016 on Better Law-Making.</t>
        </is>
      </c>
      <c r="O138" s="8" t="inlineStr">
        <is>
          <t>Before adopting a delegated act, the Commission shall consult experts signated by each Member State in accordance with the principles laid down in the Interinstitutional Agreement of 13 April 2016 on Better Law-Making.</t>
        </is>
      </c>
      <c r="P138" s="10" t="inlineStr">
        <is>
          <t>Open PDF</t>
        </is>
      </c>
    </row>
    <row r="139">
      <c r="A139" t="inlineStr">
        <is>
          <t>GDPR</t>
        </is>
      </c>
      <c r="B139" t="inlineStr">
        <is>
          <t>CELEX_52023PC0360_EN_TXT (GDPR - Row 13)</t>
        </is>
      </c>
      <c r="C139" t="inlineStr">
        <is>
          <t>4</t>
        </is>
      </c>
      <c r="D139" s="8" t="inlineStr">
        <is>
          <t>Consultation of Member State Experts Before Delegated Act Adoption</t>
        </is>
      </c>
      <c r="E139" t="inlineStr">
        <is>
          <t>50–51</t>
        </is>
      </c>
      <c r="F139" t="inlineStr">
        <is>
          <t>Other</t>
        </is>
      </c>
      <c r="G139" t="inlineStr">
        <is>
          <t>None</t>
        </is>
      </c>
      <c r="H139" t="inlineStr">
        <is>
          <t>High (explicit)</t>
        </is>
      </c>
      <c r="I139" s="8" t="inlineStr"/>
      <c r="J139" s="8" t="inlineStr"/>
      <c r="K139" t="inlineStr"/>
      <c r="L139"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39" s="8" t="inlineStr"/>
      <c r="N139" s="8" t="inlineStr">
        <is>
          <t>[Must] Before adopting a delegated act, the Commission shall consult experts signated by each Member State in accordance with the principles laid down in the Interinstitutional Agreement of 13 April 2016 on Better Law-Making.</t>
        </is>
      </c>
      <c r="O139" s="8" t="inlineStr">
        <is>
          <t>Before adopting a delegated act, the Commission shall consult experts signated by each Member State in accordance with the principles laid down in the Interinstitutional Agreement of 13 April 2016 on Better Law-Making.</t>
        </is>
      </c>
      <c r="P139" s="10" t="inlineStr">
        <is>
          <t>Open PDF</t>
        </is>
      </c>
    </row>
    <row r="140">
      <c r="A140" t="inlineStr">
        <is>
          <t>GDPR</t>
        </is>
      </c>
      <c r="B140" t="inlineStr">
        <is>
          <t>CELEX_52023PC0360_EN_TXT (GDPR - Row 13)</t>
        </is>
      </c>
      <c r="C140" t="inlineStr">
        <is>
          <t>4</t>
        </is>
      </c>
      <c r="D140" s="8" t="inlineStr">
        <is>
          <t>Consultation of Member State Experts Before Delegated Act Adoption</t>
        </is>
      </c>
      <c r="E140" t="inlineStr">
        <is>
          <t>51</t>
        </is>
      </c>
      <c r="F140" t="inlineStr">
        <is>
          <t>Other</t>
        </is>
      </c>
      <c r="G140" t="inlineStr">
        <is>
          <t>None</t>
        </is>
      </c>
      <c r="H140" t="inlineStr">
        <is>
          <t>High (explicit)</t>
        </is>
      </c>
      <c r="I140" s="8" t="inlineStr"/>
      <c r="J140" s="8" t="inlineStr"/>
      <c r="K140" t="inlineStr"/>
      <c r="L140" s="8" t="inlineStr">
        <is>
          <t>Before adopting a delegated act,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acts.</t>
        </is>
      </c>
      <c r="M140" s="8" t="inlineStr"/>
      <c r="N140" s="8" t="inlineStr">
        <is>
          <t>[Must] Before adopting a delegated act, the Commission shall consult experts signated by each Member State in accordance with the principles laid down in the Interinstitutional Agreement of 13 April 2016 on Better Law-Making.</t>
        </is>
      </c>
      <c r="O140" s="8" t="inlineStr">
        <is>
          <t>Before adopting a delegated act, the Commission shall consult experts signated by each Member State in accordance with the principles laid down in the Interinstitutional Agreement of 13 April 2016 on Better Law-Making.</t>
        </is>
      </c>
      <c r="P140" s="10" t="inlineStr">
        <is>
          <t>Open PDF</t>
        </is>
      </c>
    </row>
    <row r="141">
      <c r="A141" t="inlineStr">
        <is>
          <t>GDPR</t>
        </is>
      </c>
      <c r="B141" t="inlineStr">
        <is>
          <t>CELEX_52023PC0360_EN_TXT (GDPR - Row 13)</t>
        </is>
      </c>
      <c r="C141" t="inlineStr">
        <is>
          <t>5</t>
        </is>
      </c>
      <c r="D141" s="8" t="inlineStr">
        <is>
          <t>Cooperation with supervisory authorities for personal data processing</t>
        </is>
      </c>
      <c r="E141" t="inlineStr">
        <is>
          <t>10–14</t>
        </is>
      </c>
      <c r="F141" t="inlineStr">
        <is>
          <t>Cross-border Transfer</t>
        </is>
      </c>
      <c r="G141" t="inlineStr">
        <is>
          <t>High</t>
        </is>
      </c>
      <c r="H141" t="inlineStr">
        <is>
          <t>High (explicit)</t>
        </is>
      </c>
      <c r="I141" s="8" t="inlineStr">
        <is>
          <t>Cross-border Transfer</t>
        </is>
      </c>
      <c r="J141" s="8" t="inlineStr">
        <is>
          <t>Personal Information</t>
        </is>
      </c>
      <c r="K141" t="inlineStr">
        <is>
          <t>Competent authorities</t>
        </is>
      </c>
      <c r="L141" s="8" t="inlineStr">
        <is>
          <t>When obligations under this Regulation involve processing personal data, competent authorities must cooperate with supervisory authorities established under GDPR. This cooperation ensures that personal data processing activities comply with GDPR requirements across Member States.</t>
        </is>
      </c>
      <c r="M141" s="8" t="inlineStr">
        <is>
          <t>This section mandates that competent authorities work with GDPR supervisory authorities when handling personal data, which impacts DTIAs by requiring alignment with GDPR's data protection standards during cross-border financial data exchanges.</t>
        </is>
      </c>
      <c r="N141" s="8" t="inlineStr">
        <is>
          <t>[Must] Where obligations under this Regulation concern the processing of personal data, competent authorities shall cooperate with the supervisory authorities established pursuant to Regulation (EU) 2016/679.</t>
        </is>
      </c>
      <c r="O141" s="8" t="inlineStr">
        <is>
          <t>Where obligations under this Regulation concern the processing of personal data, competent authorities shall cooperate with the supervisory authorities established pursuant to Regulation (EU) 2016/679.</t>
        </is>
      </c>
      <c r="P141" s="10" t="inlineStr">
        <is>
          <t>Open PDF</t>
        </is>
      </c>
    </row>
    <row r="142">
      <c r="A142" t="inlineStr">
        <is>
          <t>GDPR</t>
        </is>
      </c>
      <c r="B142" t="inlineStr">
        <is>
          <t>CELEX_52023PC0360_EN_TXT (GDPR - Row 13)</t>
        </is>
      </c>
      <c r="C142" t="inlineStr">
        <is>
          <t>5</t>
        </is>
      </c>
      <c r="D142" s="8" t="inlineStr">
        <is>
          <t>Cooperation with supervisory authorities for personal data processing</t>
        </is>
      </c>
      <c r="E142" t="inlineStr">
        <is>
          <t>36</t>
        </is>
      </c>
      <c r="F142" t="inlineStr">
        <is>
          <t>Cross-border Transfer</t>
        </is>
      </c>
      <c r="G142" t="inlineStr">
        <is>
          <t>High</t>
        </is>
      </c>
      <c r="H142" t="inlineStr">
        <is>
          <t>High (explicit)</t>
        </is>
      </c>
      <c r="I142" s="8" t="inlineStr">
        <is>
          <t>Cross-border Transfer</t>
        </is>
      </c>
      <c r="J142" s="8" t="inlineStr">
        <is>
          <t>Personal Information</t>
        </is>
      </c>
      <c r="K142" t="inlineStr">
        <is>
          <t>Competent authorities</t>
        </is>
      </c>
      <c r="L142" s="8" t="inlineStr">
        <is>
          <t>When obligations under this Regulation involve processing personal data, competent authorities must cooperate with supervisory authorities established under GDPR. This cooperation ensures that personal data processing activities comply with GDPR requirements across Member States.</t>
        </is>
      </c>
      <c r="M142" s="8" t="inlineStr">
        <is>
          <t>This section mandates that competent authorities work with GDPR supervisory authorities when handling personal data, which impacts DTIAs by requiring alignment with GDPR's data protection standards during cross-border financial data exchanges.</t>
        </is>
      </c>
      <c r="N142" s="8" t="inlineStr">
        <is>
          <t>[Must] Where obligations under this Regulation concern the processing of personal data, competent authorities shall cooperate with the supervisory authorities established pursuant to Regulation (EU) 2016/679.</t>
        </is>
      </c>
      <c r="O142" s="8" t="inlineStr">
        <is>
          <t>Where obligations under this Regulation concern the processing of personal data, competent authorities shall cooperate with the supervisory authorities established pursuant to Regulation (EU) 2016/679.</t>
        </is>
      </c>
      <c r="P142" s="10" t="inlineStr">
        <is>
          <t>Open PDF</t>
        </is>
      </c>
    </row>
    <row r="143">
      <c r="A143" t="inlineStr">
        <is>
          <t>GDPR</t>
        </is>
      </c>
      <c r="B143" t="inlineStr">
        <is>
          <t>CELEX_52023PC0360_EN_TXT (GDPR - Row 13)</t>
        </is>
      </c>
      <c r="C143" t="inlineStr">
        <is>
          <t>5</t>
        </is>
      </c>
      <c r="D143" s="8" t="inlineStr">
        <is>
          <t>Cooperation with supervisory authorities for personal data processing</t>
        </is>
      </c>
      <c r="E143" t="inlineStr">
        <is>
          <t>39</t>
        </is>
      </c>
      <c r="F143" t="inlineStr">
        <is>
          <t>Cross-border Transfer</t>
        </is>
      </c>
      <c r="G143" t="inlineStr">
        <is>
          <t>High</t>
        </is>
      </c>
      <c r="H143" t="inlineStr">
        <is>
          <t>High (explicit)</t>
        </is>
      </c>
      <c r="I143" s="8" t="inlineStr">
        <is>
          <t>Cross-border Transfer</t>
        </is>
      </c>
      <c r="J143" s="8" t="inlineStr">
        <is>
          <t>Personal Information</t>
        </is>
      </c>
      <c r="K143" t="inlineStr">
        <is>
          <t>Competent authorities</t>
        </is>
      </c>
      <c r="L143" s="8" t="inlineStr">
        <is>
          <t>When obligations under this Regulation involve processing personal data, competent authorities must cooperate with supervisory authorities established under GDPR. This cooperation ensures that personal data processing activities comply with GDPR requirements across Member States.</t>
        </is>
      </c>
      <c r="M143" s="8" t="inlineStr">
        <is>
          <t>This section mandates that competent authorities work with GDPR supervisory authorities when handling personal data, which impacts DTIAs by requiring alignment with GDPR's data protection standards during cross-border financial data exchanges.</t>
        </is>
      </c>
      <c r="N143" s="8" t="inlineStr">
        <is>
          <t>[Must] Where obligations under this Regulation concern the processing of personal data, competent authorities shall cooperate with the supervisory authorities established pursuant to Regulation (EU) 2016/679.</t>
        </is>
      </c>
      <c r="O143" s="8" t="inlineStr">
        <is>
          <t>Where obligations under this Regulation concern the processing of personal data, competent authorities shall cooperate with the supervisory authorities established pursuant to Regulation (EU) 2016/679.</t>
        </is>
      </c>
      <c r="P143" s="10" t="inlineStr">
        <is>
          <t>Open PDF</t>
        </is>
      </c>
    </row>
    <row r="144">
      <c r="A144" t="inlineStr">
        <is>
          <t>GDPR</t>
        </is>
      </c>
      <c r="B144" t="inlineStr">
        <is>
          <t>CELEX_52023PC0360_EN_TXT (GDPR - Row 13)</t>
        </is>
      </c>
      <c r="C144" t="inlineStr">
        <is>
          <t>5</t>
        </is>
      </c>
      <c r="D144" s="8" t="inlineStr">
        <is>
          <t>Cooperation with supervisory authorities for personal data processing</t>
        </is>
      </c>
      <c r="E144" t="inlineStr">
        <is>
          <t>40</t>
        </is>
      </c>
      <c r="F144" t="inlineStr">
        <is>
          <t>Cross-border Transfer</t>
        </is>
      </c>
      <c r="G144" t="inlineStr">
        <is>
          <t>High</t>
        </is>
      </c>
      <c r="H144" t="inlineStr">
        <is>
          <t>High (explicit)</t>
        </is>
      </c>
      <c r="I144" s="8" t="inlineStr">
        <is>
          <t>Cross-border Transfer</t>
        </is>
      </c>
      <c r="J144" s="8" t="inlineStr">
        <is>
          <t>Personal Information</t>
        </is>
      </c>
      <c r="K144" t="inlineStr">
        <is>
          <t>Competent authorities</t>
        </is>
      </c>
      <c r="L144" s="8" t="inlineStr">
        <is>
          <t>When obligations under this Regulation involve processing personal data, competent authorities must cooperate with supervisory authorities established under GDPR. This cooperation ensures that personal data processing activities comply with GDPR requirements across Member States.</t>
        </is>
      </c>
      <c r="M144" s="8" t="inlineStr">
        <is>
          <t>This section mandates that competent authorities work with GDPR supervisory authorities when handling personal data, which impacts DTIAs by requiring alignment with GDPR's data protection standards during cross-border financial data exchanges.</t>
        </is>
      </c>
      <c r="N144" s="8" t="inlineStr">
        <is>
          <t>[Must] Where obligations under this Regulation concern the processing of personal data, competent authorities shall cooperate with the supervisory authorities established pursuant to Regulation (EU) 2016/679.</t>
        </is>
      </c>
      <c r="O144" s="8" t="inlineStr">
        <is>
          <t>Where obligations under this Regulation concern the processing of personal data, competent authorities shall cooperate with the supervisory authorities established pursuant to Regulation (EU) 2016/679.</t>
        </is>
      </c>
      <c r="P144" s="10" t="inlineStr">
        <is>
          <t>Open PDF</t>
        </is>
      </c>
    </row>
    <row r="145">
      <c r="A145" t="inlineStr">
        <is>
          <t>GDPR</t>
        </is>
      </c>
      <c r="B145" t="inlineStr">
        <is>
          <t>CELEX_52023PC0360_EN_TXT (GDPR - Row 13)</t>
        </is>
      </c>
      <c r="C145" t="inlineStr">
        <is>
          <t>5</t>
        </is>
      </c>
      <c r="D145" s="8" t="inlineStr">
        <is>
          <t>Cooperation with supervisory authorities for personal data processing</t>
        </is>
      </c>
      <c r="E145" t="inlineStr">
        <is>
          <t>41–42</t>
        </is>
      </c>
      <c r="F145" t="inlineStr">
        <is>
          <t>Cross-border Transfer</t>
        </is>
      </c>
      <c r="G145" t="inlineStr">
        <is>
          <t>High</t>
        </is>
      </c>
      <c r="H145" t="inlineStr">
        <is>
          <t>High (explicit)</t>
        </is>
      </c>
      <c r="I145" s="8" t="inlineStr">
        <is>
          <t>Cross-border Transfer</t>
        </is>
      </c>
      <c r="J145" s="8" t="inlineStr">
        <is>
          <t>Personal Information</t>
        </is>
      </c>
      <c r="K145" t="inlineStr">
        <is>
          <t>Competent authorities</t>
        </is>
      </c>
      <c r="L145" s="8" t="inlineStr">
        <is>
          <t>When obligations under this Regulation involve processing personal data, competent authorities must cooperate with supervisory authorities established under GDPR. This cooperation ensures that personal data processing activities comply with GDPR requirements across Member States.</t>
        </is>
      </c>
      <c r="M145" s="8" t="inlineStr">
        <is>
          <t>This section mandates that competent authorities work with GDPR supervisory authorities when handling personal data, which impacts DTIAs by requiring alignment with GDPR's data protection standards during cross-border financial data exchanges.</t>
        </is>
      </c>
      <c r="N145" s="8" t="inlineStr">
        <is>
          <t>[Must] Where obligations under this Regulation concern the processing of personal data, competent authorities shall cooperate with the supervisory authorities established pursuant to Regulation (EU) 2016/679.</t>
        </is>
      </c>
      <c r="O145" s="8" t="inlineStr">
        <is>
          <t>Where obligations under this Regulation concern the processing of personal data, competent authorities shall cooperate with the supervisory authorities established pursuant to Regulation (EU) 2016/679.</t>
        </is>
      </c>
      <c r="P145" s="10" t="inlineStr">
        <is>
          <t>Open PDF</t>
        </is>
      </c>
    </row>
    <row r="146">
      <c r="A146" t="inlineStr">
        <is>
          <t>GDPR</t>
        </is>
      </c>
      <c r="B146" t="inlineStr">
        <is>
          <t>CELEX_52023PC0360_EN_TXT (GDPR - Row 13)</t>
        </is>
      </c>
      <c r="C146" t="inlineStr">
        <is>
          <t>5</t>
        </is>
      </c>
      <c r="D146" s="8" t="inlineStr">
        <is>
          <t>Cooperation with supervisory authorities for personal data processing</t>
        </is>
      </c>
      <c r="E146" t="inlineStr">
        <is>
          <t>46</t>
        </is>
      </c>
      <c r="F146" t="inlineStr">
        <is>
          <t>Cross-border Transfer</t>
        </is>
      </c>
      <c r="G146" t="inlineStr">
        <is>
          <t>High</t>
        </is>
      </c>
      <c r="H146" t="inlineStr">
        <is>
          <t>High (explicit)</t>
        </is>
      </c>
      <c r="I146" s="8" t="inlineStr">
        <is>
          <t>Cross-border Transfer</t>
        </is>
      </c>
      <c r="J146" s="8" t="inlineStr">
        <is>
          <t>Personal Information</t>
        </is>
      </c>
      <c r="K146" t="inlineStr">
        <is>
          <t>Competent authorities</t>
        </is>
      </c>
      <c r="L146" s="8" t="inlineStr">
        <is>
          <t>When obligations under this Regulation involve processing personal data, competent authorities must cooperate with supervisory authorities established under GDPR. This cooperation ensures that personal data processing activities comply with GDPR requirements across Member States.</t>
        </is>
      </c>
      <c r="M146" s="8" t="inlineStr">
        <is>
          <t>This section mandates that competent authorities work with GDPR supervisory authorities when handling personal data, which impacts DTIAs by requiring alignment with GDPR's data protection standards during cross-border financial data exchanges.</t>
        </is>
      </c>
      <c r="N146" s="8" t="inlineStr">
        <is>
          <t>[Must] Where obligations under this Regulation concern the processing of personal data, competent authorities shall cooperate with the supervisory authorities established pursuant to Regulation (EU) 2016/679.</t>
        </is>
      </c>
      <c r="O146" s="8" t="inlineStr">
        <is>
          <t>Where obligations under this Regulation concern the processing of personal data, competent authorities shall cooperate with the supervisory authorities established pursuant to Regulation (EU) 2016/679.</t>
        </is>
      </c>
      <c r="P146" s="10" t="inlineStr">
        <is>
          <t>Open PDF</t>
        </is>
      </c>
    </row>
    <row r="147">
      <c r="A147" t="inlineStr">
        <is>
          <t>GDPR</t>
        </is>
      </c>
      <c r="B147" t="inlineStr">
        <is>
          <t>CELEX_52023PC0360_EN_TXT (GDPR - Row 13)</t>
        </is>
      </c>
      <c r="C147" t="inlineStr">
        <is>
          <t>5</t>
        </is>
      </c>
      <c r="D147" s="8" t="inlineStr">
        <is>
          <t>Cooperation with supervisory authorities for personal data processing</t>
        </is>
      </c>
      <c r="E147" t="inlineStr">
        <is>
          <t>49</t>
        </is>
      </c>
      <c r="F147" t="inlineStr">
        <is>
          <t>Cross-border Transfer</t>
        </is>
      </c>
      <c r="G147" t="inlineStr">
        <is>
          <t>High</t>
        </is>
      </c>
      <c r="H147" t="inlineStr">
        <is>
          <t>High (explicit)</t>
        </is>
      </c>
      <c r="I147" s="8" t="inlineStr">
        <is>
          <t>Cross-border Transfer</t>
        </is>
      </c>
      <c r="J147" s="8" t="inlineStr">
        <is>
          <t>Personal Information</t>
        </is>
      </c>
      <c r="K147" t="inlineStr">
        <is>
          <t>Competent authorities</t>
        </is>
      </c>
      <c r="L147" s="8" t="inlineStr">
        <is>
          <t>When obligations under this Regulation involve processing personal data, competent authorities must cooperate with supervisory authorities established under GDPR. This cooperation ensures that personal data processing activities comply with GDPR requirements across Member States.</t>
        </is>
      </c>
      <c r="M147" s="8" t="inlineStr">
        <is>
          <t>This section mandates that competent authorities work with GDPR supervisory authorities when handling personal data, which impacts DTIAs by requiring alignment with GDPR's data protection standards during cross-border financial data exchanges.</t>
        </is>
      </c>
      <c r="N147" s="8" t="inlineStr">
        <is>
          <t>[Must] Where obligations under this Regulation concern the processing of personal data, competent authorities shall cooperate with the supervisory authorities established pursuant to Regulation (EU) 2016/679.</t>
        </is>
      </c>
      <c r="O147" s="8" t="inlineStr">
        <is>
          <t>Where obligations under this Regulation concern the processing of personal data, competent authorities shall cooperate with the supervisory authorities established pursuant to Regulation (EU) 2016/679.</t>
        </is>
      </c>
      <c r="P147" s="10" t="inlineStr">
        <is>
          <t>Open PDF</t>
        </is>
      </c>
    </row>
    <row r="148">
      <c r="A148" t="inlineStr">
        <is>
          <t>GDPR</t>
        </is>
      </c>
      <c r="B148" t="inlineStr">
        <is>
          <t>CELEX_52023PC0360_EN_TXT (GDPR - Row 13)</t>
        </is>
      </c>
      <c r="C148" t="inlineStr">
        <is>
          <t>5 (part 2)</t>
        </is>
      </c>
      <c r="D148" s="8" t="inlineStr">
        <is>
          <t>Customer data sharing in financial sector: permissions and safeguards</t>
        </is>
      </c>
      <c r="E148" t="inlineStr">
        <is>
          <t>14–17</t>
        </is>
      </c>
      <c r="F148" t="inlineStr">
        <is>
          <t>Cross-border Transfer</t>
        </is>
      </c>
      <c r="G148" t="inlineStr">
        <is>
          <t>High</t>
        </is>
      </c>
      <c r="H148" t="inlineStr">
        <is>
          <t>High (explicit)</t>
        </is>
      </c>
      <c r="I148" s="8" t="inlineStr">
        <is>
          <t>Cross-border Transfer, Data Sharing, Customer Information, Financial Data</t>
        </is>
      </c>
      <c r="J148" s="8" t="inlineStr">
        <is>
          <t>Financial Data, Customer Data</t>
        </is>
      </c>
      <c r="K148" t="inlineStr">
        <is>
          <t>European Commission</t>
        </is>
      </c>
      <c r="L148" s="8" t="inlineStr">
        <is>
          <t>This section outlines the need for a regulatory framework enabling financial institutions to share customer data beyond payment accounts while ensuring customer control. It specifies that data sharing must be based on explicit customer permission, with data users acting on behalf of customers. The sharing must comply with GDPR principles including lawfulness, fairness, transparency, purpose limitation, and data minimisation. Customers retain the right to withdraw permission at any time, and data processing must respect confidentiality of business data and trade secrets.</t>
        </is>
      </c>
      <c r="M148" s="8" t="inlineStr">
        <is>
          <t>Requires customer permission for data sharing beyond payment accounts, with specific safeguards to ensure data minimisation and GDPR compliance. Critical for DTIAs involving financial data transfers where customer consent is the sole lawful basis.</t>
        </is>
      </c>
      <c r="N148" s="8" t="inlineStr">
        <is>
          <t>[Must] The sharing of customer data in the scope of this Regulation should be based on the permission of the customer.
[Must] The legal obligation on data holders to share customer data should be triggered once the customer has requested their data to be shared with a data user.
[Must] Where the processing of personal data is involved, a data user should have a valid lawful basis for processing under Regulation (EU) 2016/679.
[Must] The processing of personal data must respect the principles of personal data protection, including lawfulness, fairness and transparency, purpose limitation and data minimisation.
[Must] A customer has the right to withdraw the permission given to a data user.
[Must] When data processing is necessary for the performance of a contract, a customer should be able to withdraw permissions according to the contractual obligations to which the data subject is party.
[Must] When personal data processing is based on consent, a data subject has the right to withdraw his or her consent at any time, as provided for in Regulation (EU) 2016/679.</t>
        </is>
      </c>
      <c r="O148" s="8" t="inlineStr">
        <is>
          <t>The sharing of customer data in the scope of this Regulation should be based on the permission of the customer. The legal obligation on data holders to share customer data should be triggered once the customer has requested their data to be shared with a data user.</t>
        </is>
      </c>
      <c r="P148" s="10" t="inlineStr">
        <is>
          <t>Open PDF</t>
        </is>
      </c>
    </row>
    <row r="149">
      <c r="A149" t="inlineStr">
        <is>
          <t>GDPR</t>
        </is>
      </c>
      <c r="B149" t="inlineStr">
        <is>
          <t>CELEX_52023PC0360_EN_TXT (GDPR - Row 13)</t>
        </is>
      </c>
      <c r="C149" t="inlineStr">
        <is>
          <t>5 (part 3)</t>
        </is>
      </c>
      <c r="D149" s="8" t="inlineStr">
        <is>
          <t>Financial data sharing for customer access and consent management</t>
        </is>
      </c>
      <c r="E149" t="inlineStr">
        <is>
          <t>17–20</t>
        </is>
      </c>
      <c r="F149" t="inlineStr">
        <is>
          <t>Data Sharing</t>
        </is>
      </c>
      <c r="G149" t="inlineStr">
        <is>
          <t>High</t>
        </is>
      </c>
      <c r="H149" t="inlineStr">
        <is>
          <t>High (explicit)</t>
        </is>
      </c>
      <c r="I149" s="8" t="inlineStr">
        <is>
          <t>Data Sharing, Customer Information, Financial Data, Consent</t>
        </is>
      </c>
      <c r="J149" s="8" t="inlineStr">
        <is>
          <t>Financial Data, Customer Data</t>
        </is>
      </c>
      <c r="K149" t="inlineStr">
        <is>
          <t>European Data Protection Board</t>
        </is>
      </c>
      <c r="L149" s="8" t="inlineStr">
        <is>
          <t>This section establishes that financial institutions must provide defined categories of customer data upon request, while allowing data sharing based on customer consent. It specifies that financial institutions include those providing financial products or services, and mandates the creation of permission dashboards for customers to manage data access permissions. The dashboards must be accessible, impartial, and not influence customer decisions, with real-time updates on permission changes and a two-year retention period for withdrawn permissions.</t>
        </is>
      </c>
      <c r="M149" s="8" t="inlineStr">
        <is>
          <t>Requires financial institutions to implement permission dashboards for customers to manage data sharing permissions, ensuring transparency and control over cross-border data transfers. This impacts DTIA by mandating specific technical and governance requirements for data sharing mechanisms.</t>
        </is>
      </c>
      <c r="N149" s="8" t="inlineStr">
        <is>
          <t>[Must] Financial institutions must provide defined categories of customer data at request
[Must] Data holders must provide customers with common and consistent financial data access permission dashboards
[Must] Permission dashboards must empower customers to manage permissions in an informed and impartial manner
[Must] Permission dashboards must not encourage or unduly influence customers to grant or withdraw permissions
[Must] Permission dashboards must display permissions given by customers, including when personal data are shared based on consent or are necessary for contract performance
[Must] Permission dashboards must warn customers of contractual consequences of permission withdrawal
[Must] Data holders must inform data users in real-time of any permission withdrawal
[Must] Permission dashboards must include a record of withdrawn or expired permissions for up to two years
[Must] Data users must inform data holders in real-time of new or re-established permissions</t>
        </is>
      </c>
      <c r="O149" s="8" t="inlineStr">
        <is>
          <t>Customers must have effective control over their data and confidence in managing permissions they have granted in accordance with this Regulation.</t>
        </is>
      </c>
      <c r="P149" s="10" t="inlineStr">
        <is>
          <t>Open PDF</t>
        </is>
      </c>
    </row>
    <row r="150">
      <c r="A150" t="inlineStr">
        <is>
          <t>GDPR</t>
        </is>
      </c>
      <c r="B150" t="inlineStr">
        <is>
          <t>CELEX_52023PC0360_EN_TXT (GDPR - Row 13)</t>
        </is>
      </c>
      <c r="C150" t="inlineStr">
        <is>
          <t>5 (part 4)</t>
        </is>
      </c>
      <c r="D150" s="8" t="inlineStr">
        <is>
          <t>Financial data sharing schemes for cross-border data access</t>
        </is>
      </c>
      <c r="E150" t="inlineStr">
        <is>
          <t>20–23</t>
        </is>
      </c>
      <c r="F150" t="inlineStr">
        <is>
          <t>Data Sharing</t>
        </is>
      </c>
      <c r="G150" t="inlineStr">
        <is>
          <t>High</t>
        </is>
      </c>
      <c r="H150" t="inlineStr">
        <is>
          <t>High (explicit)</t>
        </is>
      </c>
      <c r="I150" s="8" t="inlineStr">
        <is>
          <t>Data Sharing, Financial Data, Data Storage, Security</t>
        </is>
      </c>
      <c r="J150" s="8" t="inlineStr">
        <is>
          <t>Financial Data, Customer Data</t>
        </is>
      </c>
      <c r="K150" t="inlineStr">
        <is>
          <t>European Banking Authority</t>
        </is>
      </c>
      <c r="L150" s="8" t="inlineStr">
        <is>
          <t>This section mandates the creation of financial data sharing schemes that establish standardized contractual frameworks, data interfaces, and governance rules for cross-border data sharing between financial institutions. These schemes must ensure proportionality, market competition, and consumer protection, with requirements for transparency, appeal procedures, and alignment with Union consumer and data protection rules. Financial information service providers must be authorized and supervised by competent authorities to access customer data.</t>
        </is>
      </c>
      <c r="M150" s="8" t="inlineStr">
        <is>
          <t>Requires the establishment of financial data sharing schemes with standardized interfaces and governance to facilitate cross-border data access while ensuring proportionality and consumer protection. This directly impacts DTIA by defining technical and regulatory requirements for international data sharing.</t>
        </is>
      </c>
      <c r="N150" s="8" t="inlineStr">
        <is>
          <t>[Must] Data holders and data users must be part of financial data sharing schemes
[Must] Schemes must develop data and interface standards, joint contractual frameworks, and governance rules
[Must] Schemes must ensure inclusive governance with balanced representation of data holders, users, and customers
[Must] Schemes must have transparency requirements and a well-functioning appeal and review procedure
[Must] Schemes must comply with Union rules on consumer protection, data protection, privacy, and competition
[Must] Schemes must not impose restrictions that distort competition in a substantial market segment
[Must] Financial information service providers must be authorized and supervised by competent authorities
[Must] Financial information service providers must have strong cyber resilience standards</t>
        </is>
      </c>
      <c r="O150" s="8" t="inlineStr">
        <is>
          <t>Data holders and data users should be required to be part of financial data sharing schemes.</t>
        </is>
      </c>
      <c r="P150" s="10" t="inlineStr">
        <is>
          <t>Open PDF</t>
        </is>
      </c>
    </row>
    <row r="151">
      <c r="A151" t="inlineStr">
        <is>
          <t>GDPR</t>
        </is>
      </c>
      <c r="B151" t="inlineStr">
        <is>
          <t>CELEX_52023PC0360_EN_TXT (GDPR - Row 13)</t>
        </is>
      </c>
      <c r="C151" t="inlineStr">
        <is>
          <t>5 (part 5)</t>
        </is>
      </c>
      <c r="D151" s="8" t="inlineStr">
        <is>
          <t>Periodic penalties and expedited enforcement procedures for financial data breaches</t>
        </is>
      </c>
      <c r="E151" t="inlineStr">
        <is>
          <t>23–26</t>
        </is>
      </c>
      <c r="F151" t="inlineStr">
        <is>
          <t>Other</t>
        </is>
      </c>
      <c r="G151" t="inlineStr">
        <is>
          <t>High</t>
        </is>
      </c>
      <c r="H151" t="inlineStr">
        <is>
          <t>High (explicit)</t>
        </is>
      </c>
      <c r="I151" s="8" t="inlineStr"/>
      <c r="J151" s="8" t="inlineStr">
        <is>
          <t>Financial Data</t>
        </is>
      </c>
      <c r="K151" t="inlineStr">
        <is>
          <t>Member States</t>
        </is>
      </c>
      <c r="L151" s="8" t="inlineStr">
        <is>
          <t>Member States must establish specific rules and mechanisms for periodic penalty payments on financial information service providers and their management bodies. Competent authorities can impose these penalties to compel compliance with orders, such as providing information or terminating breaches. Penalties must be calculated daily unless Member States specify otherwise. Member States may encourage expedited enforcement procedures but are not required to implement them, and must notify the Commission if they do so. Publication of penalties for legal entities is permitted to deter repeat infringements and inform cross-border risks, but must avoid disproportionate impacts on natural persons.</t>
        </is>
      </c>
      <c r="M151" s="8" t="inlineStr">
        <is>
          <t>Periodic penalties and expedited enforcement procedures create conditions for financial data breach responses that impact cross-border data transfer assessments by requiring Member States to define penalty mechanisms and publication rules for financial entities.</t>
        </is>
      </c>
      <c r="N151" s="8" t="inlineStr">
        <is>
          <t>[Must] Member States should lay down specific rules and effective mechanisms regarding the application of periodic penalty payments.
[Must] Competent authorities should be empowered to impose periodic penalty payments on financial information service providers and those members of their management body identified as responsible for an ongoing infringement.
[Must] Periodic penalty payments should be calculated on a daily basis unless otherwise provided for by Member States.
[May] Member States may encourage expedited enforcement procedures but are not required to implement them.
[Must] Member States must notify the Commission if they empower competent authorities to use expedited enforcement procedures.
[May] Publication of administrative penalties for legal entities is permitted to deter repeat infringements and inform cross-border risks.
[Must] Publication of penalties must consider the gravity of the infringement and the dissuasive effect.
[Must Not] Publication of penalties involving natural persons may impinge on their rights in a disproportionate manner.</t>
        </is>
      </c>
      <c r="O151" s="8" t="inlineStr">
        <is>
          <t>Member States should lay down specific rules and effective mechanisms regarding the application of periodic penalty payments.</t>
        </is>
      </c>
      <c r="P151" s="10" t="inlineStr">
        <is>
          <t>Open PDF</t>
        </is>
      </c>
    </row>
    <row r="152">
      <c r="A152" t="inlineStr">
        <is>
          <t>GDPR</t>
        </is>
      </c>
      <c r="B152" t="inlineStr">
        <is>
          <t>CELEX_52023PC0360_EN_TXT (GDPR - Row 13)</t>
        </is>
      </c>
      <c r="C152" t="inlineStr">
        <is>
          <t>5 (part 6)</t>
        </is>
      </c>
      <c r="D152" s="8" t="inlineStr">
        <is>
          <t>Exemptions and regulatory coordination for financial data access</t>
        </is>
      </c>
      <c r="E152" t="inlineStr">
        <is>
          <t>26–27</t>
        </is>
      </c>
      <c r="F152" t="inlineStr">
        <is>
          <t>Other</t>
        </is>
      </c>
      <c r="G152" t="inlineStr">
        <is>
          <t>High</t>
        </is>
      </c>
      <c r="H152" t="inlineStr">
        <is>
          <t>High (explicit)</t>
        </is>
      </c>
      <c r="I152" s="8" t="inlineStr"/>
      <c r="J152" s="8" t="inlineStr">
        <is>
          <t>Financial Data</t>
        </is>
      </c>
      <c r="K152" t="inlineStr">
        <is>
          <t>European Commission</t>
        </is>
      </c>
      <c r="L152" s="8" t="inlineStr">
        <is>
          <t>This Regulation does not affect existing financial services legislation on data access, including payment account data under Directive 2015/2366. It establishes a review clause for the Commission to assess impacts on access mechanisms for financial information service providers. The Regulation mandates amendments to EBA, EIOPA, and ESMA to ensure coverage under relevant financial regulations.</t>
        </is>
      </c>
      <c r="M152" s="8" t="inlineStr">
        <is>
          <t>Exemptions from existing financial data access rules and coordination with supervisory authorities create specific conditions for data transfer impact assessments in financial services.</t>
        </is>
      </c>
      <c r="N152" s="8" t="inlineStr">
        <is>
          <t>[Must Not] This Regulation does not affect the provisions related to data access and data sharing in Union financial services legislation.
[Must] This Regulation establishes a review clause for the Commission to examine whether the introduction of rules impacts AISPs access to data.
[Must] EBA, EIOPA, and ESMA must be mandated to make use of their powers in relation to financial information service providers.</t>
        </is>
      </c>
      <c r="O152" s="8" t="inlineStr">
        <is>
          <t>This Regulation does not affect the provisions related to data access and data sharing in Union financial services legislation.</t>
        </is>
      </c>
      <c r="P152" s="10" t="inlineStr">
        <is>
          <t>Open PDF</t>
        </is>
      </c>
    </row>
    <row r="153">
      <c r="A153" t="inlineStr">
        <is>
          <t>GDPR</t>
        </is>
      </c>
      <c r="B153" t="inlineStr">
        <is>
          <t>CELEX_52023PC0360_EN_TXT (GDPR - Row 13)</t>
        </is>
      </c>
      <c r="C153" t="inlineStr">
        <is>
          <t>6</t>
        </is>
      </c>
      <c r="D153" s="8" t="inlineStr">
        <is>
          <t>Conditions for Delegated Act Entry into Force</t>
        </is>
      </c>
      <c r="E153" t="inlineStr">
        <is>
          <t>36–37</t>
        </is>
      </c>
      <c r="F153" t="inlineStr">
        <is>
          <t>Other</t>
        </is>
      </c>
      <c r="G153" t="inlineStr">
        <is>
          <t>None</t>
        </is>
      </c>
      <c r="H153" t="inlineStr">
        <is>
          <t>High (explicit)</t>
        </is>
      </c>
      <c r="I153" s="8" t="inlineStr"/>
      <c r="J153" s="8" t="inlineStr"/>
      <c r="K153" t="inlineStr"/>
      <c r="L153" s="8" t="inlineStr">
        <is>
          <t>A delegated act adopted under Article 11 enters into force only if no objections are raised by the European Parliament or Council within three months of notification. If objections are not raised, the act enters into force after the three-month period. The period may be extended by three months if either the European Parliament or Council initiates the extension. This requirement ensures legislative oversight and timely review of delegated acts.</t>
        </is>
      </c>
      <c r="M153" s="8" t="inlineStr"/>
      <c r="N153" s="8" t="inlineStr">
        <is>
          <t>[Must] 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
[Condition] That period shall be extended by three months on the initiative of the European Parliament or of the Council.</t>
        </is>
      </c>
      <c r="O153" s="8"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P153" s="10" t="inlineStr">
        <is>
          <t>Open PDF</t>
        </is>
      </c>
    </row>
    <row r="154">
      <c r="A154" t="inlineStr">
        <is>
          <t>GDPR</t>
        </is>
      </c>
      <c r="B154" t="inlineStr">
        <is>
          <t>CELEX_52023PC0360_EN_TXT (GDPR - Row 13)</t>
        </is>
      </c>
      <c r="C154" t="inlineStr">
        <is>
          <t>6</t>
        </is>
      </c>
      <c r="D154" s="8" t="inlineStr">
        <is>
          <t>Conditions for Delegated Act Entry into Force</t>
        </is>
      </c>
      <c r="E154" t="inlineStr">
        <is>
          <t>40</t>
        </is>
      </c>
      <c r="F154" t="inlineStr">
        <is>
          <t>Other</t>
        </is>
      </c>
      <c r="G154" t="inlineStr">
        <is>
          <t>None</t>
        </is>
      </c>
      <c r="H154" t="inlineStr">
        <is>
          <t>High (explicit)</t>
        </is>
      </c>
      <c r="I154" s="8" t="inlineStr"/>
      <c r="J154" s="8" t="inlineStr"/>
      <c r="K154" t="inlineStr"/>
      <c r="L154" s="8" t="inlineStr">
        <is>
          <t>A delegated act adopted under Article 11 enters into force only if no objections are raised by the European Parliament or Council within three months of notification. If objections are not raised, the act enters into force after the three-month period. The period may be extended by three months if either the European Parliament or Council initiates the extension. This requirement ensures legislative oversight and timely review of delegated acts.</t>
        </is>
      </c>
      <c r="M154" s="8" t="inlineStr"/>
      <c r="N154" s="8" t="inlineStr">
        <is>
          <t>[Must] 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
[Condition] That period shall be extended by three months on the initiative of the European Parliament or of the Council.</t>
        </is>
      </c>
      <c r="O154" s="8"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P154" s="10" t="inlineStr">
        <is>
          <t>Open PDF</t>
        </is>
      </c>
    </row>
    <row r="155">
      <c r="A155" t="inlineStr">
        <is>
          <t>GDPR</t>
        </is>
      </c>
      <c r="B155" t="inlineStr">
        <is>
          <t>CELEX_52023PC0360_EN_TXT (GDPR - Row 13)</t>
        </is>
      </c>
      <c r="C155" t="inlineStr">
        <is>
          <t>6</t>
        </is>
      </c>
      <c r="D155" s="8" t="inlineStr">
        <is>
          <t>Conditions for Delegated Act Entry into Force</t>
        </is>
      </c>
      <c r="E155" t="inlineStr">
        <is>
          <t>51</t>
        </is>
      </c>
      <c r="F155" t="inlineStr">
        <is>
          <t>Other</t>
        </is>
      </c>
      <c r="G155" t="inlineStr">
        <is>
          <t>None</t>
        </is>
      </c>
      <c r="H155" t="inlineStr">
        <is>
          <t>High (explicit)</t>
        </is>
      </c>
      <c r="I155" s="8" t="inlineStr"/>
      <c r="J155" s="8" t="inlineStr"/>
      <c r="K155" t="inlineStr"/>
      <c r="L155" s="8" t="inlineStr">
        <is>
          <t>A delegated act adopted under Article 11 enters into force only if no objections are raised by the European Parliament or Council within three months of notification. If objections are not raised, the act enters into force after the three-month period. The period may be extended by three months if either the European Parliament or Council initiates the extension. This requirement ensures legislative oversight and timely review of delegated acts.</t>
        </is>
      </c>
      <c r="M155" s="8" t="inlineStr"/>
      <c r="N155" s="8" t="inlineStr">
        <is>
          <t>[Must] 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
[Condition] That period shall be extended by three months on the initiative of the European Parliament or of the Council.</t>
        </is>
      </c>
      <c r="O155" s="8"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P155" s="10" t="inlineStr">
        <is>
          <t>Open PDF</t>
        </is>
      </c>
    </row>
    <row r="156">
      <c r="A156" t="inlineStr">
        <is>
          <t>GDPR</t>
        </is>
      </c>
      <c r="B156" t="inlineStr">
        <is>
          <t>CELEX_52023PC0360_EN_TXT (GDPR - Row 13)</t>
        </is>
      </c>
      <c r="C156" t="inlineStr">
        <is>
          <t>7</t>
        </is>
      </c>
      <c r="D156" s="8" t="inlineStr">
        <is>
          <t>Conditions for withdrawing financial information service provider authorisation</t>
        </is>
      </c>
      <c r="E156" t="inlineStr">
        <is>
          <t>40–41</t>
        </is>
      </c>
      <c r="F156" t="inlineStr">
        <is>
          <t>Regulator Powers</t>
        </is>
      </c>
      <c r="G156" t="inlineStr">
        <is>
          <t>High</t>
        </is>
      </c>
      <c r="H156" t="inlineStr">
        <is>
          <t>High (explicit)</t>
        </is>
      </c>
      <c r="I156" s="8" t="inlineStr">
        <is>
          <t>Financial Data</t>
        </is>
      </c>
      <c r="J156" s="8" t="inlineStr">
        <is>
          <t>Financial Data</t>
        </is>
      </c>
      <c r="K156" t="inlineStr">
        <is>
          <t>Competent Authority</t>
        </is>
      </c>
      <c r="L156" s="8" t="inlineStr">
        <is>
          <t>The competent authority may revoke authorization for financial information service providers if they fail to use the authorization within 12 months, expressly renounce it, cease business for over six months, obtained it through false statements, no longer meet authorization conditions, or fail to report major developments. The authority must provide reasons for withdrawal and notify affected parties, publishing the withdrawal in anonymized form.</t>
        </is>
      </c>
      <c r="M156" s="8" t="inlineStr">
        <is>
          <t>This section establishes conditions under which a regulator can withdraw authorization for financial data processors, impacting cross-border data transfers by requiring ongoing compliance and timely reporting to ensure continued data processing legitimacy.</t>
        </is>
      </c>
      <c r="N156" s="8" t="inlineStr">
        <is>
          <t>[Must] 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
[Must] The competent authority shall give reasons for any withdrawal of an authorisation and shall inform those concerned accordingly.
[Must] The competent authority shall make public the withdrawal of an authorisation, in an anonymised version.</t>
        </is>
      </c>
      <c r="O156" s="8" t="inlineStr">
        <is>
          <t>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t>
        </is>
      </c>
      <c r="P156" s="10" t="inlineStr">
        <is>
          <t>Open PDF</t>
        </is>
      </c>
    </row>
    <row r="157">
      <c r="A157" t="inlineStr">
        <is>
          <t>GDPR</t>
        </is>
      </c>
      <c r="B157" t="inlineStr">
        <is>
          <t>CELEX_52023PC0360_EN_TXT (GDPR - Row 13)</t>
        </is>
      </c>
      <c r="C157" t="inlineStr">
        <is>
          <t>11</t>
        </is>
      </c>
      <c r="D157" s="8" t="inlineStr">
        <is>
          <t>Data sharing requirements for data holders</t>
        </is>
      </c>
      <c r="E157" t="inlineStr">
        <is>
          <t>31–32</t>
        </is>
      </c>
      <c r="F157" t="inlineStr">
        <is>
          <t>Data Sharing</t>
        </is>
      </c>
      <c r="G157" t="inlineStr">
        <is>
          <t>High</t>
        </is>
      </c>
      <c r="H157" t="inlineStr">
        <is>
          <t>High (explicit)</t>
        </is>
      </c>
      <c r="I157" s="8" t="inlineStr">
        <is>
          <t>Data Sharing, Security, Customer Information</t>
        </is>
      </c>
      <c r="J157" s="8" t="inlineStr">
        <is>
          <t>Customer Data</t>
        </is>
      </c>
      <c r="K157" t="inlineStr"/>
      <c r="L157" s="8" t="inlineStr">
        <is>
          <t>When sharing customer data with data users, data holders must provide data in standardized formats, ensure secure communication, verify customer permission, provide permission dashboards for monitoring, and protect trade secrets and intellectual property rights.</t>
        </is>
      </c>
      <c r="M157" s="8" t="inlineStr">
        <is>
          <t>This section specifies technical and procedural safeguards for data sharing, including data format standards, security requirements, and permission management, which are critical for cross-border data transfers.</t>
        </is>
      </c>
      <c r="N157" s="8" t="inlineStr">
        <is>
          <t>[Must] When making data available pursuant to paragraph 1, the data holder shall: make customer data available to the data user in a format based on generally recognised standards and at least in the same quality available to the data holder.
[Must] When making data available pursuant to paragraph 1, the data holder shall: communicate securely with the data user by ensuring an appropriate level of security for the processing and transmission of customer data.
[Must] When making data available pursuant to paragraph 1, the data holder shall: request data users to demonstrate that they have obtained the permission of the customer to access the customer data held by the data holder.
[Must] When making data available pursuant to paragraph 1, the data holder shall: provide the customer with a permission dashboard to monitor and manage permissions in accordance with Article 8.
[Must] When making data available pursuant to paragraph 1, the data holder shall: respect the confidentiality of trade secrets and intellectual property rights when customer data is accessed in accordance with Article 5(1).</t>
        </is>
      </c>
      <c r="O157" s="8" t="inlineStr">
        <is>
          <t>When making data available pursuant to paragraph 1, the data holder shall: (a) make customer data available to the data user in a format based on generally recognised standards and at least in the same quality available to the data holder; (b) communicate securely with the data user by ensuring an appropriate level of security for the processing and transmission of customer data; (c) request data users to demonstrate that they have obtained the permission of the customer to access the customer data held by the data holder; (d) provide the customer with a permission dashboard to monitor and manage permissions in accordance with Article 8. (e) respect the confidentiality of trade secrets and intellectual property rights when customer data is accessed in accordance with Article 5(1).</t>
        </is>
      </c>
      <c r="P157" s="10" t="inlineStr">
        <is>
          <t>Open PDF</t>
        </is>
      </c>
    </row>
    <row r="158">
      <c r="A158" t="inlineStr">
        <is>
          <t>GDPR</t>
        </is>
      </c>
      <c r="B158" t="inlineStr">
        <is>
          <t>Final report on amending GLs on ICT risk and security (GDPR - Row 4)</t>
        </is>
      </c>
      <c r="C158" t="inlineStr">
        <is>
          <t>1</t>
        </is>
      </c>
      <c r="D158" s="8" t="inlineStr">
        <is>
          <t>On 27 November 2019, the EBA published the Guidelines on ICT and security risk management</t>
        </is>
      </c>
      <c r="E158" t="inlineStr">
        <is>
          <t>3</t>
        </is>
      </c>
      <c r="F158" t="inlineStr">
        <is>
          <t>Other</t>
        </is>
      </c>
      <c r="G158" t="inlineStr">
        <is>
          <t>Medium</t>
        </is>
      </c>
      <c r="H158" t="inlineStr">
        <is>
          <t>High</t>
        </is>
      </c>
      <c r="I158" s="8" t="inlineStr">
        <is>
          <t>Security, Incident Reporting, Third Party Processing</t>
        </is>
      </c>
      <c r="J158" s="8" t="inlineStr"/>
      <c r="K158" t="inlineStr"/>
      <c r="L158" s="8" t="inlineStr">
        <is>
          <t>This section outlines the publication of the EBA Guidelines on ICT and security risk management on 27 November 2019, which were based on Article 74 of CRD and Article 95(3) of PSD2. These guidelines apply to credit institutions, investment firms, and payment service providers, replacing previous guidelines on security measures for operational and security risks.</t>
        </is>
      </c>
      <c r="M158" s="8" t="inlineStr"/>
      <c r="N158" s="8" t="inlineStr">
        <is>
          <t>[Must] The EBA published Guidelines on ICT and security risk management on 27 November 2019.
[Must] These Guidelines were built on Article 74 of Directive 2013/36/EU (CRD) and Article 95(3) of Directive (EU) 2015/2366 (PSD2).
[Must] The Guidelines apply to credit institutions, investment firms, and payment service providers.
[Must] The Guidelines replaced previous guidelines on security measures for operational and security risks (EBA GL/2017/17).</t>
        </is>
      </c>
      <c r="O158" s="8" t="inlineStr">
        <is>
          <t>On 27 November 2019, the EBA published the Guidelines on ICT and security risk management (EBA/GL/2019/04) which were built on the provisions of Article 74 of Directive 2013/36/EU (CRD)1 and Article 95(3) of Directive (EU) 2015/2366 (PSD2)2 .</t>
        </is>
      </c>
      <c r="P158" s="10" t="inlineStr">
        <is>
          <t>Open PDF</t>
        </is>
      </c>
    </row>
    <row r="159">
      <c r="A159" t="inlineStr">
        <is>
          <t>GDPR</t>
        </is>
      </c>
      <c r="B159" t="inlineStr">
        <is>
          <t>Final report on amending GLs on ICT risk and security (GDPR - Row 4)</t>
        </is>
      </c>
      <c r="C159" t="inlineStr">
        <is>
          <t>2</t>
        </is>
      </c>
      <c r="D159" s="8" t="inlineStr">
        <is>
          <t>DORA entered into force in January 2023 and will apply from 17 January 2025 onwards. DORA in-</t>
        </is>
      </c>
      <c r="E159" t="inlineStr">
        <is>
          <t>3</t>
        </is>
      </c>
      <c r="F159" t="inlineStr">
        <is>
          <t>Other</t>
        </is>
      </c>
      <c r="G159" t="inlineStr">
        <is>
          <t>High</t>
        </is>
      </c>
      <c r="H159" t="inlineStr">
        <is>
          <t>High</t>
        </is>
      </c>
      <c r="I159" s="8" t="inlineStr"/>
      <c r="J159" s="8" t="inlineStr"/>
      <c r="K159" t="inlineStr"/>
      <c r="L159" s="8" t="inlineStr">
        <is>
          <t>This section outlines that the guidelines set the EBA view of appropriate supervisory practices within the European System of Financial Supervision and that competent authorities should incorporate them into their practices.</t>
        </is>
      </c>
      <c r="M159" s="8" t="inlineStr"/>
      <c r="N159" s="8" t="inlineStr">
        <is>
          <t>[Must] Guidelines set the EBA view of appropriate supervisory practices within the European System of Financial Supervision or of how Union law should be applied in a particular area.
[Must] Competent authorities as defined in Article 4(2) of Regulation (EU) No 1093/2010 to whom guidelines apply should comply by incorporating them into their practices as appropriate.</t>
        </is>
      </c>
      <c r="O159" s="8" t="inlineStr">
        <is>
          <t>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c r="P159" s="10" t="inlineStr">
        <is>
          <t>Open PDF</t>
        </is>
      </c>
    </row>
    <row r="160">
      <c r="A160" t="inlineStr">
        <is>
          <t>GDPR</t>
        </is>
      </c>
      <c r="B160" t="inlineStr">
        <is>
          <t>Final report on amending GLs on ICT risk and security (GDPR - Row 4)</t>
        </is>
      </c>
      <c r="C160" t="inlineStr">
        <is>
          <t>2</t>
        </is>
      </c>
      <c r="D160" s="8" t="inlineStr">
        <is>
          <t>Guidelines</t>
        </is>
      </c>
      <c r="E160" t="inlineStr">
        <is>
          <t>6–8</t>
        </is>
      </c>
      <c r="F160" t="inlineStr">
        <is>
          <t>Other</t>
        </is>
      </c>
      <c r="G160" t="inlineStr">
        <is>
          <t>High</t>
        </is>
      </c>
      <c r="H160" t="inlineStr">
        <is>
          <t>High</t>
        </is>
      </c>
      <c r="I160" s="8" t="inlineStr"/>
      <c r="J160" s="8" t="inlineStr"/>
      <c r="K160" t="inlineStr"/>
      <c r="L160" s="8" t="inlineStr">
        <is>
          <t>This section outlines that the guidelines set the EBA view of appropriate supervisory practices within the European System of Financial Supervision and that competent authorities should incorporate them into their practices.</t>
        </is>
      </c>
      <c r="M160" s="8" t="inlineStr"/>
      <c r="N160" s="8" t="inlineStr">
        <is>
          <t>[Must] Guidelines set the EBA view of appropriate supervisory practices within the European System of Financial Supervision or of how Union law should be applied in a particular area.
[Must] Competent authorities as defined in Article 4(2) of Regulation (EU) No 1093/2010 to whom guidelines apply should comply by incorporating them into their practices as appropriate.</t>
        </is>
      </c>
      <c r="O160" s="8" t="inlineStr">
        <is>
          <t>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c r="P160" s="10" t="inlineStr">
        <is>
          <t>Open PDF</t>
        </is>
      </c>
    </row>
    <row r="161">
      <c r="A161" t="inlineStr">
        <is>
          <t>GDPR</t>
        </is>
      </c>
      <c r="B161" t="inlineStr">
        <is>
          <t>Final report on amending GLs on ICT risk and security (GDPR - Row 4)</t>
        </is>
      </c>
      <c r="C161" t="inlineStr">
        <is>
          <t>2</t>
        </is>
      </c>
      <c r="D161" s="8" t="inlineStr">
        <is>
          <t>Guidelines set the EBA view of appropriate supervisory practices within the European</t>
        </is>
      </c>
      <c r="E161" t="inlineStr">
        <is>
          <t>8</t>
        </is>
      </c>
      <c r="F161" t="inlineStr">
        <is>
          <t>Other</t>
        </is>
      </c>
      <c r="G161" t="inlineStr">
        <is>
          <t>High</t>
        </is>
      </c>
      <c r="H161" t="inlineStr">
        <is>
          <t>High</t>
        </is>
      </c>
      <c r="I161" s="8" t="inlineStr"/>
      <c r="J161" s="8" t="inlineStr"/>
      <c r="K161" t="inlineStr"/>
      <c r="L161" s="8" t="inlineStr">
        <is>
          <t>This section outlines that the guidelines set the EBA view of appropriate supervisory practices within the European System of Financial Supervision and that competent authorities should incorporate them into their practices.</t>
        </is>
      </c>
      <c r="M161" s="8" t="inlineStr"/>
      <c r="N161" s="8" t="inlineStr">
        <is>
          <t>[Must] Guidelines set the EBA view of appropriate supervisory practices within the European System of Financial Supervision or of how Union law should be applied in a particular area.
[Must] Competent authorities as defined in Article 4(2) of Regulation (EU) No 1093/2010 to whom guidelines apply should comply by incorporating them into their practices as appropriate.</t>
        </is>
      </c>
      <c r="O161" s="8" t="inlineStr">
        <is>
          <t>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c r="P161" s="10" t="inlineStr">
        <is>
          <t>Open PDF</t>
        </is>
      </c>
    </row>
    <row r="162">
      <c r="A162" t="inlineStr">
        <is>
          <t>GDPR</t>
        </is>
      </c>
      <c r="B162" t="inlineStr">
        <is>
          <t>Final report on amending GLs on ICT risk and security (GDPR - Row 4)</t>
        </is>
      </c>
      <c r="C162" t="inlineStr">
        <is>
          <t>3</t>
        </is>
      </c>
      <c r="D162" s="8" t="inlineStr">
        <is>
          <t>The entities within DORA's scope of action cover some of the PSPs within the scope of PSD2, namely</t>
        </is>
      </c>
      <c r="E162" t="inlineStr">
        <is>
          <t>3</t>
        </is>
      </c>
      <c r="F162" t="inlineStr">
        <is>
          <t>Other</t>
        </is>
      </c>
      <c r="G162" t="inlineStr">
        <is>
          <t>High</t>
        </is>
      </c>
      <c r="H162" t="inlineStr">
        <is>
          <t>High</t>
        </is>
      </c>
      <c r="I162" s="8" t="inlineStr"/>
      <c r="J162" s="8" t="inlineStr"/>
      <c r="K162" t="inlineStr"/>
      <c r="L162" s="8" t="inlineStr">
        <is>
          <t>This section states that competent authorities must notify the EBA by 20.05.2025 whether they comply or intend to comply with the guidelines, or otherwise provide reasons for non-compliance. Notifications must be submitted using the form available on the EBA website.</t>
        </is>
      </c>
      <c r="M162" s="8" t="inlineStr"/>
      <c r="N162" s="8" t="inlineStr">
        <is>
          <t>[Must] Competent authorities must notify the EBA as to whether they comply or intend to comply with these guidelines, or otherwise with reasons for non-compliance, by 20.05.2025.
[Must] In the absence of any notification by this deadline, competent authorities will be considered by the EBA to be non-compliant.
[Must] Notifications should be sent by submitting the form available on the EBA website with the reference ‘EBA/GL/2025/02’.
[Must] Notifications should be submitted by persons with appropriate authority to report compliance on behalf of their competent authorities.
[Must] Any change in the status of compliance must also be reported to EBA.</t>
        </is>
      </c>
      <c r="O162" s="8" t="inlineStr">
        <is>
          <t>According to Article 16(3) of Regulation (EU) No 1093/2010, competent authorities must notify the EBA as to whether they comply or intend to comply with these guidelines, or otherwise with reasons for non-compliance, by 20.05.2025. In the absence of any notification by this deadline, competent authorities will be considered by the EBA to be non-compliant. Notifications should be sent by submitting the form available on the EBA website with the reference ‘EBA/GL/2025/02’. Notifications should be submitted by persons with appropriate authority to report compliance on behalf of their competent authorities. Any change in the status of compliance must also be reported to EBA.</t>
        </is>
      </c>
      <c r="P162" s="10" t="inlineStr">
        <is>
          <t>Open PDF</t>
        </is>
      </c>
    </row>
    <row r="163">
      <c r="A163" t="inlineStr">
        <is>
          <t>GDPR</t>
        </is>
      </c>
      <c r="B163" t="inlineStr">
        <is>
          <t>Final report on amending GLs on ICT risk and security (GDPR - Row 4)</t>
        </is>
      </c>
      <c r="C163" t="inlineStr">
        <is>
          <t>3</t>
        </is>
      </c>
      <c r="D163" s="8" t="inlineStr">
        <is>
          <t>According to Article 16(3) of Regulation (EU) No 1093/2010, competent authorities</t>
        </is>
      </c>
      <c r="E163" t="inlineStr">
        <is>
          <t>8</t>
        </is>
      </c>
      <c r="F163" t="inlineStr">
        <is>
          <t>Other</t>
        </is>
      </c>
      <c r="G163" t="inlineStr">
        <is>
          <t>High</t>
        </is>
      </c>
      <c r="H163" t="inlineStr">
        <is>
          <t>High</t>
        </is>
      </c>
      <c r="I163" s="8" t="inlineStr"/>
      <c r="J163" s="8" t="inlineStr"/>
      <c r="K163" t="inlineStr"/>
      <c r="L163" s="8" t="inlineStr">
        <is>
          <t>This section states that competent authorities must notify the EBA by 20.05.2025 whether they comply or intend to comply with the guidelines, or otherwise provide reasons for non-compliance. Notifications must be submitted using the form available on the EBA website.</t>
        </is>
      </c>
      <c r="M163" s="8" t="inlineStr"/>
      <c r="N163" s="8" t="inlineStr">
        <is>
          <t>[Must] Competent authorities must notify the EBA as to whether they comply or intend to comply with these guidelines, or otherwise with reasons for non-compliance, by 20.05.2025.
[Must] In the absence of any notification by this deadline, competent authorities will be considered by the EBA to be non-compliant.
[Must] Notifications should be sent by submitting the form available on the EBA website with the reference ‘EBA/GL/2025/02’.
[Must] Notifications should be submitted by persons with appropriate authority to report compliance on behalf of their competent authorities.
[Must] Any change in the status of compliance must also be reported to EBA.</t>
        </is>
      </c>
      <c r="O163" s="8" t="inlineStr">
        <is>
          <t>According to Article 16(3) of Regulation (EU) No 1093/2010, competent authorities must notify the EBA as to whether they comply or intend to comply with these guidelines, or otherwise with reasons for non-compliance, by 20.05.2025. In the absence of any notification by this deadline, competent authorities will be considered by the EBA to be non-compliant. Notifications should be sent by submitting the form available on the EBA website with the reference ‘EBA/GL/2025/02’. Notifications should be submitted by persons with appropriate authority to report compliance on behalf of their competent authorities. Any change in the status of compliance must also be reported to EBA.</t>
        </is>
      </c>
      <c r="P163" s="10" t="inlineStr">
        <is>
          <t>Open PDF</t>
        </is>
      </c>
    </row>
    <row r="164">
      <c r="A164" t="inlineStr">
        <is>
          <t>GDPR</t>
        </is>
      </c>
      <c r="B164" t="inlineStr">
        <is>
          <t>Final report on amending GLs on ICT risk and security (GDPR - Row 4)</t>
        </is>
      </c>
      <c r="C164" t="inlineStr">
        <is>
          <t>4</t>
        </is>
      </c>
      <c r="D164" s="8" t="inlineStr">
        <is>
          <t>Notifications will be published on the EBA website, in line with Article 16(3).</t>
        </is>
      </c>
      <c r="E164" t="inlineStr">
        <is>
          <t>8–9</t>
        </is>
      </c>
      <c r="F164" t="inlineStr">
        <is>
          <t>Other</t>
        </is>
      </c>
      <c r="G164" t="inlineStr">
        <is>
          <t>High</t>
        </is>
      </c>
      <c r="H164" t="inlineStr">
        <is>
          <t>High</t>
        </is>
      </c>
      <c r="I164" s="8" t="inlineStr"/>
      <c r="J164" s="8" t="inlineStr"/>
      <c r="K164" t="inlineStr"/>
      <c r="L164" s="8" t="inlineStr">
        <is>
          <t>This section states that notifications will be published on the EBA website in line with Article 16(3) of Regulation (EU) No 1093/2010.</t>
        </is>
      </c>
      <c r="M164" s="8" t="inlineStr"/>
      <c r="N164" s="8" t="inlineStr">
        <is>
          <t>[Must] Notifications will be published on the EBA website, in line with Article 16(3) of Regulation (EU) No 1093/2010.</t>
        </is>
      </c>
      <c r="O164" s="8" t="inlineStr">
        <is>
          <t>Notifications will be published on the EBA website, in line with Article 16(3).</t>
        </is>
      </c>
      <c r="P164" s="10" t="inlineStr">
        <is>
          <t>Open PDF</t>
        </is>
      </c>
    </row>
    <row r="165">
      <c r="A165" t="inlineStr">
        <is>
          <t>GDPR</t>
        </is>
      </c>
      <c r="B165" t="inlineStr">
        <is>
          <t>Final report on amending GLs on ICT risk and security (GDPR - Row 4)</t>
        </is>
      </c>
      <c r="C165" t="inlineStr">
        <is>
          <t>5</t>
        </is>
      </c>
      <c r="D165" s="8" t="inlineStr">
        <is>
          <t>Article 7(4) of Directive (EU) 2022/2556, amended Article 95(1) of PSD2 by adding the following</t>
        </is>
      </c>
      <c r="E165" t="inlineStr">
        <is>
          <t>3–4</t>
        </is>
      </c>
      <c r="F165" t="inlineStr">
        <is>
          <t>Other</t>
        </is>
      </c>
      <c r="G165" t="inlineStr">
        <is>
          <t>High</t>
        </is>
      </c>
      <c r="H165" t="inlineStr">
        <is>
          <t>High</t>
        </is>
      </c>
      <c r="I165" s="8" t="inlineStr"/>
      <c r="J165" s="8" t="inlineStr"/>
      <c r="K165" t="inlineStr"/>
      <c r="L165"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M165" s="8" t="inlineStr"/>
      <c r="N165" s="8" t="inlineStr">
        <is>
          <t>[Must] 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O165"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2015/23662.</t>
        </is>
      </c>
      <c r="P165" s="10" t="inlineStr">
        <is>
          <t>Open PDF</t>
        </is>
      </c>
    </row>
    <row r="166">
      <c r="A166" t="inlineStr">
        <is>
          <t>GDPR</t>
        </is>
      </c>
      <c r="B166" t="inlineStr">
        <is>
          <t>Final report on amending GLs on ICT risk and security (GDPR - Row 4)</t>
        </is>
      </c>
      <c r="C166" t="inlineStr">
        <is>
          <t>5</t>
        </is>
      </c>
      <c r="D166" s="8" t="inlineStr">
        <is>
          <t>These guidelines are addressed to competent authorities as defined in Article 4 point</t>
        </is>
      </c>
      <c r="E166" t="inlineStr">
        <is>
          <t>9</t>
        </is>
      </c>
      <c r="F166" t="inlineStr">
        <is>
          <t>Other</t>
        </is>
      </c>
      <c r="G166" t="inlineStr">
        <is>
          <t>High</t>
        </is>
      </c>
      <c r="H166" t="inlineStr">
        <is>
          <t>High</t>
        </is>
      </c>
      <c r="I166" s="8" t="inlineStr"/>
      <c r="J166" s="8" t="inlineStr"/>
      <c r="K166" t="inlineStr"/>
      <c r="L166"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M166" s="8" t="inlineStr"/>
      <c r="N166" s="8" t="inlineStr">
        <is>
          <t>[Must] 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O166"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2015/23662.</t>
        </is>
      </c>
      <c r="P166" s="10" t="inlineStr">
        <is>
          <t>Open PDF</t>
        </is>
      </c>
    </row>
    <row r="167">
      <c r="A167" t="inlineStr">
        <is>
          <t>GDPR</t>
        </is>
      </c>
      <c r="B167" t="inlineStr">
        <is>
          <t>Final report on amending GLs on ICT risk and security (GDPR - Row 4)</t>
        </is>
      </c>
      <c r="C167" t="inlineStr">
        <is>
          <t>8</t>
        </is>
      </c>
      <c r="D167" s="8" t="inlineStr">
        <is>
          <t>Article 2(2)(f) of DORA, explicitly excludes from the scope of action of DORA post office giro institu-</t>
        </is>
      </c>
      <c r="E167" t="inlineStr">
        <is>
          <t>4</t>
        </is>
      </c>
      <c r="F167" t="inlineStr">
        <is>
          <t>Other</t>
        </is>
      </c>
      <c r="G167" t="inlineStr">
        <is>
          <t>High</t>
        </is>
      </c>
      <c r="H167" t="inlineStr">
        <is>
          <t>High</t>
        </is>
      </c>
      <c r="I167" s="8" t="inlineStr"/>
      <c r="J167" s="8" t="inlineStr"/>
      <c r="K167" t="inlineStr"/>
      <c r="L167" s="8" t="inlineStr">
        <is>
          <t>This section states that the subject matter of the guidelines is replaced with a focus on payment user relationship management and that the guidelines complement the risk management measures under DORA and the related RTS that payment service providers must take.</t>
        </is>
      </c>
      <c r="M167" s="8" t="inlineStr"/>
      <c r="N167" s="8" t="inlineStr">
        <is>
          <t>[Must] The subject matter as set out in paragraphs 5 and 6 is replaced with the following: 'These guidelines are based on the mandate to issue guidelines under Article 95(3) of Directive (EU) 2015/2366 and cover aspects of payment user relationship management'.
[Must] The guidelines complement the risk management measures under DORA and the related RTS that payment service providers must take.</t>
        </is>
      </c>
      <c r="O167" s="8" t="inlineStr">
        <is>
          <t>The subject matter as set out in paragraphs 5 and 6 is replaced with the following: 'These guidelines are based on the mandate to issue guidelines under Article 95(3) of Directive (EU) 2015/2366 and cover aspects of payment user relationship management'. The guidelines complement the risk management measures under DORA and the related RTS that payment service providers must take.</t>
        </is>
      </c>
      <c r="P167" s="10" t="inlineStr">
        <is>
          <t>Open PDF</t>
        </is>
      </c>
    </row>
    <row r="168">
      <c r="A168" t="inlineStr">
        <is>
          <t>GDPR</t>
        </is>
      </c>
      <c r="B168" t="inlineStr">
        <is>
          <t>Final report on amending GLs on ICT risk and security (GDPR - Row 4)</t>
        </is>
      </c>
      <c r="C168" t="inlineStr">
        <is>
          <t>8</t>
        </is>
      </c>
      <c r="D168" s="8" t="inlineStr">
        <is>
          <t>The subject matter as set out in paragraphs 5 and 6 is replaced with the following:</t>
        </is>
      </c>
      <c r="E168" t="inlineStr">
        <is>
          <t>9</t>
        </is>
      </c>
      <c r="F168" t="inlineStr">
        <is>
          <t>Other</t>
        </is>
      </c>
      <c r="G168" t="inlineStr">
        <is>
          <t>High</t>
        </is>
      </c>
      <c r="H168" t="inlineStr">
        <is>
          <t>High</t>
        </is>
      </c>
      <c r="I168" s="8" t="inlineStr"/>
      <c r="J168" s="8" t="inlineStr"/>
      <c r="K168" t="inlineStr"/>
      <c r="L168" s="8" t="inlineStr">
        <is>
          <t>This section states that the subject matter of the guidelines is replaced with a focus on payment user relationship management and that the guidelines complement the risk management measures under DORA and the related RTS that payment service providers must take.</t>
        </is>
      </c>
      <c r="M168" s="8" t="inlineStr"/>
      <c r="N168" s="8" t="inlineStr">
        <is>
          <t>[Must] The subject matter as set out in paragraphs 5 and 6 is replaced with the following: 'These guidelines are based on the mandate to issue guidelines under Article 95(3) of Directive (EU) 2015/2366 and cover aspects of payment user relationship management'.
[Must] The guidelines complement the risk management measures under DORA and the related RTS that payment service providers must take.</t>
        </is>
      </c>
      <c r="O168" s="8" t="inlineStr">
        <is>
          <t>The subject matter as set out in paragraphs 5 and 6 is replaced with the following: 'These guidelines are based on the mandate to issue guidelines under Article 95(3) of Directive (EU) 2015/2366 and cover aspects of payment user relationship management'. The guidelines complement the risk management measures under DORA and the related RTS that payment service providers must take.</t>
        </is>
      </c>
      <c r="P168" s="10" t="inlineStr">
        <is>
          <t>Open PDF</t>
        </is>
      </c>
    </row>
    <row r="169">
      <c r="A169" t="inlineStr">
        <is>
          <t>GDPR</t>
        </is>
      </c>
      <c r="B169" t="inlineStr">
        <is>
          <t>Final report on amending GLs on ICT risk and security (GDPR - Row 4)</t>
        </is>
      </c>
      <c r="C169" t="inlineStr">
        <is>
          <t>9</t>
        </is>
      </c>
      <c r="D169" s="8" t="inlineStr">
        <is>
          <t>The scope of application as set out in paragraphs 7 and 8 is deleted.</t>
        </is>
      </c>
      <c r="E169" t="inlineStr">
        <is>
          <t>9–10</t>
        </is>
      </c>
      <c r="F169" t="inlineStr">
        <is>
          <t>Other</t>
        </is>
      </c>
      <c r="G169" t="inlineStr">
        <is>
          <t>Unknown</t>
        </is>
      </c>
      <c r="H169" t="inlineStr">
        <is>
          <t>Low</t>
        </is>
      </c>
      <c r="I169" s="8" t="inlineStr"/>
      <c r="J169" s="8" t="inlineStr"/>
      <c r="K169" t="inlineStr"/>
      <c r="L169" s="8" t="inlineStr"/>
      <c r="M169" s="8" t="inlineStr"/>
      <c r="N169" s="8" t="inlineStr"/>
      <c r="O169" s="8" t="inlineStr"/>
      <c r="P169" s="10" t="inlineStr">
        <is>
          <t>Open PDF</t>
        </is>
      </c>
    </row>
    <row r="170">
      <c r="A170" t="inlineStr">
        <is>
          <t>GDPR</t>
        </is>
      </c>
      <c r="B170" t="inlineStr">
        <is>
          <t>Final report on amending GLs on ICT risk and security (GDPR - Row 4)</t>
        </is>
      </c>
      <c r="C170" t="inlineStr">
        <is>
          <t>10</t>
        </is>
      </c>
      <c r="D170" s="8" t="inlineStr">
        <is>
          <t>In addition, National Competent Authorities have the possibility to subject PSPs that are not cov-</t>
        </is>
      </c>
      <c r="E170" t="inlineStr">
        <is>
          <t>4</t>
        </is>
      </c>
      <c r="F170" t="inlineStr">
        <is>
          <t>Other</t>
        </is>
      </c>
      <c r="G170" t="inlineStr">
        <is>
          <t>High</t>
        </is>
      </c>
      <c r="H170" t="inlineStr">
        <is>
          <t>High</t>
        </is>
      </c>
      <c r="I170" s="8" t="inlineStr"/>
      <c r="J170" s="8" t="inlineStr"/>
      <c r="K170" t="inlineStr"/>
      <c r="L170"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those benefiting from exemptions.</t>
        </is>
      </c>
      <c r="M170" s="8" t="inlineStr"/>
      <c r="N170" s="8" t="inlineStr">
        <is>
          <t>[Must]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c r="O170" s="8" t="inlineStr">
        <is>
          <t>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c r="P170" s="10" t="inlineStr">
        <is>
          <t>Open PDF</t>
        </is>
      </c>
    </row>
    <row r="171">
      <c r="A171" t="inlineStr">
        <is>
          <t>GDPR</t>
        </is>
      </c>
      <c r="B171" t="inlineStr">
        <is>
          <t>Final report on amending GLs on ICT risk and security (GDPR - Row 4)</t>
        </is>
      </c>
      <c r="C171" t="inlineStr">
        <is>
          <t>10</t>
        </is>
      </c>
      <c r="D171" s="8" t="inlineStr">
        <is>
          <t>The addressees as set out in paragraph 9 are replaced by the following:</t>
        </is>
      </c>
      <c r="E171" t="inlineStr">
        <is>
          <t>10</t>
        </is>
      </c>
      <c r="F171" t="inlineStr">
        <is>
          <t>Other</t>
        </is>
      </c>
      <c r="G171" t="inlineStr">
        <is>
          <t>High</t>
        </is>
      </c>
      <c r="H171" t="inlineStr">
        <is>
          <t>High</t>
        </is>
      </c>
      <c r="I171" s="8" t="inlineStr"/>
      <c r="J171" s="8" t="inlineStr"/>
      <c r="K171" t="inlineStr"/>
      <c r="L171" s="8" t="inlineStr">
        <is>
          <t>This section states that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those benefiting from exemptions.</t>
        </is>
      </c>
      <c r="M171" s="8" t="inlineStr"/>
      <c r="N171" s="8" t="inlineStr">
        <is>
          <t>[Must] 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c r="O171" s="8" t="inlineStr">
        <is>
          <t>The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 including natural or legal persons benefiting from an exemption pursuant to Article 32 or 33 of Directive (EU) 2015/2366 and legal persons exempted under Article 9 of Directive 2009/110/EC3.</t>
        </is>
      </c>
      <c r="P171" s="10" t="inlineStr">
        <is>
          <t>Open PDF</t>
        </is>
      </c>
    </row>
    <row r="172">
      <c r="A172" t="inlineStr">
        <is>
          <t>GDPR</t>
        </is>
      </c>
      <c r="B172" t="inlineStr">
        <is>
          <t>Final report on amending GLs on ICT risk and security (GDPR - Row 4)</t>
        </is>
      </c>
      <c r="C172" t="inlineStr">
        <is>
          <t>11</t>
        </is>
      </c>
      <c r="D172" s="8" t="inlineStr">
        <is>
          <t>The separate proposal that the Commission published in June 2023 on the revision of PSD2 towards</t>
        </is>
      </c>
      <c r="E172" t="inlineStr">
        <is>
          <t>4–5</t>
        </is>
      </c>
      <c r="F172" t="inlineStr">
        <is>
          <t>Other</t>
        </is>
      </c>
      <c r="G172" t="inlineStr">
        <is>
          <t>High</t>
        </is>
      </c>
      <c r="H172" t="inlineStr">
        <is>
          <t>High</t>
        </is>
      </c>
      <c r="I172" s="8" t="inlineStr"/>
      <c r="J172" s="8" t="inlineStr"/>
      <c r="K172" t="inlineStr"/>
      <c r="L172" s="8" t="inlineStr">
        <is>
          <t>This section states that the definitions as set out in paragraph 10 are deleted.</t>
        </is>
      </c>
      <c r="M172" s="8" t="inlineStr"/>
      <c r="N172" s="8" t="inlineStr">
        <is>
          <t>[Must] The definitions as set out in paragraph 10 are deleted.</t>
        </is>
      </c>
      <c r="O172" s="8" t="inlineStr">
        <is>
          <t>The definitions as set out in paragraph 10 are deleted.</t>
        </is>
      </c>
      <c r="P172" s="10" t="inlineStr">
        <is>
          <t>Open PDF</t>
        </is>
      </c>
    </row>
    <row r="173">
      <c r="A173" t="inlineStr">
        <is>
          <t>GDPR</t>
        </is>
      </c>
      <c r="B173" t="inlineStr">
        <is>
          <t>Final report on amending GLs on ICT risk and security (GDPR - Row 4)</t>
        </is>
      </c>
      <c r="C173" t="inlineStr">
        <is>
          <t>11</t>
        </is>
      </c>
      <c r="D173" s="8" t="inlineStr">
        <is>
          <t>The definitions as set out in paragraph 10 are deleted.</t>
        </is>
      </c>
      <c r="E173" t="inlineStr">
        <is>
          <t>10</t>
        </is>
      </c>
      <c r="F173" t="inlineStr">
        <is>
          <t>Other</t>
        </is>
      </c>
      <c r="G173" t="inlineStr">
        <is>
          <t>High</t>
        </is>
      </c>
      <c r="H173" t="inlineStr">
        <is>
          <t>High</t>
        </is>
      </c>
      <c r="I173" s="8" t="inlineStr"/>
      <c r="J173" s="8" t="inlineStr"/>
      <c r="K173" t="inlineStr"/>
      <c r="L173" s="8" t="inlineStr">
        <is>
          <t>This section states that the definitions as set out in paragraph 10 are deleted.</t>
        </is>
      </c>
      <c r="M173" s="8" t="inlineStr"/>
      <c r="N173" s="8" t="inlineStr">
        <is>
          <t>[Must] The definitions as set out in paragraph 10 are deleted.</t>
        </is>
      </c>
      <c r="O173" s="8" t="inlineStr">
        <is>
          <t>The definitions as set out in paragraph 10 are deleted.</t>
        </is>
      </c>
      <c r="P173" s="10" t="inlineStr">
        <is>
          <t>Open PDF</t>
        </is>
      </c>
    </row>
    <row r="174">
      <c r="A174" t="inlineStr">
        <is>
          <t>GDPR</t>
        </is>
      </c>
      <c r="B174" t="inlineStr">
        <is>
          <t>Final report on amending GLs on ICT risk and security (GDPR - Row 4)</t>
        </is>
      </c>
      <c r="C174" t="inlineStr">
        <is>
          <t>12</t>
        </is>
      </c>
      <c r="D174" s="8" t="inlineStr">
        <is>
          <t>Credit institutions and investment firms as defined in point 3 of Article 4(1) of Regulation (EU) No</t>
        </is>
      </c>
      <c r="E174" t="inlineStr">
        <is>
          <t>5</t>
        </is>
      </c>
      <c r="F174" t="inlineStr">
        <is>
          <t>Other</t>
        </is>
      </c>
      <c r="G174" t="inlineStr">
        <is>
          <t>High</t>
        </is>
      </c>
      <c r="H174" t="inlineStr">
        <is>
          <t>High</t>
        </is>
      </c>
      <c r="I174" s="8" t="inlineStr"/>
      <c r="J174" s="8" t="inlineStr"/>
      <c r="K174" t="inlineStr"/>
      <c r="L174" s="8" t="inlineStr">
        <is>
          <t>This section notes that credit institutions and investment firms as defined in Regulation (EU) No 575/2013 overlap with the financial entities subject to DORA and the related RTS on RMF.</t>
        </is>
      </c>
      <c r="M174" s="8" t="inlineStr"/>
      <c r="N174" s="8" t="inlineStr">
        <is>
          <t>[Must] Credit institutions and investment firms as defined in Regulation (EU) No 575/2013 overlap with the financial entities subject to DORA and the related RTS on RMF.</t>
        </is>
      </c>
      <c r="O174" s="8" t="inlineStr">
        <is>
          <t>Credit institutions and investment firms as defined in point 3 of Article 4(1) of Regulation (EU) No 575/2013, addressees of the EBA Guidelines on ICT and security risk management overlap with the financial entities subject to DORA and the related RTS on RMF.</t>
        </is>
      </c>
      <c r="P174" s="10" t="inlineStr">
        <is>
          <t>Open PDF</t>
        </is>
      </c>
    </row>
    <row r="175">
      <c r="A175" t="inlineStr">
        <is>
          <t>GDPR</t>
        </is>
      </c>
      <c r="B175" t="inlineStr">
        <is>
          <t>Final report on amending GLs on ICT risk and security (GDPR - Row 4)</t>
        </is>
      </c>
      <c r="C175" t="inlineStr">
        <is>
          <t>13</t>
        </is>
      </c>
      <c r="D175" s="8" t="inlineStr">
        <is>
          <t>The EBA carried out a gap analysis in May 2024 and arrived at the view that the majority of the gaps</t>
        </is>
      </c>
      <c r="E175" t="inlineStr">
        <is>
          <t>5</t>
        </is>
      </c>
      <c r="F175" t="inlineStr">
        <is>
          <t>Other</t>
        </is>
      </c>
      <c r="G175" t="inlineStr">
        <is>
          <t>High</t>
        </is>
      </c>
      <c r="H175" t="inlineStr">
        <is>
          <t>High</t>
        </is>
      </c>
      <c r="I175" s="8" t="inlineStr"/>
      <c r="J175" s="8" t="inlineStr"/>
      <c r="K175" t="inlineStr"/>
      <c r="L175" s="8" t="inlineStr">
        <is>
          <t>This section states that the EBA conducted a gap analysis in May 2024 and found that most gaps related to authentication methods, information security policy, and ICT operations management were not material and were covered by the new DORA framework.</t>
        </is>
      </c>
      <c r="M175" s="8" t="inlineStr"/>
      <c r="N175" s="8" t="inlineStr">
        <is>
          <t>[Must] The EBA conducted a gap analysis in May 2024 and found that most gaps related to authentication methods, information security policy, and ICT operations management were not material and were covered by the new DORA framework.</t>
        </is>
      </c>
      <c r="O175" s="8" t="inlineStr">
        <is>
          <t>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t>
        </is>
      </c>
      <c r="P175" s="10" t="inlineStr">
        <is>
          <t>Open PDF</t>
        </is>
      </c>
    </row>
    <row r="176">
      <c r="A176" t="inlineStr">
        <is>
          <t>GDPR</t>
        </is>
      </c>
      <c r="B176" t="inlineStr">
        <is>
          <t>Final report on amending GLs on ICT risk and security (GDPR - Row 4)</t>
        </is>
      </c>
      <c r="C176" t="inlineStr">
        <is>
          <t>16</t>
        </is>
      </c>
      <c r="D176" s="8" t="inlineStr">
        <is>
          <t>The definitions included in EBA Guidelines on ICT and security risk management overlap with DORA</t>
        </is>
      </c>
      <c r="E176" t="inlineStr">
        <is>
          <t>5</t>
        </is>
      </c>
      <c r="F176" t="inlineStr">
        <is>
          <t>Other</t>
        </is>
      </c>
      <c r="G176" t="inlineStr">
        <is>
          <t>High</t>
        </is>
      </c>
      <c r="H176" t="inlineStr">
        <is>
          <t>High</t>
        </is>
      </c>
      <c r="I176" s="8" t="inlineStr">
        <is>
          <t>Security</t>
        </is>
      </c>
      <c r="J176" s="8" t="inlineStr"/>
      <c r="K176" t="inlineStr"/>
      <c r="L176" s="8" t="inlineStr">
        <is>
          <t>This section notes that the definitions included in the EBA Guidelines on ICT and security risk management overlap with DORA Article (3).</t>
        </is>
      </c>
      <c r="M176" s="8" t="inlineStr"/>
      <c r="N176" s="8" t="inlineStr">
        <is>
          <t>[Must] The definitions included in the EBA Guidelines on ICT and security risk management overlap with DORA Article (3).</t>
        </is>
      </c>
      <c r="O176" s="8" t="inlineStr">
        <is>
          <t>The definitions included in EBA Guidelines on ICT and security risk management overlap with DORA Article (3).</t>
        </is>
      </c>
      <c r="P176" s="10" t="inlineStr">
        <is>
          <t>Open PDF</t>
        </is>
      </c>
    </row>
    <row r="177">
      <c r="A177" t="inlineStr">
        <is>
          <t>GDPR</t>
        </is>
      </c>
      <c r="B177" t="inlineStr">
        <is>
          <t>esma_cloud_guidelines (GDPR - Row 8)</t>
        </is>
      </c>
      <c r="C177" t="inlineStr">
        <is>
          <t>1</t>
        </is>
      </c>
      <c r="D177" s="8" t="inlineStr">
        <is>
          <t>Applicable entities for cloud outsourcing guidelines</t>
        </is>
      </c>
      <c r="E177" t="inlineStr">
        <is>
          <t>3</t>
        </is>
      </c>
      <c r="F177" t="inlineStr">
        <is>
          <t>Cloud Services</t>
        </is>
      </c>
      <c r="G177" t="inlineStr">
        <is>
          <t>High</t>
        </is>
      </c>
      <c r="H177" t="inlineStr">
        <is>
          <t>High (explicit)</t>
        </is>
      </c>
      <c r="I177" s="8" t="inlineStr">
        <is>
          <t>Cloud Services</t>
        </is>
      </c>
      <c r="J177" s="8" t="inlineStr">
        <is>
          <t>Financial Data</t>
        </is>
      </c>
      <c r="K177" t="inlineStr">
        <is>
          <t>ESMA</t>
        </is>
      </c>
      <c r="L177" s="8" t="inlineStr">
        <is>
          <t>These guidelines apply to specific financial entities including alternative investment fund managers, depositaries, UCITS management companies, central counterparties, trade repositories, investment firms, credit institutions, central securities depositories, credit rating agencies, and securitisation repositories. The scope explicitly lists entities that must comply with the cloud outsourcing requirements outlined in the guidelines.</t>
        </is>
      </c>
      <c r="M177" s="8" t="inlineStr">
        <is>
          <t>Defines which financial institutions must adhere to cloud outsourcing safeguards, critical for identifying which entities require data transfer impact assessments when using cloud services.</t>
        </is>
      </c>
      <c r="N177" s="8" t="inlineStr">
        <is>
          <t>[Must] 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c r="O177" s="8" t="inlineStr">
        <is>
          <t>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c r="P177" s="10" t="inlineStr">
        <is>
          <t>Open PDF</t>
        </is>
      </c>
    </row>
    <row r="178">
      <c r="A178" t="inlineStr">
        <is>
          <t>GDPR</t>
        </is>
      </c>
      <c r="B178" t="inlineStr">
        <is>
          <t>esma_cloud_guidelines (GDPR - Row 8)</t>
        </is>
      </c>
      <c r="C178" t="inlineStr">
        <is>
          <t>2</t>
        </is>
      </c>
      <c r="D178" s="8" t="inlineStr">
        <is>
          <t>Tier 2 CCP compliance with EMIR requirements</t>
        </is>
      </c>
      <c r="E178" t="inlineStr">
        <is>
          <t>3</t>
        </is>
      </c>
      <c r="F178" t="inlineStr">
        <is>
          <t>Cloud Services</t>
        </is>
      </c>
      <c r="G178" t="inlineStr">
        <is>
          <t>High</t>
        </is>
      </c>
      <c r="H178" t="inlineStr">
        <is>
          <t>High (explicit)</t>
        </is>
      </c>
      <c r="I178" s="8" t="inlineStr">
        <is>
          <t>Cloud Services, Cross-border Transfer</t>
        </is>
      </c>
      <c r="J178" s="8" t="inlineStr">
        <is>
          <t>Financial Data</t>
        </is>
      </c>
      <c r="K178" t="inlineStr">
        <is>
          <t>ESMA</t>
        </is>
      </c>
      <c r="L178" s="8" t="inlineStr">
        <is>
          <t>ESMA will consider compliance with comparable third-country requirements when assessing whether Tier 2 third-country central counterparties satisfy EMIR requirements. This section addresses the applicability of EMIR compliance for cross-border CCPs operating under different regulatory frameworks.</t>
        </is>
      </c>
      <c r="M178" s="8" t="inlineStr">
        <is>
          <t>Clarifies how third-country CCPs can meet EMIR obligations through equivalent local regulations, relevant for data transfers involving CCPs across borders.</t>
        </is>
      </c>
      <c r="N178" s="8" t="inlineStr">
        <is>
          <t>[Must] 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c r="O178" s="8" t="inlineStr">
        <is>
          <t>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c r="P178" s="10" t="inlineStr">
        <is>
          <t>Open PDF</t>
        </is>
      </c>
    </row>
    <row r="179">
      <c r="A179" t="inlineStr">
        <is>
          <t>GDPR</t>
        </is>
      </c>
      <c r="B179" t="inlineStr">
        <is>
          <t>esma_cloud_guidelines (GDPR - Row 8)</t>
        </is>
      </c>
      <c r="C179" t="inlineStr">
        <is>
          <t>3</t>
        </is>
      </c>
      <c r="D179" s="8" t="inlineStr">
        <is>
          <t>Applicable regulatory provisions for cloud outsourcing</t>
        </is>
      </c>
      <c r="E179" t="inlineStr">
        <is>
          <t>3–4</t>
        </is>
      </c>
      <c r="F179" t="inlineStr">
        <is>
          <t>Cloud Services</t>
        </is>
      </c>
      <c r="G179" t="inlineStr">
        <is>
          <t>High</t>
        </is>
      </c>
      <c r="H179" t="inlineStr">
        <is>
          <t>High (explicit)</t>
        </is>
      </c>
      <c r="I179" s="8" t="inlineStr">
        <is>
          <t>Cloud Services, Cross-border Transfer</t>
        </is>
      </c>
      <c r="J179" s="8" t="inlineStr">
        <is>
          <t>Financial Data</t>
        </is>
      </c>
      <c r="K179" t="inlineStr">
        <is>
          <t>ESMA</t>
        </is>
      </c>
      <c r="L179" s="8" t="inlineStr">
        <is>
          <t>These guidelines apply to specific provisions from multiple EU regulations including AIFMD, UCITS Directive, EMIR, SFTR, MiFID II, CSDR, CRA Regulation, SECR, and Benchmarks Regulation. The section lists the regulatory frameworks that the cloud outsourcing guidelines must align with.</t>
        </is>
      </c>
      <c r="M179" s="8" t="inlineStr">
        <is>
          <t>Identifies which regulatory provisions govern cloud outsourcing, critical for ensuring data transfers comply with relevant legal frameworks across different financial sectors.</t>
        </is>
      </c>
      <c r="N179" s="8" t="inlineStr">
        <is>
          <t>[Must] These guidelines apply in relation to the following provisions: a) Articles 15, 18, 20 and 21(8) of AIFMD; Articles 13, 22, 38, 39, 40, 44, 45, 57(1)(d), 57(2), 57(3), 58, 75, 76, 77, 79, 81, 82 and 98 of Commission Delegated Regulation (EU) 2013/231; b) Articles 12(1)(a), 13, 14(1)(c), 22, 22a, 23(2), 30 and 31 of UCITS Directive; Article Articles 4(1) to 4(3), 4(5), 5(2), 7, 9, 23(4), 32, 38, 39 and 40 of Commission Directive 2010/43/EU; Articles 2(2)(j), 3(1), 13(2), 15, 16 and 22 of Commission Delegated Regulation (EU) No 2016/438; c) Articles 25, 26(1), 26(3), 26(6), 34, 35 and 78-81 of EMIR; Articles 5 and 12 of SFTR; Articles 3(1)(f), 3(2), 4, 7(2)(d) and (f), 9 and 17 of Commission Delegated Regulation (EU) No 153/2013; Articles 16 and 21 of Commission Delegated Regulation (EU) No 150/2013; Articles 16 and 21 of Commission Delegated Regulation (EU) 2019/359; d) Articles 16(2), 16(4), 16(5), 18(1), 19(3)(a), 47(1)(b) and (c), 48(1), 64(4), 65(5) and 66(3)1 of MiFID II; Articles 21(1) to (3), 23, 29(5), 30, 31 and 32 of Commission Delegated Regulation (EU) No 2017/565; Articles 6, 15 and 16 (6) of Commission Delegated Regulation (EU) No 2017/584; Articles 6, 7, 8 and 9 of Commission Delegated Regulation (EU) No 2017/571; e) Articles 22, 26, 30, 42, 44 and 45 of CSDR and Articles 33, 47, 50 (1), 57(2)(i), 66, 68, 75, 76, 78 and 80 of Commission Delegated Regulation (EU) No 2017/392; f) Article 9 and Annex I, Section A points 4 and 8 and Annex II point 17 of CRA Regulation and Articles 11 and 25 of the Commission Delegated Regulation (EU) No 2012/449; g) Article 10(2) of SECR; h) Articles 6(3) and 10 of the Benchmarks Regulation and Point 7 of Annex I of Commission Delegated Regulation (EU) 2018/1646.</t>
        </is>
      </c>
      <c r="O179" s="8" t="inlineStr">
        <is>
          <t>These guidelines apply in relation to the following provisions: a) Articles 15, 18, 20 and 21(8) of AIFMD; Articles 13, 22, 38, 39, 40, 44, 45, 57(1)(d), 57(2), 57(3), 58, 75, 76, 77, 79, 81, 82 and 98 of Commission Delegated Regulation (EU) 2013/231; b) Articles 12(1)(a), 13, 14(1)(c), 22, 22a, 23(2), 30 and 31 of UCITS Directive; Article Articles 4(1) to 4(3), 4(5), 5(2), 7, 9, 23(4), 32, 38, 39 and 40 of Commission Directive 2010/43/EU; Articles 2(2)(j), 3(1), 13(2), 15, 16 and 22 of Commission Delegated Regulation (EU) No 2016/438; c) Articles 25, 26(1), 26(3), 26(6), 34, 35 and 78-81 of EMIR; Articles 5 and 12 of SFTR; Articles 3(1)(f), 3(2), 4, 7(2)(d) and (f), 9 and 17 of Commission Delegated Regulation (EU) No 153/2013; Articles 16 and 21 of Commission Delegated Regulation (EU) No 150/2013; Articles 16 and 21 of Commission Delegated Regulation (EU) 2019/359; d) Articles 16(2), 16(4), 16(5), 18(1), 19(3)(a), 47(1)(b) and (c), 48(1), 64(4), 65(5) and 66(3)1 of MiFID II; Articles 21(1) to (3), 23, 29(5), 30, 31 and 32 of Commission Delegated Regulation (EU) No 2017/565; Articles 6, 15 and 16 (6) of Commission Delegated Regulation (EU) No 2017/584; Articles 6, 7, 8 and 9 of Commission Delegated Regulation (EU) No 2017/571; e) Articles 22, 26, 30, 42, 44 and 45 of CSDR and Articles 33, 47, 50 (1), 57(2)(i), 66, 68, 75, 76, 78 and 80 of Commission Delegated Regulation (EU) No 2017/392; f) Article 9 and Annex I, Section A points 4 and 8 and Annex II point 17 of CRA Regulation and Articles 11 and 25 of the Commission Delegated Regulation (EU) No 2012/449; g) Article 10(2) of SECR; h) Articles 6(3) and 10 of the Benchmarks Regulation and Point 7 of Annex I of Commission Delegated Regulation (EU) 2018/1646.</t>
        </is>
      </c>
      <c r="P179" s="10" t="inlineStr">
        <is>
          <t>Open PDF</t>
        </is>
      </c>
    </row>
    <row r="180">
      <c r="A180" t="inlineStr">
        <is>
          <t>GDPR</t>
        </is>
      </c>
      <c r="B180" t="inlineStr">
        <is>
          <t>esma_cloud_guidelines (GDPR - Row 8)</t>
        </is>
      </c>
      <c r="C180" t="inlineStr">
        <is>
          <t>4</t>
        </is>
      </c>
      <c r="D180" s="8" t="inlineStr">
        <is>
          <t>Effective date and cloud outsourcing review requirements</t>
        </is>
      </c>
      <c r="E180" t="inlineStr">
        <is>
          <t>4–9</t>
        </is>
      </c>
      <c r="F180" t="inlineStr">
        <is>
          <t>Cloud Services</t>
        </is>
      </c>
      <c r="G180" t="inlineStr">
        <is>
          <t>High</t>
        </is>
      </c>
      <c r="H180" t="inlineStr">
        <is>
          <t>High (explicit)</t>
        </is>
      </c>
      <c r="I180" s="8" t="inlineStr">
        <is>
          <t>Cloud Services</t>
        </is>
      </c>
      <c r="J180" s="8" t="inlineStr">
        <is>
          <t>Financial Data</t>
        </is>
      </c>
      <c r="K180" t="inlineStr">
        <is>
          <t>ESMA</t>
        </is>
      </c>
      <c r="L180" s="8" t="inlineStr">
        <is>
          <t>These guidelines apply from 31 July 2021 to all cloud outsourcing arrangements entered into, renewed, or amended on or after this date. Firms must review existing arrangements by 31 December 2022, and report to competent authorities if reviews are not finalized by this deadline.</t>
        </is>
      </c>
      <c r="M180" s="8" t="inlineStr">
        <is>
          <t>Sets the timeline for cloud outsourcing compliance, requiring assessments of data transfers to ensure adherence to international data protection standards.</t>
        </is>
      </c>
      <c r="N180" s="8" t="inlineStr">
        <is>
          <t>[Must] These guidelines apply from 31 July 2021 to all cloud outsourcing arrangements entered into, renewed or amended on or after this date. Firms should review and amend accordingly existing cloud outsourcing arrangements with a view to ensuring that they take into account these guidelines by 31 December 2022. Where the review of cloud outsourcing arrangements of critical or important functions is not finalised by 31 December 2022, firms should inform their competent authority of this fact, including the measures planned to complete the review or the possible exit strategy.</t>
        </is>
      </c>
      <c r="O180" s="8" t="inlineStr">
        <is>
          <t>These guidelines apply from 31 July 2021 to all cloud outsourcing arrangements entered into, renewed or amended on or after this date. Firms should review and amend accordingly existing cloud outsourcing arrangements with a view to ensuring that they take into account these guidelines by 31 December 2022. Where the review of cloud outsourcing arrangements of critical or important functions is not finalised by 31 December 2022, firms should inform their competent authority of this fact, including the measures planned to complete the review or the possible exit strategy.</t>
        </is>
      </c>
      <c r="P180" s="10" t="inlineStr">
        <is>
          <t>Open PDF</t>
        </is>
      </c>
    </row>
    <row r="181">
      <c r="A181" t="inlineStr">
        <is>
          <t>GDPR</t>
        </is>
      </c>
      <c r="B181" t="inlineStr">
        <is>
          <t>esma_cloud_guidelines (GDPR - Row 8)</t>
        </is>
      </c>
      <c r="C181" t="inlineStr">
        <is>
          <t>4 (part 2)</t>
        </is>
      </c>
      <c r="D181" s="8" t="inlineStr">
        <is>
          <t>These guidelines apply from 31 July 2021 to all cloud outsourcing arrangements (cont.)</t>
        </is>
      </c>
      <c r="E181" t="inlineStr">
        <is>
          <t>9–10</t>
        </is>
      </c>
      <c r="F181" t="inlineStr">
        <is>
          <t>Other</t>
        </is>
      </c>
      <c r="G181" t="inlineStr">
        <is>
          <t>Unknown</t>
        </is>
      </c>
      <c r="H181" t="inlineStr">
        <is>
          <t>Low</t>
        </is>
      </c>
      <c r="I181" s="8" t="inlineStr"/>
      <c r="J181" s="8" t="inlineStr"/>
      <c r="K181" t="inlineStr"/>
      <c r="L181" s="8" t="inlineStr"/>
      <c r="M181" s="8" t="inlineStr"/>
      <c r="N181" s="8" t="inlineStr"/>
      <c r="O181" s="8" t="inlineStr"/>
      <c r="P181" s="10" t="inlineStr">
        <is>
          <t>Open PDF</t>
        </is>
      </c>
    </row>
    <row r="182">
      <c r="A182" t="inlineStr">
        <is>
          <t>GDPR</t>
        </is>
      </c>
      <c r="B182" t="inlineStr">
        <is>
          <t>esma_cloud_guidelines (GDPR - Row 8)</t>
        </is>
      </c>
      <c r="C182" t="inlineStr">
        <is>
          <t>5</t>
        </is>
      </c>
      <c r="D182" s="8" t="inlineStr">
        <is>
          <t>These guidelines are based on Article 16(1) of the ESMA Regulation. The objectives</t>
        </is>
      </c>
      <c r="E182" t="inlineStr">
        <is>
          <t>10</t>
        </is>
      </c>
      <c r="F182" t="inlineStr">
        <is>
          <t>Other</t>
        </is>
      </c>
      <c r="G182" t="inlineStr">
        <is>
          <t>Unknown</t>
        </is>
      </c>
      <c r="H182" t="inlineStr">
        <is>
          <t>Low</t>
        </is>
      </c>
      <c r="I182" s="8" t="inlineStr"/>
      <c r="J182" s="8" t="inlineStr"/>
      <c r="K182" t="inlineStr"/>
      <c r="L182" s="8" t="inlineStr"/>
      <c r="M182" s="8" t="inlineStr"/>
      <c r="N182" s="8" t="inlineStr"/>
      <c r="O182" s="8" t="inlineStr"/>
      <c r="P182" s="10" t="inlineStr">
        <is>
          <t>Open PDF</t>
        </is>
      </c>
    </row>
    <row r="183">
      <c r="A183" t="inlineStr">
        <is>
          <t>GDPR</t>
        </is>
      </c>
      <c r="B183" t="inlineStr">
        <is>
          <t>esma_cloud_guidelines (GDPR - Row 8)</t>
        </is>
      </c>
      <c r="C183" t="inlineStr">
        <is>
          <t>7</t>
        </is>
      </c>
      <c r="D183" s="8" t="inlineStr">
        <is>
          <t>Competent authorities must incorporate ESMA cloud guidelines into national frameworks</t>
        </is>
      </c>
      <c r="E183" t="inlineStr">
        <is>
          <t>10</t>
        </is>
      </c>
      <c r="F183" t="inlineStr">
        <is>
          <t>Other</t>
        </is>
      </c>
      <c r="G183" t="inlineStr">
        <is>
          <t>High</t>
        </is>
      </c>
      <c r="H183" t="inlineStr">
        <is>
          <t>High (explicit)</t>
        </is>
      </c>
      <c r="I183" s="8" t="inlineStr">
        <is>
          <t>Governance, Record Keeping</t>
        </is>
      </c>
      <c r="J183" s="8" t="inlineStr">
        <is>
          <t>Customer Data</t>
        </is>
      </c>
      <c r="K183" t="inlineStr">
        <is>
          <t>ESMA</t>
        </is>
      </c>
      <c r="L183" s="8" t="inlineStr">
        <is>
          <t>Competent authorities must integrate these guidelines into their national legal and supervisory frameworks. They must ensure compliance through ongoing supervision, particularly for firms targeted by specific guidelines. This obligation applies to authorities responsible for overseeing financial institutions within the EU.</t>
        </is>
      </c>
      <c r="M183" s="8" t="inlineStr">
        <is>
          <t>Competent authorities must ensure their national frameworks align with ESMA's cloud guidelines for financial entities, impacting how data transfers and cloud services are regulated across borders.</t>
        </is>
      </c>
      <c r="N183" s="8" t="inlineStr">
        <is>
          <t>[Must] Competent authorities to which these guidelines apply should comply by incorporating them into their national legal and/or supervisory frameworks as appropriate
[Should] In this case, competent authorities should ensure, through their supervision, that firms comply with the guidelines</t>
        </is>
      </c>
      <c r="O183" s="8" t="inlineStr">
        <is>
          <t>7. 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t>
        </is>
      </c>
      <c r="P183" s="10" t="inlineStr">
        <is>
          <t>Open PDF</t>
        </is>
      </c>
    </row>
    <row r="184">
      <c r="A184" t="inlineStr">
        <is>
          <t>GDPR</t>
        </is>
      </c>
      <c r="B184" t="inlineStr">
        <is>
          <t>esma_cloud_guidelines (GDPR - Row 8)</t>
        </is>
      </c>
      <c r="C184" t="inlineStr">
        <is>
          <t>8</t>
        </is>
      </c>
      <c r="D184" s="8" t="inlineStr">
        <is>
          <t>ESMA supervises application of cloud guidelines by financial entities</t>
        </is>
      </c>
      <c r="E184" t="inlineStr">
        <is>
          <t>10–11</t>
        </is>
      </c>
      <c r="F184" t="inlineStr">
        <is>
          <t>Other</t>
        </is>
      </c>
      <c r="G184" t="inlineStr">
        <is>
          <t>High</t>
        </is>
      </c>
      <c r="H184" t="inlineStr">
        <is>
          <t>High (explicit)</t>
        </is>
      </c>
      <c r="I184" s="8" t="inlineStr">
        <is>
          <t>Cloud Services, Financial Data</t>
        </is>
      </c>
      <c r="J184" s="8" t="inlineStr">
        <is>
          <t>Financial Data</t>
        </is>
      </c>
      <c r="K184" t="inlineStr">
        <is>
          <t>ESMA</t>
        </is>
      </c>
      <c r="L184" s="8" t="inlineStr">
        <is>
          <t>ESMA will assess how financial entities like CRAs, TRs, SRs, and Tier 2 third-country CCPs apply these cloud guidelines through direct supervision. This includes monitoring compliance with specific requirements for data reporting services and EU critical benchmarks starting January 2022.</t>
        </is>
      </c>
      <c r="M184" s="8" t="inlineStr">
        <is>
          <t>ESMA's direct supervision of financial entities ensures cloud service compliance, affecting data transfer and processing across borders for financial institutions.</t>
        </is>
      </c>
      <c r="N184" s="8" t="inlineStr">
        <is>
          <t>[Must] ESMA will assess the application of these guidelines by CRAs, TRs, SRs, Tier 2 third-country CCPs and, from 1 January 2022, data reporting services providers and administrators of EU critical benchmarks</t>
        </is>
      </c>
      <c r="O184" s="8" t="inlineStr">
        <is>
          <t>8. Through its ongoing direct supervision, ESMA will assess the application of these guidelines by CRAs, TRs, SRs, Tier 2 third-country CCPs and, from 1 January 2022, data reporting services providers and administrators of EU critical benchmarks.</t>
        </is>
      </c>
      <c r="P184" s="10" t="inlineStr">
        <is>
          <t>Open PDF</t>
        </is>
      </c>
    </row>
    <row r="185">
      <c r="A185" t="inlineStr">
        <is>
          <t>GDPR</t>
        </is>
      </c>
      <c r="B185" t="inlineStr">
        <is>
          <t>esma_cloud_guidelines (GDPR - Row 8)</t>
        </is>
      </c>
      <c r="C185" t="inlineStr">
        <is>
          <t>9</t>
        </is>
      </c>
      <c r="D185" s="8" t="inlineStr">
        <is>
          <t>Competent authorities must notify ESMA of compliance status within two months</t>
        </is>
      </c>
      <c r="E185" t="inlineStr">
        <is>
          <t>11</t>
        </is>
      </c>
      <c r="F185" t="inlineStr">
        <is>
          <t>Other</t>
        </is>
      </c>
      <c r="G185" t="inlineStr">
        <is>
          <t>High</t>
        </is>
      </c>
      <c r="H185" t="inlineStr">
        <is>
          <t>High (explicit)</t>
        </is>
      </c>
      <c r="I185" s="8" t="inlineStr">
        <is>
          <t>Record Keeping</t>
        </is>
      </c>
      <c r="J185" s="8" t="inlineStr">
        <is>
          <t>Customer Data</t>
        </is>
      </c>
      <c r="K185" t="inlineStr">
        <is>
          <t>ESMA</t>
        </is>
      </c>
      <c r="L185" s="8" t="inlineStr">
        <is>
          <t>Competent authorities must notify ESMA within two months of the guidelines' publication in all EU languages whether they comply with the guidelines, intend to comply but do not yet, or do not comply and have no plans to. This notification is required for all authorities that apply these guidelines.</t>
        </is>
      </c>
      <c r="M185" s="8" t="inlineStr">
        <is>
          <t>Competent authorities must report compliance status to ESMA within two months, impacting how data transfers and cloud services are monitored across borders.</t>
        </is>
      </c>
      <c r="N185" s="8" t="inlineStr">
        <is>
          <t>[Must]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t>
        </is>
      </c>
      <c r="O185" s="8" t="inlineStr">
        <is>
          <t>9.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t>
        </is>
      </c>
      <c r="P185" s="10" t="inlineStr">
        <is>
          <t>Open PDF</t>
        </is>
      </c>
    </row>
    <row r="186">
      <c r="A186" t="inlineStr">
        <is>
          <t>GDPR</t>
        </is>
      </c>
      <c r="B186" t="inlineStr">
        <is>
          <t>esma_cloud_guidelines (GDPR - Row 8)</t>
        </is>
      </c>
      <c r="C186" t="inlineStr">
        <is>
          <t>10</t>
        </is>
      </c>
      <c r="D186" s="8" t="inlineStr">
        <is>
          <t>Competent authorities must explain non-compliance to ESMA within two months</t>
        </is>
      </c>
      <c r="E186" t="inlineStr">
        <is>
          <t>11</t>
        </is>
      </c>
      <c r="F186" t="inlineStr">
        <is>
          <t>Other</t>
        </is>
      </c>
      <c r="G186" t="inlineStr">
        <is>
          <t>High</t>
        </is>
      </c>
      <c r="H186" t="inlineStr">
        <is>
          <t>High (explicit)</t>
        </is>
      </c>
      <c r="I186" s="8" t="inlineStr">
        <is>
          <t>Record Keeping</t>
        </is>
      </c>
      <c r="J186" s="8" t="inlineStr">
        <is>
          <t>Customer Data</t>
        </is>
      </c>
      <c r="K186" t="inlineStr">
        <is>
          <t>ESMA</t>
        </is>
      </c>
      <c r="L186" s="8" t="inlineStr">
        <is>
          <t>If competent authorities do not comply with the guidelines, they must notify ESMA within two months of publication of the guidelines in all EU languages with reasons for non-compliance. This notification must follow a template available on ESMA's website.</t>
        </is>
      </c>
      <c r="M186" s="8" t="inlineStr">
        <is>
          <t>Competent authorities must provide detailed explanations for non-compliance, affecting how data transfers and cloud services are regulated across borders.</t>
        </is>
      </c>
      <c r="N186" s="8" t="inlineStr">
        <is>
          <t>[Must] In case of non-compliance, competent authorities must also notify ESMA within two months of the date of publication of the guidelines on ESMA's website in all EU official languages of their reasons for not complying with the guidelines
[Must] A template for notifications is available on ESMA's website. Once the template has been filled in, it shall be transmitted to ESMA</t>
        </is>
      </c>
      <c r="O186" s="8" t="inlineStr">
        <is>
          <t>10. 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 Once the template has been filled in, it shall be transmitted to ESMA.</t>
        </is>
      </c>
      <c r="P186" s="10" t="inlineStr">
        <is>
          <t>Open PDF</t>
        </is>
      </c>
    </row>
    <row r="187">
      <c r="A187" t="inlineStr">
        <is>
          <t>GDPR</t>
        </is>
      </c>
      <c r="B187" t="inlineStr">
        <is>
          <t>esma_cloud_guidelines (GDPR - Row 8)</t>
        </is>
      </c>
      <c r="C187" t="inlineStr">
        <is>
          <t>11</t>
        </is>
      </c>
      <c r="D187" s="8" t="inlineStr">
        <is>
          <t>Firms not required to report compliance with cloud guidelines</t>
        </is>
      </c>
      <c r="E187" t="inlineStr">
        <is>
          <t>11</t>
        </is>
      </c>
      <c r="F187" t="inlineStr">
        <is>
          <t>Other</t>
        </is>
      </c>
      <c r="G187" t="inlineStr">
        <is>
          <t>High</t>
        </is>
      </c>
      <c r="H187" t="inlineStr">
        <is>
          <t>High (explicit)</t>
        </is>
      </c>
      <c r="I187" s="8" t="inlineStr">
        <is>
          <t>Cloud Services</t>
        </is>
      </c>
      <c r="J187" s="8" t="inlineStr">
        <is>
          <t>Customer Data</t>
        </is>
      </c>
      <c r="K187" t="inlineStr">
        <is>
          <t>ESMA</t>
        </is>
      </c>
      <c r="L187" s="8" t="inlineStr">
        <is>
          <t>Financial firms are not obligated to report whether they comply with these cloud guidelines. This means firms have no duty to inform ESMA or competent authorities about their adherence to the guidelines.</t>
        </is>
      </c>
      <c r="M187" s="8" t="inlineStr">
        <is>
          <t>Firms do not need to report compliance status, reducing reporting burdens for financial entities handling data transfers.</t>
        </is>
      </c>
      <c r="N187" s="8" t="inlineStr">
        <is>
          <t>[Must Not] Firms are not required to report whether they comply with these guidelines</t>
        </is>
      </c>
      <c r="O187" s="8" t="inlineStr">
        <is>
          <t>11. Firms are not required to report whether they comply with these guidelines.</t>
        </is>
      </c>
      <c r="P187" s="10" t="inlineStr">
        <is>
          <t>Open PDF</t>
        </is>
      </c>
    </row>
    <row r="188">
      <c r="A188" t="inlineStr">
        <is>
          <t>GDPR</t>
        </is>
      </c>
      <c r="B188" t="inlineStr">
        <is>
          <t>esma_cloud_guidelines (GDPR - Row 8)</t>
        </is>
      </c>
      <c r="C188" t="inlineStr">
        <is>
          <t>12</t>
        </is>
      </c>
      <c r="D188" s="8" t="inlineStr">
        <is>
          <t>Firms must have updated cloud outsourcing strategy</t>
        </is>
      </c>
      <c r="E188" t="inlineStr">
        <is>
          <t>11</t>
        </is>
      </c>
      <c r="F188" t="inlineStr">
        <is>
          <t>Cloud Services</t>
        </is>
      </c>
      <c r="G188" t="inlineStr">
        <is>
          <t>High</t>
        </is>
      </c>
      <c r="H188" t="inlineStr">
        <is>
          <t>High (explicit)</t>
        </is>
      </c>
      <c r="I188" s="8" t="inlineStr">
        <is>
          <t>Cloud Services, Governance</t>
        </is>
      </c>
      <c r="J188" s="8" t="inlineStr">
        <is>
          <t>Customer Data</t>
        </is>
      </c>
      <c r="K188" t="inlineStr">
        <is>
          <t>ESMA</t>
        </is>
      </c>
      <c r="L188" s="8" t="inlineStr">
        <is>
          <t>Firms must maintain a current and updated cloud outsourcing strategy that aligns with their overall business strategies, IT policies, information security protocols, and operational risk management frameworks. This ensures cloud services meet regulatory and security standards.</t>
        </is>
      </c>
      <c r="M188" s="8" t="inlineStr">
        <is>
          <t>Firms must have a cloud outsourcing strategy that meets security and operational risk standards, impacting how data is transferred and stored across borders.</t>
        </is>
      </c>
      <c r="N188" s="8" t="inlineStr">
        <is>
          <t>[Should] A firm should have a defined and up-to-date cloud outsourcing strategy that is consistent with the firm's relevant strategies and internal policies and processes, including in relation to information and communication technology, information security, and operational risk management</t>
        </is>
      </c>
      <c r="O188" s="8" t="inlineStr">
        <is>
          <t>12. A firm should have a defined and up-to-date cloud outsourcing strategy that is consistent with the firm's relevant strategies and internal policies and processes, including in relation to information and communication technology, information security, and operational risk management.</t>
        </is>
      </c>
      <c r="P188" s="10" t="inlineStr">
        <is>
          <t>Open PDF</t>
        </is>
      </c>
    </row>
    <row r="189">
      <c r="A189" t="inlineStr">
        <is>
          <t>GDPR</t>
        </is>
      </c>
      <c r="B189" t="inlineStr">
        <is>
          <t>esma_cloud_guidelines (GDPR - Row 8)</t>
        </is>
      </c>
      <c r="C189" t="inlineStr">
        <is>
          <t>13</t>
        </is>
      </c>
      <c r="D189" s="8" t="inlineStr">
        <is>
          <t>Cloud outsourcing responsibility assignment and oversight</t>
        </is>
      </c>
      <c r="E189" t="inlineStr">
        <is>
          <t>11–12</t>
        </is>
      </c>
      <c r="F189" t="inlineStr">
        <is>
          <t>Cloud Services</t>
        </is>
      </c>
      <c r="G189" t="inlineStr">
        <is>
          <t>High</t>
        </is>
      </c>
      <c r="H189" t="inlineStr">
        <is>
          <t>High (explicit)</t>
        </is>
      </c>
      <c r="I189" s="8" t="inlineStr">
        <is>
          <t>Cloud Services</t>
        </is>
      </c>
      <c r="J189" s="8" t="inlineStr">
        <is>
          <t>Customer Data</t>
        </is>
      </c>
      <c r="K189" t="inlineStr">
        <is>
          <t>ESMA</t>
        </is>
      </c>
      <c r="L189" s="8" t="inlineStr">
        <is>
          <t>Firms must clearly assign responsibilities for cloud outsourcing documentation, management, and control within their organization. They must allocate sufficient resources to ensure compliance with guidelines and all applicable legal requirements. Firms must establish a cloud outsourcing oversight function or designate senior staff accountable to management for risk oversight, considering business scale, complexity, and financial system risks. Small firms must ensure clear task division for oversight.</t>
        </is>
      </c>
      <c r="M189" s="8" t="inlineStr">
        <is>
          <t>Requires firms to define internal oversight for cloud outsourcing risks, ensuring critical functions are managed with appropriate technical understanding and resource allocation before data transfers occur.</t>
        </is>
      </c>
      <c r="N189" s="8" t="inlineStr">
        <is>
          <t>[Must] clearly assign the responsibilities for the documentation, management and control of cloud outsourcing arrangements within its organisation
[Must] allocate sufficient resources to ensure compliance with these guidelines and all of the legal requirements applicable to its cloud outsourcing arrangements
[Must] establish a cloud outsourcing oversight function or designate senior staff members who are directly accountable to the management body and responsible for managing and overseeing the risks of cloud outsourcing arrangements
[Must] take into account the nature, scale and complexity of their business, including in terms of risk for the financial system, and the risks inherent to the outsourced functions and make sure that their management body has the relevant technical skills to understand the risks involved in cloud outsourcing arrangements
[Should] Small and less complex firms should at least ensure a clear division of tasks and responsibilities for the management and oversight of cloud outsourcing arrangements</t>
        </is>
      </c>
      <c r="O189" s="8" t="inlineStr">
        <is>
          <t>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t>
        </is>
      </c>
      <c r="P189" s="10" t="inlineStr">
        <is>
          <t>Open PDF</t>
        </is>
      </c>
    </row>
    <row r="190">
      <c r="A190" t="inlineStr">
        <is>
          <t>GDPR</t>
        </is>
      </c>
      <c r="B190" t="inlineStr">
        <is>
          <t>esma_cloud_guidelines (GDPR - Row 8)</t>
        </is>
      </c>
      <c r="C190" t="inlineStr">
        <is>
          <t>14</t>
        </is>
      </c>
      <c r="D190" s="8" t="inlineStr">
        <is>
          <t>Cloud outsourcing performance and security monitoring</t>
        </is>
      </c>
      <c r="E190" t="inlineStr">
        <is>
          <t>12</t>
        </is>
      </c>
      <c r="F190" t="inlineStr">
        <is>
          <t>Cloud Services</t>
        </is>
      </c>
      <c r="G190" t="inlineStr">
        <is>
          <t>High</t>
        </is>
      </c>
      <c r="H190" t="inlineStr">
        <is>
          <t>High (explicit)</t>
        </is>
      </c>
      <c r="I190" s="8" t="inlineStr">
        <is>
          <t>Cloud Services, Security</t>
        </is>
      </c>
      <c r="J190" s="8" t="inlineStr">
        <is>
          <t>Customer Data</t>
        </is>
      </c>
      <c r="K190" t="inlineStr">
        <is>
          <t>ESMA</t>
        </is>
      </c>
      <c r="L190" s="8" t="inlineStr">
        <is>
          <t>Firms must monitor the performance of activities, security measures, and adherence to agreed service levels by their cloud service providers (CSPs). This monitoring must be risk-based, prioritizing critical or important functions that have been outsourced to ensure ongoing compliance and risk mitigation.</t>
        </is>
      </c>
      <c r="M190" s="8" t="inlineStr">
        <is>
          <t>Mandates risk-based monitoring of cloud service providers to ensure security and performance for outsourced functions, critical for data transfer impact assessments involving financial services.</t>
        </is>
      </c>
      <c r="N190" s="8" t="inlineStr">
        <is>
          <t>[Must] monitor the performance of activities, the security measures and the adherence to agreed service levels by its CSPs
[Must] This monitoring should be risk-based, with a primary focus on the critical or important functions that have been outsourced</t>
        </is>
      </c>
      <c r="O190" s="8" t="inlineStr">
        <is>
          <t>A firm should monitor the performance of activities, the security measures and the adherence to agreed service levels by its CSPs. This monitoring should be risk-based, with a primary focus on the critical or important functions that have been outsourced.</t>
        </is>
      </c>
      <c r="P190" s="10" t="inlineStr">
        <is>
          <t>Open PDF</t>
        </is>
      </c>
    </row>
    <row r="191">
      <c r="A191" t="inlineStr">
        <is>
          <t>GDPR</t>
        </is>
      </c>
      <c r="B191" t="inlineStr">
        <is>
          <t>esma_cloud_guidelines (GDPR - Row 8)</t>
        </is>
      </c>
      <c r="C191" t="inlineStr">
        <is>
          <t>15</t>
        </is>
      </c>
      <c r="D191" s="8" t="inlineStr">
        <is>
          <t>Periodic reassessment of critical cloud functions</t>
        </is>
      </c>
      <c r="E191" t="inlineStr">
        <is>
          <t>12</t>
        </is>
      </c>
      <c r="F191" t="inlineStr">
        <is>
          <t>Cloud Services</t>
        </is>
      </c>
      <c r="G191" t="inlineStr">
        <is>
          <t>High</t>
        </is>
      </c>
      <c r="H191" t="inlineStr">
        <is>
          <t>High (explicit)</t>
        </is>
      </c>
      <c r="I191" s="8" t="inlineStr">
        <is>
          <t>Cloud Services</t>
        </is>
      </c>
      <c r="J191" s="8" t="inlineStr">
        <is>
          <t>Customer Data</t>
        </is>
      </c>
      <c r="K191" t="inlineStr">
        <is>
          <t>ESMA</t>
        </is>
      </c>
      <c r="L191" s="8" t="inlineStr">
        <is>
          <t>Firms must periodically reassess whether their cloud outsourcing arrangements concern critical or important functions, and trigger a reassessment whenever the risk, nature, or scale of an outsourced function has materially changed to ensure ongoing alignment with financial system risks.</t>
        </is>
      </c>
      <c r="M191" s="8" t="inlineStr">
        <is>
          <t>Requires regular reassessment of cloud outsourcing criticality to maintain data transfer safeguards, especially for financial functions subject to regulatory scrutiny.</t>
        </is>
      </c>
      <c r="N191" s="8" t="inlineStr">
        <is>
          <t>[Must] reassess whether its cloud outsourcing arrangements concern a critical or important function periodically and whenever the risk, nature or scale of an outsourced function has materially changed</t>
        </is>
      </c>
      <c r="O191" s="8" t="inlineStr">
        <is>
          <t>A firm should reassess whether its cloud outsourcing arrangements concern a critical or important function periodically and whenever the risk, nature or scale of an outsourced function has materially changed.</t>
        </is>
      </c>
      <c r="P191" s="10" t="inlineStr">
        <is>
          <t>Open PDF</t>
        </is>
      </c>
    </row>
    <row r="192">
      <c r="A192" t="inlineStr">
        <is>
          <t>GDPR</t>
        </is>
      </c>
      <c r="B192" t="inlineStr">
        <is>
          <t>esma_cloud_guidelines (GDPR - Row 8)</t>
        </is>
      </c>
      <c r="C192" t="inlineStr">
        <is>
          <t>16</t>
        </is>
      </c>
      <c r="D192" s="8" t="inlineStr">
        <is>
          <t>Cloud outsourcing register maintenance</t>
        </is>
      </c>
      <c r="E192" t="inlineStr">
        <is>
          <t>12</t>
        </is>
      </c>
      <c r="F192" t="inlineStr">
        <is>
          <t>Cloud Services</t>
        </is>
      </c>
      <c r="G192" t="inlineStr">
        <is>
          <t>High</t>
        </is>
      </c>
      <c r="H192" t="inlineStr">
        <is>
          <t>High (explicit)</t>
        </is>
      </c>
      <c r="I192" s="8" t="inlineStr">
        <is>
          <t>Cloud Services, Record Keeping</t>
        </is>
      </c>
      <c r="J192" s="8" t="inlineStr">
        <is>
          <t>Customer Data</t>
        </is>
      </c>
      <c r="K192" t="inlineStr">
        <is>
          <t>ESMA</t>
        </is>
      </c>
      <c r="L192" s="8" t="inlineStr">
        <is>
          <t>Firms must maintain an updated register of all cloud outsourcing arrangements, distinguishing between critical/important and non-critical functions. The register must include reasons for classification, and for terminated arrangements, maintain records for an appropriate period, considering national law.</t>
        </is>
      </c>
      <c r="M192" s="8" t="inlineStr">
        <is>
          <t>Mandates detailed documentation of cloud outsourcing arrangements to ensure transparency and compliance with data transfer requirements, critical for assessing cross-border data flows.</t>
        </is>
      </c>
      <c r="N192" s="8" t="inlineStr">
        <is>
          <t>[Must] maintain an updated register of information on all its cloud outsourcing arrangements, distinguishing between the outsourcing of critical or important functions and other outsourcing arrangements
[Must] provide a brief summary of the reasons why the outsourced function is or is not considered critical or important
[Must] maintain a record of terminated cloud outsourcing arrangements for an appropriate time period</t>
        </is>
      </c>
      <c r="O192" s="8" t="inlineStr">
        <is>
          <t>A firm should maintain an updated register of information on all its cloud outsourcing arrangements, distinguishing between the outsourcing of critical or important functions and other outsourcing arrangements. When distinguishing between the outsourcing of critical or important functions and other outsourcing arrangements, it should provide a brief summary of the reasons why the outsourced function is or is not considered critical or important. Taking into account national law, a firm should also maintain a record of terminated cloud outsourcing arrangements for an appropriate time period.</t>
        </is>
      </c>
      <c r="P192" s="10" t="inlineStr">
        <is>
          <t>Open PDF</t>
        </is>
      </c>
    </row>
    <row r="193">
      <c r="A193" t="inlineStr">
        <is>
          <t>GDPR</t>
        </is>
      </c>
      <c r="B193" t="inlineStr">
        <is>
          <t>esma_cloud_guidelines (GDPR - Row 8)</t>
        </is>
      </c>
      <c r="C193" t="inlineStr">
        <is>
          <t>17</t>
        </is>
      </c>
      <c r="D193" s="8" t="inlineStr">
        <is>
          <t>Critical cloud outsourcing register details</t>
        </is>
      </c>
      <c r="E193" t="inlineStr">
        <is>
          <t>12–13</t>
        </is>
      </c>
      <c r="F193" t="inlineStr">
        <is>
          <t>Cloud Services</t>
        </is>
      </c>
      <c r="G193" t="inlineStr">
        <is>
          <t>High</t>
        </is>
      </c>
      <c r="H193" t="inlineStr">
        <is>
          <t>High (explicit)</t>
        </is>
      </c>
      <c r="I193" s="8" t="inlineStr">
        <is>
          <t>Cloud Services, Record Keeping</t>
        </is>
      </c>
      <c r="J193" s="8" t="inlineStr">
        <is>
          <t>Customer Data</t>
        </is>
      </c>
      <c r="K193" t="inlineStr">
        <is>
          <t>ESMA</t>
        </is>
      </c>
      <c r="L193" s="8" t="inlineStr">
        <is>
          <t>For critical or important cloud outsourcing functions, firms must include specific details in their register: reference numbers, dates, outsourced function descriptions, criticality categories, time-critical operations, CSP information, data storage locations, risk assessment dates, and approval details. This ensures comprehensive oversight of high-risk cloud activities.</t>
        </is>
      </c>
      <c r="M193" s="8" t="inlineStr">
        <is>
          <t>Requires granular detail in registers for critical cloud functions to ensure data transfer compliance and risk mitigation across borders.</t>
        </is>
      </c>
      <c r="N193" s="8" t="inlineStr">
        <is>
          <t>[Must]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d) a category assigned by the firm that reflects the nature of the outsourced function; e) whether the outsourced function supports business operations that are time-critical; f) the name and the brand name (if any) of the CSP, its country of registration, its corporate registration number, its legal entity identifier,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including the countries where the sub-outsourcers are registered, where the sub-outsourced service will be performed, and the locations where the data will be stored; m) the estimated annual budget cost of the cloud outsourcing arrangement</t>
        </is>
      </c>
      <c r="O193" s="8" t="inlineStr">
        <is>
          <t>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(for example by providing a yes or no in a separate data field); d) a category assigned by the firm that reflects the nature of the outsourced function (for example information technology function, control function), which should facilitate the identification of the different types of cloud outsourcing arrangements; e) whether the outsourced function supports business operations that are time-critical; f) the name and the brand name (if any) of the CSP, its country of registration, its corporate registration number, its legal entity identifier (where available),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(namely regions or countries)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m) the estimated annual budget cost of the cloud outsourcing arrangement.</t>
        </is>
      </c>
      <c r="P193" s="10" t="inlineStr">
        <is>
          <t>Open PDF</t>
        </is>
      </c>
    </row>
    <row r="194">
      <c r="A194" t="inlineStr">
        <is>
          <t>GDPR</t>
        </is>
      </c>
      <c r="B194" t="inlineStr">
        <is>
          <t>esma_cloud_guidelines (GDPR - Row 8)</t>
        </is>
      </c>
      <c r="C194" t="inlineStr">
        <is>
          <t>18</t>
        </is>
      </c>
      <c r="D194" s="8" t="inlineStr">
        <is>
          <t>Non-critical cloud outsourcing register details</t>
        </is>
      </c>
      <c r="E194" t="inlineStr">
        <is>
          <t>13</t>
        </is>
      </c>
      <c r="F194" t="inlineStr">
        <is>
          <t>Cloud Services</t>
        </is>
      </c>
      <c r="G194" t="inlineStr">
        <is>
          <t>High</t>
        </is>
      </c>
      <c r="H194" t="inlineStr">
        <is>
          <t>High (explicit)</t>
        </is>
      </c>
      <c r="I194" s="8" t="inlineStr">
        <is>
          <t>Cloud Services, Record Keeping</t>
        </is>
      </c>
      <c r="J194" s="8" t="inlineStr">
        <is>
          <t>Customer Data</t>
        </is>
      </c>
      <c r="K194" t="inlineStr">
        <is>
          <t>ESMA</t>
        </is>
      </c>
      <c r="L194" s="8" t="inlineStr">
        <is>
          <t>For non-critical or non-important cloud outsourcing functions, firms must define the information to include in their register based on the nature, scale, and complexity of the risks inherent to the outsourced function, ensuring tailored documentation without excessive detail.</t>
        </is>
      </c>
      <c r="M194" s="8" t="inlineStr">
        <is>
          <t>Allows for risk-adapted documentation of non-critical cloud functions, reducing complexity while maintaining regulatory alignment for data transfers.</t>
        </is>
      </c>
      <c r="N194" s="8" t="inlineStr">
        <is>
          <t>[Must] define the information to be included in the register based on the nature, scale and complexity of the risks inherent to the outsourced function</t>
        </is>
      </c>
      <c r="O194" s="8" t="inlineStr">
        <is>
          <t>For the cloud outsourcing arrangements concerning non-critical or non-important functions, a firm should define the information to be included in the register based on the nature, scale and complexity of the risks inherent to the outsourced function.</t>
        </is>
      </c>
      <c r="P194" s="10" t="inlineStr">
        <is>
          <t>Open PDF</t>
        </is>
      </c>
    </row>
    <row r="195">
      <c r="A195" t="inlineStr">
        <is>
          <t>GDPR</t>
        </is>
      </c>
      <c r="B195" t="inlineStr">
        <is>
          <t>esma_cloud_guidelines (GDPR - Row 8)</t>
        </is>
      </c>
      <c r="C195" t="inlineStr">
        <is>
          <t>19</t>
        </is>
      </c>
      <c r="D195" s="8" t="inlineStr">
        <is>
          <t>Pre-cloud outsourcing risk assessment requirements</t>
        </is>
      </c>
      <c r="E195" t="inlineStr">
        <is>
          <t>13</t>
        </is>
      </c>
      <c r="F195" t="inlineStr">
        <is>
          <t>Cloud Services</t>
        </is>
      </c>
      <c r="G195" t="inlineStr">
        <is>
          <t>High</t>
        </is>
      </c>
      <c r="H195" t="inlineStr">
        <is>
          <t>High (explicit)</t>
        </is>
      </c>
      <c r="I195" s="8" t="inlineStr">
        <is>
          <t>Cloud Services</t>
        </is>
      </c>
      <c r="J195" s="8" t="inlineStr">
        <is>
          <t>Personal Information</t>
        </is>
      </c>
      <c r="K195" t="inlineStr">
        <is>
          <t>ESMA</t>
        </is>
      </c>
      <c r="L195" s="8" t="inlineStr">
        <is>
          <t>Firms must assess if cloud outsourcing affects critical functions, identify all risks, conduct due diligence on prospective cloud service providers (CSPs), and check for conflicts of interest before entering any cloud arrangement. These obligations apply to financial institutions and firms subject to the ESMA guidelines.</t>
        </is>
      </c>
      <c r="M195" s="8" t="inlineStr">
        <is>
          <t>Requires firms to evaluate criticality of functions, risks, and conflicts of interest before cloud outsourcing to ensure compliance with data transfer and processing safeguards.</t>
        </is>
      </c>
      <c r="N195" s="8" t="inlineStr">
        <is>
          <t>[Must] assess if the cloud outsourcing arrangement concerns a critical or important function
[Must] identify and assess all relevant risks of the cloud outsourcing arrangement
[Must] undertake appropriate due diligence on the prospective CSP
[Must] identify and assess any conflict of interest that the outsourcing may cause</t>
        </is>
      </c>
      <c r="O195" s="8" t="inlineStr">
        <is>
          <t>Before entering into any cloud outsourcing arrangement, a firm should: assess if the cloud outsourcing arrangement concerns a critical or important function; identify and assess all relevant risks of the cloud outsourcing arrangement; undertake appropriate due diligence on the prospective CSP; identify and assess any conflict of interest that the outsourcing may cause.</t>
        </is>
      </c>
      <c r="P195" s="10" t="inlineStr">
        <is>
          <t>Open PDF</t>
        </is>
      </c>
    </row>
    <row r="196">
      <c r="A196" t="inlineStr">
        <is>
          <t>GDPR</t>
        </is>
      </c>
      <c r="B196" t="inlineStr">
        <is>
          <t>esma_cloud_guidelines (GDPR - Row 8)</t>
        </is>
      </c>
      <c r="C196" t="inlineStr">
        <is>
          <t>20</t>
        </is>
      </c>
      <c r="D196" s="8" t="inlineStr">
        <is>
          <t>Proportionate pre-outsourcing due diligence requirements</t>
        </is>
      </c>
      <c r="E196" t="inlineStr">
        <is>
          <t>13</t>
        </is>
      </c>
      <c r="F196" t="inlineStr">
        <is>
          <t>Cloud Services</t>
        </is>
      </c>
      <c r="G196" t="inlineStr">
        <is>
          <t>High</t>
        </is>
      </c>
      <c r="H196" t="inlineStr">
        <is>
          <t>High (explicit)</t>
        </is>
      </c>
      <c r="I196" s="8" t="inlineStr">
        <is>
          <t>Cloud Services</t>
        </is>
      </c>
      <c r="J196" s="8" t="inlineStr">
        <is>
          <t>Personal Information</t>
        </is>
      </c>
      <c r="K196" t="inlineStr">
        <is>
          <t>ESMA</t>
        </is>
      </c>
      <c r="L196" s="8" t="inlineStr">
        <is>
          <t>The pre-outsourcing analysis and due diligence must be proportionate to the function's nature, scale, complexity, and inherent risks. This includes evaluating impacts on operational, legal, compliance, and reputational risks to ensure appropriate risk management.</t>
        </is>
      </c>
      <c r="M196" s="8" t="inlineStr">
        <is>
          <t>Mandates that due diligence scales with the criticality of functions to prevent disproportionate risks to financial operations and data security.</t>
        </is>
      </c>
      <c r="N196" s="8" t="inlineStr">
        <is>
          <t>[Must] The pre-outsourcing analysis and due diligence on the prospective CSP should be proportionate to the nature, scale and complexity of the function that the firm intends to outsource and the risks inherent to this function
[Must] It should include at least an assessment of the potential impact of the cloud outsourcing arrangement on the firm's operational, legal, compliance, and reputational risks</t>
        </is>
      </c>
      <c r="O196" s="8" t="inlineStr">
        <is>
          <t>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is>
      </c>
      <c r="P196" s="10" t="inlineStr">
        <is>
          <t>Open PDF</t>
        </is>
      </c>
    </row>
    <row r="197">
      <c r="A197" t="inlineStr">
        <is>
          <t>GDPR</t>
        </is>
      </c>
      <c r="B197" t="inlineStr">
        <is>
          <t>esma_cloud_guidelines (GDPR - Row 8)</t>
        </is>
      </c>
      <c r="C197" t="inlineStr">
        <is>
          <t>21</t>
        </is>
      </c>
      <c r="D197" s="8" t="inlineStr">
        <is>
          <t>Enhanced risk assessment for critical cloud functions</t>
        </is>
      </c>
      <c r="E197" t="inlineStr">
        <is>
          <t>13–14</t>
        </is>
      </c>
      <c r="F197" t="inlineStr">
        <is>
          <t>Cloud Services</t>
        </is>
      </c>
      <c r="G197" t="inlineStr">
        <is>
          <t>High</t>
        </is>
      </c>
      <c r="H197" t="inlineStr">
        <is>
          <t>High (explicit)</t>
        </is>
      </c>
      <c r="I197" s="8" t="inlineStr">
        <is>
          <t>Cloud Services, Data Storage</t>
        </is>
      </c>
      <c r="J197" s="8" t="inlineStr">
        <is>
          <t>Personal Information</t>
        </is>
      </c>
      <c r="K197" t="inlineStr">
        <is>
          <t>ESMA</t>
        </is>
      </c>
      <c r="L197" s="8" t="inlineStr">
        <is>
          <t>Firms must conduct detailed risk assessments for critical functions, covering technology, security, business continuity, legal compliance, reputational risks, operational risks, and oversight limitations. This includes evaluating the CSP's location, data portability, political stability, and potential concentration risks within the financial sector.</t>
        </is>
      </c>
      <c r="M197" s="8" t="inlineStr">
        <is>
          <t>Requires comprehensive risk analysis for critical functions to address cross-border data storage, political risks, and financial sector concentration impacts in cloud outsourcing.</t>
        </is>
      </c>
      <c r="N197" s="8" t="inlineStr">
        <is>
          <t>[Must]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[Must] assess the potential impact of the cloud outsourcing arrangement on the firm's operational, legal, compliance, and reputational risks</t>
        </is>
      </c>
      <c r="O197" s="8" t="inlineStr">
        <is>
          <t>In case the cloud outsourcing arrangement concerns critical or important functions, a firm should also: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the selected cloud service and the proposed deployment models; the migration and/or the implementation processes; the sensitivity of the function and the related data which are under consideration to be outsourced and the security measures which would need to be taken; the interoperability of the systems and applications of the firm and the CSP, namely their capacity to exchange information and mutually use the information that has been exchanged; the portability of the data of the firm, namely the capacity to easily transfer the firm's data from one CSP to another or back to the firm;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take into account the expected benefits and costs of the cloud outsourcing arrangement, including weighing any significant risks which may be reduced or better managed against any significant risks which may arise as a result of the cloud outsourcing arrangement.</t>
        </is>
      </c>
      <c r="P197" s="10" t="inlineStr">
        <is>
          <t>Open PDF</t>
        </is>
      </c>
    </row>
    <row r="198">
      <c r="A198" t="inlineStr">
        <is>
          <t>GDPR</t>
        </is>
      </c>
      <c r="B198" t="inlineStr">
        <is>
          <t>esma_cloud_guidelines (GDPR - Row 8)</t>
        </is>
      </c>
      <c r="C198" t="inlineStr">
        <is>
          <t>22</t>
        </is>
      </c>
      <c r="D198" s="8" t="inlineStr">
        <is>
          <t>CSP suitability evaluation for critical functions</t>
        </is>
      </c>
      <c r="E198" t="inlineStr">
        <is>
          <t>14</t>
        </is>
      </c>
      <c r="F198" t="inlineStr">
        <is>
          <t>Cloud Services</t>
        </is>
      </c>
      <c r="G198" t="inlineStr">
        <is>
          <t>High</t>
        </is>
      </c>
      <c r="H198" t="inlineStr">
        <is>
          <t>High (explicit)</t>
        </is>
      </c>
      <c r="I198" s="8" t="inlineStr">
        <is>
          <t>Cloud Services</t>
        </is>
      </c>
      <c r="J198" s="8" t="inlineStr">
        <is>
          <t>Personal Information</t>
        </is>
      </c>
      <c r="K198" t="inlineStr">
        <is>
          <t>ESMA</t>
        </is>
      </c>
      <c r="L198" s="8" t="inlineStr">
        <is>
          <t>Firms must evaluate CSP suitability for critical functions by assessing business reputation, skills, resources, organizational structure, and relevant authorizations. This includes evaluating information security, service support, and business continuity/disaster recovery plans to ensure reliable operations.</t>
        </is>
      </c>
      <c r="M198" s="8" t="inlineStr">
        <is>
          <t>Requires firms to verify CSP capabilities to mitigate risks in critical functions, ensuring data security and operational resilience in cloud environments.</t>
        </is>
      </c>
      <c r="N198" s="8" t="inlineStr">
        <is>
          <t>[Must]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
[Must] evaluate the suitability of the CSP
[Must] assess the management of information security and in particular the protection of personal, confidential or otherwise sensitive data
[Must] assess the service support, including support plans and contacts, and incident management processes
[Must] assess the business continuity and disaster recovery plans</t>
        </is>
      </c>
      <c r="O198" s="8" t="inlineStr">
        <is>
          <t>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 Additional factors to be considered in the due diligence on the CSP include, but are not limited to: the management of information security and in particular the protection of personal, confidential or otherwise sensitive data; the service support, including support plans and contacts, and incident management processes; the business continuity and disaster recovery plans;</t>
        </is>
      </c>
      <c r="P198" s="10" t="inlineStr">
        <is>
          <t>Open PDF</t>
        </is>
      </c>
    </row>
    <row r="199">
      <c r="A199" t="inlineStr">
        <is>
          <t>GDPR</t>
        </is>
      </c>
      <c r="B199" t="inlineStr">
        <is>
          <t>esma_cloud_guidelines (GDPR - Row 8)</t>
        </is>
      </c>
      <c r="C199" t="inlineStr">
        <is>
          <t>23</t>
        </is>
      </c>
      <c r="D199" s="8" t="inlineStr">
        <is>
          <t>Use of certifications and audit reports for due diligence</t>
        </is>
      </c>
      <c r="E199" t="inlineStr">
        <is>
          <t>14</t>
        </is>
      </c>
      <c r="F199" t="inlineStr">
        <is>
          <t>Cloud Services</t>
        </is>
      </c>
      <c r="G199" t="inlineStr">
        <is>
          <t>Medium</t>
        </is>
      </c>
      <c r="H199" t="inlineStr">
        <is>
          <t>High (explicit)</t>
        </is>
      </c>
      <c r="I199" s="8" t="inlineStr">
        <is>
          <t>Cloud Services</t>
        </is>
      </c>
      <c r="J199" s="8" t="inlineStr">
        <is>
          <t>Personal Information</t>
        </is>
      </c>
      <c r="K199" t="inlineStr">
        <is>
          <t>ESMA</t>
        </is>
      </c>
      <c r="L199" s="8" t="inlineStr">
        <is>
          <t>Firms may use international standards certifications and external or internal audit reports to support their due diligence process when appropriate, providing additional validation of CSP capabilities and compliance.</t>
        </is>
      </c>
      <c r="M199" s="8" t="inlineStr">
        <is>
          <t>Allows firms to leverage third-party certifications and audits to strengthen their cloud outsourcing due diligence, enhancing transparency and compliance verification.</t>
        </is>
      </c>
      <c r="N199" s="8" t="inlineStr">
        <is>
          <t>[May] use certifications based on international standards and external or internal audit reports</t>
        </is>
      </c>
      <c r="O199" s="8" t="inlineStr">
        <is>
          <t>Where appropriate and in order to support the due diligence performed, a firm may also use certifications based on international standards and external or internal audit reports.</t>
        </is>
      </c>
      <c r="P199" s="10" t="inlineStr">
        <is>
          <t>Open PDF</t>
        </is>
      </c>
    </row>
    <row r="200">
      <c r="A200" t="inlineStr">
        <is>
          <t>GDPR</t>
        </is>
      </c>
      <c r="B200" t="inlineStr">
        <is>
          <t>esma_cloud_guidelines (GDPR - Row 8)</t>
        </is>
      </c>
      <c r="C200" t="inlineStr">
        <is>
          <t>24</t>
        </is>
      </c>
      <c r="D200" s="8" t="inlineStr">
        <is>
          <t>Review due diligence after significant CSP changes</t>
        </is>
      </c>
      <c r="E200" t="inlineStr">
        <is>
          <t>14</t>
        </is>
      </c>
      <c r="F200" t="inlineStr">
        <is>
          <t>Cloud Services</t>
        </is>
      </c>
      <c r="G200" t="inlineStr">
        <is>
          <t>High</t>
        </is>
      </c>
      <c r="H200" t="inlineStr">
        <is>
          <t>High (explicit)</t>
        </is>
      </c>
      <c r="I200" s="8" t="inlineStr">
        <is>
          <t>Cloud Services</t>
        </is>
      </c>
      <c r="J200" s="8" t="inlineStr">
        <is>
          <t>Personal Information</t>
        </is>
      </c>
      <c r="K200" t="inlineStr">
        <is>
          <t>ESMA</t>
        </is>
      </c>
      <c r="L200" s="8" t="inlineStr">
        <is>
          <t>Firms must promptly review or re-perform their pre-outsourcing analysis and due diligence if they become aware of significant deficiencies or changes in the CSP's services or situation, ensuring ongoing compliance with cloud outsourcing requirements.</t>
        </is>
      </c>
      <c r="M200" s="8" t="inlineStr">
        <is>
          <t>Mandates continuous monitoring of CSP performance to address evolving risks, ensuring data transfer and processing compliance in dynamic cloud environments.</t>
        </is>
      </c>
      <c r="N200" s="8" t="inlineStr">
        <is>
          <t>[Must] If a firm becomes aware of significant deficiencies and/or significant changes to the services provided or to the situation of the CSP, the pre-outsourcing analysis and due diligence on the CSP should be promptly reviewed or where needed re-performed</t>
        </is>
      </c>
      <c r="O200" s="8" t="inlineStr">
        <is>
          <t>If a firm becomes aware of significant deficiencies and/or significant changes to the services provided or to the situation of the CSP, the pre-outsourcing analysis and due diligence on the CSP should be promptly reviewed or where needed re-performed.</t>
        </is>
      </c>
      <c r="P200" s="10" t="inlineStr">
        <is>
          <t>Open PDF</t>
        </is>
      </c>
    </row>
    <row r="201">
      <c r="A201" t="inlineStr">
        <is>
          <t>GDPR</t>
        </is>
      </c>
      <c r="B201" t="inlineStr">
        <is>
          <t>esma_cloud_guidelines (GDPR - Row 8)</t>
        </is>
      </c>
      <c r="C201" t="inlineStr">
        <is>
          <t>25</t>
        </is>
      </c>
      <c r="D201" s="8" t="inlineStr">
        <is>
          <t>Risk-based due diligence for re-assessed CSPs</t>
        </is>
      </c>
      <c r="E201" t="inlineStr">
        <is>
          <t>14–15</t>
        </is>
      </c>
      <c r="F201" t="inlineStr">
        <is>
          <t>Cloud Services</t>
        </is>
      </c>
      <c r="G201" t="inlineStr">
        <is>
          <t>High</t>
        </is>
      </c>
      <c r="H201" t="inlineStr">
        <is>
          <t>High (explicit)</t>
        </is>
      </c>
      <c r="I201" s="8" t="inlineStr">
        <is>
          <t>Cloud Services</t>
        </is>
      </c>
      <c r="J201" s="8" t="inlineStr">
        <is>
          <t>Customer Data</t>
        </is>
      </c>
      <c r="K201" t="inlineStr">
        <is>
          <t>ESMA</t>
        </is>
      </c>
      <c r="L201" s="8" t="inlineStr">
        <is>
          <t>Firms must conduct risk-based due diligence when renewing arrangements with CSPs that have already undergone assessment. This requires determining if new due diligence is necessary based on the risk profile of the arrangement. The obligation applies to firms engaging in cloud outsourcing arrangements with CSPs that have previously been assessed under the guidelines.</t>
        </is>
      </c>
      <c r="M201" s="8" t="inlineStr">
        <is>
          <t>Requires firms to assess whether new due diligence is needed when renewing CSP arrangements, impacting how data transfer and processing risks are evaluated in DTIAs.</t>
        </is>
      </c>
      <c r="N201" s="8" t="inlineStr">
        <is>
          <t>[Must] Firms should determine, on a risk-based approach, whether a new due diligence is needed when renewing arrangements with CSPs that have already been assessed.</t>
        </is>
      </c>
      <c r="O201" s="8" t="inlineStr">
        <is>
          <t>25. In case a firm enters into a new arrangement or renews an existing arrangement with a CSP that has already been assessed, it should determine, on a risk-based approach, whether a new due diligence is needed.</t>
        </is>
      </c>
      <c r="P201" s="10" t="inlineStr">
        <is>
          <t>Open PDF</t>
        </is>
      </c>
    </row>
    <row r="202">
      <c r="A202" t="inlineStr">
        <is>
          <t>GDPR</t>
        </is>
      </c>
      <c r="B202" t="inlineStr">
        <is>
          <t>esma_cloud_guidelines (GDPR - Row 8)</t>
        </is>
      </c>
      <c r="C202" t="inlineStr">
        <is>
          <t>28</t>
        </is>
      </c>
      <c r="D202" s="8" t="inlineStr">
        <is>
          <t>Minimum contractual terms for critical cloud outsourcing</t>
        </is>
      </c>
      <c r="E202" t="inlineStr">
        <is>
          <t>15–16</t>
        </is>
      </c>
      <c r="F202" t="inlineStr">
        <is>
          <t>Cloud Services</t>
        </is>
      </c>
      <c r="G202" t="inlineStr">
        <is>
          <t>High</t>
        </is>
      </c>
      <c r="H202" t="inlineStr">
        <is>
          <t>High (explicit)</t>
        </is>
      </c>
      <c r="I202" s="8" t="inlineStr">
        <is>
          <t>Cloud Services, Security, Incident Reporting</t>
        </is>
      </c>
      <c r="J202" s="8" t="inlineStr">
        <is>
          <t>Customer Data</t>
        </is>
      </c>
      <c r="K202" t="inlineStr">
        <is>
          <t>ESMA</t>
        </is>
      </c>
      <c r="L202" s="8" t="inlineStr">
        <is>
          <t>Firms outsourcing critical functions must include specific contractual terms in written agreements with CSPs. These terms cover function description, timelines, jurisdiction, financial obligations, sub-outsourcing rules, data location, security provisions, performance monitoring rights, service levels, reporting obligations, incident management, insurance requirements, business continuity plans, and audit rights. The obligation applies to firms outsourcing critical or important functions to CSPs.</t>
        </is>
      </c>
      <c r="M202" s="8" t="inlineStr">
        <is>
          <t>Defines minimum contractual terms for critical cloud outsourcing, including data location and security requirements that directly impact cross-border data transfers and storage in DTIAs.</t>
        </is>
      </c>
      <c r="N202" s="8" t="inlineStr">
        <is>
          <t>[Must] Written agreement must include a clear description of the outsourced function.
[Must] Written agreement must specify start and end dates, notice periods, and governing law with jurisdiction choice.
[Must] Written agreement must detail financial obligations of both the firm and CSP.
[Must] Written agreement must specify whether sub-outsourcing is permitted and under what conditions.
[Must] Written agreement must state the locations where data will be processed and stored, and require notification if locations change.
[Must] Written agreement must include provisions for information security and data protection, as per Guideline 4.
[Must] Written agreement must grant the firm the right to monitor CSP performance regularly.
[Must] Written agreement must include agreed service levels with quantitative and qualitative performance targets.
[Must] Written agreement must specify reporting obligations to the firm and relevant security functions.
[Must] Written agreement must include provisions for CSP incident management and timely reporting.
[Must] Written agreement must specify mandatory insurance requirements and insurance cover levels.
[Must] Written agreement must require CSP to implement and test business continuity and disaster recovery plans.
[Must] Written agreement must grant the firm audit rights to inspect CSP systems and data.
[Must] Written agreement must ensure data can be accessed, recovered, and returned to the firm as needed.</t>
        </is>
      </c>
      <c r="O202" s="8" t="inlineStr">
        <is>
          <t>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having regard to Guideline 7; f) the location(s) (namely regions or countries) where the outsourced function will be provided and where data will be processed and stored, and the conditions to be met, including a requirement to notify the firm if the CSP proposes to change the location(s); g) provisions regarding information security and protection of personal data, having regard to Guideline 4; h) the right for the firm to monitor the CSP's performance under the cloud outsourcing arrangement on a regular basis, having regard to Guideline 6; i) the agreed service levels, which should include, quantitative and qualitative performance targets in order to allow for timely monitoring so that appropriate corrective actions can be taken without undue delay if agreed service levels are not met; j) the reporting obligations of the CSP to the firm and, as appropriate, the obligations to submit reports relevant for the firm's security function and key functions, such as reports prepared by the internal audit function of the CSP; k) provisions regarding the management of incidents by the CSP, including the obligation for the CSP to report to the firm without undue delay incidents that have affected the operation of the firm's contracted service; l) whether the CSP should take mandatory insurance against certain risks and, if applicable, the level of insurance cover requested; m) the requirements for the CSP to implement and test business continuity and disaster recovery plans; n) the requirement for the CSP to grant the firm, its competent authorities and any other person appointed by the firm or the competent authorities the right to access ('access rights') and to inspect ('audit rights') the relevant information, premises, systems and devices of the CSP to the extent necessary to monitor the CSP's performance under the cloud outsourcing arrangement and its compliance with the applicable regulatory and contractual requirements, having regard to Guideline 6; o) provisions to ensure that the data that the CSP processes or stores on behalf of the firm can be accessed, recovered and returned to the firm as needed, having regard to Guideline 5.</t>
        </is>
      </c>
      <c r="P202" s="10" t="inlineStr">
        <is>
          <t>Open PDF</t>
        </is>
      </c>
    </row>
    <row r="203">
      <c r="A203" t="inlineStr">
        <is>
          <t>GDPR</t>
        </is>
      </c>
      <c r="B203" t="inlineStr">
        <is>
          <t>esma_cloud_guidelines (GDPR - Row 8)</t>
        </is>
      </c>
      <c r="C203" t="inlineStr">
        <is>
          <t>29</t>
        </is>
      </c>
      <c r="D203" s="8" t="inlineStr">
        <is>
          <t>Ongoing information security monitoring for cloud outsourcing</t>
        </is>
      </c>
      <c r="E203" t="inlineStr">
        <is>
          <t>16</t>
        </is>
      </c>
      <c r="F203" t="inlineStr">
        <is>
          <t>Cloud Services</t>
        </is>
      </c>
      <c r="G203" t="inlineStr">
        <is>
          <t>High</t>
        </is>
      </c>
      <c r="H203" t="inlineStr">
        <is>
          <t>High (explicit)</t>
        </is>
      </c>
      <c r="I203" s="8" t="inlineStr">
        <is>
          <t>Cloud Services, Security</t>
        </is>
      </c>
      <c r="J203" s="8" t="inlineStr">
        <is>
          <t>Customer Data</t>
        </is>
      </c>
      <c r="K203" t="inlineStr">
        <is>
          <t>ESMA</t>
        </is>
      </c>
      <c r="L203" s="8" t="inlineStr">
        <is>
          <t>Firms must establish information security requirements in internal policies and procedures, and within cloud outsourcing agreements. These requirements must be proportionate to the function's nature, scale, complexity, and associated risks. Firms must monitor compliance with these requirements continuously to protect sensitive data.</t>
        </is>
      </c>
      <c r="M203" s="8" t="inlineStr">
        <is>
          <t>Requires firms to maintain proportionate information security requirements and ongoing monitoring for cloud outsourcing, directly affecting data protection and security in cross-border transfers.</t>
        </is>
      </c>
      <c r="N203" s="8" t="inlineStr">
        <is>
          <t>[Must] Firms should set information security requirements in internal policies and procedures and within cloud outsourcing written agreements.
[Must] Firms must monitor compliance with information security requirements on an ongoing basis.
[Must] Information security requirements must be proportionate to the nature, scale, complexity of the function, and inherent risks.</t>
        </is>
      </c>
      <c r="O203" s="8" t="inlineStr">
        <is>
          <t>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 These requirements should be proportionate to the nature, scale and complexity of the function that the firm outsources to the CSP and the risks inherent to this function.</t>
        </is>
      </c>
      <c r="P203" s="10" t="inlineStr">
        <is>
          <t>Open PDF</t>
        </is>
      </c>
    </row>
    <row r="204">
      <c r="A204" t="inlineStr">
        <is>
          <t>GDPR</t>
        </is>
      </c>
      <c r="B204" t="inlineStr">
        <is>
          <t>esma_cloud_guidelines (GDPR - Row 8)</t>
        </is>
      </c>
      <c r="C204" t="inlineStr">
        <is>
          <t>30</t>
        </is>
      </c>
      <c r="D204" s="8" t="inlineStr">
        <is>
          <t>Minimum security requirements for critical cloud outsourcing</t>
        </is>
      </c>
      <c r="E204" t="inlineStr">
        <is>
          <t>16–17</t>
        </is>
      </c>
      <c r="F204" t="inlineStr">
        <is>
          <t>Cloud Services</t>
        </is>
      </c>
      <c r="G204" t="inlineStr">
        <is>
          <t>High</t>
        </is>
      </c>
      <c r="H204" t="inlineStr">
        <is>
          <t>High (explicit)</t>
        </is>
      </c>
      <c r="I204" s="8" t="inlineStr">
        <is>
          <t>Cloud Services, Security</t>
        </is>
      </c>
      <c r="J204" s="8" t="inlineStr">
        <is>
          <t>Customer Data</t>
        </is>
      </c>
      <c r="K204" t="inlineStr">
        <is>
          <t>ESMA</t>
        </is>
      </c>
      <c r="L204" s="8" t="inlineStr">
        <is>
          <t>Firms outsourcing critical functions must implement specific information security requirements in their cloud arrangements. These include clear role allocation, strong authentication mechanisms, encryption for data in transit, memory, at rest and backups, network security, API security, business continuity and disaster recovery, data location management, and compliance verification through audits and assessments. The obligation applies to firms outsourcing critical or important functions to CSPs.</t>
        </is>
      </c>
      <c r="M204" s="8" t="inlineStr">
        <is>
          <t>Specifies minimum security requirements for critical cloud outsourcing, including data location and encryption, which directly impact data transfer and storage in DTIAs.</t>
        </is>
      </c>
      <c r="N204" s="8" t="inlineStr">
        <is>
          <t>[Must] Ensure clear allocation of information security roles and responsibilities between firm and CSP for threat detection, incident management, and patch management.
[Must] Ensure strong authentication mechanisms (e.g., multi-factor authentication) and access controls to prevent unauthorized access to firm's data and cloud resources.
[Must] Ensure relevant encryption technologies for data in transit, memory, at rest, and backups, with appropriate key management solutions to limit unauthorized access to encryption keys.
[Must] Consider appropriate levels of network availability, segregation (e.g., tenant isolation), and processing environments (e.g., test, development, production).
[Must] Consider mechanisms for secure API integration to prevent unauthorized disclosure, modification, or destruction of data.
[Must] Ensure effective business continuity and disaster recovery controls, including minimum capacity requirements and geographically spread hosting options.
[Must] Adopt a risk-based approach to data storage and processing location(s) (regions or countries).
[Must] Verify that CSP complies with internationally recognized information security standards and has implemented appropriate security controls.</t>
        </is>
      </c>
      <c r="O204" s="8" t="inlineStr">
        <is>
          <t>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including in relation to threat detection, incident management and patch management, and ensure that the CSP is effectively able to fulfil its roles and responsibilities; b) identity and access management: ensure that strong authentication mechanisms (for example multi-factor authentication) and access controls are in place with a view to prevent unauthorised access to the firm's data and back-end cloud resources; c) encryption and key management: ensure that relevant encryption technologies are used, where necessary, for data in transit, data in memory, data at rest and data back-ups, in combination with appropriate key management solutions to limit the risk of non-authorised access to the encryption keys; in particular, the firm should consider state-of-the-art technology and processes when selecting its key management solution; d) operations and network security: consider appropriate levels of network availability, network segregation (for example tenant isolation in the shared environment of the cloud, operational separation as regards the web, application logic, operating system, network, Data Base Management System (DBMS) and storage layers) and processing environments (for example test, User Acceptance Testing, development, production); e) application programming interfaces (API): consider mechanisms for the integration of the cloud services with the systems of the firm to ensure security of APIs (for example establishing and maintaining information security policies and procedures for APIs across multiple system interfaces, jurisdictions, and business functions to prevent unauthorised disclosure, modification or destruction of data); f) business continuity and disaster recovery: ensure that effective business continuity and disaster recovery controls are in place (for example by setting minimum capacity requirements, selecting hosting options that are geographically spread, with the capability to switch from one to the other, or requesting and reviewing documentation showing the transport route of the firm's data among the CSP's systems, as well as considering the possibility to replicate machine images to an independent storage location, which is sufficiently isolated from the network or taken offline); g) data location: adopt a risk-based approach to data storage and data processing location(s) (namely regions or countries); h) compliance &amp; monitoring: verify that the CSP complies with internationally recognised information security standards and has implemented appropriate information security controls (for example by requesting the CSP to provide evidence that it conducts relevant information security reviews and by performing regular assessments and tests on the CSP's information security arrangements).</t>
        </is>
      </c>
      <c r="P204" s="10" t="inlineStr">
        <is>
          <t>Open PDF</t>
        </is>
      </c>
    </row>
    <row r="205">
      <c r="A205" t="inlineStr">
        <is>
          <t>GDPR</t>
        </is>
      </c>
      <c r="B205" t="inlineStr">
        <is>
          <t>esma_cloud_guidelines (GDPR - Row 8)</t>
        </is>
      </c>
      <c r="C205" t="inlineStr">
        <is>
          <t>31</t>
        </is>
      </c>
      <c r="D205" s="8" t="inlineStr">
        <is>
          <t>Exit strategy for critical cloud outsourcing</t>
        </is>
      </c>
      <c r="E205" t="inlineStr">
        <is>
          <t>17</t>
        </is>
      </c>
      <c r="F205" t="inlineStr">
        <is>
          <t>Cloud Services</t>
        </is>
      </c>
      <c r="G205" t="inlineStr">
        <is>
          <t>High</t>
        </is>
      </c>
      <c r="H205" t="inlineStr">
        <is>
          <t>High (explicit)</t>
        </is>
      </c>
      <c r="I205" s="8" t="inlineStr">
        <is>
          <t>Cloud Services</t>
        </is>
      </c>
      <c r="J205" s="8" t="inlineStr">
        <is>
          <t>Customer Data</t>
        </is>
      </c>
      <c r="K205" t="inlineStr">
        <is>
          <t>ESMA</t>
        </is>
      </c>
      <c r="L205" s="8" t="inlineStr">
        <is>
          <t>Firms must develop comprehensive exit plans for cloud outsourcing arrangements to ensure seamless transition without business disruption or compliance detriment. Exit plans must be documented, tested, and updated, include alternative solutions for data transfer, and require CSPs to support orderly data transfer during exit. The obligation applies to firms outsourcing critical or important functions to CSPs.</t>
        </is>
      </c>
      <c r="M205" s="8" t="inlineStr">
        <is>
          <t>Requires firms to have exit strategies for cloud outsourcing, ensuring data can be transferred without disruption, directly impacting data transfer and storage in DTIAs.</t>
        </is>
      </c>
      <c r="N205" s="8" t="inlineStr">
        <is>
          <t>[Must] Firms must develop comprehensive, documented, and tested exit plans that are updated as needed.
[Must] Firms must identify alternative solutions and develop transition plans to move data from CSP to alternative CSP or firm.
[Must] Firms must ensure cloud outsourcing agreements include obligations for CSPs to support orderly transfer of data during exit.
[Must] Firms must ensure CSPs support secure deletion of data from their systems during exit.</t>
        </is>
      </c>
      <c r="O205" s="8" t="inlineStr">
        <is>
          <t>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 For that purpose, a firm should: a) develop exit plans that are comprehensive, documented and sufficiently tested. These plans should be updated as needed, including in case of changes in the outsourced function; b) identify alternative solutions and develop transition plans to remove the outsourced function and data from the CSP and, where applicable, any sub-outsourcer, and transfer them to the alternative CSP indicated by the firm or directly back to the firm. These solutions should be defined with regard to the challenges that may arise from the location of the data, taking the necessary measures to ensure business continuity during the transition phase; c) ensure that the cloud outsourcing written agreement includes an obligation for the CSP to support the orderly transfer of the outsourced function, and the related processing of data, from the CSP and any sub-outsourcer to another CSP indicated by the firm or directly to the firm in case the firm activates the exit strategy. The obligation to support the orderly transfer of the outsourced function, and the related treatment of data, should include where relevant the secure deletion of the data from the systems of the CSP and any sub-outsourcer.</t>
        </is>
      </c>
      <c r="P205" s="10" t="inlineStr">
        <is>
          <t>Open PDF</t>
        </is>
      </c>
    </row>
    <row r="206">
      <c r="A206" t="inlineStr">
        <is>
          <t>GDPR</t>
        </is>
      </c>
      <c r="B206" t="inlineStr">
        <is>
          <t>esma_cloud_guidelines (GDPR - Row 8)</t>
        </is>
      </c>
      <c r="C206" t="inlineStr">
        <is>
          <t>32</t>
        </is>
      </c>
      <c r="D206" s="8" t="inlineStr">
        <is>
          <t>Exit strategy development requirements</t>
        </is>
      </c>
      <c r="E206" t="inlineStr">
        <is>
          <t>17–18</t>
        </is>
      </c>
      <c r="F206" t="inlineStr">
        <is>
          <t>Cloud Services</t>
        </is>
      </c>
      <c r="G206" t="inlineStr">
        <is>
          <t>High</t>
        </is>
      </c>
      <c r="H206" t="inlineStr">
        <is>
          <t>High (explicit)</t>
        </is>
      </c>
      <c r="I206" s="8" t="inlineStr">
        <is>
          <t>Cloud Services</t>
        </is>
      </c>
      <c r="J206" s="8" t="inlineStr">
        <is>
          <t>Customer Data</t>
        </is>
      </c>
      <c r="K206" t="inlineStr">
        <is>
          <t>ESMA</t>
        </is>
      </c>
      <c r="L206" s="8" t="inlineStr">
        <is>
          <t>Firms must define objectives, trigger events, business impact analysis, roles, testing, and success criteria for exit strategies when developing exit plans for cloud outsourcing. This ensures the exit strategy is practical and effective. The obligation applies to firms outsourcing critical or important functions to CSPs.</t>
        </is>
      </c>
      <c r="M206" s="8" t="inlineStr">
        <is>
          <t>Requires firms to define specific elements for exit strategies, ensuring data can be transferred without disruption, directly impacting data transfer and storage in DTIAs.</t>
        </is>
      </c>
      <c r="N206" s="8" t="inlineStr">
        <is>
          <t>[Must] Firms should define objectives of the exit strategy.
[Must] Firms should define trigger events that could activate the exit strategy, including termination of the arrangement and CSP failure.
[Must] Firms should perform a business impact analysis to identify resources needed for implementing the exit strategy.
[Must] Firms should assign roles and responsibilities to manage the exit strategy.
[Must] Firms should test the appropriateness of the exit strategy using a risk-based approach.
Firms should define success criteria for the transition.</t>
        </is>
      </c>
      <c r="O206" s="8" t="inlineStr">
        <is>
          <t>32. When developing the exit plans and solutions referred to in points (a) and (b) above ('exit strategy'), the firm should consider the following: a) define the objectives of the exit strategy; b) define the trigger events that could activate the exit strategy. These should include at least the termination of the cloud outsourcing arrangement at the initiative of the firm or the CSP and the failure or other serious discontinuation of the business activity of the CSP; c) perform a business impact analysis that is commensurate to the function outsourced to identify what human and other resources would be required to implement the exit strategy; d) assign roles and responsibilities to manage the exit strategy; e) test the appropriateness of the exit strategy, using a risk-based approach, (for example, by carrying out an analysis of the potential costs, impact, resources and timing implications of transferring an outsourced service to an alternative provider); f) define success criteria of the transition.</t>
        </is>
      </c>
      <c r="P206" s="10" t="inlineStr">
        <is>
          <t>Open PDF</t>
        </is>
      </c>
    </row>
    <row r="207">
      <c r="A207" t="inlineStr">
        <is>
          <t>GDPR</t>
        </is>
      </c>
      <c r="B207" t="inlineStr">
        <is>
          <t>esma_cloud_guidelines (GDPR - Row 8)</t>
        </is>
      </c>
      <c r="C207" t="inlineStr">
        <is>
          <t>33</t>
        </is>
      </c>
      <c r="D207" s="8" t="inlineStr">
        <is>
          <t>Cloud exit strategy trigger events for ongoing monitoring</t>
        </is>
      </c>
      <c r="E207" t="inlineStr">
        <is>
          <t>18</t>
        </is>
      </c>
      <c r="F207" t="inlineStr">
        <is>
          <t>Cloud Services</t>
        </is>
      </c>
      <c r="G207" t="inlineStr">
        <is>
          <t>High</t>
        </is>
      </c>
      <c r="H207" t="inlineStr">
        <is>
          <t>High (explicit)</t>
        </is>
      </c>
      <c r="I207" s="8" t="inlineStr">
        <is>
          <t>Cloud Services</t>
        </is>
      </c>
      <c r="J207" s="8" t="inlineStr">
        <is>
          <t>Customer Data</t>
        </is>
      </c>
      <c r="K207" t="inlineStr"/>
      <c r="L207" s="8" t="inlineStr">
        <is>
          <t>Firms must include indicators of exit strategy trigger events in their ongoing monitoring of cloud service providers (CSPs) under outsourcing arrangements. This ensures continuous oversight of CSP performance and compliance with contractual obligations. The requirement applies to financial institutions outsourcing cloud services.</t>
        </is>
      </c>
      <c r="M207" s="8" t="inlineStr">
        <is>
          <t>This section requires firms to track exit triggers for cloud services, which impacts DTIA by mandating specific monitoring mechanisms to ensure smooth transitions and continuity of critical data processing.</t>
        </is>
      </c>
      <c r="N207" s="8" t="inlineStr">
        <is>
          <t>[Must] A firm should include indicators of the trigger events of the exit strategy in its ongoing monitoring and oversight of the services provided by the CSP under the cloud outsourcing arrangement.</t>
        </is>
      </c>
      <c r="O207" s="8" t="inlineStr">
        <is>
          <t>A firm should include indicators of the trigger events of the exit strategy in its ongoing monitoring and oversight of the services provided by the CSP under the cloud outsourcing arrangement.</t>
        </is>
      </c>
      <c r="P207" s="10" t="inlineStr">
        <is>
          <t>Open PDF</t>
        </is>
      </c>
    </row>
    <row r="208">
      <c r="A208" t="inlineStr">
        <is>
          <t>GDPR</t>
        </is>
      </c>
      <c r="B208" t="inlineStr">
        <is>
          <t>esma_cloud_guidelines (GDPR - Row 8)</t>
        </is>
      </c>
      <c r="C208" t="inlineStr">
        <is>
          <t>34</t>
        </is>
      </c>
      <c r="D208" s="8" t="inlineStr">
        <is>
          <t>Cloud access and audit rights in written agreements</t>
        </is>
      </c>
      <c r="E208" t="inlineStr">
        <is>
          <t>18</t>
        </is>
      </c>
      <c r="F208" t="inlineStr">
        <is>
          <t>Cloud Services</t>
        </is>
      </c>
      <c r="G208" t="inlineStr">
        <is>
          <t>High</t>
        </is>
      </c>
      <c r="H208" t="inlineStr">
        <is>
          <t>High (explicit)</t>
        </is>
      </c>
      <c r="I208" s="8" t="inlineStr">
        <is>
          <t>Cloud Services, Access Control</t>
        </is>
      </c>
      <c r="J208" s="8" t="inlineStr">
        <is>
          <t>Customer Data</t>
        </is>
      </c>
      <c r="K208" t="inlineStr"/>
      <c r="L208" s="8" t="inlineStr">
        <is>
          <t>Firms must ensure cloud outsourcing agreements do not restrict their access and audit rights or oversight options on the cloud service provider (CSP). This preserves regulatory authority to verify compliance with data protection and operational standards. The obligation applies to financial institutions using cloud services.</t>
        </is>
      </c>
      <c r="M208" s="8" t="inlineStr">
        <is>
          <t>This section ensures that cloud agreements maintain access and audit rights, which is critical for DTIA as it affects the ability to monitor CSP compliance and data security.</t>
        </is>
      </c>
      <c r="N208" s="8" t="inlineStr">
        <is>
          <t>[Must] A firm should ensure that the cloud outsourcing written agreement does not limit the firm's and competent authority's effective exercise of the access and audit rights and oversight options on the CSP.</t>
        </is>
      </c>
      <c r="O208" s="8" t="inlineStr">
        <is>
          <t>A firm should ensure that the cloud outsourcing written agreement does not limit the firm's and competent authority's effective exercise of the access and audit rights and oversight options on the CSP.</t>
        </is>
      </c>
      <c r="P208" s="10" t="inlineStr">
        <is>
          <t>Open PDF</t>
        </is>
      </c>
    </row>
    <row r="209">
      <c r="A209" t="inlineStr">
        <is>
          <t>GDPR</t>
        </is>
      </c>
      <c r="B209" t="inlineStr">
        <is>
          <t>esma_cloud_guidelines (GDPR - Row 8)</t>
        </is>
      </c>
      <c r="C209" t="inlineStr">
        <is>
          <t>35</t>
        </is>
      </c>
      <c r="D209" s="8" t="inlineStr">
        <is>
          <t>Cloud audit scope based on criticality and risk assessment</t>
        </is>
      </c>
      <c r="E209" t="inlineStr">
        <is>
          <t>18</t>
        </is>
      </c>
      <c r="F209" t="inlineStr">
        <is>
          <t>Cloud Services</t>
        </is>
      </c>
      <c r="G209" t="inlineStr">
        <is>
          <t>High</t>
        </is>
      </c>
      <c r="H209" t="inlineStr">
        <is>
          <t>High (explicit)</t>
        </is>
      </c>
      <c r="I209" s="8" t="inlineStr">
        <is>
          <t>Cloud Services</t>
        </is>
      </c>
      <c r="J209" s="8" t="inlineStr">
        <is>
          <t>Customer Data</t>
        </is>
      </c>
      <c r="K209" t="inlineStr"/>
      <c r="L209" s="8" t="inlineStr">
        <is>
          <t>Firms must tailor audit frequency and scope to the criticality of cloud functions and associated risks. This includes evaluating the impact of cloud outsourcing on data security, confidentiality, integrity, and availability. The requirement applies to financial institutions handling critical or important functions through cloud services.</t>
        </is>
      </c>
      <c r="M209" s="8" t="inlineStr">
        <is>
          <t>This section mandates risk-based audit approaches for cloud services, directly influencing DTIA by requiring firms to assess how cloud outsourcing affects critical functions and data security.</t>
        </is>
      </c>
      <c r="N209" s="8" t="inlineStr">
        <is>
          <t>[Must] 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is>
      </c>
      <c r="O209" s="8" t="inlineStr">
        <is>
          <t>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is>
      </c>
      <c r="P209" s="10" t="inlineStr">
        <is>
          <t>Open PDF</t>
        </is>
      </c>
    </row>
    <row r="210">
      <c r="A210" t="inlineStr">
        <is>
          <t>GDPR</t>
        </is>
      </c>
      <c r="B210" t="inlineStr">
        <is>
          <t>esma_cloud_guidelines (GDPR - Row 8)</t>
        </is>
      </c>
      <c r="C210" t="inlineStr">
        <is>
          <t>36</t>
        </is>
      </c>
      <c r="D210" s="8" t="inlineStr">
        <is>
          <t>Risk mitigation for audit activities on cloud services</t>
        </is>
      </c>
      <c r="E210" t="inlineStr">
        <is>
          <t>18</t>
        </is>
      </c>
      <c r="F210" t="inlineStr">
        <is>
          <t>Cloud Services</t>
        </is>
      </c>
      <c r="G210" t="inlineStr">
        <is>
          <t>High</t>
        </is>
      </c>
      <c r="H210" t="inlineStr">
        <is>
          <t>High (explicit)</t>
        </is>
      </c>
      <c r="I210" s="8" t="inlineStr">
        <is>
          <t>Cloud Services, Breach Notification</t>
        </is>
      </c>
      <c r="J210" s="8" t="inlineStr">
        <is>
          <t>Customer Data</t>
        </is>
      </c>
      <c r="K210" t="inlineStr"/>
      <c r="L210" s="8" t="inlineStr">
        <is>
          <t>If cloud audits or access activities risk CSP environments or other clients' data, the CSP must provide a risk rationale and agree on alternative methods to maintain service levels and data security. This ensures that audit practices do not compromise data integrity or availability.</t>
        </is>
      </c>
      <c r="M210" s="8" t="inlineStr">
        <is>
          <t>This section addresses risks from cloud audits, requiring DTIA to evaluate how audit activities might impact data security and service continuity, necessitating mitigation strategies.</t>
        </is>
      </c>
      <c r="N210" s="8" t="inlineStr">
        <is>
          <t>[Must] 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t>
        </is>
      </c>
      <c r="O210" s="8" t="inlineStr">
        <is>
          <t>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t>
        </is>
      </c>
      <c r="P210" s="10" t="inlineStr">
        <is>
          <t>Open PDF</t>
        </is>
      </c>
    </row>
    <row r="211">
      <c r="A211" t="inlineStr">
        <is>
          <t>GDPR</t>
        </is>
      </c>
      <c r="B211" t="inlineStr">
        <is>
          <t>esma_cloud_guidelines (GDPR - Row 8)</t>
        </is>
      </c>
      <c r="C211" t="inlineStr">
        <is>
          <t>37</t>
        </is>
      </c>
      <c r="D211" s="8" t="inlineStr">
        <is>
          <t>Third-party audit sharing for cloud efficiency</t>
        </is>
      </c>
      <c r="E211" t="inlineStr">
        <is>
          <t>18–19</t>
        </is>
      </c>
      <c r="F211" t="inlineStr">
        <is>
          <t>Cloud Services</t>
        </is>
      </c>
      <c r="G211" t="inlineStr">
        <is>
          <t>High</t>
        </is>
      </c>
      <c r="H211" t="inlineStr">
        <is>
          <t>High (explicit)</t>
        </is>
      </c>
      <c r="I211" s="8" t="inlineStr">
        <is>
          <t>Cloud Services</t>
        </is>
      </c>
      <c r="J211" s="8" t="inlineStr">
        <is>
          <t>Customer Data</t>
        </is>
      </c>
      <c r="K211" t="inlineStr"/>
      <c r="L211" s="8" t="inlineStr">
        <is>
          <t>Firms may use third-party certifications and pooled audits to reduce audit burdens on CSPs and clients. This includes sharing audit reports with other clients or using third-party auditors for multiple clients to enhance efficiency while maintaining compliance.</t>
        </is>
      </c>
      <c r="M211" s="8" t="inlineStr">
        <is>
          <t>This section allows for shared audit resources, which is relevant for DTIA as it impacts how firms can efficiently monitor cloud services without overburdening providers.</t>
        </is>
      </c>
      <c r="N211" s="8" t="inlineStr">
        <is>
          <t>[May] Firms may use third-party certifications and external or internal audit reports made available by the CSP; or pooled audits performed jointly with other clients of the same CSP or pooled audits performed by a third-party auditor appointed by multiple clients of the same CSP.</t>
        </is>
      </c>
      <c r="O211" s="8" t="inlineStr">
        <is>
          <t>Firms may use: a) third-party certifications and external or internal audit reports made available by the CSP; b) pooled audits performed jointly with other clients of the same CSP or pooled audits performed by a third-party auditor appointed by multiple clients of the same CSP.</t>
        </is>
      </c>
      <c r="P211" s="10" t="inlineStr">
        <is>
          <t>Open PDF</t>
        </is>
      </c>
    </row>
    <row r="212">
      <c r="A212" t="inlineStr">
        <is>
          <t>GDPR</t>
        </is>
      </c>
      <c r="B212" t="inlineStr">
        <is>
          <t>esma_cloud_guidelines (GDPR - Row 8)</t>
        </is>
      </c>
      <c r="C212" t="inlineStr">
        <is>
          <t>38</t>
        </is>
      </c>
      <c r="D212" s="8" t="inlineStr">
        <is>
          <t>Adequacy of third-party certifications for critical functions</t>
        </is>
      </c>
      <c r="E212" t="inlineStr">
        <is>
          <t>19</t>
        </is>
      </c>
      <c r="F212" t="inlineStr">
        <is>
          <t>Cloud Services</t>
        </is>
      </c>
      <c r="G212" t="inlineStr">
        <is>
          <t>High</t>
        </is>
      </c>
      <c r="H212" t="inlineStr">
        <is>
          <t>High (explicit)</t>
        </is>
      </c>
      <c r="I212" s="8" t="inlineStr">
        <is>
          <t>Cloud Services</t>
        </is>
      </c>
      <c r="J212" s="8" t="inlineStr">
        <is>
          <t>Customer Data</t>
        </is>
      </c>
      <c r="K212" t="inlineStr"/>
      <c r="L212" s="8" t="inlineStr">
        <is>
          <t>Firms must assess whether third-party certifications and audit reports are adequate for critical or important functions, ensuring they meet legal obligations without over-reliance on these certifications over time. This applies to financial institutions with critical cloud services.</t>
        </is>
      </c>
      <c r="M212" s="8" t="inlineStr">
        <is>
          <t>This section requires DTIA to verify the adequacy of third-party certifications for critical cloud functions, ensuring compliance with regulatory obligations without excessive dependency on external reports.</t>
        </is>
      </c>
      <c r="N212" s="8" t="inlineStr">
        <is>
          <t>[Must] 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t>
        </is>
      </c>
      <c r="O212" s="8" t="inlineStr">
        <is>
          <t>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t>
        </is>
      </c>
      <c r="P212" s="10" t="inlineStr">
        <is>
          <t>Open PDF</t>
        </is>
      </c>
    </row>
    <row r="213">
      <c r="A213" t="inlineStr">
        <is>
          <t>GDPR</t>
        </is>
      </c>
      <c r="B213" t="inlineStr">
        <is>
          <t>esma_cloud_guidelines (GDPR - Row 8)</t>
        </is>
      </c>
      <c r="C213" t="inlineStr">
        <is>
          <t>39</t>
        </is>
      </c>
      <c r="D213" s="8" t="inlineStr">
        <is>
          <t>Outsourcing critical functions: certification and audit requirements</t>
        </is>
      </c>
      <c r="E213" t="inlineStr">
        <is>
          <t>19</t>
        </is>
      </c>
      <c r="F213" t="inlineStr">
        <is>
          <t>Cloud Services</t>
        </is>
      </c>
      <c r="G213" t="inlineStr">
        <is>
          <t>High</t>
        </is>
      </c>
      <c r="H213" t="inlineStr">
        <is>
          <t>High (explicit)</t>
        </is>
      </c>
      <c r="I213" s="8" t="inlineStr">
        <is>
          <t>Cloud Services, Third Party Processing, Outsourcing</t>
        </is>
      </c>
      <c r="J213" s="8" t="inlineStr">
        <is>
          <t>Personal Information</t>
        </is>
      </c>
      <c r="K213" t="inlineStr">
        <is>
          <t>ESMA</t>
        </is>
      </c>
      <c r="L213" s="8" t="inlineStr">
        <is>
          <t>Firms must use third-party certifications and audit reports for critical or important functions only if they verify the scope covers key systems, controls, and compliance; certifications are current and not obsolete; the certifying body is qualified; certifications follow appropriate standards; firms retain rights to request scope expansion and conduct on-site audits. These requirements apply to firms outsourcing critical functions to cloud service providers.</t>
        </is>
      </c>
      <c r="M213" s="8" t="inlineStr">
        <is>
          <t>Requires firms to validate third-party certifications and audit reports for critical cloud functions before outsourcing, ensuring ongoing compliance with key systems and controls. This impacts DTIA by mandating specific verification steps for cloud service providers.</t>
        </is>
      </c>
      <c r="N213" s="8" t="inlineStr">
        <is>
          <t>[Must] Firms must verify that certifications or audit reports cover key systems (processes, applications, infrastructure, data centres), key controls, and compliance with relevant legislation
[Must] Firms must regularly assess certifications or audit reports to ensure they are not obsolete
[Must] Firms must ensure key systems and controls are covered in future versions of certifications or audit reports
[Must] Firms must be satisfied with the certifying or auditing party's qualifications, expertise, and rotation
[Must] Firms must ensure certifications are issued and audits are performed according to appropriate standards with effective control testing
[Must] Firms must retain contractual right to request scope expansion of certifications or audit reports to other systems and controls
[Must] Firms must retain contractual right to perform individual on-site audits at their discretion</t>
        </is>
      </c>
      <c r="O213" s="8" t="inlineStr">
        <is>
          <t>39. In case of outsourcing of critical or important functions, a firm should make use of the third-party certifications and external or internal audit reports referred to in paragraph 37(a) only if it: a) is satisfied that the scope of the certifications or the audit reports covers the CSP's key systems (for example processes, applications, infrastructure, data centres), the key controls identified by the firm and the compliance with the relevant applicable legislation; b) thoroughly assesses the content of the certifications or audit reports on a regular basis and verify that the certifications or reports are not obsolete; c) ensures that the CSP's key systems and controls are covered in future versions of the certifications or audit reports; d) is satisfied with the certifying or auditing party (for example with regard to its qualifications, expertise, re-performance/verification of the evidence in the underlying audit file as well as rotation of the certifying or auditing company); e) is satisfied that the certifications are issued and that the audits are performed according to appropriate standards and include a test of the effectiveness of the key controls in place; f) has the contractual right to request the expansion of the scope of the certifications or audit reports to other relevant systems and controls of the CSP; the number and frequency of such requests for scope modification should be reasonable and legitimate from a risk management perspective; g) retains the contractual right to perform individual on-site audits at its discretion with regard to the outsourced function.</t>
        </is>
      </c>
      <c r="P213" s="10" t="inlineStr">
        <is>
          <t>Open PDF</t>
        </is>
      </c>
    </row>
    <row r="214">
      <c r="A214" t="inlineStr">
        <is>
          <t>GDPR</t>
        </is>
      </c>
      <c r="B214" t="inlineStr">
        <is>
          <t>esma_cloud_guidelines (GDPR - Row 8)</t>
        </is>
      </c>
      <c r="C214" t="inlineStr">
        <is>
          <t>40</t>
        </is>
      </c>
      <c r="D214" s="8" t="inlineStr">
        <is>
          <t>On-site audits: prior notice requirements</t>
        </is>
      </c>
      <c r="E214" t="inlineStr">
        <is>
          <t>19</t>
        </is>
      </c>
      <c r="F214" t="inlineStr">
        <is>
          <t>Cloud Services</t>
        </is>
      </c>
      <c r="G214" t="inlineStr">
        <is>
          <t>High</t>
        </is>
      </c>
      <c r="H214" t="inlineStr">
        <is>
          <t>High (explicit)</t>
        </is>
      </c>
      <c r="I214" s="8" t="inlineStr">
        <is>
          <t>Cloud Services, Third Party Processing</t>
        </is>
      </c>
      <c r="J214" s="8" t="inlineStr">
        <is>
          <t>Personal Information</t>
        </is>
      </c>
      <c r="K214" t="inlineStr">
        <is>
          <t>ESMA</t>
        </is>
      </c>
      <c r="L214" s="8" t="inlineStr">
        <is>
          <t>Firms must provide prior written notice to cloud service providers (CSPs) at least a reasonable time before on-site visits, including those by third parties like auditors, unless emergencies prevent it. The notice must include the visit location, purpose, and participating personnel. This applies to firms conducting audits of critical or important functions.</t>
        </is>
      </c>
      <c r="M214" s="8" t="inlineStr">
        <is>
          <t>Requires firms to provide timely notice before on-site audits of cloud services, ensuring transparency and compliance with audit procedures. This impacts DTIA by mandating communication protocols for audits.</t>
        </is>
      </c>
      <c r="N214" s="8" t="inlineStr">
        <is>
          <t>[Must] Firms must provide prior written notice to CSPs within a reasonable time period before on-site visits, including those by third parties appointed by the firm</t>
        </is>
      </c>
      <c r="O214" s="8" t="inlineStr">
        <is>
          <t>40. A firm should ensure that, before an on-site visit, including by a third party appointed by the firm (for example an auditor), prior notice within a reasonable time period is provided to the CSP, unless an early prior notification is not possible due to an emergency or crisis situation or would lead to a situation where the audit would no longer be effective. Such notice should include the location, purpose of the visit and the personnel that will participate to the visit.</t>
        </is>
      </c>
      <c r="P214" s="10" t="inlineStr">
        <is>
          <t>Open PDF</t>
        </is>
      </c>
    </row>
    <row r="215">
      <c r="A215" t="inlineStr">
        <is>
          <t>GDPR</t>
        </is>
      </c>
      <c r="B215" t="inlineStr">
        <is>
          <t>esma_cloud_guidelines (GDPR - Row 8)</t>
        </is>
      </c>
      <c r="C215" t="inlineStr">
        <is>
          <t>41</t>
        </is>
      </c>
      <c r="D215" s="8" t="inlineStr">
        <is>
          <t>Cloud audit staff competency requirements</t>
        </is>
      </c>
      <c r="E215" t="inlineStr">
        <is>
          <t>19–20</t>
        </is>
      </c>
      <c r="F215" t="inlineStr">
        <is>
          <t>Cloud Services</t>
        </is>
      </c>
      <c r="G215" t="inlineStr">
        <is>
          <t>High</t>
        </is>
      </c>
      <c r="H215" t="inlineStr">
        <is>
          <t>High (explicit)</t>
        </is>
      </c>
      <c r="I215" s="8" t="inlineStr">
        <is>
          <t>Cloud Services</t>
        </is>
      </c>
      <c r="J215" s="8" t="inlineStr">
        <is>
          <t>Personal Information</t>
        </is>
      </c>
      <c r="K215" t="inlineStr">
        <is>
          <t>ESMA</t>
        </is>
      </c>
      <c r="L215" s="8" t="inlineStr">
        <is>
          <t>Firms must ensure that staff performing audits of cloud services have the necessary skills and knowledge to assess cloud services effectively and perform relevant audits. This applies to both internal auditors and third-party auditors reviewing certifications or audit reports from cloud service providers.</t>
        </is>
      </c>
      <c r="M215" s="8" t="inlineStr">
        <is>
          <t>Requires firms to have competent staff for cloud audits, ensuring effective assessment of cloud services. This impacts DTIA by emphasizing staff capability as a critical factor in cloud service evaluations.</t>
        </is>
      </c>
      <c r="N215" s="8" t="inlineStr">
        <is>
          <t>[Must] Staff performing audits of cloud services must have the right skills and knowledge to assess relevant cloud services and perform effective and relevant audits</t>
        </is>
      </c>
      <c r="O215" s="8" t="inlineStr">
        <is>
          <t>41. Considering that cloud services present a high level of technical complexity and raise specific jurisdictional challenges, the staff performing the audit – being the internal auditors of the firm or auditors acting on its behalf – should have the right skills and knowledge to properly assess the relevant cloud services and perform effective and relevant audit. This should also apply to the firms' staff reviewing the certifications or audit reports provided by the CSP.</t>
        </is>
      </c>
      <c r="P215" s="10" t="inlineStr">
        <is>
          <t>Open PDF</t>
        </is>
      </c>
    </row>
    <row r="216">
      <c r="A216" t="inlineStr">
        <is>
          <t>GDPR</t>
        </is>
      </c>
      <c r="B216" t="inlineStr">
        <is>
          <t>esma_cloud_guidelines (GDPR - Row 8)</t>
        </is>
      </c>
      <c r="C216" t="inlineStr">
        <is>
          <t>42</t>
        </is>
      </c>
      <c r="D216" s="8" t="inlineStr">
        <is>
          <t>Sub-outsourcing critical functions: contractual requirements</t>
        </is>
      </c>
      <c r="E216" t="inlineStr">
        <is>
          <t>20</t>
        </is>
      </c>
      <c r="F216" t="inlineStr">
        <is>
          <t>Cloud Services</t>
        </is>
      </c>
      <c r="G216" t="inlineStr">
        <is>
          <t>High</t>
        </is>
      </c>
      <c r="H216" t="inlineStr">
        <is>
          <t>High (explicit)</t>
        </is>
      </c>
      <c r="I216" s="8" t="inlineStr">
        <is>
          <t>Cloud Services, Third Party Processing</t>
        </is>
      </c>
      <c r="J216" s="8" t="inlineStr">
        <is>
          <t>Personal Information</t>
        </is>
      </c>
      <c r="K216" t="inlineStr">
        <is>
          <t>ESMA</t>
        </is>
      </c>
      <c r="L216" s="8" t="inlineStr">
        <is>
          <t>If firms sub-outsource critical or important functions, cloud outsourcing agreements must specify excluded sub-outsourcing parts, sub-outsourcing conditions, CSP accountability for sub-outsourced services, notification requirements for sub-outsourcing, and the firm's right to object or approve sub-outsourcing. This applies to firms outsourcing critical functions to cloud service providers.</t>
        </is>
      </c>
      <c r="M216" s="8" t="inlineStr">
        <is>
          <t>Requires firms to specify contractual terms for sub-outsourcing critical cloud functions, including notification and approval rights. This impacts DTIA by mandating detailed oversight of sub-outsourcing arrangements.</t>
        </is>
      </c>
      <c r="N216" s="8" t="inlineStr">
        <is>
          <t>[Must] Cloud outsourcing agreements must specify parts of outsourced functions excluded from sub-outsourcing
[Must] Cloud outsourcing agreements must indicate conditions to be complied with in case of sub-outsourcing
[Must] Cloud outsourcing agreements must specify that CSP remains accountable for sub-outsourced services to ensure contractual obligations are met
[Must] Cloud outsourcing agreements must include obligation for CSP to notify firm of intended sub-outsourcing or material changes
[Must] Firms must have right to object to or explicitly approve sub-outsourcing or material changes before they take effect
[Must] Firms must have contractual right to terminate cloud outsourcing arrangement if they object to sub-outsourcing or material changes</t>
        </is>
      </c>
      <c r="O216" s="8" t="inlineStr">
        <is>
          <t>42. If sub-outsourcing of critical or important functions (or material parts thereof) is permitted, the cloud outsourcing written agreement between the firm and the CSP should: a) specify any part or aspect of the outsourced function that are excluded from potential sub-outsourcing; b) indicate the conditions to be complied with in case of sub-outsourcing; c) specify that the CSP remains accountable and is obliged to oversee those services that it has sub-outsourced to ensure that all contractual obligations between the CSP and the firm are continuously met; d) include an obligation for the CSP to notify the firm of any intended sub-outsourcing, or material changes thereof, in particular where that might affect the ability of the CSP to meet its obligations under the cloud outsourcing arrangement with the firm. The notification period set in the written agreement should allow the firm sufficient time at least to carry out a risk assessment of the proposed sub-outsourcing or material changes thereof and to object to or explicitly approve them, as indicated in point (e) below; e) ensure that the firm has the right to object to the intended sub-outsourcing, or material changes thereof, or that explicit approval is required before the proposed sub-outsourcing or material changes come into effect; f) ensure that the firm has the contractual right to terminate the cloud outsourcing arrangement with the CSP in case it objects to the proposed sub-outsourcing or material changes thereof and in case of undue sub-outsourcing (for example where the CSP proceeds with the sub-outsourcing without notifying the firm or it seriously infringes the conditions of the sub-outsourcing specified in the outsourcing agreement).</t>
        </is>
      </c>
      <c r="P216" s="10" t="inlineStr">
        <is>
          <t>Open PDF</t>
        </is>
      </c>
    </row>
    <row r="217">
      <c r="A217" t="inlineStr">
        <is>
          <t>GDPR</t>
        </is>
      </c>
      <c r="B217" t="inlineStr">
        <is>
          <t>esma_cloud_guidelines (GDPR - Row 8)</t>
        </is>
      </c>
      <c r="C217" t="inlineStr">
        <is>
          <t>44</t>
        </is>
      </c>
      <c r="D217" s="8" t="inlineStr">
        <is>
          <t>Notification of critical cloud outsourcing to competent authority</t>
        </is>
      </c>
      <c r="E217" t="inlineStr">
        <is>
          <t>20</t>
        </is>
      </c>
      <c r="F217" t="inlineStr">
        <is>
          <t>Cloud Services</t>
        </is>
      </c>
      <c r="G217" t="inlineStr">
        <is>
          <t>High</t>
        </is>
      </c>
      <c r="H217" t="inlineStr">
        <is>
          <t>High (explicit)</t>
        </is>
      </c>
      <c r="I217" s="8" t="inlineStr">
        <is>
          <t>Cloud Services</t>
        </is>
      </c>
      <c r="J217" s="8" t="inlineStr">
        <is>
          <t>Personal Information</t>
        </is>
      </c>
      <c r="K217" t="inlineStr">
        <is>
          <t>ESMA</t>
        </is>
      </c>
      <c r="L217" s="8" t="inlineStr">
        <is>
          <t>Firms must notify their competent authority in writing of planned cloud outsourcing arrangements for critical or important functions, and also notify if a function previously classified as non-critical becomes critical. This applies to firms outsourcing critical functions to cloud service providers.</t>
        </is>
      </c>
      <c r="M217" s="8" t="inlineStr">
        <is>
          <t>Requires firms to notify authorities about critical cloud outsourcing arrangements, impacting DTIA by mandating transparency with regulators on critical cloud activities.</t>
        </is>
      </c>
      <c r="N217" s="8" t="inlineStr">
        <is>
          <t>[Must] Firms must notify their competent authority in writing of planned cloud outsourcing arrangements that concern critical or important functions
[Must] Firms must notify their competent authority in writing of cloud outsourcing arrangements that concern functions previously classified as non-critical or non-important but have become critical or important</t>
        </is>
      </c>
      <c r="O217" s="8" t="inlineStr">
        <is>
          <t>44. The firm should notify in writing its competent authority in a timely manner of planned cloud outsourcing arrangements that concern a critical or important function. The firm should also notify in a timely manner and in writing its competent authority of those cloud outsourcing arrangements that concern a function that was previously classified as non-critical or non-important and then became critical or important.</t>
        </is>
      </c>
      <c r="P217" s="10" t="inlineStr">
        <is>
          <t>Open PDF</t>
        </is>
      </c>
    </row>
    <row r="218">
      <c r="A218" t="inlineStr">
        <is>
          <t>GDPR</t>
        </is>
      </c>
      <c r="B218" t="inlineStr">
        <is>
          <t>esma_cloud_guidelines (GDPR - Row 8)</t>
        </is>
      </c>
      <c r="C218" t="inlineStr">
        <is>
          <t>45</t>
        </is>
      </c>
      <c r="D218" s="8" t="inlineStr">
        <is>
          <t>Notification content requirements for cloud outsourcing</t>
        </is>
      </c>
      <c r="E218" t="inlineStr">
        <is>
          <t>20–21</t>
        </is>
      </c>
      <c r="F218" t="inlineStr">
        <is>
          <t>Cloud Services</t>
        </is>
      </c>
      <c r="G218" t="inlineStr">
        <is>
          <t>High</t>
        </is>
      </c>
      <c r="H218" t="inlineStr">
        <is>
          <t>High (explicit)</t>
        </is>
      </c>
      <c r="I218" s="8" t="inlineStr">
        <is>
          <t>Cloud Services</t>
        </is>
      </c>
      <c r="J218" s="8" t="inlineStr">
        <is>
          <t>Personal Information</t>
        </is>
      </c>
      <c r="K218" t="inlineStr">
        <is>
          <t>ESMA</t>
        </is>
      </c>
      <c r="L218" s="8" t="inlineStr">
        <is>
          <t>Firms must include specific information in written notifications to authorities about cloud outsourcing arrangements, including start dates, reasons for criticality, CSP details, governing law, data storage locations, and sub-outsourcer information. This applies to firms outsourcing critical functions to cloud service providers.</t>
        </is>
      </c>
      <c r="M218" s="8" t="inlineStr">
        <is>
          <t>Requires detailed notification content for critical cloud outsourcing, impacting DTIA by mandating comprehensive information disclosure to regulators.</t>
        </is>
      </c>
      <c r="N218" s="8" t="inlineStr">
        <is>
          <t>[Must] Firms must include start date of cloud outsourcing agreement, next contract renewal date, end date, and notice periods for CSP and firm
[Must] Firms must include brief description of outsourced function
[Must] Firms must include brief summary of reasons why outsourced function is critical or important
[Must] Firms must include CSP name, brand, country of registration, corporate registration number, legal entity identifier, registered address, contact details, and parent company name
[Must] Firms must include governing law of cloud outsourcing agreement and choice of jurisdiction
[Must] Firms must include cloud deployment models and specific nature of data held by CSP, along with storage locations
[Must] Firms must include date of most recent assessment of criticality or importance of outsourced function
[Must] Firms must include date of most recent risk assessment or audit of CSP with summary of results and next planned assessment date
[Must] Firms must include individual or decision-making body that approved cloud outsourcing arrangement
[Must] Firms must include names of sub-outsourcers, their countries/regions, locations of service, and data storage locations</t>
        </is>
      </c>
      <c r="O218" s="8" t="inlineStr">
        <is>
          <t>45. The firm's written notification should include, taking into account the principle of proportionality, at least the following information: a) the start date of the cloud outsourcing agreement and, as applicable, the next contract renewal date, the end date and/or notice periods for the CSP and for the firm; b) a brief description of the outsourced function; c) a brief summary of the reasons why the outsourced function is considered critical or important; d) the name and the brand name (if any) of the CSP, its country of registration, its corporate registration number, its legal entity identifier (where available), its registered address, its relevant contact details, and the name of its parent company (if any); e) the governing law of the cloud outsourcing agreement and, if any, the choice of jurisdiction; f) the cloud deployment models and the specific nature of the data to be held by the CSP and the locations (namely regions or countries) where such data will be stored; g) the date of the most recent assessment of the criticality or importance of the outsourced function; h) the date of the most recent risk assessment or audit of the CSP together with a brief summary of the main results, and the date of the next planned risk assessment or audit; i) the individual or decision-making body in the firm that approved the cloud outsourcing arrangement; j) where applicable, the names of any sub-outsourcer to which material parts of a critical or important function are sub-outsourced, including the country or region where the sub-outsourcers are registered, where the sub-outsourced service will be performed, and where the data will be stored;</t>
        </is>
      </c>
      <c r="P218" s="10" t="inlineStr">
        <is>
          <t>Open PDF</t>
        </is>
      </c>
    </row>
    <row r="219">
      <c r="A219" t="inlineStr">
        <is>
          <t>GDPR</t>
        </is>
      </c>
      <c r="B219" t="inlineStr">
        <is>
          <t>esma_cloud_guidelines (GDPR - Row 8)</t>
        </is>
      </c>
      <c r="C219" t="inlineStr">
        <is>
          <t>46</t>
        </is>
      </c>
      <c r="D219" s="8" t="inlineStr">
        <is>
          <t>Competent authorities assess cloud outsourcing risks</t>
        </is>
      </c>
      <c r="E219" t="inlineStr">
        <is>
          <t>21</t>
        </is>
      </c>
      <c r="F219" t="inlineStr">
        <is>
          <t>Regulator Powers</t>
        </is>
      </c>
      <c r="G219" t="inlineStr">
        <is>
          <t>High</t>
        </is>
      </c>
      <c r="H219" t="inlineStr">
        <is>
          <t>High (explicit)</t>
        </is>
      </c>
      <c r="I219" s="8" t="inlineStr">
        <is>
          <t>Cloud Services</t>
        </is>
      </c>
      <c r="J219" s="8" t="inlineStr">
        <is>
          <t>Customer Data</t>
        </is>
      </c>
      <c r="K219" t="inlineStr">
        <is>
          <t>Competent authorities</t>
        </is>
      </c>
      <c r="L219" s="8" t="inlineStr">
        <is>
          <t>Competent authorities must evaluate risks from firms' cloud outsourcing arrangements during supervision. This assessment specifically targets critical or important functions that are outsourced. The requirement applies to supervisory bodies overseeing financial institutions within the EU.</t>
        </is>
      </c>
      <c r="M219" s="8" t="inlineStr">
        <is>
          <t>This section mandates that supervisory authorities assess cloud outsourcing risks for critical functions, directly impacting DTIA requirements for cloud service providers and financial institutions.</t>
        </is>
      </c>
      <c r="N219" s="8" t="inlineStr">
        <is>
          <t>[Must] Competent authorities should assess the risks arising from firms' cloud outsourcing arrangements as part of their supervisory process
[Must] This assessment should focus on the arrangements that relate to the outsourcing of critical or important functions</t>
        </is>
      </c>
      <c r="O219" s="8" t="inlineStr">
        <is>
          <t>46. Competent authorities should assess the risks arising from firms' cloud outsourcing arrangements as part of their supervisory process. In particular, this assessment should focus on the arrangements that relate to the outsourcing of critical or important functions.</t>
        </is>
      </c>
      <c r="P219" s="10" t="inlineStr">
        <is>
          <t>Open PDF</t>
        </is>
      </c>
    </row>
    <row r="220">
      <c r="A220" t="inlineStr">
        <is>
          <t>GDPR</t>
        </is>
      </c>
      <c r="B220" t="inlineStr">
        <is>
          <t>esma_cloud_guidelines (GDPR - Row 8)</t>
        </is>
      </c>
      <c r="C220" t="inlineStr">
        <is>
          <t>47</t>
        </is>
      </c>
      <c r="D220" s="8" t="inlineStr">
        <is>
          <t>Competent authorities ensure effective supervision of cloud outsourcing</t>
        </is>
      </c>
      <c r="E220" t="inlineStr">
        <is>
          <t>21</t>
        </is>
      </c>
      <c r="F220" t="inlineStr">
        <is>
          <t>Regulator Powers</t>
        </is>
      </c>
      <c r="G220" t="inlineStr">
        <is>
          <t>High</t>
        </is>
      </c>
      <c r="H220" t="inlineStr">
        <is>
          <t>High (explicit)</t>
        </is>
      </c>
      <c r="I220" s="8" t="inlineStr">
        <is>
          <t>Cloud Services</t>
        </is>
      </c>
      <c r="J220" s="8" t="inlineStr">
        <is>
          <t>Customer Data</t>
        </is>
      </c>
      <c r="K220" t="inlineStr">
        <is>
          <t>Competent authorities</t>
        </is>
      </c>
      <c r="L220" s="8" t="inlineStr">
        <is>
          <t>Competent authorities must confirm their capacity to supervise firms that outsource critical or important functions outside the EU. This requirement ensures regulatory oversight remains effective even when critical operations are conducted in non-EU jurisdictions.</t>
        </is>
      </c>
      <c r="M220" s="8" t="inlineStr">
        <is>
          <t>This section requires supervisory authorities to verify their ability to supervise cloud outsourcing activities outside the EU, which affects DTIA assessments for cross-border cloud services.</t>
        </is>
      </c>
      <c r="N220" s="8" t="inlineStr">
        <is>
          <t>[Must] Competent authorities should be satisfied that they are able to perform effective supervision, in particular when firms outsource critical or important functions that are performed outside the EU</t>
        </is>
      </c>
      <c r="O220" s="8" t="inlineStr">
        <is>
          <t>47. Competent authorities should be satisfied that they are able to perform effective supervision, in particular when firms outsource critical or important functions that are performed outside the EU.</t>
        </is>
      </c>
      <c r="P220" s="10" t="inlineStr">
        <is>
          <t>Open PDF</t>
        </is>
      </c>
    </row>
    <row r="221">
      <c r="A221" t="inlineStr">
        <is>
          <t>GDPR</t>
        </is>
      </c>
      <c r="B221" t="inlineStr">
        <is>
          <t>esma_cloud_guidelines (GDPR - Row 8)</t>
        </is>
      </c>
      <c r="C221" t="inlineStr">
        <is>
          <t>48</t>
        </is>
      </c>
      <c r="D221" s="8" t="inlineStr">
        <is>
          <t>Competent authorities assess cloud outsourcing governance and risks</t>
        </is>
      </c>
      <c r="E221" t="inlineStr">
        <is>
          <t>21</t>
        </is>
      </c>
      <c r="F221" t="inlineStr">
        <is>
          <t>Regulator Powers</t>
        </is>
      </c>
      <c r="G221" t="inlineStr">
        <is>
          <t>High</t>
        </is>
      </c>
      <c r="H221" t="inlineStr">
        <is>
          <t>High (explicit)</t>
        </is>
      </c>
      <c r="I221" s="8" t="inlineStr">
        <is>
          <t>Cloud Services</t>
        </is>
      </c>
      <c r="J221" s="8" t="inlineStr">
        <is>
          <t>Customer Data</t>
        </is>
      </c>
      <c r="K221" t="inlineStr">
        <is>
          <t>Competent authorities</t>
        </is>
      </c>
      <c r="L221" s="8" t="inlineStr">
        <is>
          <t>Competent authorities must evaluate firms' governance, resources, and processes for cloud outsourcing on a risk-based approach. This includes assessing whether firms can effectively enter into, implement, and oversee cloud arrangements, as well as identify and manage related risks.</t>
        </is>
      </c>
      <c r="M221" s="8" t="inlineStr">
        <is>
          <t>This section requires risk-based assessments of cloud outsourcing governance and risk management, directly influencing DTIA requirements for cloud service providers and financial institutions.</t>
        </is>
      </c>
      <c r="N221" s="8" t="inlineStr">
        <is>
          <t>[Must] Competent authorities should assess on a risk-based approach whether firms have in place the relevant governance, resources and operational processes to appropriately and effectively enter into, implement, and oversee cloud outsourcing arrangements
[Must] Competent authorities should assess on a risk-based approach whether firms identify and manage all relevant risks related to cloud outsourcing</t>
        </is>
      </c>
      <c r="O221" s="8" t="inlineStr">
        <is>
          <t>48. Competent authorities should assess on a risk-based approach whether firms: a) have in place the relevant governance, resources and operational processes to appropriately and effectively enter into, implement, and oversee cloud outsourcing arrangements; b) identify and manage all relevant risks related to cloud outsourcing.</t>
        </is>
      </c>
      <c r="P221" s="10" t="inlineStr">
        <is>
          <t>Open PDF</t>
        </is>
      </c>
    </row>
    <row r="222">
      <c r="A222" t="inlineStr">
        <is>
          <t>GDPR</t>
        </is>
      </c>
      <c r="B222" t="inlineStr">
        <is>
          <t>esma_cloud_guidelines (GDPR - Row 8)</t>
        </is>
      </c>
      <c r="C222" t="inlineStr">
        <is>
          <t>49</t>
        </is>
      </c>
      <c r="D222" s="8" t="inlineStr">
        <is>
          <t>Competent authorities monitor concentration risks in cloud outsourcing</t>
        </is>
      </c>
      <c r="E222" t="inlineStr">
        <is>
          <t>21</t>
        </is>
      </c>
      <c r="F222" t="inlineStr">
        <is>
          <t>Regulator Powers</t>
        </is>
      </c>
      <c r="G222" t="inlineStr">
        <is>
          <t>High</t>
        </is>
      </c>
      <c r="H222" t="inlineStr">
        <is>
          <t>High (explicit)</t>
        </is>
      </c>
      <c r="I222" s="8" t="inlineStr">
        <is>
          <t>Cloud Services</t>
        </is>
      </c>
      <c r="J222" s="8" t="inlineStr">
        <is>
          <t>Customer Data</t>
        </is>
      </c>
      <c r="K222" t="inlineStr">
        <is>
          <t>Competent authorities</t>
        </is>
      </c>
      <c r="L222" s="8" t="inlineStr">
        <is>
          <t>If concentration risks are identified, competent authorities must monitor the development of these risks and evaluate their potential impact on other firms they supervise and the stability of the financial market.</t>
        </is>
      </c>
      <c r="M222" s="8" t="inlineStr">
        <is>
          <t>This section addresses concentration risks in cloud outsourcing, requiring DTIA assessments to consider market stability implications when critical functions are outsourced.</t>
        </is>
      </c>
      <c r="N222" s="8" t="inlineStr">
        <is>
          <t>[Must] Where concentration risks are identified, competent authorities should monitor the development of such risks and evaluate both their potential impact on other firms they supervise and the stability of the financial market</t>
        </is>
      </c>
      <c r="O222" s="8" t="inlineStr">
        <is>
          <t>49. Where concentration risks are identified, competent authorities should monitor the development of such risks and evaluate both their potential impact on other firms they supervise and the stability of the financial market.</t>
        </is>
      </c>
      <c r="P222" s="10" t="inlineStr">
        <is>
          <t>Open PDF</t>
        </is>
      </c>
    </row>
    <row r="223">
      <c r="A223" t="inlineStr">
        <is>
          <t>India</t>
        </is>
      </c>
      <c r="B223" t="inlineStr">
        <is>
          <t>Guidelines on Information and Cyber Security (India - Row 8)</t>
        </is>
      </c>
      <c r="C223" t="inlineStr">
        <is>
          <t>1</t>
        </is>
      </c>
      <c r="D223" s="8" t="inlineStr">
        <is>
          <t>Reference is drawn to Point no. 3 on "Applicability" of Guidelines on Information and</t>
        </is>
      </c>
      <c r="E223" t="inlineStr">
        <is>
          <t>1</t>
        </is>
      </c>
      <c r="F223" t="inlineStr">
        <is>
          <t>Other</t>
        </is>
      </c>
      <c r="G223" t="inlineStr">
        <is>
          <t>Medium</t>
        </is>
      </c>
      <c r="H223" t="inlineStr">
        <is>
          <t>High (explicit)</t>
        </is>
      </c>
      <c r="I223" s="8" t="inlineStr"/>
      <c r="J223" s="8" t="inlineStr"/>
      <c r="K223" t="inlineStr">
        <is>
          <t>IRDAI</t>
        </is>
      </c>
      <c r="L223" s="8" t="inlineStr">
        <is>
          <t>This section references Point 3 on 'Applicability' of the Guidelines on Information and Cyber Security for Insurers, stating that the guidelines apply to all insurers regulated by the Insurance Regulatory and Development Authority of India (IRDAI).</t>
        </is>
      </c>
      <c r="M223" s="8" t="inlineStr"/>
      <c r="N223" s="8" t="inlineStr">
        <is>
          <t>[Must] this guidelines document is applicable to all insurers regulated by Insurance Regulatory and Development Authority of India (IRDAI)</t>
        </is>
      </c>
      <c r="O223" s="8" t="inlineStr">
        <is>
          <t>1. Reference is drawn to Point no. 3 on "Applicability" of Guidelines on Information and Cyber Security for Insurers dated 07.04.2017 read as "this guidelines document is applicable to all insurers regulated by Insurance Regulatory and Development Authority of India (IRDAI)."</t>
        </is>
      </c>
      <c r="P223" s="10" t="inlineStr">
        <is>
          <t>Open PDF</t>
        </is>
      </c>
    </row>
    <row r="224">
      <c r="A224" t="inlineStr">
        <is>
          <t>India</t>
        </is>
      </c>
      <c r="B224" t="inlineStr">
        <is>
          <t>Guidelines on Information and Cyber Security (India - Row 8)</t>
        </is>
      </c>
      <c r="C224" t="inlineStr">
        <is>
          <t>2</t>
        </is>
      </c>
      <c r="D224" s="8" t="inlineStr">
        <is>
          <t>It has been decided by the Authority to extend the applicability of said guidelines to all</t>
        </is>
      </c>
      <c r="E224" t="inlineStr">
        <is>
          <t>1</t>
        </is>
      </c>
      <c r="F224" t="inlineStr">
        <is>
          <t>Other</t>
        </is>
      </c>
      <c r="G224" t="inlineStr">
        <is>
          <t>Medium</t>
        </is>
      </c>
      <c r="H224" t="inlineStr">
        <is>
          <t>High (explicit)</t>
        </is>
      </c>
      <c r="I224" s="8" t="inlineStr"/>
      <c r="J224" s="8" t="inlineStr"/>
      <c r="K224" t="inlineStr">
        <is>
          <t>IRDAI</t>
        </is>
      </c>
      <c r="L224" s="8" t="inlineStr">
        <is>
          <t>This section states that the Authority has decided to extend the applicability of the guidelines to all Insurance Intermediaries with immediate effect.</t>
        </is>
      </c>
      <c r="M224" s="8" t="inlineStr"/>
      <c r="N224" s="8" t="inlineStr">
        <is>
          <t>[Must] It has been decided by the Authority to extend the applicability of said guidelines to all Insurance Intermediaries with immediate effect.</t>
        </is>
      </c>
      <c r="O224" s="8" t="inlineStr">
        <is>
          <t>2. It has been decided by the Authority to extend the applicability of said guidelines to all Insurance Intermediaries with immediate effect.</t>
        </is>
      </c>
      <c r="P224" s="10" t="inlineStr">
        <is>
          <t>Open PDF</t>
        </is>
      </c>
    </row>
    <row r="225">
      <c r="A225" t="inlineStr">
        <is>
          <t>India</t>
        </is>
      </c>
      <c r="B225" t="inlineStr">
        <is>
          <t>NT75589AC4A988D446CA94182886F6D8EADD (India - Row 13) PROVISIONALLY</t>
        </is>
      </c>
      <c r="C225" t="inlineStr">
        <is>
          <t>3</t>
        </is>
      </c>
      <c r="D225" s="8" t="inlineStr">
        <is>
          <t>All other instructions in this regard shall remain unchanged.</t>
        </is>
      </c>
      <c r="E225" t="inlineStr">
        <is>
          <t>1–2</t>
        </is>
      </c>
      <c r="F225" t="inlineStr">
        <is>
          <t>Other</t>
        </is>
      </c>
      <c r="G225" t="inlineStr">
        <is>
          <t>None</t>
        </is>
      </c>
      <c r="H225" t="inlineStr">
        <is>
          <t>High (explicit)</t>
        </is>
      </c>
      <c r="I225" s="8" t="inlineStr"/>
      <c r="J225" s="8" t="inlineStr"/>
      <c r="K225" t="inlineStr">
        <is>
          <t>Reserve Bank of India</t>
        </is>
      </c>
      <c r="L225" s="8" t="inlineStr">
        <is>
          <t>This section states that all other instructions related to the matter remain unchanged. It serves as a procedural instruction to maintain consistency with existing directives without introducing new amendments. The instruction applies to the Reserve Bank of India's regulatory framework for deposit interest rates.</t>
        </is>
      </c>
      <c r="M225" s="8" t="inlineStr"/>
      <c r="N225" s="8" t="inlineStr">
        <is>
          <t>[Must] All other instructions in this regard shall remain unchanged.</t>
        </is>
      </c>
      <c r="O225" s="8" t="inlineStr">
        <is>
          <t>All other instructions in this regard shall remain unchanged.</t>
        </is>
      </c>
      <c r="P225" s="10" t="inlineStr">
        <is>
          <t>Open PDF</t>
        </is>
      </c>
    </row>
    <row r="226">
      <c r="A226" t="inlineStr">
        <is>
          <t>India</t>
        </is>
      </c>
      <c r="B226" t="inlineStr">
        <is>
          <t>RBI Master Direction on Information Technology Framework for NBFC Sector (2017) (India - Row 15)</t>
        </is>
      </c>
      <c r="C226" t="inlineStr">
        <is>
          <t>2</t>
        </is>
      </c>
      <c r="D226" s="8" t="inlineStr">
        <is>
          <t>As you are aware, the Income Declaration Scheme, 2016 (the Scheme)   has</t>
        </is>
      </c>
      <c r="E226" t="inlineStr">
        <is>
          <t>1</t>
        </is>
      </c>
      <c r="F226" t="inlineStr">
        <is>
          <t>Other</t>
        </is>
      </c>
      <c r="G226" t="inlineStr">
        <is>
          <t>Low</t>
        </is>
      </c>
      <c r="H226" t="inlineStr">
        <is>
          <t>High (explicit)</t>
        </is>
      </c>
      <c r="I226" s="8" t="inlineStr"/>
      <c r="J226" s="8" t="inlineStr"/>
      <c r="K226" t="inlineStr"/>
      <c r="L226" s="8" t="inlineStr">
        <is>
          <t>This section acknowledges the implementation of the Income Declaration Scheme, 2016 starting June 1, 2016, and notes that some declarants may wish to pay tax dues in cash. It highlights that banks are hesitant to accept large cash deposits for government accounts under this scheme.</t>
        </is>
      </c>
      <c r="M226" s="8" t="inlineStr"/>
      <c r="N226" s="8" t="inlineStr">
        <is>
          <t>[Information] As you are aware, the Income Declaration Scheme, 2016 (the Scheme) has come into effect from June 1, 2016
[Information] some declarants may like to pay their tax dues in cash</t>
        </is>
      </c>
      <c r="O226" s="8" t="inlineStr">
        <is>
          <t>2. As you are aware, the Income Declaration Scheme, 2016 (the Scheme) has come into effect from June 1, 2016 and some declarants may like to pay their tax dues in cash.</t>
        </is>
      </c>
      <c r="P226" s="10" t="inlineStr">
        <is>
          <t>Open PDF</t>
        </is>
      </c>
    </row>
    <row r="227">
      <c r="A227" t="inlineStr">
        <is>
          <t>India</t>
        </is>
      </c>
      <c r="B227" t="inlineStr">
        <is>
          <t>RBI Master Direction on Information Technology Framework for NBFC Sector (2017) (India - Row 15)</t>
        </is>
      </c>
      <c r="C227" t="inlineStr">
        <is>
          <t>3</t>
        </is>
      </c>
      <c r="D227" s="8" t="inlineStr">
        <is>
          <t>We advise that banks must invariably accept cash, irrespective of amount, over</t>
        </is>
      </c>
      <c r="E227" t="inlineStr">
        <is>
          <t>1–2</t>
        </is>
      </c>
      <c r="F227" t="inlineStr">
        <is>
          <t>Other</t>
        </is>
      </c>
      <c r="G227" t="inlineStr">
        <is>
          <t>High</t>
        </is>
      </c>
      <c r="H227" t="inlineStr">
        <is>
          <t>High (explicit)</t>
        </is>
      </c>
      <c r="I227" s="8" t="inlineStr">
        <is>
          <t>Customer Information, KYC, AML</t>
        </is>
      </c>
      <c r="J227" s="8" t="inlineStr"/>
      <c r="K227" t="inlineStr">
        <is>
          <t>RBI</t>
        </is>
      </c>
      <c r="L227" s="8" t="inlineStr">
        <is>
          <t>Banks must accept cash deposits of any amount from declarants at counters, including those under the Income Declaration Scheme via challan ITNS-286. Banks must also comply with Know Your Customer (KYC) requirements for all customers and walk-in customers as per the Master Direction on KYC.</t>
        </is>
      </c>
      <c r="M227" s="8" t="inlineStr"/>
      <c r="N227" s="8" t="inlineStr">
        <is>
          <t>[Must] banks must invariably accept cash, irrespective of amount, over the counters from all declarants who desire to deposit cash at the counters
[Condition] including deposits under the above Scheme through challan ITNS-286
[Must] banks shall comply with the Know Your Customer requirements for customers and walk-in customers as contained in Master Direction – Know Your Customer Withdrawn Direction, 2016</t>
        </is>
      </c>
      <c r="O227" s="8" t="inlineStr">
        <is>
          <t>3. We advise that banks must invariably accept cash, irrespective of amount, over the counters from all declarants who desire to deposit cash at the counters, including deposits under the above Scheme through challan ITNS-286.</t>
        </is>
      </c>
      <c r="P227" s="10" t="inlineStr">
        <is>
          <t>Open PDF</t>
        </is>
      </c>
    </row>
    <row r="228">
      <c r="A228" t="inlineStr">
        <is>
          <t>India</t>
        </is>
      </c>
      <c r="B228" t="inlineStr">
        <is>
          <t>RBI Payment Data Localisation Requirement (India - Row 17)</t>
        </is>
      </c>
      <c r="C228" t="inlineStr">
        <is>
          <t>2</t>
        </is>
      </c>
      <c r="D228" s="8" t="inlineStr">
        <is>
          <t>It is observed that not all system providers store the payments data in India. In order to ensure</t>
        </is>
      </c>
      <c r="E228" t="inlineStr">
        <is>
          <t>1</t>
        </is>
      </c>
      <c r="F228" t="inlineStr">
        <is>
          <t>Data Storage</t>
        </is>
      </c>
      <c r="G228" t="inlineStr">
        <is>
          <t>High</t>
        </is>
      </c>
      <c r="H228" t="inlineStr">
        <is>
          <t>High (explicit)</t>
        </is>
      </c>
      <c r="I228" s="8" t="inlineStr">
        <is>
          <t>Data Storage, Cross-border Transfer</t>
        </is>
      </c>
      <c r="J228" s="8" t="inlineStr"/>
      <c r="K228" t="inlineStr">
        <is>
          <t>Reserve Bank of India</t>
        </is>
      </c>
      <c r="L228" s="8" t="inlineStr">
        <is>
          <t>This section mandates that all system providers in India must store their entire payment system data within the country, including end-to-end transaction details. Foreign leg data may be stored abroad if necessary. System providers must comply within six months and report compliance by October 15, 2018, while submitting a System Audit Report certified by CERT-IN auditors by December 31, 2018.</t>
        </is>
      </c>
      <c r="M228" s="8" t="inlineStr">
        <is>
          <t>Requires payment data to be stored exclusively in India (with limited exceptions for foreign transactions), necessitating data localization for DTIA assessments to ensure compliance with Indian data residency requirements.</t>
        </is>
      </c>
      <c r="N228" s="8" t="inlineStr">
        <is>
          <t>[Must] All system providers shall ensure that the entire data relating to payment systems operated by them are stored in a system only in India.
[Must] The data should include the full end-to-end transaction details / information collected / carried / processed as part of the message / payment instruction.
[May] For the foreign leg of the transaction, if any, the data can also be stored in the foreign country, if required.
[Must] System providers shall ensure compliance of (i) above within a period of six months and report compliance of the same to the Reserve Bank latest by October 15, 2018.
[Must] System providers shall submit the System Audit Report (SAR) on completion of the requirement at (i) above.
[Must] The audit should be conducted by CERT-IN empaneled auditors certifying completion of activity at (i) above.
[Must] The SAR duly approved by the Board of the system providers should be submitted to the Reserve Bank not later than December 31, 2018.</t>
        </is>
      </c>
      <c r="O228" s="8" t="inlineStr">
        <is>
          <t>2. It is observed that not all system providers store the payments data in India. In order to ensure better monitoring, it is important to have unfettered supervisory access to data stored with these system providers as also with their service providers / intermediaries/ third party vendors and other entities in the payment ecosystem.</t>
        </is>
      </c>
      <c r="P228" s="10" t="inlineStr">
        <is>
          <t>Open PDF</t>
        </is>
      </c>
    </row>
    <row r="229">
      <c r="A229" t="inlineStr">
        <is>
          <t>India</t>
        </is>
      </c>
      <c r="B229" t="inlineStr">
        <is>
          <t>RBI Payment Data Localisation Requirement (India - Row 17)</t>
        </is>
      </c>
      <c r="C229" t="inlineStr">
        <is>
          <t>2018</t>
        </is>
      </c>
      <c r="D229" s="8" t="inlineStr">
        <is>
          <t>3. The directive is issued under Section 10(2) read with Section 18 of Payment and Settlement</t>
        </is>
      </c>
      <c r="E229" t="inlineStr">
        <is>
          <t>1</t>
        </is>
      </c>
      <c r="F229" t="inlineStr">
        <is>
          <t>Other</t>
        </is>
      </c>
      <c r="G229" t="inlineStr">
        <is>
          <t>None</t>
        </is>
      </c>
      <c r="H229" t="inlineStr">
        <is>
          <t>High (explicit)</t>
        </is>
      </c>
      <c r="I229" s="8" t="inlineStr"/>
      <c r="J229" s="8" t="inlineStr"/>
      <c r="K229" t="inlineStr"/>
      <c r="L229" s="8" t="inlineStr">
        <is>
          <t>This section states that the directive is issued under Section 10(2) read with Section 18 of the Payment and Settlement Systems Act 2007 (Act 51 of 2007).</t>
        </is>
      </c>
      <c r="M229" s="8" t="inlineStr"/>
      <c r="N229" s="8" t="inlineStr">
        <is>
          <t>[Authorisation] The directive is issued under Section 10(2) read with Section 18 of Payment and Settlement Systems Act 2007, (Act 51 of 2007).</t>
        </is>
      </c>
      <c r="O229" s="8" t="inlineStr">
        <is>
          <t>3. The directive is issued under Section 10(2) read with Section 18 of Payment and Settlement Systems Act 2007, (Act 51 of 2007).</t>
        </is>
      </c>
      <c r="P229" s="10" t="inlineStr">
        <is>
          <t>Open PDF</t>
        </is>
      </c>
    </row>
    <row r="230">
      <c r="A230" t="inlineStr">
        <is>
          <t>India</t>
        </is>
      </c>
      <c r="B230" t="inlineStr">
        <is>
          <t>guidelines-on-cyber-security-and-cyber-resilience-for-regulated-entities-in-ifscs-1-10032025064412 (India - Row 5)</t>
        </is>
      </c>
      <c r="C230" t="inlineStr">
        <is>
          <t>1</t>
        </is>
      </c>
      <c r="D230" s="8" t="inlineStr">
        <is>
          <t>As the IFSC continues to evolve as a global ϐinancial hub, the sophistication of cyber</t>
        </is>
      </c>
      <c r="E230" t="inlineStr">
        <is>
          <t>1–2</t>
        </is>
      </c>
      <c r="F230" t="inlineStr">
        <is>
          <t>Governance</t>
        </is>
      </c>
      <c r="G230" t="inlineStr">
        <is>
          <t>High</t>
        </is>
      </c>
      <c r="H230" t="inlineStr">
        <is>
          <t>High (explicit)</t>
        </is>
      </c>
      <c r="I230" s="8" t="inlineStr"/>
      <c r="J230" s="8" t="inlineStr">
        <is>
          <t>Financial Data</t>
        </is>
      </c>
      <c r="K230" t="inlineStr">
        <is>
          <t>IFSCA</t>
        </is>
      </c>
      <c r="L230" s="8" t="inlineStr">
        <is>
          <t>This section establishes that financial entities operating in the GIFT IFSC must maintain robust cybersecurity to protect against threats targeting financial transactions, data breaches, and critical infrastructure disruptions. It emphasizes that cybersecurity is foundational for the stability and credibility of financial services in the jurisdiction and outlines that the International Financial Services Centres Authority (IFSCA) will set expectations for regulated entities (REs), which include any entity licensed, recognized, registered, or authorized by IFSCA. Implementation must follow proportionality based on operational scale, activity nature, ecosystem interconnectedness, and cyber risks.</t>
        </is>
      </c>
      <c r="M230" s="8" t="inlineStr">
        <is>
          <t>This section sets the foundational cybersecurity expectations for financial entities in the IFSC, requiring robust measures to protect against cross-border threats and ensure resilience, which directly impacts data transfer and processing security in international financial operations.</t>
        </is>
      </c>
      <c r="N230" s="8" t="inlineStr">
        <is>
          <t>[Must] The REs shall include any entity which is licensed, recognised, registered or authorised by IFSCA.
[Condition] The implementation of these Guidelines shall be undertaken in accordance with the principle of proportionality, after taking into due consideration the scale and complexity of operations, the nature of the activity the entity is engaged in, its interconnectedness with the financial ecosystem and the corresponding cyber risks the entity is exposed to.</t>
        </is>
      </c>
      <c r="O230" s="8" t="inlineStr">
        <is>
          <t>As the IFSC continues to evolve as a global financial hub, the sophistication of cyber threats targeting financial entities is also expected to grow. In such an international jurisdiction, where institutions cater to a diverse global client base, maintaining robust cyber security becomes fundamental.</t>
        </is>
      </c>
      <c r="P230" s="10" t="inlineStr">
        <is>
          <t>Open PDF</t>
        </is>
      </c>
    </row>
    <row r="231">
      <c r="A231" t="inlineStr">
        <is>
          <t>India</t>
        </is>
      </c>
      <c r="B231" t="inlineStr">
        <is>
          <t>guidelines-on-cyber-security-and-cyber-resilience-for-regulated-entities-in-ifscs-1-10032025064412 (India - Row 5)</t>
        </is>
      </c>
      <c r="C231" t="inlineStr">
        <is>
          <t>2</t>
        </is>
      </c>
      <c r="D231" s="8" t="inlineStr">
        <is>
          <t>The key components of the Guidelines are categorized into:</t>
        </is>
      </c>
      <c r="E231" t="inlineStr">
        <is>
          <t>2</t>
        </is>
      </c>
      <c r="F231" t="inlineStr">
        <is>
          <t>Governance</t>
        </is>
      </c>
      <c r="G231" t="inlineStr">
        <is>
          <t>Medium</t>
        </is>
      </c>
      <c r="H231" t="inlineStr">
        <is>
          <t>High (explicit)</t>
        </is>
      </c>
      <c r="I231" s="8" t="inlineStr">
        <is>
          <t>Governance</t>
        </is>
      </c>
      <c r="J231" s="8" t="inlineStr"/>
      <c r="K231" t="inlineStr"/>
      <c r="L231" s="8" t="inlineStr">
        <is>
          <t>This section categorizes the key components of the Guidelines into five areas: Governance, Cyber Security and Cyber Resilience Framework, Third Party Risk Management, Communication &amp; Awareness, and Audit. It specifies that the Governance component involves establishing oversight mechanisms for cyber risk management.</t>
        </is>
      </c>
      <c r="M231" s="8" t="inlineStr"/>
      <c r="N231" s="8" t="inlineStr">
        <is>
          <t>[Must] The key components of the Guidelines are categorized into: Governance, Cyber security and cyber resilience framework, Third party risk management, Communication &amp; awareness, Audit.</t>
        </is>
      </c>
      <c r="O231" s="8" t="inlineStr">
        <is>
          <t>The key components of the Guidelines are categorized into: Governance, Cyber security and cyber resilience framework, Third party risk management, Communication &amp; awareness, Audit.</t>
        </is>
      </c>
      <c r="P231" s="10" t="inlineStr">
        <is>
          <t>Open PDF</t>
        </is>
      </c>
    </row>
    <row r="232">
      <c r="A232" t="inlineStr">
        <is>
          <t>India</t>
        </is>
      </c>
      <c r="B232" t="inlineStr">
        <is>
          <t>guidelines-on-cyber-security-and-cyber-resilience-for-regulated-entities-in-ifscs-1-10032025064412 (India - Row 5)</t>
        </is>
      </c>
      <c r="C232" t="inlineStr">
        <is>
          <t>3</t>
        </is>
      </c>
      <c r="D232" s="8" t="inlineStr">
        <is>
          <t>The REs shall have adequate governance mechanisms, with a clear set of roles and</t>
        </is>
      </c>
      <c r="E232" t="inlineStr">
        <is>
          <t>2</t>
        </is>
      </c>
      <c r="F232" t="inlineStr">
        <is>
          <t>Governance</t>
        </is>
      </c>
      <c r="G232" t="inlineStr">
        <is>
          <t>High</t>
        </is>
      </c>
      <c r="H232" t="inlineStr">
        <is>
          <t>High (explicit)</t>
        </is>
      </c>
      <c r="I232" s="8" t="inlineStr">
        <is>
          <t>Governance</t>
        </is>
      </c>
      <c r="J232" s="8" t="inlineStr"/>
      <c r="K232" t="inlineStr">
        <is>
          <t>IFSCA</t>
        </is>
      </c>
      <c r="L232" s="8" t="inlineStr">
        <is>
          <t>This section mandates that regulated entities (REs) must have adequate governance mechanisms with clear roles and responsibilities for cyber risk management. The Oversight Body, which may include the Governing Board, senior management personnel such as the Managing Director, Chief Executive Officer, Chief Information Security Officer, Chief Technology Officer, and designated committees, collectively manages cyber risk within the entity.</t>
        </is>
      </c>
      <c r="M232" s="8" t="inlineStr"/>
      <c r="N232" s="8" t="inlineStr">
        <is>
          <t>[Must] The REs shall have adequate governance mechanisms, with a clear set of roles and responsibilities to manage cyber risk.
[Must] The set of stakeholders involved in the governance of an RE's cyber risk management mechanism shall collectively be referred to as the 'Oversight Body' of the RE and may include one or more of the following: Governing Board, Senior management personnel which include the Managing Director (MD), Chief Executive Officer (CEO), Chief Information Security Officer (CISO), Chief Technology Officer (CTO), Principal of officer, Compliance of officer, or Committee(s) involving/ designated by any of the above for the purpose of technology or cyber risk management of the RE.</t>
        </is>
      </c>
      <c r="O232" s="8" t="inlineStr">
        <is>
          <t>The REs shall have adequate governance mechanisms, with a clear set of roles and responsibilities to manage cyber risk.</t>
        </is>
      </c>
      <c r="P232" s="10" t="inlineStr">
        <is>
          <t>Open PDF</t>
        </is>
      </c>
    </row>
    <row r="233">
      <c r="A233" t="inlineStr">
        <is>
          <t>India</t>
        </is>
      </c>
      <c r="B233" t="inlineStr">
        <is>
          <t>guidelines-on-cyber-security-and-cyber-resilience-for-regulated-entities-in-ifscs-1-10032025064412 (India - Row 5)</t>
        </is>
      </c>
      <c r="C233" t="inlineStr">
        <is>
          <t>4</t>
        </is>
      </c>
      <c r="D233" s="8" t="inlineStr">
        <is>
          <t>The REs shall ensure that their Governing Board and the senior management possesses</t>
        </is>
      </c>
      <c r="E233" t="inlineStr">
        <is>
          <t>2–3</t>
        </is>
      </c>
      <c r="F233" t="inlineStr">
        <is>
          <t>Governance</t>
        </is>
      </c>
      <c r="G233" t="inlineStr">
        <is>
          <t>High</t>
        </is>
      </c>
      <c r="H233" t="inlineStr">
        <is>
          <t>High (explicit)</t>
        </is>
      </c>
      <c r="I233" s="8" t="inlineStr">
        <is>
          <t>Governance</t>
        </is>
      </c>
      <c r="J233" s="8" t="inlineStr"/>
      <c r="K233" t="inlineStr">
        <is>
          <t>IFSCA</t>
        </is>
      </c>
      <c r="L233" s="8" t="inlineStr">
        <is>
          <t>This section requires that the Governing Board and senior management of regulated entities (REs) must possess sufficient expertise and knowledge to effectively understand and manage cyber risk. It mandates that they set the tone at the highest levels and cultivate a strong culture of cyber risk management and awareness across all levels of staff within the entity.</t>
        </is>
      </c>
      <c r="M233" s="8" t="inlineStr"/>
      <c r="N233" s="8" t="inlineStr">
        <is>
          <t>[Must] The REs shall ensure that their Governing Board and the senior management possesses sufficient expertise and knowledge to effectively understand and manage cyber risk.
[Must] The Governing Board and senior management shall set the tone at the highest levels and cultivate a strong culture of cyber risk management and awareness at all levels of staff within the entity.</t>
        </is>
      </c>
      <c r="O233" s="8" t="inlineStr">
        <is>
          <t>The REs shall ensure that their Governing Board and the senior management possesses sufficient expertise and knowledge to effectively understand and manage cyber risk.</t>
        </is>
      </c>
      <c r="P233" s="10" t="inlineStr">
        <is>
          <t>Open PDF</t>
        </is>
      </c>
    </row>
    <row r="234">
      <c r="A234" t="inlineStr">
        <is>
          <t>India</t>
        </is>
      </c>
      <c r="B234" t="inlineStr">
        <is>
          <t>guidelines-on-cyber-security-and-cyber-resilience-for-regulated-entities-in-ifscs-1-10032025064412 (India - Row 5)</t>
        </is>
      </c>
      <c r="C234" t="inlineStr">
        <is>
          <t>5</t>
        </is>
      </c>
      <c r="D234" s="8" t="inlineStr">
        <is>
          <t>The REs shall appoint a CISO or alternatively, designate a senior employee/</t>
        </is>
      </c>
      <c r="E234" t="inlineStr">
        <is>
          <t>3</t>
        </is>
      </c>
      <c r="F234" t="inlineStr">
        <is>
          <t>Governance</t>
        </is>
      </c>
      <c r="G234" t="inlineStr">
        <is>
          <t>High</t>
        </is>
      </c>
      <c r="H234" t="inlineStr">
        <is>
          <t>High (explicit)</t>
        </is>
      </c>
      <c r="I234" s="8" t="inlineStr">
        <is>
          <t>Governance</t>
        </is>
      </c>
      <c r="J234" s="8" t="inlineStr"/>
      <c r="K234" t="inlineStr">
        <is>
          <t>IFSCA</t>
        </is>
      </c>
      <c r="L234" s="8" t="inlineStr">
        <is>
          <t>This section mandates that regulated entities (REs) must appoint a Chief Information Security Officer (CISO) or designate a senior employee/management personnel to assess, identify and reduce cyber security risks, respond to incidents, establish appropriate standards and controls, and direct the establishment and implementation of processes and procedures as approved by the Oversight Body of the RE.</t>
        </is>
      </c>
      <c r="M234" s="8" t="inlineStr"/>
      <c r="N234" s="8" t="inlineStr">
        <is>
          <t>[Must] The REs shall appoint a CISO or alternatively, designate a senior employee/ management personnel to assess, identify and reduce cyber security risks, respond to incidents, establish appropriate standards and controls, and direct the establishment and implementation of processes and procedures as approved by the Oversight Body of the RE.</t>
        </is>
      </c>
      <c r="O234" s="8" t="inlineStr">
        <is>
          <t>The REs shall appoint a CISO or alternatively, designate a senior employee/ management personnel to assess, identify and reduce cyber security risks, respond to incidents, establish appropriate standards and controls, and direct the establishment and implementation of processes and procedures as approved by the Oversight Body of the RE.</t>
        </is>
      </c>
      <c r="P234" s="10" t="inlineStr">
        <is>
          <t>Open PDF</t>
        </is>
      </c>
    </row>
    <row r="235">
      <c r="A235" t="inlineStr">
        <is>
          <t>India</t>
        </is>
      </c>
      <c r="B235" t="inlineStr">
        <is>
          <t>guidelines-on-cyber-security-and-cyber-resilience-for-regulated-entities-in-ifscs-1-10032025064412 (India - Row 5)</t>
        </is>
      </c>
      <c r="C235" t="inlineStr">
        <is>
          <t>6</t>
        </is>
      </c>
      <c r="D235" s="8" t="inlineStr">
        <is>
          <t>The CISO or senior employee/ management personnel so designated shall henceforth</t>
        </is>
      </c>
      <c r="E235" t="inlineStr">
        <is>
          <t>3</t>
        </is>
      </c>
      <c r="F235" t="inlineStr">
        <is>
          <t>Governance</t>
        </is>
      </c>
      <c r="G235" t="inlineStr">
        <is>
          <t>High</t>
        </is>
      </c>
      <c r="H235" t="inlineStr">
        <is>
          <t>High (explicit)</t>
        </is>
      </c>
      <c r="I235" s="8" t="inlineStr">
        <is>
          <t>Governance</t>
        </is>
      </c>
      <c r="J235" s="8" t="inlineStr"/>
      <c r="K235" t="inlineStr">
        <is>
          <t>IFSCA</t>
        </is>
      </c>
      <c r="L235" s="8" t="inlineStr">
        <is>
          <t>This section designates the CISO or senior employee/management personnel appointed under Section 5 as the 'Designated Officer' for the purpose of overseeing cyber risk management activities within the regulated entity.</t>
        </is>
      </c>
      <c r="M235" s="8" t="inlineStr"/>
      <c r="N235" s="8" t="inlineStr">
        <is>
          <t>[Must] The CISO or senior employee/ management personnel so designated shall henceforth be referred to as the 'Designated Officer'.</t>
        </is>
      </c>
      <c r="O235" s="8" t="inlineStr">
        <is>
          <t>The CISO or senior employee/ management personnel so designated shall henceforth be referred to as the 'Designated Officer'.</t>
        </is>
      </c>
      <c r="P235" s="10" t="inlineStr">
        <is>
          <t>Open PDF</t>
        </is>
      </c>
    </row>
    <row r="236">
      <c r="A236" t="inlineStr">
        <is>
          <t>India</t>
        </is>
      </c>
      <c r="B236" t="inlineStr">
        <is>
          <t>guidelines-on-cyber-security-and-cyber-resilience-for-regulated-entities-in-ifscs-1-10032025064412 (India - Row 5)</t>
        </is>
      </c>
      <c r="C236" t="inlineStr">
        <is>
          <t>7</t>
        </is>
      </c>
      <c r="D236" s="8" t="inlineStr">
        <is>
          <t>The REs shall formulate the Cyber Security and Cyber Resilience Framework to</t>
        </is>
      </c>
      <c r="E236" t="inlineStr">
        <is>
          <t>3–4</t>
        </is>
      </c>
      <c r="F236" t="inlineStr">
        <is>
          <t>Other</t>
        </is>
      </c>
      <c r="G236" t="inlineStr">
        <is>
          <t>High</t>
        </is>
      </c>
      <c r="H236" t="inlineStr">
        <is>
          <t>High (explicit)</t>
        </is>
      </c>
      <c r="I236" s="8" t="inlineStr">
        <is>
          <t>Cross-border Transfer, Third Party Processing, Incident Reporting, Breach Notification</t>
        </is>
      </c>
      <c r="J236" s="8" t="inlineStr">
        <is>
          <t>Personal Information</t>
        </is>
      </c>
      <c r="K236" t="inlineStr">
        <is>
          <t>IFSCA</t>
        </is>
      </c>
      <c r="L236" s="8" t="inlineStr">
        <is>
          <t>Regulated entities (REs) must create a Cyber Security and Cyber Resilience Framework to ensure confidentiality, integrity, and availability of their IT assets. This framework must include objectives for anticipating and recovering from cyber-attacks, comprehensive threat assessments covering third-party risks, defined cyber risk appetite, detailed people/process/technology requirements for risk management, clear roles during incidents, and periodic reviews to maintain relevance.</t>
        </is>
      </c>
      <c r="M236" s="8" t="inlineStr">
        <is>
          <t>This section mandates a comprehensive framework for managing cyber risks across borders, requiring REs to address third-party vulnerabilities and incident response protocols critical for cross-border data transfers.</t>
        </is>
      </c>
      <c r="N236" s="8" t="inlineStr">
        <is>
          <t>[Must] The REs shall formulate the Cyber Security and Cyber Resilience Framework to maintain the Confidentiality, Integrity and Availability of their IT assets.
[Must] The said framework, inter alia, shall aim to maintain and promote the RE's ability to anticipate, withstand, contain, and recover from cyber-attacks.
[Must] The said framework, inter alia, shall take an integrated and comprehensive view of the potential cyber threats, including third party risks that the RE faces.
[Must] The said framework, inter alia, shall define the RE's cyber risk appetite and cyber resilience objectives.
[Must] The said framework, inter alia, shall outline the RE's people, process and technology requirements for managing cyber risks.
[Must] The said framework, inter alia, shall establish the roles and responsibilities of the Oversight Body, the Designated Officer, the employees and other stakeholders, including clear communication lines to be adhered to, during a cyber incident.
[Must] The said framework, inter alia, shall be reviewed and updated periodically to ensure that the framework stays relevant.</t>
        </is>
      </c>
      <c r="O236" s="8" t="inlineStr">
        <is>
          <t>7. The REs shall formulate the Cyber Security and Cyber Resilience Framework to maintain the Confidentiality, Integrity and Availability of their IT assets.</t>
        </is>
      </c>
      <c r="P236" s="10" t="inlineStr">
        <is>
          <t>Open PDF</t>
        </is>
      </c>
    </row>
    <row r="237">
      <c r="A237" t="inlineStr">
        <is>
          <t>India</t>
        </is>
      </c>
      <c r="B237" t="inlineStr">
        <is>
          <t>guidelines-on-cyber-security-and-cyber-resilience-for-regulated-entities-in-ifscs-1-10032025064412 (India - Row 5)</t>
        </is>
      </c>
      <c r="C237" t="inlineStr">
        <is>
          <t>9</t>
        </is>
      </c>
      <c r="D237" s="8" t="inlineStr">
        <is>
          <t>The REs shall formulate an Information Security (IS) Policy as part of their cyber</t>
        </is>
      </c>
      <c r="E237" t="inlineStr">
        <is>
          <t>4–6</t>
        </is>
      </c>
      <c r="F237" t="inlineStr">
        <is>
          <t>Other</t>
        </is>
      </c>
      <c r="G237" t="inlineStr">
        <is>
          <t>High</t>
        </is>
      </c>
      <c r="H237" t="inlineStr">
        <is>
          <t>High (explicit)</t>
        </is>
      </c>
      <c r="I237" s="8" t="inlineStr">
        <is>
          <t>Data Storage, Access Control, Incident Reporting, Breach Notification</t>
        </is>
      </c>
      <c r="J237" s="8" t="inlineStr">
        <is>
          <t>Personal Information</t>
        </is>
      </c>
      <c r="K237" t="inlineStr">
        <is>
          <t>IFSCA</t>
        </is>
      </c>
      <c r="L237" s="8" t="inlineStr">
        <is>
          <t>Regulated entities must develop an Information Security (IS) Policy as part of their cyber security framework. This policy requires maintaining detailed IT asset inventories, conducting risk assessments to classify assets by business criticality and sensitivity, identifying critical business functions, implementing security controls aligned with international standards like NIST and ISO 27000, enforcing access controls based on least privilege and segregation of duties, ensuring physical security, conducting annual vulnerability assessments, establishing recovery policies, and defining incident management procedures including reporting obligations.</t>
        </is>
      </c>
      <c r="M237" s="8" t="inlineStr">
        <is>
          <t>This section establishes foundational security controls critical for data transfers, including asset classification, access controls, and incident response protocols that impact cross-border data handling.</t>
        </is>
      </c>
      <c r="N237" s="8" t="inlineStr">
        <is>
          <t>[Must] The REs shall maintain a detailed inventory of IT assets, including both logical (data, software) and physical (hardware) components, including system configurations, their interconnections with internal and external systems, with distinct and clear identification of the assets.
[Must] The REs shall carry out a risk assessment of those assets and classify the assets based on their business criticality, sensitivity of data they hold, and potential impact on other systems if compromised.
[Must] The REs shall identify and classify their business functions and supporting processes based on their criticality to overall operations and potential impact on performance.
[Must] The REs shall implement appropriate security controls, aligned with international best practices and cyber security and cyber resilience standards like NIST, ISO 27000, etc, to minimize the likelihood and impact of cyber-attacks on critical business functions, IT assets, and data.
[Must] The REs shall manage access rights to IT assets and their supporting systems on a ‘need-to-know' basis, following the principle of ‘least privilege' and principle of ‘segregation of duties'.
[Must] The REs shall enforce authentication methods that are sufficiently robust to adequately and effectively ensure that access control policies and procedures are complied with.
[Must] The REs need to ensure adequate physical security of their IT assets, using measures such as secure location of critical data, restricted access to data centers, server rooms etc.
[Must] The REs shall conduct Vulnerability Assessment and Penetration Testing (VAPT) to detect vulnerabilities in the IT environment for all critical systems, infrastructure components and other IT systems. The VAPT shall be conducted at least once a year.
[Must] The REs shall have recovery policies and procedures to maximise their ability to provide services on an ongoing basis and to limit losses in the event of severe business disruption.
[Must] The IS Policy of the REs shall clearly define the term 'cyber incident'. The REs shall develop and implement processes for preventing, detecting, analysing and responding to cyber incidents.
[Must] REs shall also establish mechanisms to fulfill the disclosure and reporting requirements, as specified by IFSCA, during and after a cyber incident.
[Must] The REs shall ensure that audit trail exists for IT assets, such that it satisfies the entity's business continuity and recovery needs, regulatory and legal obligations, facilitates audit and serves as forensic evidence when required, and assists in dispute resolution.</t>
        </is>
      </c>
      <c r="O237" s="8" t="inlineStr">
        <is>
          <t>9. The REs shall formulate an Information Security (IS) Policy as part of their cyber security and cyber resilience framework with the following basic principles.</t>
        </is>
      </c>
      <c r="P237" s="10" t="inlineStr">
        <is>
          <t>Open PDF</t>
        </is>
      </c>
    </row>
    <row r="238">
      <c r="A238" t="inlineStr">
        <is>
          <t>India</t>
        </is>
      </c>
      <c r="B238" t="inlineStr">
        <is>
          <t>guidelines-on-cyber-security-and-cyber-resilience-for-regulated-entities-in-ifscs-1-10032025064412 (India - Row 5)</t>
        </is>
      </c>
      <c r="C238" t="inlineStr">
        <is>
          <t>10</t>
        </is>
      </c>
      <c r="D238" s="8" t="inlineStr">
        <is>
          <t>The REs shall adopt a collaborative security approach with their third-party</t>
        </is>
      </c>
      <c r="E238" t="inlineStr">
        <is>
          <t>6</t>
        </is>
      </c>
      <c r="F238" t="inlineStr">
        <is>
          <t>Third Party Processing</t>
        </is>
      </c>
      <c r="G238" t="inlineStr">
        <is>
          <t>High</t>
        </is>
      </c>
      <c r="H238" t="inlineStr">
        <is>
          <t>High (explicit)</t>
        </is>
      </c>
      <c r="I238" s="8" t="inlineStr">
        <is>
          <t>Third Party Processing, Incident Reporting, Breach Notification</t>
        </is>
      </c>
      <c r="J238" s="8" t="inlineStr">
        <is>
          <t>Personal Information</t>
        </is>
      </c>
      <c r="K238" t="inlineStr">
        <is>
          <t>IFSCA</t>
        </is>
      </c>
      <c r="L238" s="8" t="inlineStr">
        <is>
          <t>Regulated entities must collaborate with third-party vendors by clearly outlining shared expectations for data security, incident reporting, and adherence to relevant security standards to mitigate third-party cyber risks.</t>
        </is>
      </c>
      <c r="M238" s="8" t="inlineStr">
        <is>
          <t>This section requires explicit communication protocols with third parties for data security and incident reporting, directly impacting cross-border data transfer safeguards.</t>
        </is>
      </c>
      <c r="N238" s="8" t="inlineStr">
        <is>
          <t>[Must] The REs shall adopt a collaborative security approach with their third-party vendors/external partners, by clearly outlining shared expectations for data security, incident reporting and adherence to relevant security standards.</t>
        </is>
      </c>
      <c r="O238" s="8" t="inlineStr">
        <is>
          <t>10. The REs shall adopt a collaborative security approach with their third-party vendors/external partners, by clearly outlining shared expectations for data security, incident reporting and adherence to relevant security standards.</t>
        </is>
      </c>
      <c r="P238" s="10" t="inlineStr">
        <is>
          <t>Open PDF</t>
        </is>
      </c>
    </row>
    <row r="239">
      <c r="A239" t="inlineStr">
        <is>
          <t>India</t>
        </is>
      </c>
      <c r="B239" t="inlineStr">
        <is>
          <t>guidelines-on-cyber-security-and-cyber-resilience-for-regulated-entities-in-ifscs-1-10032025064412 (India - Row 5)</t>
        </is>
      </c>
      <c r="C239" t="inlineStr">
        <is>
          <t>11</t>
        </is>
      </c>
      <c r="D239" s="8" t="inlineStr">
        <is>
          <t>The REs shall adopt a risk-based approach for periodic review of third-party</t>
        </is>
      </c>
      <c r="E239" t="inlineStr">
        <is>
          <t>6–7</t>
        </is>
      </c>
      <c r="F239" t="inlineStr">
        <is>
          <t>Third Party Processing</t>
        </is>
      </c>
      <c r="G239" t="inlineStr">
        <is>
          <t>High</t>
        </is>
      </c>
      <c r="H239" t="inlineStr">
        <is>
          <t>High (explicit)</t>
        </is>
      </c>
      <c r="I239" s="8" t="inlineStr">
        <is>
          <t>Third Party Processing</t>
        </is>
      </c>
      <c r="J239" s="8" t="inlineStr">
        <is>
          <t>Personal Information</t>
        </is>
      </c>
      <c r="K239" t="inlineStr">
        <is>
          <t>IFSCA</t>
        </is>
      </c>
      <c r="L239" s="8" t="inlineStr">
        <is>
          <t>Regulated entities must conduct risk-based periodic reviews of third-party vendors, identifying critical dependencies and performing vulnerability assessments every six months for core operations, with flexible review frequencies for other third parties.</t>
        </is>
      </c>
      <c r="M239" s="8" t="inlineStr">
        <is>
          <t>This section mandates regular third-party risk assessments critical for ensuring the security of data transferred via third parties, especially for cross-border contexts.</t>
        </is>
      </c>
      <c r="N239" s="8" t="inlineStr">
        <is>
          <t>[Must] The REs shall identify the third-party service providers which it is dependent on for its core operations or to whom it has granted access to its critical systems.
[Must] For all such third-party service providers, the REs shall carry out an assessment for detecting vulnerabilities or compliance gaps through audit, review or feedback every six months.
[May] For other third-parties, the REs shall have the flexibility to determine the appropriate frequency for periodic review.</t>
        </is>
      </c>
      <c r="O239" s="8" t="inlineStr">
        <is>
          <t>11. The REs shall adopt a risk-based approach for periodic review of third-party vendors/external partners.</t>
        </is>
      </c>
      <c r="P239" s="10" t="inlineStr">
        <is>
          <t>Open PDF</t>
        </is>
      </c>
    </row>
    <row r="240">
      <c r="A240" t="inlineStr">
        <is>
          <t>India</t>
        </is>
      </c>
      <c r="B240" t="inlineStr">
        <is>
          <t>guidelines-on-cyber-security-and-cyber-resilience-for-regulated-entities-in-ifscs-1-10032025064412 (India - Row 5)</t>
        </is>
      </c>
      <c r="C240" t="inlineStr">
        <is>
          <t>12</t>
        </is>
      </c>
      <c r="D240" s="8" t="inlineStr">
        <is>
          <t>The REs should establish clear communication channels and escalation procedures</t>
        </is>
      </c>
      <c r="E240" t="inlineStr">
        <is>
          <t>7</t>
        </is>
      </c>
      <c r="F240" t="inlineStr">
        <is>
          <t>Incident Reporting</t>
        </is>
      </c>
      <c r="G240" t="inlineStr">
        <is>
          <t>High</t>
        </is>
      </c>
      <c r="H240" t="inlineStr">
        <is>
          <t>High (explicit)</t>
        </is>
      </c>
      <c r="I240" s="8" t="inlineStr">
        <is>
          <t>Incident Reporting, Breach Notification</t>
        </is>
      </c>
      <c r="J240" s="8" t="inlineStr">
        <is>
          <t>Personal Information</t>
        </is>
      </c>
      <c r="K240" t="inlineStr">
        <is>
          <t>IFSCA</t>
        </is>
      </c>
      <c r="L240" s="8" t="inlineStr">
        <is>
          <t>Regulated entities must establish clear communication channels and escalation procedures for promptly addressing risks or non-compliance with partners, ensuring timely resolution of issues.</t>
        </is>
      </c>
      <c r="M240" s="8" t="inlineStr">
        <is>
          <t>This section ensures effective communication protocols for third-party incidents, which is critical for timely breach notifications and cross-border data transfer compliance.</t>
        </is>
      </c>
      <c r="N240" s="8" t="inlineStr">
        <is>
          <t>[Should] The REs should establish clear communication channels and escalation procedures for addressing any identified risks or non-compliance with partners, promptly and effectively.</t>
        </is>
      </c>
      <c r="O240" s="8" t="inlineStr">
        <is>
          <t>12. The REs should establish clear communication channels and escalation procedures for addressing any identified risks or non-compliance with partners, promptly and effectively.</t>
        </is>
      </c>
      <c r="P240" s="10" t="inlineStr">
        <is>
          <t>Open PDF</t>
        </is>
      </c>
    </row>
    <row r="241">
      <c r="A241" t="inlineStr">
        <is>
          <t>India</t>
        </is>
      </c>
      <c r="B241" t="inlineStr">
        <is>
          <t>guidelines-on-cyber-security-and-cyber-resilience-for-regulated-entities-in-ifscs-1-10032025064412 (India - Row 5)</t>
        </is>
      </c>
      <c r="C241" t="inlineStr">
        <is>
          <t>13</t>
        </is>
      </c>
      <c r="D241" s="8" t="inlineStr">
        <is>
          <t>The ultimate responsibility to mitigate the cyber risks arising from the third parties</t>
        </is>
      </c>
      <c r="E241" t="inlineStr">
        <is>
          <t>7</t>
        </is>
      </c>
      <c r="F241" t="inlineStr">
        <is>
          <t>Third Party Processing</t>
        </is>
      </c>
      <c r="G241" t="inlineStr">
        <is>
          <t>High</t>
        </is>
      </c>
      <c r="H241" t="inlineStr">
        <is>
          <t>High (explicit)</t>
        </is>
      </c>
      <c r="I241" s="8" t="inlineStr">
        <is>
          <t>Third Party Processing, Breach Notification</t>
        </is>
      </c>
      <c r="J241" s="8" t="inlineStr">
        <is>
          <t>Personal Information</t>
        </is>
      </c>
      <c r="K241" t="inlineStr">
        <is>
          <t>IFSCA</t>
        </is>
      </c>
      <c r="L241" s="8" t="inlineStr">
        <is>
          <t>Regulated entities bear ultimate responsibility for mitigating cyber risks arising from third parties, ensuring accountability for third-party security incidents.</t>
        </is>
      </c>
      <c r="M241" s="8" t="inlineStr">
        <is>
          <t>This section clarifies that regulated entities are ultimately liable for third-party cyber risks, which is critical for cross-border data transfer impact assessments involving third parties.</t>
        </is>
      </c>
      <c r="N241" s="8" t="inlineStr">
        <is>
          <t>[Must] The ultimate responsibility to mitigate the cyber risks arising from the third parties shall be on the REs.</t>
        </is>
      </c>
      <c r="O241" s="8" t="inlineStr">
        <is>
          <t>13. The ultimate responsibility to mitigate the cyber risks arising from the third parties shall be on the REs.</t>
        </is>
      </c>
      <c r="P241" s="10" t="inlineStr">
        <is>
          <t>Open PDF</t>
        </is>
      </c>
    </row>
    <row r="242">
      <c r="A242" t="inlineStr">
        <is>
          <t>India</t>
        </is>
      </c>
      <c r="B242" t="inlineStr">
        <is>
          <t>guidelines-on-cyber-security-and-cyber-resilience-for-regulated-entities-in-ifscs-1-10032025064412 (India - Row 5)</t>
        </is>
      </c>
      <c r="C242" t="inlineStr">
        <is>
          <t>14</t>
        </is>
      </c>
      <c r="D242" s="8" t="inlineStr">
        <is>
          <t>The REs shall provide regular training to its employees on topics pertaining to cyber</t>
        </is>
      </c>
      <c r="E242" t="inlineStr">
        <is>
          <t>7</t>
        </is>
      </c>
      <c r="F242" t="inlineStr">
        <is>
          <t>Other</t>
        </is>
      </c>
      <c r="G242" t="inlineStr">
        <is>
          <t>Medium</t>
        </is>
      </c>
      <c r="H242" t="inlineStr">
        <is>
          <t>High (explicit)</t>
        </is>
      </c>
      <c r="I242" s="8" t="inlineStr"/>
      <c r="J242" s="8" t="inlineStr"/>
      <c r="K242" t="inlineStr">
        <is>
          <t>IFSCA</t>
        </is>
      </c>
      <c r="L242" s="8" t="inlineStr">
        <is>
          <t>Regulated entities must conduct regular cybersecurity training for employees covering phishing awareness, social engineering, password hygiene, and incident reporting procedures. This training is mandatory to ensure staff can identify and respond to cyber threats effectively. The training must be ongoing and address specific technical and behavioral aspects of cybersecurity.</t>
        </is>
      </c>
      <c r="M242" s="8" t="inlineStr">
        <is>
          <t>This section requires regular employee training on cybersecurity, which is critical for DTIA as it ensures staff are equipped to handle incidents and reduce vulnerabilities during data transfers or processing activities.</t>
        </is>
      </c>
      <c r="N242" s="8" t="inlineStr">
        <is>
          <t>[Must] The REs shall provide regular training to its employees on topics pertaining to cyber security, including but not limited to, phishing awareness, social engineering, password hygiene and incident reporting procedures.</t>
        </is>
      </c>
      <c r="O242" s="8" t="inlineStr">
        <is>
          <t>14. The REs shall provide regular training to its employees on topics pertaining to cyber security, including but not limited to, phishing awareness, social engineering, password hygiene and incident reporting procedures.</t>
        </is>
      </c>
      <c r="P242" s="10" t="inlineStr">
        <is>
          <t>Open PDF</t>
        </is>
      </c>
    </row>
    <row r="243">
      <c r="A243" t="inlineStr">
        <is>
          <t>India</t>
        </is>
      </c>
      <c r="B243" t="inlineStr">
        <is>
          <t>guidelines-on-cyber-security-and-cyber-resilience-for-regulated-entities-in-ifscs-1-10032025064412 (India - Row 5)</t>
        </is>
      </c>
      <c r="C243" t="inlineStr">
        <is>
          <t>15</t>
        </is>
      </c>
      <c r="D243" s="8" t="inlineStr">
        <is>
          <t>The REs shall establish clear and accessible channels for employees to report</t>
        </is>
      </c>
      <c r="E243" t="inlineStr">
        <is>
          <t>7</t>
        </is>
      </c>
      <c r="F243" t="inlineStr">
        <is>
          <t>Other</t>
        </is>
      </c>
      <c r="G243" t="inlineStr">
        <is>
          <t>Medium</t>
        </is>
      </c>
      <c r="H243" t="inlineStr">
        <is>
          <t>High (explicit)</t>
        </is>
      </c>
      <c r="I243" s="8" t="inlineStr"/>
      <c r="J243" s="8" t="inlineStr"/>
      <c r="K243" t="inlineStr">
        <is>
          <t>IFSCA</t>
        </is>
      </c>
      <c r="L243" s="8" t="inlineStr">
        <is>
          <t>Regulated entities must establish clear and accessible channels for employees to report suspicious activity, vulnerabilities, and potential cyber incidents. This ensures timely identification and mitigation of security risks within the organization. Employees can report issues directly to the entity without barriers.</t>
        </is>
      </c>
      <c r="M243" s="8" t="inlineStr">
        <is>
          <t>This section mandates internal reporting channels for cyber incidents, which is essential for DTIA as it ensures rapid response to breaches and timely data handling during cross-border transfers.</t>
        </is>
      </c>
      <c r="N243" s="8" t="inlineStr">
        <is>
          <t>[Must] The REs shall establish clear and accessible channels for employees to report suspicious activity, vulnerabilities, and potential cyber incidents.</t>
        </is>
      </c>
      <c r="O243" s="8" t="inlineStr">
        <is>
          <t>15. The REs shall establish clear and accessible channels for employees to report suspicious activity, vulnerabilities, and potential cyber incidents.</t>
        </is>
      </c>
      <c r="P243" s="10" t="inlineStr">
        <is>
          <t>Open PDF</t>
        </is>
      </c>
    </row>
    <row r="244">
      <c r="A244" t="inlineStr">
        <is>
          <t>India</t>
        </is>
      </c>
      <c r="B244" t="inlineStr">
        <is>
          <t>guidelines-on-cyber-security-and-cyber-resilience-for-regulated-entities-in-ifscs-1-10032025064412 (India - Row 5)</t>
        </is>
      </c>
      <c r="C244" t="inlineStr">
        <is>
          <t>16</t>
        </is>
      </c>
      <c r="D244" s="8" t="inlineStr">
        <is>
          <t>The aim of the audit is to provide an independent assurance of the effectiveness of</t>
        </is>
      </c>
      <c r="E244" t="inlineStr">
        <is>
          <t>7–8</t>
        </is>
      </c>
      <c r="F244" t="inlineStr">
        <is>
          <t>Other</t>
        </is>
      </c>
      <c r="G244" t="inlineStr">
        <is>
          <t>High</t>
        </is>
      </c>
      <c r="H244" t="inlineStr">
        <is>
          <t>High (explicit)</t>
        </is>
      </c>
      <c r="I244" s="8" t="inlineStr">
        <is>
          <t>Security</t>
        </is>
      </c>
      <c r="J244" s="8" t="inlineStr"/>
      <c r="K244" t="inlineStr">
        <is>
          <t>IFSCA</t>
        </is>
      </c>
      <c r="L244" s="8" t="inlineStr">
        <is>
          <t>Regulated entities must undergo periodic cybersecurity audits by a certified auditor to ensure their security measures are effective. The auditor must be certified by CERT-In or possess specific cybersecurity credentials, and the audit must assess alignment with the entity's cyber risks. The audit report must be submitted to the Governing Board and senior management.</t>
        </is>
      </c>
      <c r="M244" s="8" t="inlineStr">
        <is>
          <t>This section requires independent cybersecurity audits, which are critical for DTIA as they validate the effectiveness of security controls before data transfers or processing across borders.</t>
        </is>
      </c>
      <c r="N244" s="8" t="inlineStr">
        <is>
          <t>[Must] The aim of the audit is to provide an independent assurance of the effectiveness of RE's measures to its Governing Board and the senior management.
[Must] The governance, systems and processes established by the REs for managing their cyber risks shall be audited on a periodic basis by either of the following: a. a CERT-In empanelled auditor, b. an independent auditor possessing the following certifications: i. Certified Information Security Auditor (CISA) or ii. Certified Information Security Manager (CISM) or iii. GIAC Systems and Network Auditor (GSNA) or iv. Certified Information Systems Security Professional (CISSP) or c. an auditor having prior experience in conducting cybersecurity audit of entities with similar business activity as that of the RE
[Must] The auditor shall also certify if the security controls implemented by the entity are aligned with the risks faced by the RE.</t>
        </is>
      </c>
      <c r="O244" s="8" t="inlineStr">
        <is>
          <t>16. The aim of the audit is to provide an independent assurance of the effectiveness of RE's measures to its Governing Board and the senior management. Towards this effect, the governance, systems and processes established by the REs for managing their cyber risks shall be audited on a periodic basis by either of the following: a. a CERT-In empanelled auditor, b. an independent auditor possessing the following certifications: i. Certified Information Security Auditor (CISA) or ii. Certified Information Security Manager (CISM) or iii. GIAC Systems and Network Auditor (GSNA) or iv. Certified Information Systems Security Professional (CISSP) or c. an auditor having prior experience in conducting cybersecurity audit of entities with similar business activity as that of the RE</t>
        </is>
      </c>
      <c r="P244" s="10" t="inlineStr">
        <is>
          <t>Open PDF</t>
        </is>
      </c>
    </row>
    <row r="245">
      <c r="A245" t="inlineStr">
        <is>
          <t>India</t>
        </is>
      </c>
      <c r="B245" t="inlineStr">
        <is>
          <t>guidelines-on-cyber-security-and-cyber-resilience-for-regulated-entities-in-ifscs-1-10032025064412 (India - Row 5)</t>
        </is>
      </c>
      <c r="C245" t="inlineStr">
        <is>
          <t>17</t>
        </is>
      </c>
      <c r="D245" s="8" t="inlineStr">
        <is>
          <t>The auditor engaged by an RE shall not have any conϐlict of interest with the RE. The</t>
        </is>
      </c>
      <c r="E245" t="inlineStr">
        <is>
          <t>8</t>
        </is>
      </c>
      <c r="F245" t="inlineStr">
        <is>
          <t>Other</t>
        </is>
      </c>
      <c r="G245" t="inlineStr">
        <is>
          <t>High</t>
        </is>
      </c>
      <c r="H245" t="inlineStr">
        <is>
          <t>High (explicit)</t>
        </is>
      </c>
      <c r="I245" s="8" t="inlineStr"/>
      <c r="J245" s="8" t="inlineStr"/>
      <c r="K245" t="inlineStr">
        <is>
          <t>IFSCA</t>
        </is>
      </c>
      <c r="L245" s="8" t="inlineStr">
        <is>
          <t>Regulated entities must ensure auditors have no conflict of interest and submit annual audit reports to IFSCA within 90 days of the financial year-end. The audit frequency may be higher than annual based on the entity's cyber risk profile and system criticality. This ensures timely oversight and accountability for cybersecurity measures.</t>
        </is>
      </c>
      <c r="M245" s="8" t="inlineStr">
        <is>
          <t>This section mandates annual audit reporting to IFSCA, which is vital for DTIA as it ensures regulatory oversight of security controls before data transfers or processing across borders.</t>
        </is>
      </c>
      <c r="N245" s="8" t="inlineStr">
        <is>
          <t>[Must] The auditor engaged by an RE shall not have any conflict of interest with the RE.
[Must] The audit shall be conducted annually and a report in this regard shall be submitted to IFSCA by the REs within 90 days from the end of the financial year.
[Must] The REs shall submit the audit report to the corresponding IFSCA Department/ Division in charge of the supervision of the RE.</t>
        </is>
      </c>
      <c r="O245" s="8" t="inlineStr">
        <is>
          <t>17. The auditor engaged by an RE shall not have any conflict of interest with the RE. The audit shall be conducted annually and a report in this regard shall be submitted to IFSCA by the REs within 90 days from the end of the financial year.</t>
        </is>
      </c>
      <c r="P245" s="10" t="inlineStr">
        <is>
          <t>Open PDF</t>
        </is>
      </c>
    </row>
    <row r="246">
      <c r="A246" t="inlineStr">
        <is>
          <t>India</t>
        </is>
      </c>
      <c r="B246" t="inlineStr">
        <is>
          <t>guidelines-on-cyber-security-and-cyber-resilience-for-regulated-entities-in-ifscs-1-10032025064412 (India - Row 5)</t>
        </is>
      </c>
      <c r="C246" t="inlineStr">
        <is>
          <t>18</t>
        </is>
      </c>
      <c r="D246" s="8" t="inlineStr">
        <is>
          <t>In case the RE is registered with IFSCA as a Broker Dealer/Bullion Trading Member,</t>
        </is>
      </c>
      <c r="E246" t="inlineStr">
        <is>
          <t>8</t>
        </is>
      </c>
      <c r="F246" t="inlineStr">
        <is>
          <t>Other</t>
        </is>
      </c>
      <c r="G246" t="inlineStr">
        <is>
          <t>High</t>
        </is>
      </c>
      <c r="H246" t="inlineStr">
        <is>
          <t>High (explicit)</t>
        </is>
      </c>
      <c r="I246" s="8" t="inlineStr"/>
      <c r="J246" s="8" t="inlineStr"/>
      <c r="K246" t="inlineStr">
        <is>
          <t>IFSCA</t>
        </is>
      </c>
      <c r="L246" s="8" t="inlineStr">
        <is>
          <t>Broker Dealers, Bullion Trading Members, Clearing Members, and Depository Participants may submit their cybersecurity audit reports to IFSCA within 7 days of submitting to a Market Infrastructure Institution or Bullion Exchange. This streamlines reporting for entities with specific regulatory obligations.</t>
        </is>
      </c>
      <c r="M246" s="8" t="inlineStr">
        <is>
          <t>This section allows for streamlined reporting of cybersecurity audits for specific financial entities, which is relevant for DTIA as it ensures timely oversight of security controls for cross-border data transfers.</t>
        </is>
      </c>
      <c r="N246" s="8" t="inlineStr">
        <is>
          <t>[May] In case the RE is registered with IFSCA as a Broker Dealer/Bullion Trading Member, Clearing Member/Bullion Clearing Member or as a Depository Participant, and is required to submit cyber security audit report to a recognised Market Infrastructure Institution/Bullion Exchange, such REs may submit the same audit report to IFSCA within 7 days of submission of the audit report to the Market Infrastructure Institution/Bullion Exchange.</t>
        </is>
      </c>
      <c r="O246" s="8" t="inlineStr">
        <is>
          <t>18. In case the RE is registered with IFSCA as a Broker Dealer/Bullion Trading Member, Clearing Member/Bullion Clearing Member or as a Depository Participant, and is required to submit cyber security audit report to a recognised Market Infrastructure Institution/Bullion Exchange, such REs may submit the same audit report to IFSCA within 7 days of submission of the audit report to the Market Infrastructure Institution/Bullion Exchange.</t>
        </is>
      </c>
      <c r="P246" s="10" t="inlineStr">
        <is>
          <t>Open PDF</t>
        </is>
      </c>
    </row>
    <row r="247">
      <c r="A247" t="inlineStr">
        <is>
          <t>India</t>
        </is>
      </c>
      <c r="B247" t="inlineStr">
        <is>
          <t>guidelines-on-cyber-security-and-cyber-resilience-for-regulated-entities-in-ifscs-1-10032025064412 (India - Row 5)</t>
        </is>
      </c>
      <c r="C247" t="inlineStr">
        <is>
          <t>19</t>
        </is>
      </c>
      <c r="D247" s="8" t="inlineStr">
        <is>
          <t>In case of occurrence of any cyber incident, the REs are required to report the</t>
        </is>
      </c>
      <c r="E247" t="inlineStr">
        <is>
          <t>8</t>
        </is>
      </c>
      <c r="F247" t="inlineStr">
        <is>
          <t>Incident Reporting</t>
        </is>
      </c>
      <c r="G247" t="inlineStr">
        <is>
          <t>High</t>
        </is>
      </c>
      <c r="H247" t="inlineStr">
        <is>
          <t>High (explicit)</t>
        </is>
      </c>
      <c r="I247" s="8" t="inlineStr">
        <is>
          <t>Incident Reporting, Breach Notification</t>
        </is>
      </c>
      <c r="J247" s="8" t="inlineStr"/>
      <c r="K247" t="inlineStr">
        <is>
          <t>IFSCA</t>
        </is>
      </c>
      <c r="L247" s="8" t="inlineStr">
        <is>
          <t>Regulated entities must report cyber incidents to IFSCA within six hours of detection, including details of the incident. This ensures rapid response to breaches and timely regulatory oversight. The report must be sent to the Authority on cyber-incidents@ifsca.gov.in with a copy to CISO, IFSCA.</t>
        </is>
      </c>
      <c r="M247" s="8" t="inlineStr">
        <is>
          <t>This section requires immediate incident reporting to IFSCA, which is critical for DTIA as it ensures timely notification of breaches affecting data transfers or processing across borders.</t>
        </is>
      </c>
      <c r="N247" s="8" t="inlineStr">
        <is>
          <t>[Must] In case of occurrence of any cyber incident, the REs are required to report the particulars of the incident to the Authority on cyber-incidents@ifsca.gov.in with a copy to CISO, IFSCA, not later than six (6) hours from the detection of the incident.</t>
        </is>
      </c>
      <c r="O247" s="8" t="inlineStr">
        <is>
          <t>19. In case of occurrence of any cyber incident, the REs are required to report the particulars of the incident to the Authority on cyber-incidents@ifsca.gov.in with a copy to CISO, IFSCA, not later than six (6) hours from the detection of the incident.</t>
        </is>
      </c>
      <c r="P247" s="10" t="inlineStr">
        <is>
          <t>Open PDF</t>
        </is>
      </c>
    </row>
    <row r="248">
      <c r="A248" t="inlineStr">
        <is>
          <t>India</t>
        </is>
      </c>
      <c r="B248" t="inlineStr">
        <is>
          <t>guidelines-on-cyber-security-and-cyber-resilience-for-regulated-entities-in-ifscs-1-10032025064412 (India - Row 5)</t>
        </is>
      </c>
      <c r="C248" t="inlineStr">
        <is>
          <t>20</t>
        </is>
      </c>
      <c r="D248" s="8" t="inlineStr">
        <is>
          <t>Additionally, the REs shall submit the interim report within 3 days followed by a</t>
        </is>
      </c>
      <c r="E248" t="inlineStr">
        <is>
          <t>8–9</t>
        </is>
      </c>
      <c r="F248" t="inlineStr">
        <is>
          <t>Incident Reporting</t>
        </is>
      </c>
      <c r="G248" t="inlineStr">
        <is>
          <t>High</t>
        </is>
      </c>
      <c r="H248" t="inlineStr">
        <is>
          <t>High (explicit)</t>
        </is>
      </c>
      <c r="I248" s="8" t="inlineStr">
        <is>
          <t>Incident Reporting, Breach Notification</t>
        </is>
      </c>
      <c r="J248" s="8" t="inlineStr">
        <is>
          <t>Personal Information</t>
        </is>
      </c>
      <c r="K248" t="inlineStr">
        <is>
          <t>IFSCA</t>
        </is>
      </c>
      <c r="L248" s="8" t="inlineStr">
        <is>
          <t>Regulated entities (REs) must submit an interim report within 3 days of an incident and a detailed root cause analysis report within 30 days. REs must implement mitigation measures for the incident within 7 days. These obligations apply to all REs operating in International Financial Services Centres (IFSCs) under the guidelines.</t>
        </is>
      </c>
      <c r="M248" s="8" t="inlineStr">
        <is>
          <t>This section mandates timely incident reporting and root cause analysis, requiring REs to document and address incidents within strict timeframes. These requirements impact data transfer impact assessments by necessitating clear incident response protocols and documentation for cross-border data handling.</t>
        </is>
      </c>
      <c r="N248" s="8" t="inlineStr">
        <is>
          <t>[Must] REs shall submit the interim report within 3 days
[Must] REs shall submit a detailed root cause analysis report within 30 days
[Must] REs shall take mitigation measures for the incident within 7 days</t>
        </is>
      </c>
      <c r="O248" s="8" t="inlineStr">
        <is>
          <t>20. Additionally, the REs shall submit the interim report within 3 days followed by a detailed root cause analysis report within 30 days. The REs shall take mitigation measures for the same within 7 days.</t>
        </is>
      </c>
      <c r="P248" s="10" t="inlineStr">
        <is>
          <t>Open PDF</t>
        </is>
      </c>
    </row>
    <row r="249">
      <c r="A249" t="inlineStr">
        <is>
          <t>India</t>
        </is>
      </c>
      <c r="B249" t="inlineStr">
        <is>
          <t>guidelines-on-cyber-security-and-cyber-resilience-for-regulated-entities-in-ifscs-1-10032025064412 (India - Row 5)</t>
        </is>
      </c>
      <c r="C249" t="inlineStr">
        <is>
          <t>21</t>
        </is>
      </c>
      <c r="D249" s="8" t="inlineStr">
        <is>
          <t>The following categories of REs are exempted from the requirements mentioned in</t>
        </is>
      </c>
      <c r="E249" t="inlineStr">
        <is>
          <t>9</t>
        </is>
      </c>
      <c r="F249" t="inlineStr">
        <is>
          <t>Exemptions</t>
        </is>
      </c>
      <c r="G249" t="inlineStr">
        <is>
          <t>High</t>
        </is>
      </c>
      <c r="H249" t="inlineStr">
        <is>
          <t>High (explicit)</t>
        </is>
      </c>
      <c r="I249" s="8" t="inlineStr"/>
      <c r="J249" s="8" t="inlineStr">
        <is>
          <t>Personal Information</t>
        </is>
      </c>
      <c r="K249" t="inlineStr">
        <is>
          <t>IFSCA</t>
        </is>
      </c>
      <c r="L249" s="8" t="inlineStr">
        <is>
          <t>Certain regulated entities (REs) are exempt from the guidelines' requirements: those operating as branches of regulated Indian or foreign entities, providing services to group entities only (e.g., Global In-House Centres), having fewer than 10 employees, and foreign universities established in IFSCs. These exemptions apply to REs operating within International Financial Services Centres (IFSCs).</t>
        </is>
      </c>
      <c r="M249" s="8" t="inlineStr">
        <is>
          <t>This section identifies specific REs exempt from the guidelines, which may affect data transfer impact assessments by reducing compliance burdens for certain entities but requiring careful assessment of exemption conditions.</t>
        </is>
      </c>
      <c r="N249" s="8" t="inlineStr">
        <is>
          <t>[Exemption] REs operating in the form of a branch of a regulated Indian or foreign entity
[Exemption] REs providing services to their group entities only e.g. Global In-House Centres (GICs)
[Exemption] REs which have less than 10 employees
[Exemption] Foreign universities set up in IFSCs</t>
        </is>
      </c>
      <c r="O249" s="8" t="inlineStr">
        <is>
          <t>21. The following categories of REs are exempted from the requirements mentioned in these Guidelines: a. The REs operating in the form of a branch of a regulated Indian or foreign entity. b. The REs providing services to their group entities only e.g. Global In-House Centres (GICs). c. The REs which have less than 10 employees. d. Foreign universities set up in IFSCs.</t>
        </is>
      </c>
      <c r="P249" s="10" t="inlineStr">
        <is>
          <t>Open PDF</t>
        </is>
      </c>
    </row>
    <row r="250">
      <c r="A250" t="inlineStr">
        <is>
          <t>India</t>
        </is>
      </c>
      <c r="B250" t="inlineStr">
        <is>
          <t>guidelines-on-cyber-security-and-cyber-resilience-for-regulated-entities-in-ifscs-1-10032025064412 (India - Row 5)</t>
        </is>
      </c>
      <c r="C250" t="inlineStr">
        <is>
          <t>22</t>
        </is>
      </c>
      <c r="D250" s="8" t="inlineStr">
        <is>
          <t>The exemptions to the REs provided vide para 21, are subject to fulϐilment of the</t>
        </is>
      </c>
      <c r="E250" t="inlineStr">
        <is>
          <t>9–10</t>
        </is>
      </c>
      <c r="F250" t="inlineStr">
        <is>
          <t>Exemptions</t>
        </is>
      </c>
      <c r="G250" t="inlineStr">
        <is>
          <t>High</t>
        </is>
      </c>
      <c r="H250" t="inlineStr">
        <is>
          <t>High (explicit)</t>
        </is>
      </c>
      <c r="I250" s="8" t="inlineStr">
        <is>
          <t>Governance, Record Keeping</t>
        </is>
      </c>
      <c r="J250" s="8" t="inlineStr">
        <is>
          <t>Personal Information</t>
        </is>
      </c>
      <c r="K250" t="inlineStr">
        <is>
          <t>IFSCA</t>
        </is>
      </c>
      <c r="L250" s="8" t="inlineStr">
        <is>
          <t>Exemptions granted under Section 21 are conditional on REs adopting the parent entity's Cyber Security and Cyber Resilience framework, designating the parent entity's CISO as the Designated Officer, ensuring the parent entity is regulated by a financial-sector regulator, and submitting certification of compliance within 90 days of the financial year-end. These exemptions are valid for three years from the guidelines' issuance date.</t>
        </is>
      </c>
      <c r="M250" s="8" t="inlineStr">
        <is>
          <t>This section outlines conditions for maintaining exemptions, including framework adoption, regulatory oversight, and periodic compliance certifications, which are critical for data transfer impact assessments involving exempted entities.</t>
        </is>
      </c>
      <c r="N250" s="8" t="inlineStr">
        <is>
          <t>[Must] REs shall adopt the Cyber Security and Cyber Resilience framework and IS Policy of its parent entity
[Must] The CISO of the parent entity shall act as the Designated Officer for the REs in IFSC
[Must] The parent entity of REs, in India or overseas, shall be regulated by a financial-sector regulator in its home jurisdiction
[Must] The parent entity's cyber security and cyber resilience framework shall include REs in IFSC within its scope
[Must] The Designated Officer of the RE shall certify that all necessary systems/processes have been put in place within 90 days of the end of each financial year
[Must] The undertaking shall be submitted to the respective Department/Division of IFSCA responsible for supervision of the RE
[Condition] Exemptions are valid for a period of three years from the date of issuance of these guidelines</t>
        </is>
      </c>
      <c r="O250" s="8" t="inlineStr">
        <is>
          <t>22. The exemptions to the REs provided vide para 21, are subject to fulϐilment of the following conditions: a. REs shall adopt the Cyber Security and Cyber Resilience framework and IS Policy of its parent entity. b. The CISO of the parent entity shall act as the Designated Officer for the REs in IFSC. c. The parent entity of REs, in India or overseas, shall be regulated by a financial-sector regulator in its home jurisdiction and cyber security and cyber resilience framework of the parent entity shall include within its scope, the REs in IFSC.</t>
        </is>
      </c>
      <c r="P250" s="10" t="inlineStr">
        <is>
          <t>Open PDF</t>
        </is>
      </c>
    </row>
    <row r="251">
      <c r="A251" t="inlineStr">
        <is>
          <t>Kenya</t>
        </is>
      </c>
      <c r="B251" t="inlineStr">
        <is>
          <t>Capital Markets Act</t>
        </is>
      </c>
      <c r="C251" t="inlineStr">
        <is>
          <t>2</t>
        </is>
      </c>
      <c r="D251" s="8" t="inlineStr">
        <is>
          <t>Interpretation</t>
        </is>
      </c>
      <c r="E251" t="inlineStr">
        <is>
          <t>7–11</t>
        </is>
      </c>
      <c r="F251" t="inlineStr">
        <is>
          <t>Other</t>
        </is>
      </c>
      <c r="G251" t="inlineStr">
        <is>
          <t>Unknown</t>
        </is>
      </c>
      <c r="H251" t="inlineStr">
        <is>
          <t>Low</t>
        </is>
      </c>
      <c r="I251" s="8" t="inlineStr"/>
      <c r="J251" s="8" t="inlineStr"/>
      <c r="K251" t="inlineStr"/>
      <c r="L251" s="8" t="inlineStr"/>
      <c r="M251" s="8" t="inlineStr"/>
      <c r="N251" s="8" t="inlineStr"/>
      <c r="O251" s="8" t="inlineStr"/>
      <c r="P251" s="10" t="inlineStr">
        <is>
          <t>Open PDF</t>
        </is>
      </c>
    </row>
    <row r="252">
      <c r="A252" t="inlineStr">
        <is>
          <t>Kenya</t>
        </is>
      </c>
      <c r="B252" t="inlineStr">
        <is>
          <t>Capital Markets Act</t>
        </is>
      </c>
      <c r="C252" t="inlineStr">
        <is>
          <t>2 (part 2)</t>
        </is>
      </c>
      <c r="D252" s="8" t="inlineStr">
        <is>
          <t>Interpretation (cont.)</t>
        </is>
      </c>
      <c r="E252" t="inlineStr">
        <is>
          <t>11–14</t>
        </is>
      </c>
      <c r="F252" t="inlineStr">
        <is>
          <t>Other</t>
        </is>
      </c>
      <c r="G252" t="inlineStr">
        <is>
          <t>Unknown</t>
        </is>
      </c>
      <c r="H252" t="inlineStr">
        <is>
          <t>Low</t>
        </is>
      </c>
      <c r="I252" s="8" t="inlineStr"/>
      <c r="J252" s="8" t="inlineStr"/>
      <c r="K252" t="inlineStr"/>
      <c r="L252" s="8" t="inlineStr"/>
      <c r="M252" s="8" t="inlineStr"/>
      <c r="N252" s="8" t="inlineStr"/>
      <c r="O252" s="8" t="inlineStr"/>
      <c r="P252" s="10" t="inlineStr">
        <is>
          <t>Open PDF</t>
        </is>
      </c>
    </row>
    <row r="253">
      <c r="A253" t="inlineStr">
        <is>
          <t>Kenya</t>
        </is>
      </c>
      <c r="B253" t="inlineStr">
        <is>
          <t>Capital Markets Act</t>
        </is>
      </c>
      <c r="C253" t="inlineStr">
        <is>
          <t>2 (part 3)</t>
        </is>
      </c>
      <c r="D253" s="8" t="inlineStr">
        <is>
          <t>Definitions of key financial terms in capital markets</t>
        </is>
      </c>
      <c r="E253" t="inlineStr">
        <is>
          <t>14</t>
        </is>
      </c>
      <c r="F253" t="inlineStr">
        <is>
          <t>Definitions</t>
        </is>
      </c>
      <c r="G253" t="inlineStr">
        <is>
          <t>High</t>
        </is>
      </c>
      <c r="H253" t="inlineStr">
        <is>
          <t>High (explicit)</t>
        </is>
      </c>
      <c r="I253" s="8" t="inlineStr">
        <is>
          <t>Financial Data, Customer Information, Employee Information, Special Personal Information, Children</t>
        </is>
      </c>
      <c r="J253" s="8" t="inlineStr">
        <is>
          <t>Financial Data, Customer Data</t>
        </is>
      </c>
      <c r="K253" t="inlineStr"/>
      <c r="L253" s="8" t="inlineStr">
        <is>
          <t>This section defines critical terms used throughout the Capital Markets Act, including 'substantial shareholder', 'trading participant', 'trustee', 'underwriting', and 'unit trust'. These definitions establish the legal framework for understanding securities transactions, ownership structures, and trust arrangements within Kenya's capital markets. The definitions apply to persons involved in securities trading, investment schemes, and regulatory compliance.</t>
        </is>
      </c>
      <c r="M253" s="8" t="inlineStr"/>
      <c r="N253" s="8" t="inlineStr">
        <is>
          <t>[Definition] information is regularly provided concerning the prices at which, or the consideration for which, particular persons, or particular classes of persons, propose, or may reasonably be expected, to sell, purchase or exchange securities
[Definition] "substantial shareholder" means any person who is the beneficial owner of, or is in a position to exert control over, not less than fifteen per cent of the shares of a body corporate
[Definition] "trading participant" means a licensed person with rights to trade at an approved securities exchange
[Definition] "trustee" in relation to real estate investment trust or a collective investment scheme, means a person appointed under a trust deed of a real estate investment trust or a collective investment scheme, as the case may be, as its trustee
[Definition] "underwriting" means the purchase or commitment to purchase or distribute by dealers or other persons of issue or offer of securities for immediate or prompt public distribution by or through them
[Definition] "unit trust" means any scheme or arrangement in the nature of a trust in pursuance whereof members of the public are invited or permitted, as beneficiaries under the trust, to acquire an interest or undivided share (unit of investment) in one or more groups or blocks of specified securities and to participate proportionately in the income or profits derived therefrom</t>
        </is>
      </c>
      <c r="O253" s="8" t="inlineStr">
        <is>
          <t>Capital Markets Act (Cap. 485A) Kenya (c) information is regularly provided concerning the prices at which, or the consideration for which, particular persons, or particular classes of persons, propose, or may reasonably be expected, to sell, purchase or exchange securities; "substantial shareholder" means any person who is the beneficial owner of, or is in a position to exert control over, not less than fifteen per cent of the shares of a body corporate; "trading participant" means a licensed person with rights to trade at an approved securities exchange; "trustee" in relation to real estate investment trust or a collective investment scheme, means a person appointed under a trust deed of a real estate investment trust or a collective investment scheme, as the case may be, as its trustee; "underwriting" means the purchase or commitment to purchase or distribute by dealers or other persons of issue or offer of securities for immediate or prompt public distribution by or through them; "unit trust" means any scheme or arrangement in the nature of a trust in pursuance whereof members of the public are invited or permitted, as beneficiaries under the trust, to acquire an interest or undivided share (unit of investment) in one or more groups or blocks of specified securities and to participate proportionately in the income or profits derived therefrom.</t>
        </is>
      </c>
      <c r="P253" s="10" t="inlineStr">
        <is>
          <t>Open PDF</t>
        </is>
      </c>
    </row>
    <row r="254">
      <c r="A254" t="inlineStr">
        <is>
          <t>Kenya</t>
        </is>
      </c>
      <c r="B254" t="inlineStr">
        <is>
          <t>Capital Markets Act</t>
        </is>
      </c>
      <c r="C254" t="inlineStr">
        <is>
          <t>4</t>
        </is>
      </c>
      <c r="D254" s="8" t="inlineStr">
        <is>
          <t>Conditions for deeming a person to have an interest in securities</t>
        </is>
      </c>
      <c r="E254" t="inlineStr">
        <is>
          <t>14–16</t>
        </is>
      </c>
      <c r="F254" t="inlineStr">
        <is>
          <t>Definitions</t>
        </is>
      </c>
      <c r="G254" t="inlineStr">
        <is>
          <t>High</t>
        </is>
      </c>
      <c r="H254" t="inlineStr">
        <is>
          <t>High (explicit)</t>
        </is>
      </c>
      <c r="I254" s="8" t="inlineStr">
        <is>
          <t>Financial Data, Customer Information, Employee Information, Special Personal Information, Children</t>
        </is>
      </c>
      <c r="J254" s="8" t="inlineStr">
        <is>
          <t>Financial Data, Customer Data</t>
        </is>
      </c>
      <c r="K254" t="inlineStr"/>
      <c r="L254" s="8" t="inlineStr">
        <is>
          <t>This section establishes conditions under which a person is deemed to have an interest in securities, including situations where they have contractual rights to purchase, transfer, or control securities, or where they have influence over a body corporate that holds securities. The rules apply to individuals and entities involved in securities transactions and trust arrangements, particularly in Kenya's capital markets framework.</t>
        </is>
      </c>
      <c r="M254" s="8" t="inlineStr"/>
      <c r="N254" s="8" t="inlineStr">
        <is>
          <t>[Definition] Where any property held in trust consists of or includes securities in which a person knows, or has reasonable grounds for believing, that he or she has an interest, he or she shall be deemed to have an interest in those securities
[Definition] A person shall be deemed to have an interest in a security where a body corporate has an interest in a security and— (a) the body corporate is, or its directors are, accustomed or under an obligation, whether formal or informal, to act in accordance with directions, instructions or wishes of that person in relation to that security; (b) that person has a controlling interest in the body corporate; or (c) that person is, or the associates of that person or that person and his associates are, entitled to exercise or control the exercise of not less than fifteen per cent of the votes attached to the voting shares in the body corporate
[Definition] A person shall be deemed to have an interest in a security in any one or more of the following circumstances— (a) where he or she has entered into a contract to purchase a security; (b) where he or she has a right, otherwise than by reason of having an interest under a trust, to have a security transferred to himself or to his order, whether the right is exercisable presently or in the future and whether on the fulfillment of a condition or not; (c) where he or she has the right to acquire a security, or an interest in a security, under an option, whether on the fulfillment of a condition or not; or (d) where he or she is entitled, otherwise than by reason of his having been appointed a proxy or representative to vote at a meeting of members of a body corporate or of a class of its members, to exercise or control the exercise of a right attached to a security, not being a security of which he or she is the registered holder
[Definition] A person shall be deemed to have an interest in a security if that security is held jointly with another person
[Definition] For the purpose of determining whether a person has an interest in a security, it is immaterial that the interest cannot be related to a particular security
[Definition] There shall be disregarded— (a) an interest in a security if the interest is that of a person who holds the security as bare trustee; (b) an interest in a security of a person whose ordinary business includes the lending of money if he or she holds the interest only by way of security for the purposes of a transaction entered into in the ordinary course of business in connection with the lending of money; (c) an interest of a person in a security being an interest held by him or her by reason of his holding a prescribed office; and (d) a prescribed interest in a security being an interest of such person, or of the persons included in such class of persons as is prescribed
[Definition] An interest in a security shall not be disregarded by reason only of— (a) its remoteness; (b) the manner in which it arose; or (c) the fact that the exercise of a right conferred by the interest is, or is capable of being made, subject to restraint or restriction</t>
        </is>
      </c>
      <c r="O254" s="8" t="inlineStr">
        <is>
          <t>Capital Markets Act (Cap. 485A) Kenya 4. Definition of "interest in securities" (1) Where any property held in trust consists of or includes securities in which a person knows, or has reasonable grounds for believing, that he or she has an interest, he or she shall be deemed to have an interest in those securities. (2) A person shall be deemed to have an interest in a security where a body corporate has an interest in a security and— (a) the body corporate is, or its directors are, accustomed or under an obligation, whether formal or informal, to act in accordance with directions, instructions or wishes of that person in relation to that security; (b) that person has a controlling interest in the body corporate; or (c) that person is, or the associates of that person or that person and his associates are, entitled to exercise or control the exercise of not less than fifteen per cent of the votes attached to the voting shares in the body corporate. (3) A person shall be deemed to have an interest in a security in any one or more of the following circumstances— (a) where he or she has entered into a contract to purchase a security; (b) where he or she has a right, otherwise than by reason of having an interest under a trust, to have a security transferred to himself or to his order, whether the right is exercisable presently or in the future and whether on the fulfillment of a condition or not; (c) where he or she has the right to acquire a security, or an interest in a security, under an option, whether on the fulfillment of a condition or not; or (d) where he or she is entitled, otherwise than by reason of his having been appointed a proxy or representative to vote at a meeting of members of a body corporate or of a class of its members, to exercise or control the exercise of a right attached to a security, not being a security of which he or she is the registered holder. (4) A person shall be deemed to have an interest in a security if that security is held jointly with another person. (5) For the purpose of determining whether a person has an interest in a security, it is immaterial that the interest cannot be related to a particular security. (6) There shall be disregarded— (a) an interest in a security if the interest is that of a person who holds the security as bare trustee; (b) an interest in a security of a person whose ordinary business includes the lending of money if he or she holds the interest only by way of security for the purposes of a transaction entered into in the ordinary course of business in connection with the lending of money; (c) an interest of a person in a security being an interest held by him or her by reason of his holding a prescribed office; and (d) a prescribed interest in a security being an interest of such person, or of the persons included in such class of persons as is prescribed. (7) An interest in a security shall not be disregarded by reason only of— (a) its remoteness; (b) the manner in which it arose; or (c) the fact that the exercise of a right conferred by the interest is, or is capable of being made, subject to restraint or restriction.</t>
        </is>
      </c>
      <c r="P254" s="10" t="inlineStr">
        <is>
          <t>Open PDF</t>
        </is>
      </c>
    </row>
    <row r="255">
      <c r="A255" t="inlineStr">
        <is>
          <t>Kenya</t>
        </is>
      </c>
      <c r="B255" t="inlineStr">
        <is>
          <t>Capital Markets Act</t>
        </is>
      </c>
      <c r="C255" t="inlineStr">
        <is>
          <t>5</t>
        </is>
      </c>
      <c r="D255" s="8" t="inlineStr">
        <is>
          <t>Capital Markets Authority structure and composition</t>
        </is>
      </c>
      <c r="E255" t="inlineStr">
        <is>
          <t>16–17</t>
        </is>
      </c>
      <c r="F255" t="inlineStr">
        <is>
          <t>Definitions</t>
        </is>
      </c>
      <c r="G255" t="inlineStr">
        <is>
          <t>High</t>
        </is>
      </c>
      <c r="H255" t="inlineStr">
        <is>
          <t>High (explicit)</t>
        </is>
      </c>
      <c r="I255" s="8" t="inlineStr">
        <is>
          <t>Financial Data, Customer Information, Employee Information, Special Personal Information, Children</t>
        </is>
      </c>
      <c r="J255" s="8" t="inlineStr">
        <is>
          <t>Financial Data, Customer Data</t>
        </is>
      </c>
      <c r="K255" t="inlineStr"/>
      <c r="L255" s="8" t="inlineStr">
        <is>
          <t>This section establishes the Capital Markets Authority as a body corporate with perpetual succession, detailing its composition, appointment process, term of office, and removal conditions. The Authority consists of a Chairperson appointed by the President on Cabinet Secretary's recommendation, six other members appointed by the Cabinet Secretary, and specific statutory roles including the Principal Secretary to the National Treasury, Central Bank Governor, Attorney-General, and the Authority's chief executive. The section outlines the authority's legal capacity and operational framework.</t>
        </is>
      </c>
      <c r="M255" s="8" t="inlineStr"/>
      <c r="N255" s="8" t="inlineStr">
        <is>
          <t>[Definition] There is hereby established an authority to be known as the Capital Markets Authority
[Definition] The Authority shall be a body corporate with perpetual succession and a common seal and shall be capable in its corporate name of— (a) suing and being sued; (b) taking, purchasing or otherwise acquiring, holding, charging and disposing of both movable and immovable property; (c) borrowing and lending money; (d) entering into contracts; and (e) doing or performing all such other things or acts necessary for the proper performance of its functions under this Act which may lawfully be done by a body corporate
[Definition] The Authority shall consist of— (a) a Chairperson to be appointed by the President on the recommendation of the Cabinet Secretary; (b) six other members appointed by the Cabinet Secretary; (c) the Principal Secretary to the National Treasury or a person deputed by him or her in writing for the purposes of this Act; (d) the Governor of the Central Bank of Kenya or a person deputed by him or her in writing for the purposes of this Act; (e) the Attorney-General or a person deputed by him or her in writing for the purposes of this Act; (f) the chief executive of the Authority
[Definition] The Chairperson and every member appointed under paragraph (b) of subsection (3) shall be appointed from amongst persons who have experience and expertise in legal, financial, banking, accounting, economics or insurance matters
[Definition] The Chairperson and every member appointed under paragraph (b) of subsection (3) shall hold office for a period of three years and shall be eligible for re-appointment for a further term of three years
[Definition] The members of the Authority shall be appointed at different times so that the respective expiry dates of their terms of office shall fall at different times
[Definition] Any member appointed under subsection (3)(b) shall cease to hold office if— (a) he or she delivers to the Cabinet Secretary a written resignation of his appointment; (b) on the advice of the Authority, the Cabinet Secretary removes him or her from office on the grounds that he or she is incapacitated by mental or physical illness or is otherwise unable or unfit to discharge the functions of a member or is unable to continue as a member; (c) he or she has been absent from three consecutive meetings of the Authority without leave or good cause; (d) he or she is adjudged bankrupt or enters into a composition scheme or arrangement with his creditors; (e) he or she is sentenced by a court to imprisonment for a term of six months or more; or (f) he or she is convicted of an offence involving dishonesty, fraud or moral turpitude
[Definition] In the event of vacation of office by any member appointed under subsection (3)(b) the Cabinet Secretary may appoint another person to hold office for the unexpired period of the term of office of the member in whose place he or she is appointed
[Definition] If any member of the Authority appointed under paragraph (b) of subsection (3) is temporarily unable to perform his duties, the Cabinet Secretary may appoint another person to act in his place during the period of his absence
[Definition] The members of the Authority shall be paid such remuneration and allowances out of the general fund of the Authority as may be determined by the Cabinet Secretary</t>
        </is>
      </c>
      <c r="O255" s="8" t="inlineStr">
        <is>
          <t>Capital Markets Act (Cap. 485A) Kenya 5. Establishment and membership of the Authority (1) There is hereby established an authority to be known as the Capital Markets Authority. (2) The Authority shall be a body corporate with perpetual succession and a common seal and shall be capable in its corporate name of— (a) suing and being sued; (b) taking, purchasing or otherwise acquiring, holding, charging and disposing of both movable and immovable property; (c) borrowing and lending money; (d) entering into contracts; and (e) doing or performing all such other things or acts necessary for the proper performance of its functions under this Act which may lawfully be done by a body corporate. (3) The Authority shall consist of— (a) a Chairperson to be appointed by the President on the recommendation of the Cabinet Secretary; (b) six other members appointed by the Cabinet Secretary; (c) the Principal Secretary to the National Treasury or a person deputed by him or her in writing for the purposes of this Act; (d) the Governor of the Central Bank of Kenya or a person deputed by him or her in writing for the purposes of this Act; (e) the Attorney-General or a person deputed by him or her in writing for the purposes of this Act; (f) the chief executive of the Authority. (4) The Chairperson and every member appointed under paragraph (b) of subsection (3) shall be appointed from amongst persons who have experience and expertise in legal, financial, banking, accounting, economics or insurance matters. (4A) The Chairperson and every member appointed under paragraph (b) of subsection (3) shall hold office for a period of three years and shall be eligible for re-appointment for a further term of three years. (4B) The members of the Authority shall be appointed at different times so that the respective expiry dates of their terms of office shall fall at different times. (5) Any member appointed under subsection (3)(b) shall cease to hold office if— (a) he or she delivers to the Cabinet Secretary a written resignation of his appointment; (b) on the advice of the Authority, the Cabinet Secretary removes him or her from office on the grounds that he or she is incapacitated by mental or physical illness or is otherwise unable or unfit to discharge the functions of a member or is unable to continue as a member; (c) he or she has been absent from three consecutive meetings of the Authority without leave or good cause; (d) he or she is adjudged bankrupt or enters into a composition scheme or arrangement with his creditors; (e) he or she is sentenced by a court to imprisonment for a term of six months or more; or (f) he or she is convicted of an offence involving dishonesty, fraud or moral turpitude. (6) In the event of vacation of office by any member appointed under subsection (3)(b) the Cabinet Secretary may appoint another person to hold office for the unexpired period of the term of office of the member in whose place he or she is appointed. (7) If any member of the Authority appointed under paragraph (b) of subsection (3) is temporarily unable to perform his duties, the Cabinet Secretary may appoint another person to act in his place during the period of his absence. (8) The members of the Authority shall be paid such remuneration and allowances out of the general fund of the Authority as may be determined by the Cabinet Secretary.</t>
        </is>
      </c>
      <c r="P255" s="10" t="inlineStr">
        <is>
          <t>Open PDF</t>
        </is>
      </c>
    </row>
    <row r="256">
      <c r="A256" t="inlineStr">
        <is>
          <t>Kenya</t>
        </is>
      </c>
      <c r="B256" t="inlineStr">
        <is>
          <t>Capital Markets Act</t>
        </is>
      </c>
      <c r="C256" t="inlineStr">
        <is>
          <t>6</t>
        </is>
      </c>
      <c r="D256" s="8" t="inlineStr">
        <is>
          <t>Board meeting frequency and quorum requirements</t>
        </is>
      </c>
      <c r="E256" t="inlineStr">
        <is>
          <t>17</t>
        </is>
      </c>
      <c r="F256" t="inlineStr">
        <is>
          <t>Governance</t>
        </is>
      </c>
      <c r="G256" t="inlineStr">
        <is>
          <t>High</t>
        </is>
      </c>
      <c r="H256" t="inlineStr">
        <is>
          <t>High (explicit)</t>
        </is>
      </c>
      <c r="I256" s="8" t="inlineStr"/>
      <c r="J256" s="8" t="inlineStr"/>
      <c r="K256" t="inlineStr">
        <is>
          <t>Capital Markets Authority</t>
        </is>
      </c>
      <c r="L256" s="8" t="inlineStr">
        <is>
          <t>The Board must meet at least six times annually with no more than two months between meetings. A quorum of six members, including the chief executive, is required for business decisions. The Chairperson presides at meetings but can be elected by members present if absent. Decisions require a majority vote, with the Chairperson having a casting vote in case of equality. Temporary appointments for the Chairperson's absence are made by the President based on Cabinet Secretary's recommendation. Resignations must be accepted by the President to take effect.</t>
        </is>
      </c>
      <c r="M256" s="8" t="inlineStr">
        <is>
          <t>Board governance structure ensures timely decision-making and accountability, relevant for DTIA as it defines internal oversight mechanisms for regulatory bodies handling cross-border financial data.</t>
        </is>
      </c>
      <c r="N256" s="8" t="inlineStr">
        <is>
          <t>[Must] The Board shall meet not less than six times in every financial year and not more than two months shall elapse between the date of one meeting and the date of the next meeting.
[Must] The quorum for the conduct of the business of the Board shall be six members including the chief executive.
[Must] The Chairperson shall preside at every meeting of the Board at which he or she is present but in his absence, the members present shall elect one of their number who shall, with respect to that meeting and the business transacted thereat, have all the powers of the Chairperson.
[Must] All questions for decisions at any meeting of the Authority shall be decided by the vote of the majority of the members present and in case of an equality of votes the Chairperson shall have a casting vote.
[Must] If the Chairperson of the Authority, by reason of extended illness or absence is temporarily unable to perform the duties of his office, the President, on the recommendation of the Cabinet Secretary, shall appoint another member of the Authority to act in his place during the period of absence.
[Must] The Chairperson may at any time resign by a letter addressed to the President and the resignation shall take effect upon being accepted by the President.
[Must] Any member who has a direct or indirect interest in any decision that is to be taken on any specific non-rule making matter by the Authority, shall disclose the nature of such interest at the meeting of the Authority where such decision is being taken and the disclosure shall be recorded in the minutes of the meeting, and if either the member or majority of the members of the Authority believe that such member's interest in the matter is such as to influence his judgment, he or she shall not participate in the deliberation or the decision of the Authority on such matter.</t>
        </is>
      </c>
      <c r="O256" s="8" t="inlineStr">
        <is>
          <t>Meetings and procedures of the Authority (1) The Board shall meet not less than six times in every financial year and not more than two months shall elapse between the date of one meeting and the date of the next meeting.</t>
        </is>
      </c>
      <c r="P256" s="10" t="inlineStr">
        <is>
          <t>Open PDF</t>
        </is>
      </c>
    </row>
    <row r="257">
      <c r="A257" t="inlineStr">
        <is>
          <t>Kenya</t>
        </is>
      </c>
      <c r="B257" t="inlineStr">
        <is>
          <t>Capital Markets Act</t>
        </is>
      </c>
      <c r="C257" t="inlineStr">
        <is>
          <t>8</t>
        </is>
      </c>
      <c r="D257" s="8" t="inlineStr">
        <is>
          <t>Chief Executive appointment and qualifications</t>
        </is>
      </c>
      <c r="E257" t="inlineStr">
        <is>
          <t>18</t>
        </is>
      </c>
      <c r="F257" t="inlineStr">
        <is>
          <t>Governance</t>
        </is>
      </c>
      <c r="G257" t="inlineStr">
        <is>
          <t>High</t>
        </is>
      </c>
      <c r="H257" t="inlineStr">
        <is>
          <t>High (explicit)</t>
        </is>
      </c>
      <c r="I257" s="8" t="inlineStr"/>
      <c r="J257" s="8" t="inlineStr"/>
      <c r="K257" t="inlineStr">
        <is>
          <t>Cabinet Secretary</t>
        </is>
      </c>
      <c r="L257" s="8" t="inlineStr">
        <is>
          <t>The Chief Executive is appointed by the Cabinet Secretary with terms of service specified in the appointment instrument. Appointees must have at least ten years of senior management experience in law, finance, accounting, economics, banking, or insurance, and expertise in money or capital markets. The Cabinet Secretary appoints the Chief Executive after consulting the Board. The Chief Executive serves four years with eligibility for reappointment for a further four years, but no more than two terms. The Chief Executive manages the Authority's affairs under the Authority's general direction.</t>
        </is>
      </c>
      <c r="M257" s="8" t="inlineStr">
        <is>
          <t>Chief Executive qualifications ensure expertise in financial regulation, relevant for DTIA as it impacts the governance of entities handling cross-border financial data.</t>
        </is>
      </c>
      <c r="N257" s="8" t="inlineStr">
        <is>
          <t>[Must] There shall be a Chief Executive of the Authority who shall be appointed by the Cabinet Secretary and who shall, subject to this section, hold office on such terms and conditions of service as may be specified in the instrument of appointment, or otherwise from time to time.
[Must] No person shall be qualified for appointment under this section unless such person— (a) has at least ten years' experience at a senior management level in matters relating to law, finance, accounting, economics, banking or insurance; and (b) has expertise in matters relating to money or capital markets or finance.
[Must] The Cabinet Secretary, in consultation with the Board, shall appoint a person qualified in terms of this section as the chief executive.
[Must] The chief executive shall hold office for a period of four years but shall be eligible for reappointment for a further term of four years: Provided that no person shall serve as the chief executive for more than two terms.
[Must] The chief executive shall, subject to the general direction and control of the Authority, be charged with the direction of the affairs and transactions of the Authority, the exercise, discharge and performance of its objectives, functions and duties, and the administration and control of the servants of the Authority.</t>
        </is>
      </c>
      <c r="O257" s="8" t="inlineStr">
        <is>
          <t>Appointment of chief executive of the Authority (1) There shall be a Chief Executive of the Authority who shall be appointed by the Cabinet Secretary</t>
        </is>
      </c>
      <c r="P257" s="10" t="inlineStr">
        <is>
          <t>Open PDF</t>
        </is>
      </c>
    </row>
    <row r="258">
      <c r="A258" t="inlineStr">
        <is>
          <t>Kenya</t>
        </is>
      </c>
      <c r="B258" t="inlineStr">
        <is>
          <t>Capital Markets Act</t>
        </is>
      </c>
      <c r="C258" t="inlineStr">
        <is>
          <t>11</t>
        </is>
      </c>
      <c r="D258" s="8" t="inlineStr">
        <is>
          <t>Capital Markets Authority objectives and powers</t>
        </is>
      </c>
      <c r="E258" t="inlineStr">
        <is>
          <t>19–21</t>
        </is>
      </c>
      <c r="F258" t="inlineStr">
        <is>
          <t>Other</t>
        </is>
      </c>
      <c r="G258" t="inlineStr">
        <is>
          <t>High</t>
        </is>
      </c>
      <c r="H258" t="inlineStr">
        <is>
          <t>High (explicit)</t>
        </is>
      </c>
      <c r="I258" s="8" t="inlineStr"/>
      <c r="J258" s="8" t="inlineStr">
        <is>
          <t>Personal Information</t>
        </is>
      </c>
      <c r="K258" t="inlineStr">
        <is>
          <t>Capital Markets Authority</t>
        </is>
      </c>
      <c r="L258" s="8" t="inlineStr">
        <is>
          <t>The Authority aims to develop capital markets, facilitate securities and derivatives markets, ensure orderly trading, protect investors, establish compensation funds, and promote electronic commerce. It may exercise powers including advising the Cabinet Secretary, implementing government policies, employing staff, imposing sanctions, granting licenses, regulating markets, and conducting inspections. The Authority also has specific powers related to electronic commerce, asset tracing, and data processing compliance with the Data Protection Act.</t>
        </is>
      </c>
      <c r="M258" s="8" t="inlineStr">
        <is>
          <t>The Authority's objectives and powers include regulating data processing in capital markets, relevant for DTIA as it mandates compliance with the Data Protection Act for personal data handling.</t>
        </is>
      </c>
      <c r="N258" s="8" t="inlineStr">
        <is>
          <t>[Must] The principal objectives of the Authority shall be— (a) the development of all aspects of the capital markets with particular emphasis on the removal of impediments to, and the creation of incentives for longer term investments in, productive enterprises; (b) to facilitate the existence of a nationwide system of securities commodities market and derivatives market and brokerage services so as to enable wider participation of the general public in the securities commodities market and derivatives market; (c) the creation, maintenance and regulation of a market in which securities can be issued and traded in an orderly, fair and efficient manner, through the implementation of a system in which the market participants are self-regulatory to the maximum practicable extent; (d) the protection of investor interests; (e) the facilitation of a compensation fund to protect investors from financial loss arising from the failure of a licensed broker or dealer to meet his contractual obligations; and (f) the development of a framework to facilitate the use of electronic commerce for the development of capital markets in Kenya.
[Must] For the purpose of carrying out its objectives, the Authority may exercise, perform or discharge all or any of the following powers, duties and functions— (a) advise the Cabinet Secretary on all aspects of the development and operation of capital markets; (b) implement policies and programmes of the Government with respect to the capital markets; (c) employ such officers and servants as may be necessary for the proper discharge of the functions of the Authority; (d) impose sanctions for breach of the provisions of this Act or the regulations made thereunder, or for non-compliance with the Authority's requirements or directions, and such sanctions may include— (i) levying of financial penalties, proportional to the gravity or severity of the breach, as may be prescribed; (ii) ordering a person to remedy or mitigate the effect of the breach, make restitution or pay compensation to any person aggrieved by the breach; (iii) publishing findings of malfeasance by any person; (iv) suspending or cancelling the listing of any securities or exchange-traded derivatives contracts, or the trading of any securities or exchange-traded derivatives contracts, for the protection of investors; (e) to issue guidelines and notices on all matters within the jurisdiction of the Authority under this Act; (f) to grant a licence to any person to operate as a stockbroker, derivatives broker, dealer or investment adviser, fund manager, investment bank, central depository or authorised securities dealer, and ensure the proper conduct of that business; (f) to grant approval to any person to operate as a securities exchange, commodity exchange, derivatives exchange, credit rating agency, registered venture capital company or to operate in any other capacity which directly contributes to the attainment of the objectives of this Act and to ensure the proper conduct of that business; (fa) regulate spot commodity markets; (ff) recognize any person duly licensed by a prescribed foreign authority to carry on any licensed activity in Kenya which requires a license or an approval under this Act; (g) register, approve and regulate collective investment schemes; (ga) license, approve and regulate private equity and venture capital companies that have access to public funds; (h) inquire, either on its own motion or at the request of any other person, into the affairs of any person which the Authority has approved or to which it has granted a licence and any public company the securities of which are publicly offered or traded on an approved securities exchange or on an over the counter market; (i) give directions to any person which the Authority has approved or to which it has granted a licence and any public company the securities of which are publicly offered or traded on an approved securities exchange or on an over the counter market; (j) conduct inspection of the activities, books and records of any persons approved or licensed by the Authority; (m) appoint an auditor to carry out a specific audit of the financial operations of any collective investment scheme or public company the securities of which are publicly offered or traded on an approved securities exchange or on an over the counter market, if such action is deemed to be in the interest of the investors, at the expense of such collective investment scheme or company; (n) grant compensation to any investor who suffers pecuniary loss resulting from the failure of a licensed broker or dealer to meet his contractual obligations; (o) have recourse against any person whose act or omission has resulted in a payment from the Compensation Fund; (p) act as an appellate body in respect of appeals against any self regulatory organization securities or exchange-traded derivatives contracts exchange, derivatives exchange or central depository in actions by parties aggrieved thereby; (q) co-operate or enter into agreements for mutual co-operation with other regulatory authorities for the development and regulation of cross-border activities in capital markets; (r) regulate and oversee the issue and subsequent trading, both in primary and secondary markets, of capital market instruments; (s) regulate the use of electronic commerce for dealing in securities or offer services ordinarily carried out by a licensed person; (t) trace any assets, including bank accounts, of any person who, upon investigation by the Authority, is found to have engaged in any fraudulent dealings in an issuer and its securities or insider trading; (u) in writing, order caveats to be placed against the title to such assets or prohibit any such person from operating any such bank accounts as may be directed by the Authority, pending determination of any charges instituted against that person; (v) prescribe notices or guidelines on corporate governance of a company whose securities have been issued to the public or a section of the public; (va) ensure processing of personal data in the operations of capital markets is in accordance with principles set out under the Data Protection Act (Cap. 411C); (w) do all such other acts as may be incidental or conducive to the attainment of the objectives of the Authority or the exercise of its powers under this Act.</t>
        </is>
      </c>
      <c r="O258" s="8" t="inlineStr">
        <is>
          <t>Objectives of the Authority (1) The principal objectives of the Authority shall be— (a) the development of all aspects of the capital markets with particular emphasis on the removal of impediments to, and the creation of incentives for longer term investments in, productive enterprises; (b) to facilitate the existence of a nationwide system of securities commodities market and derivatives market and brokerage services so as to enable wider participation of the general public in the securities commodities market and derivatives market; (c) the creation, maintenance and regulation of a market in which securities can be issued and traded in an orderly, fair and efficient manner, through the implementation of a system in which the market participants are self-regulatory to the maximum practicable extent; (d) the protection of investor interests; (e) the facilitation of a compensation fund to protect investors from financial loss arising from the failure of a licensed broker or dealer to meet his contractual obligations; and (f) the development of a framework to facilitate the use of electronic commerce for the development of capital markets in Kenya.</t>
        </is>
      </c>
      <c r="P258" s="10" t="inlineStr">
        <is>
          <t>Open PDF</t>
        </is>
      </c>
    </row>
    <row r="259">
      <c r="A259" t="inlineStr">
        <is>
          <t>Kenya</t>
        </is>
      </c>
      <c r="B259" t="inlineStr">
        <is>
          <t>Capital Markets Act</t>
        </is>
      </c>
      <c r="C259" t="inlineStr">
        <is>
          <t>12</t>
        </is>
      </c>
      <c r="D259" s="8" t="inlineStr">
        <is>
          <t>Cabinet Secretary's power to issue capital markets rules</t>
        </is>
      </c>
      <c r="E259" t="inlineStr">
        <is>
          <t>3</t>
        </is>
      </c>
      <c r="F259" t="inlineStr">
        <is>
          <t>Regulator Powers</t>
        </is>
      </c>
      <c r="G259" t="inlineStr">
        <is>
          <t>High</t>
        </is>
      </c>
      <c r="H259" t="inlineStr">
        <is>
          <t>High (explicit)</t>
        </is>
      </c>
      <c r="I259" s="8" t="inlineStr"/>
      <c r="J259" s="8" t="inlineStr">
        <is>
          <t>Financial Data, Customer Data</t>
        </is>
      </c>
      <c r="K259" t="inlineStr">
        <is>
          <t>Cabinet Secretary</t>
        </is>
      </c>
      <c r="L259" s="8" t="inlineStr">
        <is>
          <t>The Cabinet Secretary may issue rules and regulations to govern listing and de-listing of securities, disclosures by market participants, record-keeping requirements, and other capital market activities. These rules must align with promoting an efficient securities market and be publicly exposed for 30 days for stakeholder feedback. Stakeholders include listed companies and entities licensed by the Authority with operations affecting capital markets.</t>
        </is>
      </c>
      <c r="M259" s="8" t="inlineStr">
        <is>
          <t>Rules require public consultation before implementation and define stakeholders for capital markets regulation, impacting how data transfers and processing are governed within Kenya's regulatory framework.</t>
        </is>
      </c>
      <c r="N259" s="8" t="inlineStr">
        <is>
          <t>[Must] The Cabinet Secretary shall formulate rules and regulations to regulate listing and de-listing of securities on a securities exchange
[Must] The Cabinet Secretary shall formulate rules and regulations to regulate disclosures about securities transactions by stockbrokers, derivatives brokers and dealers
[Must] The Cabinet Secretary shall formulate rules and regulations to regulate the keeping and proper maintenance of books, records, accounts and audits by all persons approved or licensed by the Authority
[Must] All rules and regulations formulated under subsection (1) shall take into account and be consistent with the objective of promoting and maintaining an effective and efficient securities market
[Must] All rules and regulations formulated under subsection (1) shall be exposed for comment by stakeholders and the general public for a period of thirty days through notification in at least two daily newspapers of national circulation and the electronic media
[Must] Stakeholders shall include listed companies and all persons licensed or approved by the Authority or financial or other institutions whose operations have, in the opinion of the Authority, a bearing on the development and regulation of capital markets in Kenya</t>
        </is>
      </c>
      <c r="O259" s="8" t="inlineStr">
        <is>
          <t>The Cabinet Secretary shall formulate such rules and regulations as may be required to regulate— (a) listing and de-listing of securities on a securities exchange; (b) disclosures about securities transactions by— (i) stockbrokers, derivatives brokers and dealers; (ii) persons who acquire or dispose of securities or exchange-traded derivatives contracts; (iii) a securities exchange;</t>
        </is>
      </c>
      <c r="P259" s="10" t="inlineStr">
        <is>
          <t>Open PDF</t>
        </is>
      </c>
    </row>
    <row r="260">
      <c r="A260" t="inlineStr">
        <is>
          <t>Kenya</t>
        </is>
      </c>
      <c r="B260" t="inlineStr">
        <is>
          <t>Capital Markets Act</t>
        </is>
      </c>
      <c r="C260" t="inlineStr">
        <is>
          <t>12</t>
        </is>
      </c>
      <c r="D260" s="8" t="inlineStr">
        <is>
          <t>Cabinet Secretary's power to issue capital markets rules</t>
        </is>
      </c>
      <c r="E260" t="inlineStr">
        <is>
          <t>21–24</t>
        </is>
      </c>
      <c r="F260" t="inlineStr">
        <is>
          <t>Regulator Powers</t>
        </is>
      </c>
      <c r="G260" t="inlineStr">
        <is>
          <t>High</t>
        </is>
      </c>
      <c r="H260" t="inlineStr">
        <is>
          <t>High (explicit)</t>
        </is>
      </c>
      <c r="I260" s="8" t="inlineStr"/>
      <c r="J260" s="8" t="inlineStr">
        <is>
          <t>Financial Data, Customer Data</t>
        </is>
      </c>
      <c r="K260" t="inlineStr">
        <is>
          <t>Cabinet Secretary</t>
        </is>
      </c>
      <c r="L260" s="8" t="inlineStr">
        <is>
          <t>The Cabinet Secretary may issue rules and regulations to govern listing and de-listing of securities, disclosures by market participants, record-keeping requirements, and other capital market activities. These rules must align with promoting an efficient securities market and be publicly exposed for 30 days for stakeholder feedback. Stakeholders include listed companies and entities licensed by the Authority with operations affecting capital markets.</t>
        </is>
      </c>
      <c r="M260" s="8" t="inlineStr">
        <is>
          <t>Rules require public consultation before implementation and define stakeholders for capital markets regulation, impacting how data transfers and processing are governed within Kenya's regulatory framework.</t>
        </is>
      </c>
      <c r="N260" s="8" t="inlineStr">
        <is>
          <t>[Must] The Cabinet Secretary shall formulate rules and regulations to regulate listing and de-listing of securities on a securities exchange
[Must] The Cabinet Secretary shall formulate rules and regulations to regulate disclosures about securities transactions by stockbrokers, derivatives brokers and dealers
[Must] The Cabinet Secretary shall formulate rules and regulations to regulate the keeping and proper maintenance of books, records, accounts and audits by all persons approved or licensed by the Authority
[Must] All rules and regulations formulated under subsection (1) shall take into account and be consistent with the objective of promoting and maintaining an effective and efficient securities market
[Must] All rules and regulations formulated under subsection (1) shall be exposed for comment by stakeholders and the general public for a period of thirty days through notification in at least two daily newspapers of national circulation and the electronic media
[Must] Stakeholders shall include listed companies and all persons licensed or approved by the Authority or financial or other institutions whose operations have, in the opinion of the Authority, a bearing on the development and regulation of capital markets in Kenya</t>
        </is>
      </c>
      <c r="O260" s="8" t="inlineStr">
        <is>
          <t>The Cabinet Secretary shall formulate such rules and regulations as may be required to regulate— (a) listing and de-listing of securities on a securities exchange; (b) disclosures about securities transactions by— (i) stockbrokers, derivatives brokers and dealers; (ii) persons who acquire or dispose of securities or exchange-traded derivatives contracts; (iii) a securities exchange;</t>
        </is>
      </c>
      <c r="P260" s="10" t="inlineStr">
        <is>
          <t>Open PDF</t>
        </is>
      </c>
    </row>
    <row r="261">
      <c r="A261" t="inlineStr">
        <is>
          <t>Kenya</t>
        </is>
      </c>
      <c r="B261" t="inlineStr">
        <is>
          <t>Capital Markets Act</t>
        </is>
      </c>
      <c r="C261" t="inlineStr">
        <is>
          <t>13</t>
        </is>
      </c>
      <c r="D261" s="8" t="inlineStr">
        <is>
          <t>Information disclosure to the Authority</t>
        </is>
      </c>
      <c r="E261" t="inlineStr">
        <is>
          <t>3</t>
        </is>
      </c>
      <c r="F261" t="inlineStr">
        <is>
          <t>Data Subject Rights</t>
        </is>
      </c>
      <c r="G261" t="inlineStr">
        <is>
          <t>High</t>
        </is>
      </c>
      <c r="H261" t="inlineStr">
        <is>
          <t>High (explicit)</t>
        </is>
      </c>
      <c r="I261" s="8" t="inlineStr">
        <is>
          <t>Data Sharing</t>
        </is>
      </c>
      <c r="J261" s="8" t="inlineStr">
        <is>
          <t>Financial Data, Customer Data</t>
        </is>
      </c>
      <c r="K261" t="inlineStr">
        <is>
          <t>Authority</t>
        </is>
      </c>
      <c r="L261" s="8" t="inlineStr">
        <is>
          <t>The Authority may require persons to provide information in writing within a specified period. The Authority may not disclose information to third parties except for its objectives unless required by court. The Authority may share information with foreign regulatory bodies under specific conditions, including cost-sharing and reciprocal assistance.</t>
        </is>
      </c>
      <c r="M261" s="8" t="inlineStr">
        <is>
          <t>This section governs data sharing with regulatory authorities, impacting cross-border data transfers and compliance with international regulatory requests.</t>
        </is>
      </c>
      <c r="N261" s="8" t="inlineStr">
        <is>
          <t>[Must] 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
[Must Not] The Authority or any member thereof, or any officer or servant of the Authority, shall not disclose to any person or use any return or information acquired under subsection (1) except for the purpose of achieving the objectives of the Authority unless required to do so by a court of law
[May] The Authority may, where it receives a request from a regulatory body, whether established within or outside Kenya, for assistance in investigating a person specified by the regulatory body who has contravened or is contravening any legal or regulatory requirements which— (a) are enforced or administers by that regulatory body; or (b) relate to securities transactions regulated by that regulatory body
[May] The Authority may provide the assistance requested for by exercising any of its powers under this Act or by providing such other assistance as the Authority may consider necessary
[Must] A regulatory body which requests for assistance under subsection (3) shall demonstrate that it is desirable or expedient that the assistance requested should be provided in the interest of the public
[Must] A regulatory body which requests for assistance under subsection (3) shall demonstrate that the assistance shall assist the regulatory body in the discharge and performance of its functions
[Must] The Authority shall, in deciding whether the requirement under subsection (5) is satisfied in a particular case, take into account whether the regulatory body shall pay the Authority any of the costs and expenses incurred in providing the assistance
[Must] The Authority shall, in deciding whether the requirement under subsection (5) is satisfied in a particular case, take into account whether the regulatory body shall be able and willing to provide reciprocal assistance within its jurisdiction in response to a similar request for assistance from Kenya</t>
        </is>
      </c>
      <c r="O261" s="8" t="inlineStr">
        <is>
          <t>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t>
        </is>
      </c>
      <c r="P261" s="10" t="inlineStr">
        <is>
          <t>Open PDF</t>
        </is>
      </c>
    </row>
    <row r="262">
      <c r="A262" t="inlineStr">
        <is>
          <t>Kenya</t>
        </is>
      </c>
      <c r="B262" t="inlineStr">
        <is>
          <t>Capital Markets Act</t>
        </is>
      </c>
      <c r="C262" t="inlineStr">
        <is>
          <t>13</t>
        </is>
      </c>
      <c r="D262" s="8" t="inlineStr">
        <is>
          <t>Information disclosure to the Authority</t>
        </is>
      </c>
      <c r="E262" t="inlineStr">
        <is>
          <t>24–26</t>
        </is>
      </c>
      <c r="F262" t="inlineStr">
        <is>
          <t>Data Subject Rights</t>
        </is>
      </c>
      <c r="G262" t="inlineStr">
        <is>
          <t>High</t>
        </is>
      </c>
      <c r="H262" t="inlineStr">
        <is>
          <t>High (explicit)</t>
        </is>
      </c>
      <c r="I262" s="8" t="inlineStr">
        <is>
          <t>Data Sharing</t>
        </is>
      </c>
      <c r="J262" s="8" t="inlineStr">
        <is>
          <t>Financial Data, Customer Data</t>
        </is>
      </c>
      <c r="K262" t="inlineStr">
        <is>
          <t>Authority</t>
        </is>
      </c>
      <c r="L262" s="8" t="inlineStr">
        <is>
          <t>The Authority may require persons to provide information in writing within a specified period. The Authority may not disclose information to third parties except for its objectives unless required by court. The Authority may share information with foreign regulatory bodies under specific conditions, including cost-sharing and reciprocal assistance.</t>
        </is>
      </c>
      <c r="M262" s="8" t="inlineStr">
        <is>
          <t>This section governs data sharing with regulatory authorities, impacting cross-border data transfers and compliance with international regulatory requests.</t>
        </is>
      </c>
      <c r="N262" s="8" t="inlineStr">
        <is>
          <t>[Must] 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
[Must Not] The Authority or any member thereof, or any officer or servant of the Authority, shall not disclose to any person or use any return or information acquired under subsection (1) except for the purpose of achieving the objectives of the Authority unless required to do so by a court of law
[May] The Authority may, where it receives a request from a regulatory body, whether established within or outside Kenya, for assistance in investigating a person specified by the regulatory body who has contravened or is contravening any legal or regulatory requirements which— (a) are enforced or administers by that regulatory body; or (b) relate to securities transactions regulated by that regulatory body
[May] The Authority may provide the assistance requested for by exercising any of its powers under this Act or by providing such other assistance as the Authority may consider necessary
[Must] A regulatory body which requests for assistance under subsection (3) shall demonstrate that it is desirable or expedient that the assistance requested should be provided in the interest of the public
[Must] A regulatory body which requests for assistance under subsection (3) shall demonstrate that the assistance shall assist the regulatory body in the discharge and performance of its functions
[Must] The Authority shall, in deciding whether the requirement under subsection (5) is satisfied in a particular case, take into account whether the regulatory body shall pay the Authority any of the costs and expenses incurred in providing the assistance
[Must] The Authority shall, in deciding whether the requirement under subsection (5) is satisfied in a particular case, take into account whether the regulatory body shall be able and willing to provide reciprocal assistance within its jurisdiction in response to a similar request for assistance from Kenya</t>
        </is>
      </c>
      <c r="O262" s="8" t="inlineStr">
        <is>
          <t>The Authority or any person officially authorized in that behalf by the Authority may, by notice in writing, require any person to furnish to the Authority or to the authorized person, within such period as is specified in the notice, all such returns or information as specified in such notice.</t>
        </is>
      </c>
      <c r="P262" s="10" t="inlineStr">
        <is>
          <t>Open PDF</t>
        </is>
      </c>
    </row>
    <row r="263">
      <c r="A263" t="inlineStr">
        <is>
          <t>Kenya</t>
        </is>
      </c>
      <c r="B263" t="inlineStr">
        <is>
          <t>Capital Markets Act</t>
        </is>
      </c>
      <c r="C263" t="inlineStr">
        <is>
          <t>16</t>
        </is>
      </c>
      <c r="D263" s="8" t="inlineStr">
        <is>
          <t>Financial year for Capital Markets Authority</t>
        </is>
      </c>
      <c r="E263" t="inlineStr">
        <is>
          <t>26–27</t>
        </is>
      </c>
      <c r="F263" t="inlineStr">
        <is>
          <t>Other</t>
        </is>
      </c>
      <c r="G263" t="inlineStr">
        <is>
          <t>None</t>
        </is>
      </c>
      <c r="H263" t="inlineStr">
        <is>
          <t>High (explicit)</t>
        </is>
      </c>
      <c r="I263" s="8" t="inlineStr">
        <is>
          <t>Financial Data</t>
        </is>
      </c>
      <c r="J263" s="8" t="inlineStr">
        <is>
          <t>Financial Data</t>
        </is>
      </c>
      <c r="K263" t="inlineStr"/>
      <c r="L263" s="8" t="inlineStr">
        <is>
          <t>This section defines the financial year for the Capital Markets Authority as twelve months starting on July 1st of each year. The Authority must operate within this fiscal period for accounting and reporting purposes. The provision applies to the Authority's internal financial management and reporting obligations.</t>
        </is>
      </c>
      <c r="M263" s="8" t="inlineStr"/>
      <c r="N263" s="8" t="inlineStr">
        <is>
          <t>[Must] The financial year of the Authority shall be the period of twelve months commencing on the first day of July in each year.</t>
        </is>
      </c>
      <c r="O263" s="8" t="inlineStr">
        <is>
          <t>16. Financial year of Authority The financial year of the Authority shall be the period of twelve months commencing on the first day of July in each year.</t>
        </is>
      </c>
      <c r="P263" s="10" t="inlineStr">
        <is>
          <t>Open PDF</t>
        </is>
      </c>
    </row>
    <row r="264">
      <c r="A264" t="inlineStr">
        <is>
          <t>Kenya</t>
        </is>
      </c>
      <c r="B264" t="inlineStr">
        <is>
          <t>Capital Markets Act</t>
        </is>
      </c>
      <c r="C264" t="inlineStr">
        <is>
          <t>17</t>
        </is>
      </c>
      <c r="D264" s="8" t="inlineStr">
        <is>
          <t>Account-keeping requirements for Authority</t>
        </is>
      </c>
      <c r="E264" t="inlineStr">
        <is>
          <t>27</t>
        </is>
      </c>
      <c r="F264" t="inlineStr">
        <is>
          <t>Other</t>
        </is>
      </c>
      <c r="G264" t="inlineStr">
        <is>
          <t>None</t>
        </is>
      </c>
      <c r="H264" t="inlineStr">
        <is>
          <t>High (explicit)</t>
        </is>
      </c>
      <c r="I264" s="8" t="inlineStr">
        <is>
          <t>Financial Data</t>
        </is>
      </c>
      <c r="J264" s="8" t="inlineStr">
        <is>
          <t>Financial Data</t>
        </is>
      </c>
      <c r="K264" t="inlineStr"/>
      <c r="L264" s="8" t="inlineStr">
        <is>
          <t>This section mandates that the Authority maintain proper books of accounts covering its income, expenditures, assets, liabilities, and all other transactions. The requirement applies to the Authority's financial record-keeping and reporting obligations. It ensures transparency and accountability in the Authority's financial operations.</t>
        </is>
      </c>
      <c r="M264" s="8" t="inlineStr"/>
      <c r="N264" s="8" t="inlineStr">
        <is>
          <t>[Must] The Authority shall cause proper books of accounts to be kept of its income and expenditures, assets and liabilities and all other transactions of the Authority.</t>
        </is>
      </c>
      <c r="O264" s="8" t="inlineStr">
        <is>
          <t>17. Accounts The Authority shall cause proper books of accounts to be kept of its income and expenditures, assets and liabilities and all other transactions of the Authority.</t>
        </is>
      </c>
      <c r="P264" s="10" t="inlineStr">
        <is>
          <t>Open PDF</t>
        </is>
      </c>
    </row>
    <row r="265">
      <c r="A265" t="inlineStr">
        <is>
          <t>Kenya</t>
        </is>
      </c>
      <c r="B265" t="inlineStr">
        <is>
          <t>Capital Markets Act</t>
        </is>
      </c>
      <c r="C265" t="inlineStr">
        <is>
          <t>18</t>
        </is>
      </c>
      <c r="D265" s="8" t="inlineStr">
        <is>
          <t>Investor Compensation Fund establishment for stockbroker failures</t>
        </is>
      </c>
      <c r="E265" t="inlineStr">
        <is>
          <t>3–4</t>
        </is>
      </c>
      <c r="F265" t="inlineStr">
        <is>
          <t>Other</t>
        </is>
      </c>
      <c r="G265" t="inlineStr">
        <is>
          <t>High</t>
        </is>
      </c>
      <c r="H265" t="inlineStr">
        <is>
          <t>High (explicit)</t>
        </is>
      </c>
      <c r="I265" s="8" t="inlineStr">
        <is>
          <t>Financial Data</t>
        </is>
      </c>
      <c r="J265" s="8" t="inlineStr">
        <is>
          <t>Financial Data</t>
        </is>
      </c>
      <c r="K265" t="inlineStr">
        <is>
          <t>Capital Markets Authority</t>
        </is>
      </c>
      <c r="L265" s="8" t="inlineStr">
        <is>
          <t>This section mandates the creation of an Investor Compensation Fund to compensate investors who suffer financial loss due to licensed stockbrokers or dealers failing to meet contractual obligations. The Fund is funded through contributions from licensed persons, fines, penalties, interest earnings, recovered sums, and approved external sources. The Authority may reward individuals who provide timely information leading to Fund recovery, with rewards capped at five million shillings. Offenders colluding with the Authority to collect rewards face fines up to five million shillings or imprisonment for five years.</t>
        </is>
      </c>
      <c r="M265" s="8" t="inlineStr">
        <is>
          <t>This section establishes a fund for investor compensation but does not directly impact data transfers. It is irrelevant to Data Transfer Impact Assessments as it concerns financial compensation mechanisms rather than data handling.</t>
        </is>
      </c>
      <c r="N265" s="8" t="inlineStr">
        <is>
          <t>[Must] There shall be established a Fund to be known as the Investor Compensation Fund for the purposes of granting compensation to investors who suffer pecuniary loss resulting from the failure of a licensed stockbroker or dealer to meet his contractual obligations.
[Must] The Compensation Fund shall consist of— (a) such moneys as are required to be paid into the Compensation Fund by licensed persons; (b) such sums of money as are paid under this Act as fines or penalties or under section 34 as ill-gotten gains where those harmed are not specifically identifiable; (c) such sums of money as accrue from interest and profits from investing Compensation Fund moneys; (d) such sums of money recovered by or on behalf of the Authority from entities whose failure to meet their obligations to investors result in payments from the Compensation Fund; (e) interest deemed to accrue on the proceeds of a public issue or offer for sale of shares of a company listed or to be listed on an approved securities exchange, between the closing date and the date of dispatch of refund cheques, or, where there is no refund, the date of dispatch of share certificates or crediting of securities accounts, to be determined at the rate prescribed by the Authority; (f) such sums of money as are received for purposes of the Compensation Fund from any other source approved by the Cabinet Secretary.
[May] The Authority may reward any person who provides new and timely information leading to the recovery of sums of money referred to in subsection (2): Provided that— (a) this provision shall not apply to any officer of the Authority; (b) the reward payable under this subsection shall be three per cent of the amount recovered subject to a maximum of five million shillings; and (c) the reward referred to in paragraph (a) shall be paid before the recovered sums of money are transferred to the Fund.
[Must Not] A person who— (a) colludes with an officer of the Authority for the purpose of collecting the reward under subsection (2A); (b) while working at the Authority aids another person to get and provide information under subsection (2A); (c) provides false information under subsection (2A), commits an offence and shall on conviction be liable to a fine not exceeding five million shillings or to imprisonment for a term not exceeding five years.</t>
        </is>
      </c>
      <c r="O265" s="8" t="inlineStr">
        <is>
          <t>18. Establishment of the Investor Compensation Fund (1) There shall be established a Fund to be known as the Investor Compensation Fund for the purposes of granting compensation to investors who suffer pecuniary loss resulting from the failure of a licensed stockbroker or dealer to meet his contractual obligations.</t>
        </is>
      </c>
      <c r="P265" s="10" t="inlineStr">
        <is>
          <t>Open PDF</t>
        </is>
      </c>
    </row>
    <row r="266">
      <c r="A266" t="inlineStr">
        <is>
          <t>Kenya</t>
        </is>
      </c>
      <c r="B266" t="inlineStr">
        <is>
          <t>Capital Markets Act</t>
        </is>
      </c>
      <c r="C266" t="inlineStr">
        <is>
          <t>18</t>
        </is>
      </c>
      <c r="D266" s="8" t="inlineStr">
        <is>
          <t>Investor Compensation Fund establishment for stockbroker failures</t>
        </is>
      </c>
      <c r="E266" t="inlineStr">
        <is>
          <t>27–31</t>
        </is>
      </c>
      <c r="F266" t="inlineStr">
        <is>
          <t>Other</t>
        </is>
      </c>
      <c r="G266" t="inlineStr">
        <is>
          <t>High</t>
        </is>
      </c>
      <c r="H266" t="inlineStr">
        <is>
          <t>High (explicit)</t>
        </is>
      </c>
      <c r="I266" s="8" t="inlineStr">
        <is>
          <t>Financial Data</t>
        </is>
      </c>
      <c r="J266" s="8" t="inlineStr">
        <is>
          <t>Financial Data</t>
        </is>
      </c>
      <c r="K266" t="inlineStr">
        <is>
          <t>Capital Markets Authority</t>
        </is>
      </c>
      <c r="L266" s="8" t="inlineStr">
        <is>
          <t>This section mandates the creation of an Investor Compensation Fund to compensate investors who suffer financial loss due to licensed stockbrokers or dealers failing to meet contractual obligations. The Fund is funded through contributions from licensed persons, fines, penalties, interest earnings, recovered sums, and approved external sources. The Authority may reward individuals who provide timely information leading to Fund recovery, with rewards capped at five million shillings. Offenders colluding with the Authority to collect rewards face fines up to five million shillings or imprisonment for five years.</t>
        </is>
      </c>
      <c r="M266" s="8" t="inlineStr">
        <is>
          <t>This section establishes a fund for investor compensation but does not directly impact data transfers. It is irrelevant to Data Transfer Impact Assessments as it concerns financial compensation mechanisms rather than data handling.</t>
        </is>
      </c>
      <c r="N266" s="8" t="inlineStr">
        <is>
          <t>[Must] There shall be established a Fund to be known as the Investor Compensation Fund for the purposes of granting compensation to investors who suffer pecuniary loss resulting from the failure of a licensed stockbroker or dealer to meet his contractual obligations.
[Must] The Compensation Fund shall consist of— (a) such moneys as are required to be paid into the Compensation Fund by licensed persons; (b) such sums of money as are paid under this Act as fines or penalties or under section 34 as ill-gotten gains where those harmed are not specifically identifiable; (c) such sums of money as accrue from interest and profits from investing Compensation Fund moneys; (d) such sums of money recovered by or on behalf of the Authority from entities whose failure to meet their obligations to investors result in payments from the Compensation Fund; (e) interest deemed to accrue on the proceeds of a public issue or offer for sale of shares of a company listed or to be listed on an approved securities exchange, between the closing date and the date of dispatch of refund cheques, or, where there is no refund, the date of dispatch of share certificates or crediting of securities accounts, to be determined at the rate prescribed by the Authority; (f) such sums of money as are received for purposes of the Compensation Fund from any other source approved by the Cabinet Secretary.
[May] The Authority may reward any person who provides new and timely information leading to the recovery of sums of money referred to in subsection (2): Provided that— (a) this provision shall not apply to any officer of the Authority; (b) the reward payable under this subsection shall be three per cent of the amount recovered subject to a maximum of five million shillings; and (c) the reward referred to in paragraph (a) shall be paid before the recovered sums of money are transferred to the Fund.
[Must Not] A person who— (a) colludes with an officer of the Authority for the purpose of collecting the reward under subsection (2A); (b) while working at the Authority aids another person to get and provide information under subsection (2A); (c) provides false information under subsection (2A), commits an offence and shall on conviction be liable to a fine not exceeding five million shillings or to imprisonment for a term not exceeding five years.</t>
        </is>
      </c>
      <c r="O266" s="8" t="inlineStr">
        <is>
          <t>18. Establishment of the Investor Compensation Fund (1) There shall be established a Fund to be known as the Investor Compensation Fund for the purposes of granting compensation to investors who suffer pecuniary loss resulting from the failure of a licensed stockbroker or dealer to meet his contractual obligations.</t>
        </is>
      </c>
      <c r="P266" s="10" t="inlineStr">
        <is>
          <t>Open PDF</t>
        </is>
      </c>
    </row>
    <row r="267">
      <c r="A267" t="inlineStr">
        <is>
          <t>Kenya</t>
        </is>
      </c>
      <c r="B267" t="inlineStr">
        <is>
          <t>Capital Markets Act</t>
        </is>
      </c>
      <c r="C267" t="inlineStr">
        <is>
          <t>18 (part 2)</t>
        </is>
      </c>
      <c r="D267" s="8" t="inlineStr">
        <is>
          <t>Self-regulatory organization officer appointment review</t>
        </is>
      </c>
      <c r="E267" t="inlineStr">
        <is>
          <t>31</t>
        </is>
      </c>
      <c r="F267" t="inlineStr">
        <is>
          <t>Governance</t>
        </is>
      </c>
      <c r="G267" t="inlineStr">
        <is>
          <t>High</t>
        </is>
      </c>
      <c r="H267" t="inlineStr">
        <is>
          <t>High (explicit)</t>
        </is>
      </c>
      <c r="I267" s="8" t="inlineStr">
        <is>
          <t>Governance</t>
        </is>
      </c>
      <c r="J267" s="8" t="inlineStr">
        <is>
          <t>Financial Data</t>
        </is>
      </c>
      <c r="K267" t="inlineStr">
        <is>
          <t>Authority</t>
        </is>
      </c>
      <c r="L267" s="8" t="inlineStr">
        <is>
          <t>Self-regulatory organizations must not appoint or retain officers who could harm the organization or investor interests without first providing the officer and organization a chance to respond. The authority may direct the organization to remove such officers. This applies to all self-regulatory organizations in Kenya under the Capital Markets Act.</t>
        </is>
      </c>
      <c r="M267" s="8" t="inlineStr">
        <is>
          <t>Requires self-regulatory organizations to assess officer appointments for potential harm to investors before implementation, impacting cross-border data transfers involving financial services regulators.</t>
        </is>
      </c>
      <c r="N267" s="8" t="inlineStr">
        <is>
          <t>[Must Not] An appointment of a person or the continuing in office as an officer of a self-regulatory organization is likely to be detrimental to the self-regulatory organization, or may prejudice the interest of investors and consumers of financial services or members of the relevant sector or industry
[Must] After giving the officer and the self-regulatory organization an opportunity to be heard, direct the self-regulatory organization not to appoint the officer, or to remove the officer from office</t>
        </is>
      </c>
      <c r="O267" s="8" t="inlineStr">
        <is>
          <t>an appointment of a person or the continuing in office as an officer of a self-regulatory organization is likely to be detrimental to the self-regulatory organization, or may prejudice the interest of investors and consumers of financial services or members of the relevant sector or industry, after giving the officer and the self-regulatory organization an opportunity to be heard, direct the self-regulatory organization not to appoint the officer, or to remove the officer from office.</t>
        </is>
      </c>
      <c r="P267" s="10" t="inlineStr">
        <is>
          <t>Open PDF</t>
        </is>
      </c>
    </row>
    <row r="268">
      <c r="A268" t="inlineStr">
        <is>
          <t>Kenya</t>
        </is>
      </c>
      <c r="B268" t="inlineStr">
        <is>
          <t>Capital Markets Act</t>
        </is>
      </c>
      <c r="C268" t="inlineStr">
        <is>
          <t>20</t>
        </is>
      </c>
      <c r="D268" s="8" t="inlineStr">
        <is>
          <t>Application for securities exchange approval</t>
        </is>
      </c>
      <c r="E268" t="inlineStr">
        <is>
          <t>32</t>
        </is>
      </c>
      <c r="F268" t="inlineStr">
        <is>
          <t>Other</t>
        </is>
      </c>
      <c r="G268" t="inlineStr">
        <is>
          <t>High</t>
        </is>
      </c>
      <c r="H268" t="inlineStr">
        <is>
          <t>High (explicit)</t>
        </is>
      </c>
      <c r="I268" s="8" t="inlineStr">
        <is>
          <t>Cross-border Transfer, Data Storage, Financial Data, Governance</t>
        </is>
      </c>
      <c r="J268" s="8" t="inlineStr">
        <is>
          <t>Financial Data</t>
        </is>
      </c>
      <c r="K268" t="inlineStr">
        <is>
          <t>Capital Markets Authority</t>
        </is>
      </c>
      <c r="L268" s="8" t="inlineStr">
        <is>
          <t>An entity seeking approval to operate as a securities exchange, commodities exchange, or derivatives exchange must submit an application to the Authority in the prescribed form and manner along with the required fee. The Authority may approve the applicant if it satisfies that the applicant is a limited liability company, has a properly constituted board of directors, and has adopted rules compliant with the Act and regulations. Approved exchanges must comply with all Authority requirements and pay an annual fee. The Authority may also require the applicant to obtain self-regulatory organization recognition as a condition for licensing.</t>
        </is>
      </c>
      <c r="M268" s="8" t="inlineStr">
        <is>
          <t>This section establishes requirements for obtaining exchange approval, including the need for compliant rules and annual fees, which may impact data transfer considerations for exchanges handling financial data.</t>
        </is>
      </c>
      <c r="N268" s="8" t="inlineStr">
        <is>
          <t>[Must] An application for securities exchange, commodities exchange or derivatives exchange approval shall be made to the Authority in the form and manner prescribed by the Authority and shall be accompanied by the prescribed fee.
[Must] The Authority may approve a person as a securities exchange, commodities exchange or derivatives exchange if it is satisfied that the applicant is a limited liability company whose liability is limited by shares, or as may be prescribed by the Authority.
[Must] The Authority may approve a person as a securities exchange, commodities exchange or derivatives exchange if it is satisfied that the applicant's board of directors is constituted in a manner prescribed by the Authority.
[Must] The Authority may approve a person as a securities exchange, commodities exchange or derivatives exchange if it is satisfied that the applicant has made and adopted rules in compliance with the Act and any Regulations made thereunder.
[Must] All fees to be charged by a securities exchange, commodities exchange or a derivatives exchange shall be subject to prior approval by the Authority notwithstanding the constitution of such securities exchange.
[Must] An approved securities exchange, commodities exchange or a derivatives exchange shall comply with all requirements of the Authority and pay an annual fee to the Authority at such rate as the Authority may prescribe.
[Condition] The Authority may require an applicant for a licence as a securities exchange, commodities exchange or a derivatives exchange to lodge an application to be recognized as a self regulatory organization as a condition for obtaining and maintaining its licence.</t>
        </is>
      </c>
      <c r="O268" s="8" t="inlineStr">
        <is>
          <t>20. Application for securities exchange, commodities exchange approval (1) An application for securities exchange, commodities exchange or derivatives exchange approval shall be made to the Authority in the form and manner prescribed by the Authority and shall be accompanied by the prescribed fee.</t>
        </is>
      </c>
      <c r="P268" s="10" t="inlineStr">
        <is>
          <t>Open PDF</t>
        </is>
      </c>
    </row>
    <row r="269">
      <c r="A269" t="inlineStr">
        <is>
          <t>Kenya</t>
        </is>
      </c>
      <c r="B269" t="inlineStr">
        <is>
          <t>Capital Markets Act</t>
        </is>
      </c>
      <c r="C269" t="inlineStr">
        <is>
          <t>21</t>
        </is>
      </c>
      <c r="D269" s="8" t="inlineStr">
        <is>
          <t>Changes to exchange rules</t>
        </is>
      </c>
      <c r="E269" t="inlineStr">
        <is>
          <t>32–33</t>
        </is>
      </c>
      <c r="F269" t="inlineStr">
        <is>
          <t>Other</t>
        </is>
      </c>
      <c r="G269" t="inlineStr">
        <is>
          <t>High</t>
        </is>
      </c>
      <c r="H269" t="inlineStr">
        <is>
          <t>High (explicit)</t>
        </is>
      </c>
      <c r="I269" s="8" t="inlineStr">
        <is>
          <t>Cross-border Transfer, Data Storage, Financial Data, Governance</t>
        </is>
      </c>
      <c r="J269" s="8" t="inlineStr">
        <is>
          <t>Financial Data</t>
        </is>
      </c>
      <c r="K269" t="inlineStr">
        <is>
          <t>Capital Markets Authority</t>
        </is>
      </c>
      <c r="L269" s="8" t="inlineStr">
        <is>
          <t>Approved exchanges must seek prior Authority approval before amending their rules, which are subject to review within 30 days. The Authority may allow rule changes that are policy statements, fee adjustments, or administrative matters without full approval, but must provide reasons for disallowance. Exchanges must inform the Authority of any changes to previously submitted information before implementation.</t>
        </is>
      </c>
      <c r="M269" s="8" t="inlineStr">
        <is>
          <t>Regulates rule changes for exchanges, which may affect data transfer if exchanges handle financial data across borders.</t>
        </is>
      </c>
      <c r="N269" s="8" t="inlineStr">
        <is>
          <t>[Must] The rules of an approved securities exchange, commodities exchange or a derivatives exchange, in so far as they have been approved by the Authority, shall not be amended, varied or rescinded without the prior approval of the Authority.
[Must] Where the board of directors of an approved securities exchange, commodities exchange or a derivatives exchange wishes to amend its rules, it shall forward the amendments to the Authority for approval.
[Must] The Authority shall, after hearing from the securities exchange, commodities exchange or a derivatives exchange, and within thirty days of receipt of a notice under subsection (2) give written notice to the securities exchange, commodities exchange or a derivatives exchange stating whether such amendments to the rules are allowed or disallowed and in the event of the rules being disallowed, the Authority shall give reasons for such disallowance.
[May] Notwithstanding the provisions of paragraph (2), a proposed rule change may take effect upon filing with the Authority if designated by the exchanges as a stated policy, practice or interpretation with respect to the meaning, administration or enforcement of an existing rule.
[May] Notwithstanding the provisions of paragraph (2), a proposed rule change may take effect upon filing with the Authority if designated by the exchanges as a proposal establishing or changing a fee or other charge.
[May] Notwithstanding the provisions of paragraph (2), a proposed rule change may take effect upon filing with the Authority if designated by the exchanges as a proposal dealing solely with the administration of the exchange or other matters which the Authority may specify.
[Must] Where an approved securities exchange, commodities exchange or a derivatives exchange proposes to alter any particulars already furnished or undergoes or intends to undergo a change from its state specified in the application for approval it shall inform the Authority and obtain its prior consent before such alteration or change is effected.</t>
        </is>
      </c>
      <c r="O269" s="8" t="inlineStr">
        <is>
          <t>21. Changes in securities exchange, commodities exchange rules (1) The rules of an approved securities exchange, commodities exchange or a derivatives exchange, in so far as they have been approved by the Authority, shall not be amended, varied or rescinded without the prior approval of the Authority.</t>
        </is>
      </c>
      <c r="P269" s="10" t="inlineStr">
        <is>
          <t>Open PDF</t>
        </is>
      </c>
    </row>
    <row r="270">
      <c r="A270" t="inlineStr">
        <is>
          <t>Kenya</t>
        </is>
      </c>
      <c r="B270" t="inlineStr">
        <is>
          <t>Capital Markets Act</t>
        </is>
      </c>
      <c r="C270" t="inlineStr">
        <is>
          <t>22</t>
        </is>
      </c>
      <c r="D270" s="8" t="inlineStr">
        <is>
          <t>Disciplinary action by securities exchanges</t>
        </is>
      </c>
      <c r="E270" t="inlineStr">
        <is>
          <t>4</t>
        </is>
      </c>
      <c r="F270" t="inlineStr">
        <is>
          <t>Regulator Powers</t>
        </is>
      </c>
      <c r="G270" t="inlineStr">
        <is>
          <t>High</t>
        </is>
      </c>
      <c r="H270" t="inlineStr">
        <is>
          <t>High (explicit)</t>
        </is>
      </c>
      <c r="I270" s="8" t="inlineStr"/>
      <c r="J270" s="8" t="inlineStr">
        <is>
          <t>Financial Data</t>
        </is>
      </c>
      <c r="K270" t="inlineStr">
        <is>
          <t>Authority</t>
        </is>
      </c>
      <c r="L270" s="8" t="inlineStr">
        <is>
          <t>Securities exchanges must notify the Authority within seven days of taking disciplinary action against trading participants or listed companies. The Authority may review such actions, affirm or set aside decisions after providing opportunities for hearing. The Authority can also take disciplinary action itself if an exchange fails to act, but must give prior notice and opportunity to be heard.</t>
        </is>
      </c>
      <c r="M270" s="8" t="inlineStr">
        <is>
          <t>Requires exchanges to report disciplinary actions to the regulator; regulator can override exchange decisions; regulator may directly discipline participants if exchanges fail to act.</t>
        </is>
      </c>
      <c r="N270" s="8" t="inlineStr">
        <is>
          <t>[Must] Securities exchanges must notify the Authority within seven days of taking disciplinary action against trading participants or listed companies.
[May] The Authority may review disciplinary actions taken by exchanges and affirm or set aside decisions after providing opportunities for hearing.
[May] The Authority can take disciplinary action itself if an exchange fails to act, but must give prior notice and opportunity to be heard.</t>
        </is>
      </c>
      <c r="O270" s="8" t="inlineStr">
        <is>
          <t>Where a securities exchange or a derivatives exchange reprimands, fines, suspends or expels, or otherwise takes disciplinary action against a trading participant or a listed company, it shall within seven days give notice to the Authority in writing, giving particulars including the name of the person, the reason for and nature of the action taken.</t>
        </is>
      </c>
      <c r="P270" s="10" t="inlineStr">
        <is>
          <t>Open PDF</t>
        </is>
      </c>
    </row>
    <row r="271">
      <c r="A271" t="inlineStr">
        <is>
          <t>Kenya</t>
        </is>
      </c>
      <c r="B271" t="inlineStr">
        <is>
          <t>Capital Markets Act</t>
        </is>
      </c>
      <c r="C271" t="inlineStr">
        <is>
          <t>22</t>
        </is>
      </c>
      <c r="D271" s="8" t="inlineStr">
        <is>
          <t>Disciplinary action by securities exchanges</t>
        </is>
      </c>
      <c r="E271" t="inlineStr">
        <is>
          <t>33–37</t>
        </is>
      </c>
      <c r="F271" t="inlineStr">
        <is>
          <t>Regulator Powers</t>
        </is>
      </c>
      <c r="G271" t="inlineStr">
        <is>
          <t>High</t>
        </is>
      </c>
      <c r="H271" t="inlineStr">
        <is>
          <t>High (explicit)</t>
        </is>
      </c>
      <c r="I271" s="8" t="inlineStr"/>
      <c r="J271" s="8" t="inlineStr">
        <is>
          <t>Financial Data</t>
        </is>
      </c>
      <c r="K271" t="inlineStr">
        <is>
          <t>Authority</t>
        </is>
      </c>
      <c r="L271" s="8" t="inlineStr">
        <is>
          <t>Securities exchanges must notify the Authority within seven days of taking disciplinary action against trading participants or listed companies. The Authority may review such actions, affirm or set aside decisions after providing opportunities for hearing. The Authority can also take disciplinary action itself if an exchange fails to act, but must give prior notice and opportunity to be heard.</t>
        </is>
      </c>
      <c r="M271" s="8" t="inlineStr">
        <is>
          <t>Requires exchanges to report disciplinary actions to the regulator; regulator can override exchange decisions; regulator may directly discipline participants if exchanges fail to act.</t>
        </is>
      </c>
      <c r="N271" s="8" t="inlineStr">
        <is>
          <t>[Must] Securities exchanges must notify the Authority within seven days of taking disciplinary action against trading participants or listed companies.
[May] The Authority may review disciplinary actions taken by exchanges and affirm or set aside decisions after providing opportunities for hearing.
[May] The Authority can take disciplinary action itself if an exchange fails to act, but must give prior notice and opportunity to be heard.</t>
        </is>
      </c>
      <c r="O271" s="8" t="inlineStr">
        <is>
          <t>Where a securities exchange or a derivatives exchange reprimands, fines, suspends or expels, or otherwise takes disciplinary action against a trading participant or a listed company, it shall within seven days give notice to the Authority in writing, giving particulars including the name of the person, the reason for and nature of the action taken.</t>
        </is>
      </c>
      <c r="P271" s="10" t="inlineStr">
        <is>
          <t>Open PDF</t>
        </is>
      </c>
    </row>
    <row r="272">
      <c r="A272" t="inlineStr">
        <is>
          <t>Kenya</t>
        </is>
      </c>
      <c r="B272" t="inlineStr">
        <is>
          <t>Capital Markets Act</t>
        </is>
      </c>
      <c r="C272" t="inlineStr">
        <is>
          <t>23</t>
        </is>
      </c>
      <c r="D272" s="8" t="inlineStr">
        <is>
          <t>Licences required for financial activities</t>
        </is>
      </c>
      <c r="E272" t="inlineStr">
        <is>
          <t>37</t>
        </is>
      </c>
      <c r="F272" t="inlineStr">
        <is>
          <t>Other</t>
        </is>
      </c>
      <c r="G272" t="inlineStr">
        <is>
          <t>High</t>
        </is>
      </c>
      <c r="H272" t="inlineStr">
        <is>
          <t>High (explicit)</t>
        </is>
      </c>
      <c r="I272" s="8" t="inlineStr"/>
      <c r="J272" s="8" t="inlineStr">
        <is>
          <t>Financial Data</t>
        </is>
      </c>
      <c r="K272" t="inlineStr">
        <is>
          <t>Authority</t>
        </is>
      </c>
      <c r="L272" s="8" t="inlineStr">
        <is>
          <t>Individuals and entities must hold valid licenses from the Authority to operate as stockbrokers, dealers, fund managers, or other financial intermediaries. Exchanges and other entities must be approved by the Authority. License holders must comply with requirements and pay annual fees.</t>
        </is>
      </c>
      <c r="M272" s="8" t="inlineStr">
        <is>
          <t>Regulator requires licenses for financial activities; entities must be approved to operate; license holders must pay annual fees.</t>
        </is>
      </c>
      <c r="N272" s="8" t="inlineStr">
        <is>
          <t>[Must] Individuals and entities must hold valid licenses from the Authority to operate as stockbrokers, derivatives brokers, fund managers, or other financial intermediaries.
[Must] Exchanges and other entities must be approved by the Authority.
[Must] License holders must comply with Authority requirements and pay annual fees.</t>
        </is>
      </c>
      <c r="O272" s="8" t="inlineStr">
        <is>
          <t>No person shall carry on business as a stockbroker, derivatives broker, REIT manager, trustee, dealer, investment adviser, fund manager, investment bank, central depository, authorised securities dealer, authorized depository, online forex broker, commodity dealer, commodity broker or hold himself out as carrying on such a business unless he or she holds a valid licence issued under this Act or under the authority of this Act.</t>
        </is>
      </c>
      <c r="P272" s="10" t="inlineStr">
        <is>
          <t>Open PDF</t>
        </is>
      </c>
    </row>
    <row r="273">
      <c r="A273" t="inlineStr">
        <is>
          <t>Kenya</t>
        </is>
      </c>
      <c r="B273" t="inlineStr">
        <is>
          <t>Capital Markets Act</t>
        </is>
      </c>
      <c r="C273" t="inlineStr">
        <is>
          <t>24</t>
        </is>
      </c>
      <c r="D273" s="8" t="inlineStr">
        <is>
          <t>Application for licence</t>
        </is>
      </c>
      <c r="E273" t="inlineStr">
        <is>
          <t>37–39</t>
        </is>
      </c>
      <c r="F273" t="inlineStr">
        <is>
          <t>Other</t>
        </is>
      </c>
      <c r="G273" t="inlineStr">
        <is>
          <t>High</t>
        </is>
      </c>
      <c r="H273" t="inlineStr">
        <is>
          <t>High (explicit)</t>
        </is>
      </c>
      <c r="I273" s="8" t="inlineStr"/>
      <c r="J273" s="8" t="inlineStr">
        <is>
          <t>Financial Data</t>
        </is>
      </c>
      <c r="K273" t="inlineStr">
        <is>
          <t>Authority</t>
        </is>
      </c>
      <c r="L273" s="8" t="inlineStr">
        <is>
          <t>Applications for licenses must be submitted to the Authority with prescribed forms and fees. The Authority may require additional information, assess financial requirements, impose conditions, and provide opportunities for hearing before granting licenses.</t>
        </is>
      </c>
      <c r="M273" s="8" t="inlineStr">
        <is>
          <t>Regulator requires applications for licenses with specific forms and fees; assesses financial requirements; imposes conditions; provides hearing opportunities.</t>
        </is>
      </c>
      <c r="N273" s="8" t="inlineStr">
        <is>
          <t>[Must] Applications for licenses must be submitted to the Authority with prescribed forms and fees.
[May] The Authority may require additional information on applications.
[May] The Authority may assess financial requirements before granting licenses.
[May] The Authority may impose conditions or restrictions on licenses.
[Must] The Authority must provide opportunities for hearing before granting licenses.</t>
        </is>
      </c>
      <c r="O273" s="8" t="inlineStr">
        <is>
          <t>An application for a licence or for the renewal of a licence shall be made to the Authority in the prescribed form and shall be accompanied by the prescribed fee and in the case of an application for the renewal of a licence, may be made within three months but not later than one month prior to the expiry of the licence.</t>
        </is>
      </c>
      <c r="P273" s="10" t="inlineStr">
        <is>
          <t>Open PDF</t>
        </is>
      </c>
    </row>
    <row r="274">
      <c r="A274" t="inlineStr">
        <is>
          <t>Kenya</t>
        </is>
      </c>
      <c r="B274" t="inlineStr">
        <is>
          <t>Capital Markets Act</t>
        </is>
      </c>
      <c r="C274" t="inlineStr">
        <is>
          <t>25</t>
        </is>
      </c>
      <c r="D274" s="8" t="inlineStr">
        <is>
          <t>Imposition of sanctions and penalties</t>
        </is>
      </c>
      <c r="E274" t="inlineStr">
        <is>
          <t>39–40</t>
        </is>
      </c>
      <c r="F274" t="inlineStr">
        <is>
          <t>Enforcement</t>
        </is>
      </c>
      <c r="G274" t="inlineStr">
        <is>
          <t>High</t>
        </is>
      </c>
      <c r="H274" t="inlineStr">
        <is>
          <t>High (explicit)</t>
        </is>
      </c>
      <c r="I274" s="8" t="inlineStr"/>
      <c r="J274" s="8" t="inlineStr">
        <is>
          <t>Financial Data</t>
        </is>
      </c>
      <c r="K274" t="inlineStr">
        <is>
          <t>Authority</t>
        </is>
      </c>
      <c r="L274" s="8" t="inlineStr">
        <is>
          <t>The Authority may impose sanctions including public reprimands, suspensions, restrictions on licenses, recovery of benefits, financial penalties, and restitution orders for breaches of the Act. Penalties vary by role and may be doubled for certain violations.</t>
        </is>
      </c>
      <c r="M274" s="8" t="inlineStr">
        <is>
          <t>Regulator can impose sanctions including suspensions, financial penalties, and restitution orders for breaches; penalties may be doubled for certain violations.</t>
        </is>
      </c>
      <c r="N274" s="8" t="inlineStr">
        <is>
          <t>[May] The Authority may impose public reprimands, suspensions, restrictions on licenses, recovery of benefits, and financial penalties for breaches of the Act.
[May] Financial penalties for licensed persons may not exceed ten million shillings.
[May] Financial penalties for employees may not exceed five million shillings.
[May] The Authority may order restitution for losses caused by breaches of the Act.
[May] Penalties for trading rule breaches may be doubled.
[May] Penalties for reporting failures may be doubled.</t>
        </is>
      </c>
      <c r="O274" s="8" t="inlineStr">
        <is>
          <t>Without prejudice to any other provision of this Act, the Authority may impose the following sanctions or levy financial penalties in accordance with this Act, for the breach of any provisions of this Act, the regulations, rules, guidelines, notices or directions made thereunder, or the rules of procedure of a securities, commodities or derivatives exchange, by a licensed or approved person, issuer, employee or a director of a licensed or approved person or employee director of a issuer as provided under section 11(3)(cc)</t>
        </is>
      </c>
      <c r="P274" s="10" t="inlineStr">
        <is>
          <t>Open PDF</t>
        </is>
      </c>
    </row>
    <row r="275">
      <c r="A275" t="inlineStr">
        <is>
          <t>Kenya</t>
        </is>
      </c>
      <c r="B275" t="inlineStr">
        <is>
          <t>Capital Markets Act</t>
        </is>
      </c>
      <c r="C275" t="inlineStr">
        <is>
          <t>26</t>
        </is>
      </c>
      <c r="D275" s="8" t="inlineStr">
        <is>
          <t>Conditions for suspending or revoking a license</t>
        </is>
      </c>
      <c r="E275" t="inlineStr">
        <is>
          <t>40–42</t>
        </is>
      </c>
      <c r="F275" t="inlineStr">
        <is>
          <t>Regulator Powers</t>
        </is>
      </c>
      <c r="G275" t="inlineStr">
        <is>
          <t>High</t>
        </is>
      </c>
      <c r="H275" t="inlineStr">
        <is>
          <t>High (explicit)</t>
        </is>
      </c>
      <c r="I275" s="8" t="inlineStr"/>
      <c r="J275" s="8" t="inlineStr">
        <is>
          <t>Financial Data</t>
        </is>
      </c>
      <c r="K275" t="inlineStr">
        <is>
          <t>Capital Markets Authority</t>
        </is>
      </c>
      <c r="L275" s="8" t="inlineStr">
        <is>
          <t>The Authority may suspend or revoke a license for a licensed person who goes into liquidation, engages in unauthorized activities, has a receiver appointed, ceases business without approval, has directors not performing duties honestly, fails to comply with license conditions, ignores Authority directions, provides false information, or is no longer fit to hold a license. Suspension cannot exceed three months and may be extended once. Revocation occurs if annual fees are unpaid within thirty days of suspension. The Authority must publish suspended or revoked licenses in the Gazette and provide affected persons an opportunity to be heard.</t>
        </is>
      </c>
      <c r="M275" s="8" t="inlineStr">
        <is>
          <t>This section defines conditions under which a license can be suspended or revoked, impacting data transfer by requiring licensed entities to maintain compliance with regulatory obligations to avoid loss of authorization for cross-border data processing activities.</t>
        </is>
      </c>
      <c r="N275" s="8" t="inlineStr">
        <is>
          <t>[Must] The Authority may suspend or revoke a license for a licensed person who goes into liquidation or has an order issued for winding up
[Must] The Authority may suspend or revoke a license for a licensed person who carries out activities outside the scope of licensed or approved activities
[Must] The Authority may suspend or revoke a license for a licensed person who has a receiver or manager appointed on all or substantial part of the company's property
[Must] The Authority may suspend or revoke a license for a licensed person who ceases business without approval for more than thirty days
[Must] The Authority may suspend or revoke a license for a licensed person whose directors or key employees have not performed duties honestly and fairly
[Must] The Authority may suspend or revoke a license for a licensed person who has contravened license conditions
[Must] The Authority may suspend or revoke a license for a licensed person who fails to comply with Authority directions
[Must] The Authority may suspend or revoke a license for a licensed person who fails to provide required information
[Must] The Authority may suspend or revoke a license for a licensed person who provides false or misleading information
[Must] The Authority may suspend or revoke a license for a licensed person who is no longer fit to hold a license
[Must] The Authority may suspend or revoke a license for a licensed person who breaches other provisions of the Act
[Condition] Suspension of a license may not exceed three months and may be extended once
[Must] The Authority must lift suspension or revoke license at end of suspension period
[Must] Failure to pay annual fee results in license suspension
[Must] If suspension occurs and fee not paid within thirty days, license is revoked
[May] The Authority may revoke or suspend a license at request of licensed person
[Must] The Authority must publish suspended or revoked licenses in Gazette
[Must] The Authority must provide affected persons opportunity to be heard</t>
        </is>
      </c>
      <c r="O275" s="8" t="inlineStr">
        <is>
          <t>The Authority may suspend or revoke a license for such period or until the occurrence of such event as the Authority may specify, if a licensed person—(a) goes into liquidation or an order is issued for the winding up of the licensed person; (b) carries out any activity outside the scope of the licensed or approved activities; (c) has a receiver or a manager appointed on all or a substantial part of the property of the company; (d) ceases to carry on the licensed business for a period of more than thirty days unless it has obtained the approval of the Authority to do so; (e) any of its directors or key employees has not, in the opinion of the Authority, performed their duties honestly and fairly; (f) has contravened or failed to comply with any condition applicable in respect of the licence; (g) fails to comply with a direction of the Authority; (h) fails to provide the Authority with such information as it may require; (i) provides false or misleading information; (j) for any other reason, is no longer fit and proper person to hold a license; or (k) is in breach of any other provision under this Act.</t>
        </is>
      </c>
      <c r="P275" s="10" t="inlineStr">
        <is>
          <t>Open PDF</t>
        </is>
      </c>
    </row>
    <row r="276">
      <c r="A276" t="inlineStr">
        <is>
          <t>Kenya</t>
        </is>
      </c>
      <c r="B276" t="inlineStr">
        <is>
          <t>Capital Markets Act</t>
        </is>
      </c>
      <c r="C276" t="inlineStr">
        <is>
          <t>28</t>
        </is>
      </c>
      <c r="D276" s="8" t="inlineStr">
        <is>
          <t>Reporting changes to license registration</t>
        </is>
      </c>
      <c r="E276" t="inlineStr">
        <is>
          <t>42</t>
        </is>
      </c>
      <c r="F276" t="inlineStr">
        <is>
          <t>Regulator Powers</t>
        </is>
      </c>
      <c r="G276" t="inlineStr">
        <is>
          <t>Medium</t>
        </is>
      </c>
      <c r="H276" t="inlineStr">
        <is>
          <t>High (explicit)</t>
        </is>
      </c>
      <c r="I276" s="8" t="inlineStr"/>
      <c r="J276" s="8" t="inlineStr">
        <is>
          <t>Financial Data</t>
        </is>
      </c>
      <c r="K276" t="inlineStr">
        <is>
          <t>Capital Markets Authority</t>
        </is>
      </c>
      <c r="L276" s="8" t="inlineStr">
        <is>
          <t>A licensed person must report to the Authority within fourteen days if they cease carrying on licensed business or if there are changes to particulars required to be entered in the license holder's register. This ensures the Authority maintains up-to-date information about licensed entities for regulatory oversight purposes.</t>
        </is>
      </c>
      <c r="M276" s="8" t="inlineStr">
        <is>
          <t>This section requires timely reporting of changes to license registration, which impacts data transfer by ensuring licensed entities maintain accurate records of their business activities and data handling practices.</t>
        </is>
      </c>
      <c r="N276" s="8" t="inlineStr">
        <is>
          <t>[Must] A licensed person must report to the Authority within fourteen days if they cease carrying on business to which the license relates
[Must] A licensed person must report to the Authority within fourteen days if there are changes to particulars required to be entered in the license holder's register</t>
        </is>
      </c>
      <c r="O276" s="8" t="inlineStr">
        <is>
          <t>Where—(a) the holder of a licence ceases to carry on the business to which the licence relates; or (b) a change occurs in any particulars which are required by section 27 to be entered in a register of licence holders with respect to the holder of a licence, the holder of the licence shall within fourteen days of the occurrence of the event concerned, give to the Authority, particulars of such event.</t>
        </is>
      </c>
      <c r="P276" s="10" t="inlineStr">
        <is>
          <t>Open PDF</t>
        </is>
      </c>
    </row>
    <row r="277">
      <c r="A277" t="inlineStr">
        <is>
          <t>Kenya</t>
        </is>
      </c>
      <c r="B277" t="inlineStr">
        <is>
          <t>Capital Markets Act</t>
        </is>
      </c>
      <c r="C277" t="inlineStr">
        <is>
          <t>29</t>
        </is>
      </c>
      <c r="D277" s="8" t="inlineStr">
        <is>
          <t>Licensing requirements for financial entities</t>
        </is>
      </c>
      <c r="E277" t="inlineStr">
        <is>
          <t>42–44</t>
        </is>
      </c>
      <c r="F277" t="inlineStr">
        <is>
          <t>Other</t>
        </is>
      </c>
      <c r="G277" t="inlineStr">
        <is>
          <t>High</t>
        </is>
      </c>
      <c r="H277" t="inlineStr">
        <is>
          <t>High (explicit)</t>
        </is>
      </c>
      <c r="I277" s="8" t="inlineStr"/>
      <c r="J277" s="8" t="inlineStr">
        <is>
          <t>Financial Data</t>
        </is>
      </c>
      <c r="K277" t="inlineStr">
        <is>
          <t>Capital Markets Authority</t>
        </is>
      </c>
      <c r="L277" s="8" t="inlineStr">
        <is>
          <t>Before granting a license, the Authority must verify that applicants are legally constituted entities, have qualified directors, meet specific security requirements for stockbrokers, have administrative capacity, operate solely for clients (stockbrokers), or for their own benefit (dealers), and comply with shareholding limits to prevent undue control. The Authority also ensures that securities exchanges admit applicants who meet all requirements and pay admission fees.</t>
        </is>
      </c>
      <c r="M277" s="8" t="inlineStr">
        <is>
          <t>This section establishes licensing requirements that impact data transfer by mandating specific operational and structural conditions for financial entities handling data, including shareholding limits and operational restrictions.</t>
        </is>
      </c>
      <c r="N277" s="8" t="inlineStr">
        <is>
          <t>[Must] The Authority must verify that applicants are legally constituted entities or duly constituted collective investment schemes
[Must] The Authority must verify that at least one director, CEO, or person directing the business has satisfied minimum qualification requirements
[Must] The Authority must verify that stockbrokers have lodged security or equivalent bank guarantee with the securities exchange or Authority
[Must] The Authority must verify that applicants have necessary administrative capacity to carry on business
[Must] The Authority must verify that stockbrokers operate solely on behalf of clients
[Must] The Authority must verify that dealers operate solely on their own behalf
[Must] The Authority must verify that derivatives brokers may operate on behalf of clients or for their own benefit
[Must] The Authority must ensure securities exchanges admit applicants who fulfill all requirements and pay admission fees
[Must] The Authority must ensure that stockbrokers, dealers, or derivatives brokers cease to be trading participants if their license is revoked
[Must] The Authority must ensure that no person controls more than 33.33% of a company's shares, voting rights, or dividends
[Must] The Authority must ensure that no person appoints more than one-third of a company's board members
The Authority must ensure that no person receives more than 33.33% of aggregate dividends and interest on shareholder loans</t>
        </is>
      </c>
      <c r="O277" s="8" t="inlineStr">
        <is>
          <t>Before granting any licence or approval, the Authority in respect of a business that requires to be licensed or approved shall satisfy itself—(a) that the applicant is such legal entity as may be prescribed in the Regulations as the Authority may prescribe or is duly constituted as a collective investment scheme; (b) that at least one the director, chief executive officer or such other person who directs, conducts, manages or supervises the business of the applicant has satisfied such minimum qualification requirements as may be prescribed; (c) in the case of a stockbroker, dealer or other person prescribed by the Authority that the applicant company has lodged security in such sum as may be determined by the Authority or an equivalent bank guarantee or bond with the securities exchange in which it is a trading participant or with the Authority or other person approved by the Authority as the case may be; (d) that the applicant company has the necessary administrative capacity to carry on business for which the licence is required; (e) in the case of an application for a stockbroker's licence, that the applicant shall carry on business solely on behalf of clients; (f) in the case of an application for a dealer's licence, that the applicant shall carry on business solely on the applicant's own behalf; (gg) in the case of an application for a derivatives broker licences, that the applicant may carry on business either on behalf of clients or on the applicant's own behalf, or both; (h) deleted by , s. 7.</t>
        </is>
      </c>
      <c r="P277" s="10" t="inlineStr">
        <is>
          <t>Open PDF</t>
        </is>
      </c>
    </row>
    <row r="278">
      <c r="A278" t="inlineStr">
        <is>
          <t>Kenya</t>
        </is>
      </c>
      <c r="B278" t="inlineStr">
        <is>
          <t>Capital Markets Act</t>
        </is>
      </c>
      <c r="C278" t="inlineStr">
        <is>
          <t>30</t>
        </is>
      </c>
      <c r="D278" s="8" t="inlineStr">
        <is>
          <t>Collective investment schemes and securities offers</t>
        </is>
      </c>
      <c r="E278" t="inlineStr">
        <is>
          <t>4–5</t>
        </is>
      </c>
      <c r="F278" t="inlineStr">
        <is>
          <t>Other</t>
        </is>
      </c>
      <c r="G278" t="inlineStr">
        <is>
          <t>High</t>
        </is>
      </c>
      <c r="H278" t="inlineStr">
        <is>
          <t>High (explicit)</t>
        </is>
      </c>
      <c r="I278" s="8" t="inlineStr"/>
      <c r="J278" s="8" t="inlineStr">
        <is>
          <t>Financial Data</t>
        </is>
      </c>
      <c r="K278" t="inlineStr">
        <is>
          <t>Capital Markets Authority</t>
        </is>
      </c>
      <c r="L278" s="8" t="inlineStr">
        <is>
          <t>Collective investment schemes must be registered with the Authority before operating in Kenya. Promoters must apply for consent to register within three months of receiving consent, providing proof of legal constitution, incorporation documents, and registration applications. The Authority registers schemes that comply with requirements and issues certificates of registration. Schemes must publish information memoranda before offering shares publicly, and must comply with disclosure obligations to ensure transparency in securities transactions.</t>
        </is>
      </c>
      <c r="M278" s="8" t="inlineStr">
        <is>
          <t>This section governs the registration and operation of collective investment schemes, which impacts data transfer by requiring detailed registration and disclosure processes for entities handling financial data across borders.</t>
        </is>
      </c>
      <c r="N278" s="8" t="inlineStr">
        <is>
          <t>[Must] No person may carry on business as a collective investment scheme in or from within Kenya without registration
[Must] Promoters must apply for consent to register a collective investment scheme upon complying with requirements
[Must] Promoters must deliver satisfactory proof of legal constitution within three months of consent
[Must] Promoters must submit proposed incorporation documents and other information as required by the Authority
[Must] Promoters must submit an application for registration in prescribed form with prescribed fee
[Must] The Authority registers collective investment schemes that comply with requirements and issues certificate of registration
[Must] A mutual fund deemed to be incorporated as a collective investment scheme with variable capital upon registration
[May] Investment companies may operate without registration for six months from commencement of the Act
[Must] Investment companies must apply for registration before expiration of six-month period
[Must] Registered collective investment schemes may not offer shares publicly without publishing information memorandum
[Must] Information memoranda must comply with Authority requirements
[Must] Issuers must keep Authority, members, other holders, listing exchanges, and public informed of material information</t>
        </is>
      </c>
      <c r="O278" s="8" t="inlineStr">
        <is>
          <t>No person shall carry on any business or engage in any activity as a collective investment scheme, in or from within Kenya, unless such person is registered under this Act. The promoters of a collective investment scheme that is proposed to be formed, may apply to the Authority for consent to register a collective investment scheme upon complying with the requirements prescribed under this Act.</t>
        </is>
      </c>
      <c r="P278" s="10" t="inlineStr">
        <is>
          <t>Open PDF</t>
        </is>
      </c>
    </row>
    <row r="279">
      <c r="A279" t="inlineStr">
        <is>
          <t>Kenya</t>
        </is>
      </c>
      <c r="B279" t="inlineStr">
        <is>
          <t>Capital Markets Act</t>
        </is>
      </c>
      <c r="C279" t="inlineStr">
        <is>
          <t>30</t>
        </is>
      </c>
      <c r="D279" s="8" t="inlineStr">
        <is>
          <t>Collective investment schemes and securities offers</t>
        </is>
      </c>
      <c r="E279" t="inlineStr">
        <is>
          <t>44–48</t>
        </is>
      </c>
      <c r="F279" t="inlineStr">
        <is>
          <t>Other</t>
        </is>
      </c>
      <c r="G279" t="inlineStr">
        <is>
          <t>High</t>
        </is>
      </c>
      <c r="H279" t="inlineStr">
        <is>
          <t>High (explicit)</t>
        </is>
      </c>
      <c r="I279" s="8" t="inlineStr"/>
      <c r="J279" s="8" t="inlineStr">
        <is>
          <t>Financial Data</t>
        </is>
      </c>
      <c r="K279" t="inlineStr">
        <is>
          <t>Capital Markets Authority</t>
        </is>
      </c>
      <c r="L279" s="8" t="inlineStr">
        <is>
          <t>Collective investment schemes must be registered with the Authority before operating in Kenya. Promoters must apply for consent to register within three months of receiving consent, providing proof of legal constitution, incorporation documents, and registration applications. The Authority registers schemes that comply with requirements and issues certificates of registration. Schemes must publish information memoranda before offering shares publicly, and must comply with disclosure obligations to ensure transparency in securities transactions.</t>
        </is>
      </c>
      <c r="M279" s="8" t="inlineStr">
        <is>
          <t>This section governs the registration and operation of collective investment schemes, which impacts data transfer by requiring detailed registration and disclosure processes for entities handling financial data across borders.</t>
        </is>
      </c>
      <c r="N279" s="8" t="inlineStr">
        <is>
          <t>[Must] No person may carry on business as a collective investment scheme in or from within Kenya without registration
[Must] Promoters must apply for consent to register a collective investment scheme upon complying with requirements
[Must] Promoters must deliver satisfactory proof of legal constitution within three months of consent
[Must] Promoters must submit proposed incorporation documents and other information as required by the Authority
[Must] Promoters must submit an application for registration in prescribed form with prescribed fee
[Must] The Authority registers collective investment schemes that comply with requirements and issues certificate of registration
[Must] A mutual fund deemed to be incorporated as a collective investment scheme with variable capital upon registration
[May] Investment companies may operate without registration for six months from commencement of the Act
[Must] Investment companies must apply for registration before expiration of six-month period
[Must] Registered collective investment schemes may not offer shares publicly without publishing information memorandum
[Must] Information memoranda must comply with Authority requirements
[Must] Issuers must keep Authority, members, other holders, listing exchanges, and public informed of material information</t>
        </is>
      </c>
      <c r="O279" s="8" t="inlineStr">
        <is>
          <t>No person shall carry on any business or engage in any activity as a collective investment scheme, in or from within Kenya, unless such person is registered under this Act. The promoters of a collective investment scheme that is proposed to be formed, may apply to the Authority for consent to register a collective investment scheme upon complying with the requirements prescribed under this Act.</t>
        </is>
      </c>
      <c r="P279" s="10" t="inlineStr">
        <is>
          <t>Open PDF</t>
        </is>
      </c>
    </row>
    <row r="280">
      <c r="A280" t="inlineStr">
        <is>
          <t>Kenya</t>
        </is>
      </c>
      <c r="B280" t="inlineStr">
        <is>
          <t>Capital Markets Act</t>
        </is>
      </c>
      <c r="C280" t="inlineStr">
        <is>
          <t>30 (part 2)</t>
        </is>
      </c>
      <c r="D280" s="8" t="inlineStr">
        <is>
          <t>Procedure for collective investment schemes (cont.)</t>
        </is>
      </c>
      <c r="E280" t="inlineStr">
        <is>
          <t>48–52</t>
        </is>
      </c>
      <c r="F280" t="inlineStr">
        <is>
          <t>Other</t>
        </is>
      </c>
      <c r="G280" t="inlineStr">
        <is>
          <t>Unknown</t>
        </is>
      </c>
      <c r="H280" t="inlineStr">
        <is>
          <t>Extraction failed</t>
        </is>
      </c>
      <c r="I280" s="8" t="inlineStr"/>
      <c r="J280" s="8" t="inlineStr"/>
      <c r="K280" t="inlineStr"/>
      <c r="L280" s="8" t="inlineStr">
        <is>
          <t>[extraction failed: model output unparseable]</t>
        </is>
      </c>
      <c r="M280" s="8" t="inlineStr"/>
      <c r="N280" s="8" t="inlineStr"/>
      <c r="O280" s="8" t="inlineStr"/>
      <c r="P280" s="10" t="inlineStr">
        <is>
          <t>Open PDF</t>
        </is>
      </c>
    </row>
    <row r="281">
      <c r="A281" t="inlineStr">
        <is>
          <t>Kenya</t>
        </is>
      </c>
      <c r="B281" t="inlineStr">
        <is>
          <t>Capital Markets Act</t>
        </is>
      </c>
      <c r="C281" t="inlineStr">
        <is>
          <t>30 (part 3)</t>
        </is>
      </c>
      <c r="D281" s="8" t="inlineStr">
        <is>
          <t>Procedure for collective investment schemes (cont.)</t>
        </is>
      </c>
      <c r="E281" t="inlineStr">
        <is>
          <t>52–56</t>
        </is>
      </c>
      <c r="F281" t="inlineStr">
        <is>
          <t>Other</t>
        </is>
      </c>
      <c r="G281" t="inlineStr">
        <is>
          <t>Unknown</t>
        </is>
      </c>
      <c r="H281" t="inlineStr">
        <is>
          <t>Extraction failed</t>
        </is>
      </c>
      <c r="I281" s="8" t="inlineStr"/>
      <c r="J281" s="8" t="inlineStr"/>
      <c r="K281" t="inlineStr"/>
      <c r="L281" s="8" t="inlineStr">
        <is>
          <t>[extraction failed: model output unparseable]</t>
        </is>
      </c>
      <c r="M281" s="8" t="inlineStr"/>
      <c r="N281" s="8" t="inlineStr"/>
      <c r="O281" s="8" t="inlineStr"/>
      <c r="P281" s="10" t="inlineStr">
        <is>
          <t>Open PDF</t>
        </is>
      </c>
    </row>
    <row r="282">
      <c r="A282" t="inlineStr">
        <is>
          <t>Kenya</t>
        </is>
      </c>
      <c r="B282" t="inlineStr">
        <is>
          <t>Capital Markets Act</t>
        </is>
      </c>
      <c r="C282" t="inlineStr">
        <is>
          <t>30 (part 4)</t>
        </is>
      </c>
      <c r="D282" s="8" t="inlineStr">
        <is>
          <t>Obligations for restricted offers in securitisation transactions</t>
        </is>
      </c>
      <c r="E282" t="inlineStr">
        <is>
          <t>56–59</t>
        </is>
      </c>
      <c r="F282" t="inlineStr">
        <is>
          <t>Cross-border Transfer</t>
        </is>
      </c>
      <c r="G282" t="inlineStr">
        <is>
          <t>High</t>
        </is>
      </c>
      <c r="H282" t="inlineStr">
        <is>
          <t>High (explicit)</t>
        </is>
      </c>
      <c r="I282" s="8" t="inlineStr">
        <is>
          <t>Cross-border Transfer, International Processing, Data Storage, Security</t>
        </is>
      </c>
      <c r="J282" s="8" t="inlineStr">
        <is>
          <t>Financial Data, Customer Data</t>
        </is>
      </c>
      <c r="K282" t="inlineStr">
        <is>
          <t>Capital Markets Authority</t>
        </is>
      </c>
      <c r="L282" s="8" t="inlineStr">
        <is>
          <t>This section mandates that false statements, misleading omissions, or deceptive representations in prospectuses or applications for asset-backed securities or securitisation transactions must include all statements in prospectuses, offering memoranda, transaction documents, and credit rating agency communications. It also requires that continuing disclosure obligations apply to these transactions. The section specifies that provisions from sections 30D, 30E, 30F, 30JM, 30K, and 33O apply to restricted offers involving asset-backed securities.</t>
        </is>
      </c>
      <c r="M282" s="8" t="inlineStr">
        <is>
          <t>This section imposes specific disclosure and verification requirements for restricted offers, which are critical for ensuring transparency and compliance in cross-border securitisation transactions involving asset-backed securities.</t>
        </is>
      </c>
      <c r="N282" s="8" t="inlineStr">
        <is>
          <t>[Must] A reference to a false, untrue, misleading or deceptive statement in a prospectus or omission of information or a statement when making an application relating to or in connection with any securitisation transaction or issue or offer of asset backed securities shall include any statement made in or any representation or warranty included in any prospectus or offering memorandum, transaction document or made to any credit rating agency in connection with the rating of any asset backed securities or the review of such a rating and includes any omission.
[Must] The provisions of section 30D, 30E and 30F shall apply to an application relating to or in connection with a securitization transaction or issue or offer of asset backed securities under this Part.
[Must] The provisions of section 30D, 30E, 30JM, 30K and 33O shall apply to an offering memorandum in relation to an issue or offer involving a restricted offer, whether it is made in combination with or is a tranche of another issue or offer.</t>
        </is>
      </c>
      <c r="O282" s="8" t="inlineStr">
        <is>
          <t>Obligations applicable to restricted offers (1) A reference in this Act to a false, untrue, misleading or deceptive statement in a prospectus or to the omission of information or a statement when making an application relating to or in connection with any securitisation transaction or any issue or offer of asset backed securities shall— (a) include any statement made in or any representation or warranty included in any prospectus or offering memorandum, transaction document or made to any credit rating agency in connection with the rating of any asset backed securities or the review of such a rating and includes any omission; (b) include any information, statement in, or, omission from, the continuing disclosure obligations under this Act.</t>
        </is>
      </c>
      <c r="P282" s="10" t="inlineStr">
        <is>
          <t>Open PDF</t>
        </is>
      </c>
    </row>
    <row r="283">
      <c r="A283" t="inlineStr">
        <is>
          <t>Kenya</t>
        </is>
      </c>
      <c r="B283" t="inlineStr">
        <is>
          <t>Capital Markets Act</t>
        </is>
      </c>
      <c r="C283" t="inlineStr">
        <is>
          <t>31</t>
        </is>
      </c>
      <c r="D283" s="8" t="inlineStr">
        <is>
          <t>Securities transfers outside exchange: authorization requirements</t>
        </is>
      </c>
      <c r="E283" t="inlineStr">
        <is>
          <t>59</t>
        </is>
      </c>
      <c r="F283" t="inlineStr">
        <is>
          <t>Cross-border Transfer</t>
        </is>
      </c>
      <c r="G283" t="inlineStr">
        <is>
          <t>High</t>
        </is>
      </c>
      <c r="H283" t="inlineStr">
        <is>
          <t>High (explicit)</t>
        </is>
      </c>
      <c r="I283" s="8" t="inlineStr">
        <is>
          <t>Cross-border Transfer, Security, Financial Data, KYC</t>
        </is>
      </c>
      <c r="J283" s="8" t="inlineStr">
        <is>
          <t>Financial Data</t>
        </is>
      </c>
      <c r="K283" t="inlineStr">
        <is>
          <t>Capital Markets Authority (CMA)</t>
        </is>
      </c>
      <c r="L283" s="8" t="inlineStr">
        <is>
          <t>Licensed persons, brokers, and dealers must obtain explicit authorization from the Capital Markets Authority (CMA) to transfer listed securities outside the exchange where they are a trading participant. This authorization requires payment of a prescribed fee and is granted under specific conditions: private transactions, over-the-counter trading with reporting, or in the interest of ordinary shareholders. The CMA may also prescribe rules for clearance, settlement, payment, and transfer of securities to prevent contraventions. Transactions in margin accounts must comply with CMA requirements, and no person may lend securities without customer consent or engage in manipulative deception or fraud.</t>
        </is>
      </c>
      <c r="M283" s="8" t="inlineStr">
        <is>
          <t>Transfers of listed securities outside the exchange require CMA authorization, which impacts cross-border data transfers involving securities. The authorization conditions (private transactions, over-the-counter trading, shareholder interests) and fee payment create specific safeguards for data transfers across borders.</t>
        </is>
      </c>
      <c r="N283" s="8" t="inlineStr">
        <is>
          <t>[Must] No licensed person, broker or dealer shall transfer listed securities outside the securities exchange in which he or she is a trading participant except as provided for by the Authority in rules or as authorised by the Authority on a case by case basis, and on payment of a prescribed fee.
[Condition] The Authority may authorise the transfer of a listed security outside the securities exchange if the Authority is satisfied that the transaction is a private transaction as prescribed by the Authority; or the security trades over the counter and such trade is reported in accordance with the rules prescribed by the Authority; or it would be in the interest of the holders of ordinary shares of the company having regard to the prevailing conditions and all factors which are relevant in the circumstances to so authorise.
[Must] No licensed person, broker or dealer shall trade in listed securities in contravention of such rules as the Authority shall prescribe with respect to the clearance, settlement, payment, transfer or delivery of securities.
[Must] No licensed person, broker or dealer shall effect any transaction in a margin account in a manner contrary to requirements adopted by the Authority.
[Must] No licensed person, broker or dealer shall lend or arrange for the lending of any securities carried for the account of any customer without the customer's written consent, or borrow, or arrange to borrow, using the securities, carried for the account of any customer, as collateral, without the customer's written consent.
[Must] No licensed person, broker or dealer shall effect any transaction in, or induce or attempt to induce the purchase or sale of, any listed security by means of any manipulative deception, or other fraudulent device or contrivance.
[Must] No person holding shares in a public company listed on an approved securities exchange, shall sell or transfer such shares except in compliance with the trading procedures adopted by such securities exchange.
[Must] No person shall, directly or indirectly, in connection with the purchase or sale of any security— employ any device, scheme or artifice to defraud; engage in any act, practice or course of business which operates or would operate as a fraud or deceit upon any person; make any untrue statement of a material fact; or omit to state a material fact necessary in order to make the statements made in light of the circumstances under which they were made, not misleading.</t>
        </is>
      </c>
      <c r="O283" s="8" t="inlineStr">
        <is>
          <t>31. Transactions in securities (1) No licensed person, broker or dealer shall transfer listed securities outside the securities exchange in which he or she is a trading participant except as provided for by the Authority in rules or as authorised by the Authority on a case by case basis, and on payment of a prescribed fee.</t>
        </is>
      </c>
      <c r="P283" s="10" t="inlineStr">
        <is>
          <t>Open PDF</t>
        </is>
      </c>
    </row>
    <row r="284">
      <c r="A284" t="inlineStr">
        <is>
          <t>Kenya</t>
        </is>
      </c>
      <c r="B284" t="inlineStr">
        <is>
          <t>Capital Markets Act</t>
        </is>
      </c>
      <c r="C284" t="inlineStr">
        <is>
          <t>32</t>
        </is>
      </c>
      <c r="D284" s="8" t="inlineStr">
        <is>
          <t>Registration of securities interests and insider trading prohibitions</t>
        </is>
      </c>
      <c r="E284" t="inlineStr">
        <is>
          <t>5–6</t>
        </is>
      </c>
      <c r="F284" t="inlineStr">
        <is>
          <t>Cross-border Transfer</t>
        </is>
      </c>
      <c r="G284" t="inlineStr">
        <is>
          <t>High</t>
        </is>
      </c>
      <c r="H284" t="inlineStr">
        <is>
          <t>High (explicit)</t>
        </is>
      </c>
      <c r="I284" s="8" t="inlineStr">
        <is>
          <t>Cross-border Transfer, Security, Financial Data, KYC</t>
        </is>
      </c>
      <c r="J284" s="8" t="inlineStr">
        <is>
          <t>Financial Data</t>
        </is>
      </c>
      <c r="K284" t="inlineStr">
        <is>
          <t>Capital Markets Authority (CMA)</t>
        </is>
      </c>
      <c r="L284" s="8" t="inlineStr">
        <is>
          <t>This section mandates that licensed persons and financial journalists maintain a register of securities interests within seven days of acquisition or change. The Authority may inspect this register. It also defines insider trading, inside information, and market manipulation offenses, including penalties for contravening these rules. The section specifies that insider information must relate to securities, not be public, and likely to affect prices. It prohibits fraudulent activities, false statements, and market manipulation to prevent insider trading and ensure transparency in securities transactions.</t>
        </is>
      </c>
      <c r="M284" s="8" t="inlineStr">
        <is>
          <t>The registration requirements and insider trading prohibitions impact cross-border data transfers involving securities by requiring transparency and authorization for transfers, which are critical for DTIA compliance in financial data contexts.</t>
        </is>
      </c>
      <c r="N284" s="8" t="inlineStr">
        <is>
          <t>[Must] A person to whom section (1) applies shall maintain a register of the securities in which he or she has an interest and such interest or any changes in such interest shall be entered in the register within seven days of the acquisition or change in the interest.
[Notification] The Authority or any person authorized by it in that behalf may require any person to whom section (1) applies to produce for inspection the register required under subsection (4) and the Authority or any person so authorized may make extracts from the register.
[Must] A person who deals in listed securities or their derivatives that are price-affected in relation to the information in his possession commits an offence of insider trading if that person encourages another person, whether or not that other person knows it, to deal in securities or their derivatives which are price-affected securities in relation to the information in the possession of the insider, knowing or having reasonable cause to believe that the trading would take place; or discloses the information, otherwise than in the proper performance of the functions of his employment, office or profession, to another person.
[Definition] For the purposes of this Part, 'inside information' means information which relates to particular securities or to a particular issuer of securities; has not been made public; and if it were made public is likely to have a material effect on the price of the securities.
[Must] A person who enters into or carries out, directly or indirectly, two or more transactions in the securities of a company, or in other listed securities, which by themselves or in conjunction with any other transaction increase, reduce, or stabilize the price with the intention of inducing another person to purchase, sell, or refrain from purchasing or selling securities, commits an offence.</t>
        </is>
      </c>
      <c r="O284" s="8" t="inlineStr">
        <is>
          <t>32. Register of interest in securities (4) A person to whom section (1) applies shall maintain a register of the securities in which he or she has an interest and such interest or any changes in such interest shall be entered in the register within seven days of the acquisition or change in the interest.</t>
        </is>
      </c>
      <c r="P284" s="10" t="inlineStr">
        <is>
          <t>Open PDF</t>
        </is>
      </c>
    </row>
    <row r="285">
      <c r="A285" t="inlineStr">
        <is>
          <t>Kenya</t>
        </is>
      </c>
      <c r="B285" t="inlineStr">
        <is>
          <t>Capital Markets Act</t>
        </is>
      </c>
      <c r="C285" t="inlineStr">
        <is>
          <t>32</t>
        </is>
      </c>
      <c r="D285" s="8" t="inlineStr">
        <is>
          <t>Registration of securities interests and insider trading prohibitions</t>
        </is>
      </c>
      <c r="E285" t="inlineStr">
        <is>
          <t>59–64</t>
        </is>
      </c>
      <c r="F285" t="inlineStr">
        <is>
          <t>Cross-border Transfer</t>
        </is>
      </c>
      <c r="G285" t="inlineStr">
        <is>
          <t>High</t>
        </is>
      </c>
      <c r="H285" t="inlineStr">
        <is>
          <t>High (explicit)</t>
        </is>
      </c>
      <c r="I285" s="8" t="inlineStr">
        <is>
          <t>Cross-border Transfer, Security, Financial Data, KYC</t>
        </is>
      </c>
      <c r="J285" s="8" t="inlineStr">
        <is>
          <t>Financial Data</t>
        </is>
      </c>
      <c r="K285" t="inlineStr">
        <is>
          <t>Capital Markets Authority (CMA)</t>
        </is>
      </c>
      <c r="L285" s="8" t="inlineStr">
        <is>
          <t>This section mandates that licensed persons and financial journalists maintain a register of securities interests within seven days of acquisition or change. The Authority may inspect this register. It also defines insider trading, inside information, and market manipulation offenses, including penalties for contravening these rules. The section specifies that insider information must relate to securities, not be public, and likely to affect prices. It prohibits fraudulent activities, false statements, and market manipulation to prevent insider trading and ensure transparency in securities transactions.</t>
        </is>
      </c>
      <c r="M285" s="8" t="inlineStr">
        <is>
          <t>The registration requirements and insider trading prohibitions impact cross-border data transfers involving securities by requiring transparency and authorization for transfers, which are critical for DTIA compliance in financial data contexts.</t>
        </is>
      </c>
      <c r="N285" s="8" t="inlineStr">
        <is>
          <t>[Must] A person to whom section (1) applies shall maintain a register of the securities in which he or she has an interest and such interest or any changes in such interest shall be entered in the register within seven days of the acquisition or change in the interest.
[Notification] The Authority or any person authorized by it in that behalf may require any person to whom section (1) applies to produce for inspection the register required under subsection (4) and the Authority or any person so authorized may make extracts from the register.
[Must] A person who deals in listed securities or their derivatives that are price-affected in relation to the information in his possession commits an offence of insider trading if that person encourages another person, whether or not that other person knows it, to deal in securities or their derivatives which are price-affected securities in relation to the information in the possession of the insider, knowing or having reasonable cause to believe that the trading would take place; or discloses the information, otherwise than in the proper performance of the functions of his employment, office or profession, to another person.
[Definition] For the purposes of this Part, 'inside information' means information which relates to particular securities or to a particular issuer of securities; has not been made public; and if it were made public is likely to have a material effect on the price of the securities.
[Must] A person who enters into or carries out, directly or indirectly, two or more transactions in the securities of a company, or in other listed securities, which by themselves or in conjunction with any other transaction increase, reduce, or stabilize the price with the intention of inducing another person to purchase, sell, or refrain from purchasing or selling securities, commits an offence.</t>
        </is>
      </c>
      <c r="O285" s="8" t="inlineStr">
        <is>
          <t>32. Register of interest in securities (4) A person to whom section (1) applies shall maintain a register of the securities in which he or she has an interest and such interest or any changes in such interest shall be entered in the register within seven days of the acquisition or change in the interest.</t>
        </is>
      </c>
      <c r="P285" s="10" t="inlineStr">
        <is>
          <t>Open PDF</t>
        </is>
      </c>
    </row>
    <row r="286">
      <c r="A286" t="inlineStr">
        <is>
          <t>Kenya</t>
        </is>
      </c>
      <c r="B286" t="inlineStr">
        <is>
          <t>Capital Markets Act</t>
        </is>
      </c>
      <c r="C286" t="inlineStr">
        <is>
          <t>32 (part 2)</t>
        </is>
      </c>
      <c r="D286" s="8" t="inlineStr">
        <is>
          <t>Fraudulent gain and insider trading penalties</t>
        </is>
      </c>
      <c r="E286" t="inlineStr">
        <is>
          <t>64–67</t>
        </is>
      </c>
      <c r="F286" t="inlineStr">
        <is>
          <t>Other</t>
        </is>
      </c>
      <c r="G286" t="inlineStr">
        <is>
          <t>High</t>
        </is>
      </c>
      <c r="H286" t="inlineStr">
        <is>
          <t>High (explicit)</t>
        </is>
      </c>
      <c r="I286" s="8" t="inlineStr">
        <is>
          <t>Financial Data, AML</t>
        </is>
      </c>
      <c r="J286" s="8" t="inlineStr">
        <is>
          <t>Financial Data</t>
        </is>
      </c>
      <c r="K286" t="inlineStr">
        <is>
          <t>Capital Markets Authority</t>
        </is>
      </c>
      <c r="L286" s="8" t="inlineStr">
        <is>
          <t>This section establishes offences for obtaining financial or personal gain through fraud, deceit, or intentional concealment. It prohibits fraudulent means to gain from the public, issuers, or regulated persons. The penalties include fines up to five million shillings for individuals or ten million shillings for companies, plus payment of twice the gain made or loss avoided.</t>
        </is>
      </c>
      <c r="M286" s="8" t="inlineStr">
        <is>
          <t>This section imposes penalties for fraudulent activities that could impact data transfers involving financial institutions, requiring robust safeguards to prevent misuse of sensitive financial information.</t>
        </is>
      </c>
      <c r="N286" s="8" t="inlineStr">
        <is>
          <t>[Must Not] Any person who on his own action or conspires with another by deceit, intentional concealment, omission or any fraudulent means to obtain financial or personal gain from the public, an issuer or a regulated person commits an offence.
[Must] A person who contravenes the provisions of this Part commits an offence and is liable on conviction in the case of—(a) an individual, to a fine not exceeding five million shillings or to imprisonment for a term of two years and payment of twice the amount of the gain made or loss avoided; (b) company, to a fine not exceeding ten million shillings and payment of twice the amount of the gain made or loss avoided.</t>
        </is>
      </c>
      <c r="O286" s="8" t="inlineStr">
        <is>
          <t>Any person who on his own action or conspires with another by deceit, intentional concealment, omission or any fraudulent means to obtain financial or personal gain from the public, an issuer or a regulated person commits an offence.</t>
        </is>
      </c>
      <c r="P286" s="10" t="inlineStr">
        <is>
          <t>Open PDF</t>
        </is>
      </c>
    </row>
    <row r="287">
      <c r="A287" t="inlineStr">
        <is>
          <t>Kenya</t>
        </is>
      </c>
      <c r="B287" t="inlineStr">
        <is>
          <t>Capital Markets Act</t>
        </is>
      </c>
      <c r="C287" t="inlineStr">
        <is>
          <t>32 (part 3)</t>
        </is>
      </c>
      <c r="D287" s="8" t="inlineStr">
        <is>
          <t>Register of interest in securities (cont.)</t>
        </is>
      </c>
      <c r="E287" t="inlineStr">
        <is>
          <t>67–68</t>
        </is>
      </c>
      <c r="F287" t="inlineStr">
        <is>
          <t>Other</t>
        </is>
      </c>
      <c r="G287" t="inlineStr">
        <is>
          <t>Unknown</t>
        </is>
      </c>
      <c r="H287" t="inlineStr">
        <is>
          <t>Low</t>
        </is>
      </c>
      <c r="I287" s="8" t="inlineStr"/>
      <c r="J287" s="8" t="inlineStr"/>
      <c r="K287" t="inlineStr"/>
      <c r="L287" s="8" t="inlineStr"/>
      <c r="M287" s="8" t="inlineStr"/>
      <c r="N287" s="8" t="inlineStr"/>
      <c r="O287" s="8" t="inlineStr"/>
      <c r="P287" s="10" t="inlineStr">
        <is>
          <t>Open PDF</t>
        </is>
      </c>
    </row>
    <row r="288">
      <c r="A288" t="inlineStr">
        <is>
          <t>Kenya</t>
        </is>
      </c>
      <c r="B288" t="inlineStr">
        <is>
          <t>Capital Markets Act</t>
        </is>
      </c>
      <c r="C288" t="inlineStr">
        <is>
          <t>34</t>
        </is>
      </c>
      <c r="D288" s="8" t="inlineStr">
        <is>
          <t>Other offences</t>
        </is>
      </c>
      <c r="E288" t="inlineStr">
        <is>
          <t>68–70</t>
        </is>
      </c>
      <c r="F288" t="inlineStr">
        <is>
          <t>Other</t>
        </is>
      </c>
      <c r="G288" t="inlineStr">
        <is>
          <t>High</t>
        </is>
      </c>
      <c r="H288" t="inlineStr">
        <is>
          <t>High (explicit)</t>
        </is>
      </c>
      <c r="I288" s="8" t="inlineStr">
        <is>
          <t>Financial Data, AML</t>
        </is>
      </c>
      <c r="J288" s="8" t="inlineStr">
        <is>
          <t>Financial Data</t>
        </is>
      </c>
      <c r="K288" t="inlineStr">
        <is>
          <t>Capital Markets Authority</t>
        </is>
      </c>
      <c r="L288" s="8" t="inlineStr">
        <is>
          <t>This section defines additional offences under the Capital Markets Act, including contravening provisions of the Act, furnishing false information, or obstructing the Authority's duties. These offences carry penalties including fines and imprisonment.</t>
        </is>
      </c>
      <c r="M288" s="8" t="inlineStr">
        <is>
          <t>This section is relevant for DTIAs as it addresses offences related to financial data handling, requiring robust compliance mechanisms to prevent fraudulent data transfers.</t>
        </is>
      </c>
      <c r="N288" s="8" t="inlineStr">
        <is>
          <t>[Must Not] Any person who contravenes any provision of this Act or any requirement imposed under the provision of this Act or any rule or regulation made thereunder commits an offence.
[Must Not] Any person who furnishes or publishes for the purpose of this Act or in connection with an issuer whose securities are listed or quoted to be listed on a securities exchange, or issued or to be issued to the public or a collective investment scheme, any information or any returns the contents of which are to his knowledge untrue or incorrect or misleading because of material omissions shall be guilty of an offence.
[Must Not] Any person who wilfully obstructs any member of the Authority or an officer or servant of the Authority in the performance of his duties under the provisions of that Act shall be guilty of an offence.</t>
        </is>
      </c>
      <c r="O288" s="8" t="inlineStr">
        <is>
          <t>Any person who—(a) contravenes any provision of this Act or any requirement imposed under the provision of this Act or any rule or regulation made thereunder; (b) furnishes or publishes for the purpose of this Act or in connection with an issuer whose securities are listed or quoted to be listed on a securities exchange, or issued or to be issued to the public or a collective investment scheme, any information or any returns the contents of which are to his knowledge untrue or incorrect or misleading because of material omissions; or (c) wilfully obstructs any member of the Authority or an officer or servant of the Authority in the performance of his duties under the provisions of that Act, shall be guilty of an offence.</t>
        </is>
      </c>
      <c r="P288" s="10" t="inlineStr">
        <is>
          <t>Open PDF</t>
        </is>
      </c>
    </row>
    <row r="289">
      <c r="A289" t="inlineStr">
        <is>
          <t>Kenya</t>
        </is>
      </c>
      <c r="B289" t="inlineStr">
        <is>
          <t>Capital Markets Act</t>
        </is>
      </c>
      <c r="C289" t="inlineStr">
        <is>
          <t>35</t>
        </is>
      </c>
      <c r="D289" s="8" t="inlineStr">
        <is>
          <t>Appeals from Authority decisions on securities licenses and compensation</t>
        </is>
      </c>
      <c r="E289" t="inlineStr">
        <is>
          <t>70–73</t>
        </is>
      </c>
      <c r="F289" t="inlineStr">
        <is>
          <t>Other</t>
        </is>
      </c>
      <c r="G289" t="inlineStr">
        <is>
          <t>High</t>
        </is>
      </c>
      <c r="H289" t="inlineStr">
        <is>
          <t>High (explicit)</t>
        </is>
      </c>
      <c r="I289" s="8" t="inlineStr"/>
      <c r="J289" s="8" t="inlineStr">
        <is>
          <t>Financial Data</t>
        </is>
      </c>
      <c r="K289" t="inlineStr">
        <is>
          <t>Capital Markets Tribunal</t>
        </is>
      </c>
      <c r="L289" s="8" t="inlineStr">
        <is>
          <t>Any person aggrieved by an Authority decision regarding license refusal, restrictions, suspension, revocation, public offer approval, securities listing, or compensation can appeal to the Capital Markets Tribunal within fifteen days. The Tribunal may require the Authority to show cause, affirm or set aside decisions after hearing, and award costs. The Tribunal has powers similar to the High Court including summoning witnesses, taking evidence, and awarding costs. Appeals must be filed within ninety days, and the High Court may further review decisions.</t>
        </is>
      </c>
      <c r="M289" s="8" t="inlineStr">
        <is>
          <t>Provides a mechanism for challenging Authority decisions on securities licenses and compensation, relevant for DTIAs involving cross-border disputes with Kenyan financial regulators.</t>
        </is>
      </c>
      <c r="N289" s="8" t="inlineStr">
        <is>
          <t>[Must] Any person aggrieved by any direction given by the Authority to such person or by a decision of the Authority or by the Investor Compensation Fund Board refusing to grant a licence, imposing limitations or restrictions on a licence, suspending or revoking a licence, refusing to approve a public offer of securities, refusing to admit a security to the official list of a securities exchange, suspending trading of a security on a securities exchange, or requiring the removal of a security from the official list of a securities exchange, may appeal to the Capital Markets Tribunal against such directions, refusal, limitations or restrictions, cancellations, suspension or removal, as the case may be, within fifteen days from the date on which the decision was communicated to such person.
[May] The Capital Markets Tribunal may require the Authority or the Investor Compensation Fund Board to show cause for its action or decision, and may affirm or, after affording the Authority or the Board an opportunity to be heard, set aside such action or decision.
[Must] The Tribunal shall, upon an appeal made to it in writing by an aggrieved party following a determination by the Authority on any matter relating to this Act, inquire into the matter and make an award thereon, and every award made shall be notified by the Tribunal to the parties concerned and the Authority as the case may be.
[Must] For the purposes of hearing an appeal, the Tribunal shall have all the powers of the High Court to summon witnesses, to take evidence upon oath or affirmation and to call for the production of books and other documents.
[Must] The Tribunal shall hear and determine an appeal within ninety days from the date of filing of the appeal.
[May] Any party to proceedings before the Tribunal who is dissatisfied by a decision or order of the Tribunal on a point of law may, within thirty days of the decision or order, appeal against such decision or order to the High Court.</t>
        </is>
      </c>
      <c r="O289" s="8" t="inlineStr">
        <is>
          <t>Any person aggrieved by any direction given by the Authority to such person or by a decision of the Authority or by the Investor Compensation Fund Board—refusing to grant a licence; imposing limitations or restrictions on a licence; suspending or revoking a licence; refusing to approve a public offer of securities; refusing to admit a security to the official list of a securities exchange; suspending trading of a security on a securities exchange; or requiring the removal of a security from the official list of a securities exchange—may appeal to the Capital Markets Tribunal against such directions, refusal, limitations or restrictions, cancellations, suspension or removal, as the case may be, within fifteen days from the date on which the decision was communicated to such person.</t>
        </is>
      </c>
      <c r="P289" s="10" t="inlineStr">
        <is>
          <t>Open PDF</t>
        </is>
      </c>
    </row>
    <row r="290">
      <c r="A290" t="inlineStr">
        <is>
          <t>Kenya</t>
        </is>
      </c>
      <c r="B290" t="inlineStr">
        <is>
          <t>Capital Markets Act</t>
        </is>
      </c>
      <c r="C290" t="inlineStr">
        <is>
          <t>36</t>
        </is>
      </c>
      <c r="D290" s="8" t="inlineStr">
        <is>
          <t>Reporting requirements for financial authorities</t>
        </is>
      </c>
      <c r="E290" t="inlineStr">
        <is>
          <t>73–74</t>
        </is>
      </c>
      <c r="F290" t="inlineStr">
        <is>
          <t>Other</t>
        </is>
      </c>
      <c r="G290" t="inlineStr">
        <is>
          <t>High</t>
        </is>
      </c>
      <c r="H290" t="inlineStr">
        <is>
          <t>High (explicit)</t>
        </is>
      </c>
      <c r="I290" s="8" t="inlineStr"/>
      <c r="J290" s="8" t="inlineStr">
        <is>
          <t>Financial Data</t>
        </is>
      </c>
      <c r="K290" t="inlineStr">
        <is>
          <t>Cabinet Secretary</t>
        </is>
      </c>
      <c r="L290" s="8" t="inlineStr">
        <is>
          <t>The Cabinet Secretary may direct the Authority to provide returns, accounts, and information on its work. The Authority must submit an annual report with audited accounts within six months of the financial year end. The Cabinet Secretary must table this report in Parliament within three months of receipt.</t>
        </is>
      </c>
      <c r="M290" s="8" t="inlineStr">
        <is>
          <t>Relevant for DTIAs as it establishes reporting obligations that may impact data sharing with Kenyan authorities, particularly for financial institutions.</t>
        </is>
      </c>
      <c r="N290" s="8" t="inlineStr">
        <is>
          <t>[Must] The Cabinet Secretary may, from time to time, direct the Authority to furnish in such form as he or she may require, returns, accounts and any other information with respect to the work of the Authority and the Authority shall comply with such direction.
[Must] The Authority shall, within six months after the close of each financial year, submit to the Cabinet Secretary a report of its operations and activities throughout the year together with audited accounts in such form and detail as the Cabinet Secretary shall, from time to time, determine.
[Must] The Cabinet Secretary shall table the report submitted under subsection (3) before above to Parliament within three months of its submission.</t>
        </is>
      </c>
      <c r="O290" s="8" t="inlineStr">
        <is>
          <t>The Authority shall, within six months after the close of each financial year, submit to the Cabinet Secretary a report of its operations and activities throughout the year together with audited accounts in such form and detail as the Cabinet Secretary shall, from time to time, determine.</t>
        </is>
      </c>
      <c r="P290" s="10" t="inlineStr">
        <is>
          <t>Open PDF</t>
        </is>
      </c>
    </row>
    <row r="291">
      <c r="A291" t="inlineStr">
        <is>
          <t>Kenya</t>
        </is>
      </c>
      <c r="B291" t="inlineStr">
        <is>
          <t>Capital Markets Act</t>
        </is>
      </c>
      <c r="C291" t="inlineStr">
        <is>
          <t>39</t>
        </is>
      </c>
      <c r="D291" s="8" t="inlineStr">
        <is>
          <t>Exemption from Cap. 446</t>
        </is>
      </c>
      <c r="E291" t="inlineStr">
        <is>
          <t>6–7</t>
        </is>
      </c>
      <c r="F291" t="inlineStr">
        <is>
          <t>Exemptions</t>
        </is>
      </c>
      <c r="G291" t="inlineStr">
        <is>
          <t>None</t>
        </is>
      </c>
      <c r="H291" t="inlineStr">
        <is>
          <t>Low (ambiguous)</t>
        </is>
      </c>
      <c r="I291" s="8" t="inlineStr"/>
      <c r="J291" s="8" t="inlineStr"/>
      <c r="K291" t="inlineStr"/>
      <c r="L291" s="8" t="inlineStr">
        <is>
          <t>This section provides an exemption from Cap. 446, which likely refers to another statute or regulation. The specific exemption details are not elaborated in the text, as the section appears to be a heading with no substantive content beyond the exemption statement.</t>
        </is>
      </c>
      <c r="M291" s="8" t="inlineStr"/>
      <c r="N291" s="8" t="inlineStr">
        <is>
          <t>[Exemption] Exemption from Cap. 446</t>
        </is>
      </c>
      <c r="O291" s="8" t="inlineStr">
        <is>
          <t>Exemption from Cap. 446</t>
        </is>
      </c>
      <c r="P291" s="10" t="inlineStr">
        <is>
          <t>Open PDF</t>
        </is>
      </c>
    </row>
    <row r="292">
      <c r="A292" t="inlineStr">
        <is>
          <t>Kenya</t>
        </is>
      </c>
      <c r="B292" t="inlineStr">
        <is>
          <t>GUIDANCE-NOTE-ON-CYBERSECURITY-FOR-THE-BANKING-SECTOR</t>
        </is>
      </c>
      <c r="C292" t="inlineStr">
        <is>
          <t>2</t>
        </is>
      </c>
      <c r="D292" s="8" t="inlineStr">
        <is>
          <t>Policy statement for cybersecurity in banking sector</t>
        </is>
      </c>
      <c r="E292" t="inlineStr">
        <is>
          <t>2</t>
        </is>
      </c>
      <c r="F292" t="inlineStr">
        <is>
          <t>Governance</t>
        </is>
      </c>
      <c r="G292" t="inlineStr">
        <is>
          <t>High</t>
        </is>
      </c>
      <c r="H292" t="inlineStr">
        <is>
          <t>High (explicit)</t>
        </is>
      </c>
      <c r="I292" s="8" t="inlineStr">
        <is>
          <t>Governance</t>
        </is>
      </c>
      <c r="J292" s="8" t="inlineStr">
        <is>
          <t>Financial Data</t>
        </is>
      </c>
      <c r="K292" t="inlineStr">
        <is>
          <t>Central Bank of Kenya (CBK)</t>
        </is>
      </c>
      <c r="L292" s="8" t="inlineStr">
        <is>
          <t>This section establishes the purpose and scope of cybersecurity policies for banking institutions in Kenya. It mandates that institutions develop strategies to mitigate cyber risks, promote stability in the banking sector, combat cybercrime, protect critical information infrastructure, and maintain public trust. The guidance applies to all banking institutions licensed under the Banking Act (Cap. 488) but does not replace existing regulatory obligations.</t>
        </is>
      </c>
      <c r="M292" s="8" t="inlineStr">
        <is>
          <t>This section sets the foundational policy framework for cybersecurity that institutions must follow when designing data transfer mechanisms. It emphasizes governance structures and risk management that impact how data is handled across borders and with third parties.</t>
        </is>
      </c>
      <c r="N292" s="8" t="inlineStr">
        <is>
          <t>[Must] This Guidance Note outlines the minimum requirements that institutions shall build upon in the development and implementation of strategies, policies, procedures and related activities aimed at mitigating cyber risk.
[Must] Create a safer and more secure cyberspace that underpins information system security priorities and promote stability of the Kenyan banking sector
[Must] Establish a coordinated approach to the prevention and combating of cybercrime
[Must] Up-scaling of identification and protection of critical information infrastructure
[Must] Promotion of compliance with appropriate technical and operational cybersecurity standards
[Must] Development of requisite skills, continuous building of capacity and promote a culture of fostering a strong interplay between policy, leveraging on technology to do business and risk management
[Must] Maintenance of public trust and confidence in the financial system</t>
        </is>
      </c>
      <c r="O292" s="8" t="inlineStr">
        <is>
          <t>This Guidance Note outlines the minimum requirements that institutions shall build upon in the development and implementation of strategies, policies, procedures and related activities aimed at mitigating cyber risk.</t>
        </is>
      </c>
      <c r="P292" s="10" t="inlineStr">
        <is>
          <t>Open PDF</t>
        </is>
      </c>
    </row>
    <row r="293">
      <c r="A293" t="inlineStr">
        <is>
          <t>Kenya</t>
        </is>
      </c>
      <c r="B293" t="inlineStr">
        <is>
          <t>GUIDANCE-NOTE-ON-CYBERSECURITY-FOR-THE-BANKING-SECTOR</t>
        </is>
      </c>
      <c r="C293" t="inlineStr">
        <is>
          <t>3</t>
        </is>
      </c>
      <c r="D293" s="8" t="inlineStr">
        <is>
          <t>Specific cybersecurity requirements for banking institutions</t>
        </is>
      </c>
      <c r="E293" t="inlineStr">
        <is>
          <t>2–7</t>
        </is>
      </c>
      <c r="F293" t="inlineStr">
        <is>
          <t>Security</t>
        </is>
      </c>
      <c r="G293" t="inlineStr">
        <is>
          <t>High</t>
        </is>
      </c>
      <c r="H293" t="inlineStr">
        <is>
          <t>High (explicit)</t>
        </is>
      </c>
      <c r="I293" s="8" t="inlineStr">
        <is>
          <t>Security, Incident Reporting, Breach Notification, Third Party Processing, Cloud Services</t>
        </is>
      </c>
      <c r="J293" s="8" t="inlineStr">
        <is>
          <t>Financial Data</t>
        </is>
      </c>
      <c r="K293" t="inlineStr"/>
      <c r="L293" s="8" t="inlineStr">
        <is>
          <t>This section details specific cybersecurity requirements for banking institutions, including governance responsibilities, regular independent assessments, outsourcing protocols, and training programs. It mandates that the board and senior management establish cybersecurity strategies, implement risk management frameworks, conduct regular penetration tests, and ensure third-party service providers comply with cybersecurity standards. The guidance emphasizes continuous monitoring and incident response mechanisms.</t>
        </is>
      </c>
      <c r="M293" s="8" t="inlineStr">
        <is>
          <t>This section specifies technical and operational requirements for cybersecurity that directly impact data transfer and storage practices. It mandates robust governance, regular testing, and third-party oversight, which are critical for assessing cross-border data transfers and ensuring compliance with international standards.</t>
        </is>
      </c>
      <c r="N293" s="8" t="inlineStr">
        <is>
          <t>[Must] Board of Directors should understand the nature of their institution's business and cyber threats
[Must] Board of Directors should oversee cultivation of ethical governance culture and awareness
[Must] Board of Directors should engage management in establishing cybersecurity vision and strategic direction
[Must] Board of Directors should allocate adequate cybersecurity budget based on institution structure
[Must] Board of Directors should review management's determination of cybersecurity preparedness alignment with cyber risks
[Must] Board of Directors should establish cybersecurity risk ownership and management accountability
[Must] Board of Directors should approve and continuously review cybersecurity strategy, governance charter, policy and framework
[Must] Board of Directors should ensure cybersecurity policy applies to all operating entities, including subsidiaries and geographic regions
[Must] Board of Directors should review implementation of cybersecurity framework and implementation plan at least once in 12 months
[Must] Board of Directors should incorporate cybersecurity as a standard agenda in Board meetings
[Must] Senior Management should implement board-approved cybersecurity strategy, policy and framework
[Must] Senior Management should understand cyber organizational scope and identify cyber threats
[Must] Senior Management should ensure creation of mitigation and recovery procedures for cyber risk incidents
[Must] Senior Management should continuously improve collection, analysis and reporting of cybercrime information
[Must] Senior Management should oversee deployment of strong authentication measures
[Must] Senior Management should ensure provision of skilled staff for cybersecurity with enhanced background checks
[Must] Senior Management should ensure timely and regular reporting to the board on cyber risk status
[Must] Senior Management should establish a cybersecurity benchmarking framework with Board's endorsement
[Must] Senior Management should incorporate cybersecurity as a standard agenda in Senior Management meetings
[Must] Institutions should provide regular reports of cybersecurity posture to the board
[Must] Institutions should document cybersecurity incident response plan with roles, responsibilities, incident detection and assessment, reporting, and escalation strategies
[Must] Institutions should collaborate with other institutions and security agencies to share latest cyber threats
[Must] Institutions should create a post-incident analysis framework to determine corrective actions
[Must] Institutions should oversee evaluation and management of risks introduced by third party service providers
[Must] CISO should oversee and implement institution's cybersecurity program and enforce cybersecurity policy
[Must] CISO should ensure institution maintains current enterprise-wide knowledge base of users, devices, applications and their relationships
[Must] CISO should ensure information systems meet institution's needs and ICT strategy complies with business strategies
[Must] CISO should design cybersecurity controls with consideration of users at all levels
[Must] CISO should organize professional cyber-related trainings to improve staff technical proficiency
[Must] CISO should ensure regular and comprehensive cyber risk assessments are conducted
[Must] CISO should ensure adequate processes for monitoring IT systems to detect cybersecurity events
[Must] CISO should report to CEO on an agreed interval but not less than once per quarter on confidentiality, integrity, availability of information systems
[Must] CISO should report on detailed exceptions to approved cybersecurity policies and procedures
[Must] CISO should report on assessment of effectiveness of approved cybersecurity program
[Must] CISO should report on all material cybersecurity events affecting the institution
[Must] Institutions should carry out independent cyber threat test at least once a year
[Must] Institutions should incorporate qualified ICT Auditors within Internal Audit team
[Must] Internal ICT Auditors should continuously review and report on cyber risks and controls of ICT systems
[Must] Internal ICT Auditors should assess design and effectiveness of cybersecurity framework
[Must] Internal ICT Auditors should conduct regular independent threat and vulnerability assessment tests
[Must] Internal ICT Auditors should report to the board findings of assessments
[Must] Internal ICT Auditors should conduct comprehensive penetration tests
[Must] Risk Management Function should assess cybersecurity risks and determine alignment with institution's risk appetite
[Must] Risk Management Function should monitor current and emerging cybersecurity risks
[Must] Risk Management Function should collaborate with system administrators to ensure appropriate control design
[Must] Risk Management Function should maintain comprehensive cyber risk registers
[Must] Risk Management Function should ensure implementation of cyber and information risk management strategy
[Must] Risk Management Function should safeguard confidentiality, integrity and availability of information
[Must] Risk Management Function should establish comprehensive inventory of IT assets by business criticality
[Must] Risk Management Function should quantify potential impact by assessing residual cyber risk
[Must] Risk Management Function should report all enterprise risks consistently and comprehensively to the board
[Must] Risk Management Function should conduct red team exercises
[Must] External Auditors should ensure IT audit scope includes understanding institution's IT infrastructure
[Must] External Auditors should understand extent of institution's automated controls as they relate to financial reporting
[Must] External Auditors should conduct independent threat and vulnerability assessment
[Must] External Auditors should conduct comprehensive review of approved cybersecurity strategy and policy
External Auditors should conduct comprehensive penetration tests</t>
        </is>
      </c>
      <c r="O293" s="8" t="inlineStr"/>
      <c r="P293" s="10" t="inlineStr">
        <is>
          <t>Open PDF</t>
        </is>
      </c>
    </row>
    <row r="294">
      <c r="A294" t="inlineStr">
        <is>
          <t>Kenya</t>
        </is>
      </c>
      <c r="B294" t="inlineStr">
        <is>
          <t>GUIDANCE-NOTE-ON-CYBERSECURITY-FOR-THE-BANKING-SECTOR</t>
        </is>
      </c>
      <c r="C294" t="inlineStr">
        <is>
          <t>3 (part 2)</t>
        </is>
      </c>
      <c r="D294" s="8" t="inlineStr">
        <is>
          <t>PART III Specific Requirements (cont.)</t>
        </is>
      </c>
      <c r="E294" t="inlineStr">
        <is>
          <t>7–10</t>
        </is>
      </c>
      <c r="F294" t="inlineStr">
        <is>
          <t>Other</t>
        </is>
      </c>
      <c r="G294" t="inlineStr">
        <is>
          <t>Unknown</t>
        </is>
      </c>
      <c r="H294" t="inlineStr">
        <is>
          <t>Low</t>
        </is>
      </c>
      <c r="I294" s="8" t="inlineStr"/>
      <c r="J294" s="8" t="inlineStr"/>
      <c r="K294" t="inlineStr"/>
      <c r="L294" s="8" t="inlineStr"/>
      <c r="M294" s="8" t="inlineStr"/>
      <c r="N294" s="8" t="inlineStr"/>
      <c r="O294" s="8" t="inlineStr"/>
      <c r="P294" s="10" t="inlineStr">
        <is>
          <t>Open PDF</t>
        </is>
      </c>
    </row>
    <row r="295">
      <c r="A295" t="inlineStr">
        <is>
          <t>Kenya</t>
        </is>
      </c>
      <c r="B295" t="inlineStr">
        <is>
          <t>GUIDANCE-NOTE-ON-CYBERSECURITY-FOR-THE-BANKING-SECTOR</t>
        </is>
      </c>
      <c r="C295" t="inlineStr">
        <is>
          <t>3 (part 3)</t>
        </is>
      </c>
      <c r="D295" s="8" t="inlineStr">
        <is>
          <t>Outsourcing and Third-Party Cybersecurity Requirements</t>
        </is>
      </c>
      <c r="E295" t="inlineStr">
        <is>
          <t>10–14</t>
        </is>
      </c>
      <c r="F295" t="inlineStr">
        <is>
          <t>Third Party Processing</t>
        </is>
      </c>
      <c r="G295" t="inlineStr">
        <is>
          <t>High</t>
        </is>
      </c>
      <c r="H295" t="inlineStr">
        <is>
          <t>High (explicit)</t>
        </is>
      </c>
      <c r="I295" s="8" t="inlineStr">
        <is>
          <t>Third Party Processing, Outsourcing, Security</t>
        </is>
      </c>
      <c r="J295" s="8" t="inlineStr">
        <is>
          <t>Financial Data</t>
        </is>
      </c>
      <c r="K295" t="inlineStr">
        <is>
          <t>Central Bank of Kenya</t>
        </is>
      </c>
      <c r="L295" s="8" t="inlineStr">
        <is>
          <t>Financial institutions must implement robust governance for outsourcing agreements, including due diligence on service providers, documented contracts, and monitoring of service delivery. They must treat outsourcing agreements as critical infrastructure, select vendors based on compliance and risk assessments, ensure computing resources are secured, and require service providers to comply with applicable legal frameworks. Institutions must also understand third-party risks, perform analytics on their outsourcing portfolio, collaborate with third parties to mitigate risks, and monitor for changes in third parties' cyber posture.</t>
        </is>
      </c>
      <c r="M295" s="8" t="inlineStr">
        <is>
          <t>This section mandates specific cybersecurity controls for third-party relationships, requiring institutions to assess and manage risks associated with outsourcing to ensure data security and compliance during cross-border data transfers involving third parties.</t>
        </is>
      </c>
      <c r="N295" s="8" t="inlineStr">
        <is>
          <t>[Must] Have in place adequate governance of outsourcing agreements including due diligence on prospective service providers, documented outsourcing agreements and adequate monitoring of service delivery.
[Must] Consider all outsourcing agreements as critical infrastructure for regulation and protection for purposes of security of the banking sector and the economy at large.
[Must] Select their vendors based on compliance and risk assessments.
[Must] Ensure all computing resources are secured including registrations, licensing, compliance and verification.
[Must] Ensure all outsourcing contracts require service providers to comply with applicable legal and regulatory frameworks.
[Must] Understand the inherent risk arising from each third party.
[Must] Perform analytics on an institution's outsourcing portfolio to understand which pose the most relative risk to an institution.
[Must] Work collaboratively with third parties to mitigate risks that pose the most risk to an institution.
[Must] Monitor contracted third parties for changes in their business and cyber posture including expansions, divestitures, breaches and new attacks that may alter the third parties' exposure.
[Must] Service Level Agreements should have robust provisions in relation to security, service availability, performance metrics or penalties.
[Must] Develop exit management strategies and contingency plans.</t>
        </is>
      </c>
      <c r="O295" s="8" t="inlineStr">
        <is>
          <t>Have in place adequate governance of outsourcing agreements including due diligence on prospective service providers, documented outsourcing agreements and adequate monitoring of service delivery.</t>
        </is>
      </c>
      <c r="P295" s="10" t="inlineStr">
        <is>
          <t>Open PDF</t>
        </is>
      </c>
    </row>
    <row r="296">
      <c r="A296" t="inlineStr">
        <is>
          <t>Kenya</t>
        </is>
      </c>
      <c r="B296" t="inlineStr">
        <is>
          <t>GuidelinesonCybersecurityforPSPs (Kenya - Row19)</t>
        </is>
      </c>
      <c r="C296" t="inlineStr">
        <is>
          <t>2</t>
        </is>
      </c>
      <c r="D296" s="8" t="inlineStr">
        <is>
          <t>Policy statement for payment service providers on cybersecurity</t>
        </is>
      </c>
      <c r="E296" t="inlineStr">
        <is>
          <t>2</t>
        </is>
      </c>
      <c r="F296" t="inlineStr">
        <is>
          <t>Governance</t>
        </is>
      </c>
      <c r="G296" t="inlineStr">
        <is>
          <t>High</t>
        </is>
      </c>
      <c r="H296" t="inlineStr">
        <is>
          <t>High (explicit)</t>
        </is>
      </c>
      <c r="I296" s="8" t="inlineStr">
        <is>
          <t>Governance</t>
        </is>
      </c>
      <c r="J296" s="8" t="inlineStr">
        <is>
          <t>Financial Data, Customer Data</t>
        </is>
      </c>
      <c r="K296" t="inlineStr">
        <is>
          <t>Central Bank of Kenya (CBK)</t>
        </is>
      </c>
      <c r="L296" s="8" t="inlineStr">
        <is>
          <t>This section establishes the purpose and scope of cybersecurity requirements for Payment Service Providers (PSPs) in Kenya. It mandates that PSPs develop cybersecurity strategies to mitigate cyber risks, prevent cybercrime, protect Critical Information Infrastructure (CII), comply with technical standards, build cybersecurity capacity, and maintain public trust in the payment system. The requirements apply to all PSPs authorized under the National Payment System Act, 2011.</t>
        </is>
      </c>
      <c r="M296" s="8" t="inlineStr">
        <is>
          <t>This section defines the foundational cybersecurity obligations for PSPs, requiring risk-based approaches to protect payment systems from cyber threats. It establishes that PSPs must implement comprehensive cybersecurity programs aligned with their risk profile and regulatory expectations.</t>
        </is>
      </c>
      <c r="N296" s="8" t="inlineStr">
        <is>
          <t>[Must] The Guidelines outline the minimum requirements that PSPs shall build upon in the development and implementation of strategies, frameworks, policies, procedures and related activities aimed at mitigating cyber risk.
[Must] Create a safer and more secure cyberspace that underpins information system security priorities, to promote stability of the Kenyan payment system sub-sector
[Must] Establish a coordinated approach to the prevention and combating of cybercrime
[Must] Up-scale the identification and protection of Critical Information Infrastructure (CII)
[Must] Promote compliance with appropriate technical and operational cybersecurity standards
[Must] Guide PSPs in developing the requisite skills, continuous building of capacity and promote a culture of fostering a strong interplay between policy, leveraging on technology to do business and risk management
[Must] Help maintain public trust and confidence in the National Payment System</t>
        </is>
      </c>
      <c r="O296" s="8" t="inlineStr">
        <is>
          <t>The Guidelines outline the minimum requirements that PSPs shall build upon in the development and implementation of strategies, frameworks, policies, procedures and related activities aimed at mitigating cyber risk.</t>
        </is>
      </c>
      <c r="P296" s="10" t="inlineStr">
        <is>
          <t>Open PDF</t>
        </is>
      </c>
    </row>
    <row r="297">
      <c r="A297" t="inlineStr">
        <is>
          <t>Kenya</t>
        </is>
      </c>
      <c r="B297" t="inlineStr">
        <is>
          <t>GuidelinesonCybersecurityforPSPs (Kenya - Row19)</t>
        </is>
      </c>
      <c r="C297" t="inlineStr">
        <is>
          <t>3</t>
        </is>
      </c>
      <c r="D297" s="8" t="inlineStr">
        <is>
          <t>Specific cybersecurity governance and risk management requirements for PSPs</t>
        </is>
      </c>
      <c r="E297" t="inlineStr">
        <is>
          <t>2</t>
        </is>
      </c>
      <c r="F297" t="inlineStr">
        <is>
          <t>Governance</t>
        </is>
      </c>
      <c r="G297" t="inlineStr">
        <is>
          <t>High</t>
        </is>
      </c>
      <c r="H297" t="inlineStr">
        <is>
          <t>High (explicit)</t>
        </is>
      </c>
      <c r="I297" s="8" t="inlineStr">
        <is>
          <t>Governance</t>
        </is>
      </c>
      <c r="J297" s="8" t="inlineStr">
        <is>
          <t>Financial Data, Customer Data</t>
        </is>
      </c>
      <c r="K297" t="inlineStr">
        <is>
          <t>Central Bank of Kenya (CBK)</t>
        </is>
      </c>
      <c r="L297" s="8" t="inlineStr">
        <is>
          <t>This section details specific governance requirements for Payment Service Providers, including board responsibilities, senior management duties, the role of the Chief Information Security Officer (CISO), and cybersecurity program implementation. It mandates that PSPs establish robust oversight mechanisms, conduct regular risk assessments, implement incident response protocols, and ensure third-party service provider risk management.</t>
        </is>
      </c>
      <c r="M297" s="8" t="inlineStr">
        <is>
          <t>This section imposes detailed governance obligations on PSPs to ensure cybersecurity program effectiveness, including board oversight, senior management accountability, and CISO responsibilities for risk mitigation and incident response.</t>
        </is>
      </c>
      <c r="N297" s="8" t="inlineStr">
        <is>
          <t>[Must] The board members of a PSP should understand the nature of their PSP's business and the cyber risks to which the PSP can be exposed
[Must] Robust oversight and engagement on cyber risk matters at the board level promotes a security risk conscious culture within the PSP
[Must] The board of directors is ultimately responsible for the cybersecurity of the PSP
[Must] Each PSP shall maintain a cybersecurity program designed to protect the confidentiality, integrity and availability of the PSP's Information Systems
[Must] The cybersecurity program shall be based on the PSP's risk assessment
[Must] Identify and assess internal and external cybersecurity risks that may threaten the security or integrity of confidential information stored on the PSP's information Systems
[Must] Use defensive infrastructure and the implementation of policies and procedures to protect the PSP's Information Systems, and the confidential information stored on those information systems, from unauthorized access, use or other malicious acts
[Must] Detect cybersecurity events
[Must] Respond to identified or detected cybersecurity events to mitigate any negative effects
[Must] Recover from cybersecurity events and restore normal operations and services
[Must] Implement a comprehensive testing program to assess the and effectiveness of the cybersecurity program
[Must] Utilize cyber threat intelligence and information sharing mechanisms to understand the cyber threat environment within which an institution is operating
[Must] Fulfill applicable regulatory reporting obligations</t>
        </is>
      </c>
      <c r="O297" s="8" t="inlineStr">
        <is>
          <t>Each PSP shall maintain a cybersecurity program designed to protect the confidentiality, integrity and availability of the PSP's Information Systems.</t>
        </is>
      </c>
      <c r="P297" s="10" t="inlineStr">
        <is>
          <t>Open PDF</t>
        </is>
      </c>
    </row>
    <row r="298">
      <c r="A298" t="inlineStr">
        <is>
          <t>Kenya</t>
        </is>
      </c>
      <c r="B298" t="inlineStr">
        <is>
          <t>GuidelinesonCybersecurityforPSPs (Kenya - Row19)</t>
        </is>
      </c>
      <c r="C298" t="inlineStr">
        <is>
          <t>4</t>
        </is>
      </c>
      <c r="D298" s="8" t="inlineStr"/>
      <c r="E298" t="inlineStr">
        <is>
          <t>2–8</t>
        </is>
      </c>
      <c r="F298" t="inlineStr">
        <is>
          <t>Other</t>
        </is>
      </c>
      <c r="G298" t="inlineStr">
        <is>
          <t>Unknown</t>
        </is>
      </c>
      <c r="H298" t="inlineStr">
        <is>
          <t>Low</t>
        </is>
      </c>
      <c r="I298" s="8" t="inlineStr"/>
      <c r="J298" s="8" t="inlineStr"/>
      <c r="K298" t="inlineStr"/>
      <c r="L298" s="8" t="inlineStr"/>
      <c r="M298" s="8" t="inlineStr"/>
      <c r="N298" s="8" t="inlineStr"/>
      <c r="O298" s="8" t="inlineStr"/>
      <c r="P298" s="10" t="inlineStr">
        <is>
          <t>Open PDF</t>
        </is>
      </c>
    </row>
    <row r="299">
      <c r="A299" t="inlineStr">
        <is>
          <t>Kenya</t>
        </is>
      </c>
      <c r="B299" t="inlineStr">
        <is>
          <t>GuidelinesonCybersecurityforPSPs (Kenya - Row19)</t>
        </is>
      </c>
      <c r="C299" t="inlineStr">
        <is>
          <t>4 (part 2)</t>
        </is>
      </c>
      <c r="D299" s="8" t="inlineStr">
        <is>
          <t>(continued)</t>
        </is>
      </c>
      <c r="E299" t="inlineStr">
        <is>
          <t>8–12</t>
        </is>
      </c>
      <c r="F299" t="inlineStr">
        <is>
          <t>Other</t>
        </is>
      </c>
      <c r="G299" t="inlineStr">
        <is>
          <t>Unknown</t>
        </is>
      </c>
      <c r="H299" t="inlineStr">
        <is>
          <t>Low</t>
        </is>
      </c>
      <c r="I299" s="8" t="inlineStr"/>
      <c r="J299" s="8" t="inlineStr"/>
      <c r="K299" t="inlineStr"/>
      <c r="L299" s="8" t="inlineStr"/>
      <c r="M299" s="8" t="inlineStr"/>
      <c r="N299" s="8" t="inlineStr"/>
      <c r="O299" s="8" t="inlineStr"/>
      <c r="P299" s="10" t="inlineStr">
        <is>
          <t>Open PDF</t>
        </is>
      </c>
    </row>
    <row r="300">
      <c r="A300" t="inlineStr">
        <is>
          <t>Kenya</t>
        </is>
      </c>
      <c r="B300" t="inlineStr">
        <is>
          <t>GuidelinesonCybersecurityforPSPs (Kenya - Row19)</t>
        </is>
      </c>
      <c r="C300" t="inlineStr">
        <is>
          <t>4 (part 3)</t>
        </is>
      </c>
      <c r="D300" s="8" t="inlineStr">
        <is>
          <t>Cybersecurity training, monitoring, and reporting requirements for payment service providers</t>
        </is>
      </c>
      <c r="E300" t="inlineStr">
        <is>
          <t>12–16</t>
        </is>
      </c>
      <c r="F300" t="inlineStr">
        <is>
          <t>Security</t>
        </is>
      </c>
      <c r="G300" t="inlineStr">
        <is>
          <t>High</t>
        </is>
      </c>
      <c r="H300" t="inlineStr">
        <is>
          <t>High (explicit)</t>
        </is>
      </c>
      <c r="I300" s="8" t="inlineStr">
        <is>
          <t>Security, Incident Reporting, Breach Notification</t>
        </is>
      </c>
      <c r="J300" s="8" t="inlineStr">
        <is>
          <t>Financial Data</t>
        </is>
      </c>
      <c r="K300" t="inlineStr">
        <is>
          <t>CBK</t>
        </is>
      </c>
      <c r="L300" s="8" t="inlineStr">
        <is>
          <t>Payment service providers (PSPs) must conduct regular cybersecurity training for staff and users to improve technical proficiency and cyber hygiene. They must implement processes to monitor IT systems for timely detection of cybersecurity events and incidents. PSPs are required to report quarterly to the CEO on information system confidentiality, integrity, availability, policy exceptions, cybersecurity program effectiveness, and material cyber events. Additionally, PSPs must report quarterly to the board on cybersecurity management capabilities and strategy implementation progress. They must also update incident response mechanisms and business continuity plans based on threat intelligence, incorporate scenario analysis for cyber-attacks, ensure critical data backups to disaster-resistant sites, define cyber risk management roles, implement business continuity plans, assess cybersecurity program effectiveness, and periodically report cybersecurity posture to senior management, board, and audit committees.</t>
        </is>
      </c>
      <c r="M300" s="8" t="inlineStr">
        <is>
          <t>PSPs must maintain robust cybersecurity monitoring, reporting, and incident response mechanisms to ensure timely detection and mitigation of cyber threats. These requirements directly impact data transfer and storage security across borders by mandating continuous system monitoring, regular vulnerability assessments, and business continuity planning for critical data.</t>
        </is>
      </c>
      <c r="N300" s="8" t="inlineStr">
        <is>
          <t>[Must] Organizing professional cyber related trainings to improve technical proficiency of staff and user awareness trainings for improved cyber hygiene
[Must] Ensure that adequate processes are in place for monitoring IT systems to detect cybersecurity events and incidents in a timely manner
[Must] Reporting to the CEO on an agreed interval but not less than once per quarter on the assessment of the confidentiality, integrity and availability of information systems
[Must] Reporting to the CEO on an agreed interval but not less than once per quarter on detailed exceptions to approved cybersecurity policies and procedures
[Must] Reporting to the CEO on an agreed interval but not less than once per quarter on assessment of the effectiveness of the approved cybersecurity program
[Must] Reporting to the CEO on an agreed interval but not less than once per quarter on all material cybersecurity events that affected the PSP during the period
[Must] Reporting to the Board on an agreed interval but not less than once per quarter on the PSP's capability to manage cybersecurity and progress in implementation of the cybersecurity strategy and goals
[Must] Ensure timely update of incident response mechanism and Business Continuity Plan (BCP) based on the latest cyber threat intelligence gathered
[Must] Incorporate the utilization of scenario analysis to consider a material cyber-attack, mitigating actions, and identify potential control gaps
[Must] Ensure adequate backups of critical IT systems and data in line with predetermined recovery objectives to a site unlikely to be affected by a disaster event at the main processing site
[Must] Ensure the roles and responsibilities of managing cyber risks, including in emergency or crisis decision-making, are clearly defined, documented and communicated to relevant staff
[Must] Put in place BCP and disaster recovery test plans to ensure the PSP can continue to function and meet regulatory obligations in the event of cyber-crime
[Must] Assessing the overall effectiveness of the PSP's cybersecurity program
[Must] Periodically reporting on the organization's cybersecurity posture to senior management, board and audit committee</t>
        </is>
      </c>
      <c r="O300" s="8" t="inlineStr">
        <is>
          <t>e) Organizing professional cyber related trainings to improve technical proficiency of staff and user awareness trainings for improved cyber hygiene. f) Ensure that adequate processes are in place for monitoring IT systems to detect cybersecurity events and incidents in a timely manner. g) Reporting to the CEO on an agreed interval but not less than once per quarter on the following: assessment of the confidentiality, integrity and availability of the information systems in the PSPs. Detailed exceptions to the approved cybersecurity policies and procedures. Assessment of the effectiveness of the approved cybersecurity program. All material cybersecurity events that affected the PSP during the period. h) Reporting to the Board on an agreed interval but not less than once per quarter on the PSP's capability to manage cybersecurity and progress in implementation of the cybersecurity strategy and goals.</t>
        </is>
      </c>
      <c r="P300" s="10" t="inlineStr">
        <is>
          <t>Open PDF</t>
        </is>
      </c>
    </row>
    <row r="301">
      <c r="A301" t="inlineStr">
        <is>
          <t>Kenya</t>
        </is>
      </c>
      <c r="B301" t="inlineStr">
        <is>
          <t>GuidelinesonCybersecurityforPSPs (Kenya - Row19)</t>
        </is>
      </c>
      <c r="C301" t="inlineStr">
        <is>
          <t>4 (part 4)</t>
        </is>
      </c>
      <c r="D301" s="8" t="inlineStr">
        <is>
          <t>Cybersecurity strategy, frameworks, and policies for payment service providers</t>
        </is>
      </c>
      <c r="E301" t="inlineStr">
        <is>
          <t>16–20</t>
        </is>
      </c>
      <c r="F301" t="inlineStr">
        <is>
          <t>Security</t>
        </is>
      </c>
      <c r="G301" t="inlineStr">
        <is>
          <t>High</t>
        </is>
      </c>
      <c r="H301" t="inlineStr">
        <is>
          <t>High (explicit)</t>
        </is>
      </c>
      <c r="I301" s="8" t="inlineStr">
        <is>
          <t>Security</t>
        </is>
      </c>
      <c r="J301" s="8" t="inlineStr">
        <is>
          <t>Financial Data</t>
        </is>
      </c>
      <c r="K301" t="inlineStr">
        <is>
          <t>CBK</t>
        </is>
      </c>
      <c r="L301" s="8" t="inlineStr">
        <is>
          <t>Payment service providers (PSPs) must implement and maintain written cybersecurity policies approved by their board or equivalent governing body. These policies must be based on risk assessments and address information security, data governance, asset inventory, access controls, business continuity, systems operations, network security, monitoring, application development, physical security, customer data privacy, vendor management, risk assessment, and incident response. The policies must be updated periodically to address evolving threats and technological changes.</t>
        </is>
      </c>
      <c r="M301" s="8" t="inlineStr">
        <is>
          <t>PSPs must establish comprehensive cybersecurity frameworks that directly impact data transfer and storage security across borders by requiring detailed risk assessments, policy documentation, and continuous monitoring of information systems.</t>
        </is>
      </c>
      <c r="N301" s="8" t="inlineStr">
        <is>
          <t>[Must] Each PSP shall implement and maintain a written policy or policies, approved by the PSP's board of directors (or an appropriate committee thereof) or equivalent governing body, setting forth the PSP's policies and procedures for the protection of its information systems and confidential information stored on those Information Systems
[Must] The cybersecurity policy shall be based on the PSP's risk assessment and address the following areas to the extent applicable to the PSP's operations: information security, data governance and classification, asset inventory and device management, access controls and identity management, business continuity and disaster recovery planning and resources, systems operations concerns, systems and network security, systems and network monitoring, systems and application development and quality assurance, physical security and environmental controls, customer data privacy, vendor and third party service provider management, risk assessment, incident response</t>
        </is>
      </c>
      <c r="O301" s="8" t="inlineStr">
        <is>
          <t>Each PSP shall implement and maintain a written policy or policies, approved by the PSP's board of directors (or an appropriate committee thereof) or equivalent governing body, setting forth the PSP's policies and procedures for the protection of its information systems and confidential information stored on those Information Systems. The cybersecurity policy shall be based on the PSP's risk assessment and address the following areas to the extent applicable to the PSP's operations: (i) Information security. (ii) Data governance and classification. (iii) Asset inventory and device management. (iv) Access controls and identity management. (v) Business continuity and disaster recovery planning and resources. (vi) Systems operations concerns. (vii) Systems and network security. (viii) Systems and network monitoring. (ix) Systems and application development and quality assurance. (x) Physical security and environmental controls. (xi) Customer data privacy. (xii) Vendor and third party service provider management. (xiii) Risk assessment. (xiv) Incident response.</t>
        </is>
      </c>
      <c r="P301" s="10" t="inlineStr">
        <is>
          <t>Open PDF</t>
        </is>
      </c>
    </row>
    <row r="302">
      <c r="A302" t="inlineStr">
        <is>
          <t>Kenya</t>
        </is>
      </c>
      <c r="B302" t="inlineStr">
        <is>
          <t>GuidelinesonCybersecurityforPSPs (Kenya - Row19)</t>
        </is>
      </c>
      <c r="C302" t="inlineStr">
        <is>
          <t>4 (part 5)</t>
        </is>
      </c>
      <c r="D302" s="8" t="inlineStr">
        <is>
          <t>PSPs must submit quarterly cybersecurity incident reports to CBK</t>
        </is>
      </c>
      <c r="E302" t="inlineStr">
        <is>
          <t>20–24</t>
        </is>
      </c>
      <c r="F302" t="inlineStr">
        <is>
          <t>Other</t>
        </is>
      </c>
      <c r="G302" t="inlineStr">
        <is>
          <t>High</t>
        </is>
      </c>
      <c r="H302" t="inlineStr">
        <is>
          <t>High (explicit)</t>
        </is>
      </c>
      <c r="I302" s="8" t="inlineStr"/>
      <c r="J302" s="8" t="inlineStr">
        <is>
          <t>Personal Information</t>
        </is>
      </c>
      <c r="K302" t="inlineStr">
        <is>
          <t>Central Bank of Kenya (CBK)</t>
        </is>
      </c>
      <c r="L302" s="8" t="inlineStr">
        <is>
          <t>Payment service providers must submit a quarterly report to the Central Bank of Kenya detailing cybersecurity incidents, actions taken, and measures to mitigate future incidents, within 10 days after the end of each quarter. This report must be submitted in the format specified in Annex III.</t>
        </is>
      </c>
      <c r="M302" s="8" t="inlineStr">
        <is>
          <t>Requires ongoing quarterly reporting of cybersecurity incidents, ensuring continuous monitoring of data transfer risks and timely responses to incidents affecting cross-border data flows.</t>
        </is>
      </c>
      <c r="N302" s="8" t="inlineStr">
        <is>
          <t>[Must] On a quarterly basis, PSPs shall provide Central Bank of Kenya with a report in the format set out as Annex III (Quarterly) to this Guideline, concerning its occurrence and handling of Cybersecurity incidents.</t>
        </is>
      </c>
      <c r="O302" s="8" t="inlineStr">
        <is>
          <t>On a quarterly basis, PSPs shall provide Central Bank of Kenya with a report in the format set out as Annex III (Quarterly) to this Guideline, concerning its occurrence and handling of Cybersecurity incidents.</t>
        </is>
      </c>
      <c r="P302" s="10" t="inlineStr">
        <is>
          <t>Open PDF</t>
        </is>
      </c>
    </row>
    <row r="303">
      <c r="A303" t="inlineStr">
        <is>
          <t>Kenya</t>
        </is>
      </c>
      <c r="B303" t="inlineStr">
        <is>
          <t>THE-DATA-PROTECTION-COMPLAINTS-HANDLING-AND-ENFORCEMENT (Kenya - Row 15)</t>
        </is>
      </c>
      <c r="C303" t="inlineStr">
        <is>
          <t>1</t>
        </is>
      </c>
      <c r="D303" s="8" t="inlineStr">
        <is>
          <t>These Regulations may be cited as the Data Protection</t>
        </is>
      </c>
      <c r="E303" t="inlineStr">
        <is>
          <t>3</t>
        </is>
      </c>
      <c r="F303" t="inlineStr">
        <is>
          <t>Other</t>
        </is>
      </c>
      <c r="G303" t="inlineStr">
        <is>
          <t>None</t>
        </is>
      </c>
      <c r="H303" t="inlineStr">
        <is>
          <t>High (explicit)</t>
        </is>
      </c>
      <c r="I303" s="8" t="inlineStr"/>
      <c r="J303" s="8" t="inlineStr"/>
      <c r="K303" t="inlineStr"/>
      <c r="L303" s="8" t="inlineStr">
        <is>
          <t>This section establishes the citation for the Data Protection (Complaints Handling Procedure and Enforcement) Regulations, 2021, allowing it to be referred to as the Regulations in subsequent legal contexts.</t>
        </is>
      </c>
      <c r="M303" s="8" t="inlineStr"/>
      <c r="N303" s="8" t="inlineStr">
        <is>
          <t>[Must] These Regulations may be cited as the Data Protection (Complaints Handling Procedure and Enforcement) Regulations, 2021.</t>
        </is>
      </c>
      <c r="O303" s="8" t="inlineStr">
        <is>
          <t>These Regulations may be cited as the Data Protection (Complaints Handling Procedure and Enforcement) Regulations, 2021.</t>
        </is>
      </c>
      <c r="P303" s="10" t="inlineStr">
        <is>
          <t>Open PDF</t>
        </is>
      </c>
    </row>
    <row r="304">
      <c r="A304" t="inlineStr">
        <is>
          <t>Kenya</t>
        </is>
      </c>
      <c r="B304" t="inlineStr">
        <is>
          <t>THE-DATA-PROTECTION-COMPLAINTS-HANDLING-AND-ENFORCEMENT (Kenya - Row 15)</t>
        </is>
      </c>
      <c r="C304" t="inlineStr">
        <is>
          <t>2</t>
        </is>
      </c>
      <c r="D304" s="8" t="inlineStr">
        <is>
          <t>In these Regulations, unless the context otherwise requires</t>
        </is>
      </c>
      <c r="E304" t="inlineStr">
        <is>
          <t>3</t>
        </is>
      </c>
      <c r="F304" t="inlineStr">
        <is>
          <t>Definitions</t>
        </is>
      </c>
      <c r="G304" t="inlineStr">
        <is>
          <t>None</t>
        </is>
      </c>
      <c r="H304" t="inlineStr">
        <is>
          <t>High (explicit)</t>
        </is>
      </c>
      <c r="I304" s="8" t="inlineStr"/>
      <c r="J304" s="8" t="inlineStr"/>
      <c r="K304" t="inlineStr"/>
      <c r="L304" s="8" t="inlineStr">
        <is>
          <t>This section defines key terms used in the Regulations, including 'data subject', 'complainant', 'Data Protection Commissioner', and other relevant entities, to ensure clarity in complaint handling procedures.</t>
        </is>
      </c>
      <c r="M304" s="8" t="inlineStr"/>
      <c r="N304" s="8" t="inlineStr">
        <is>
          <t>[Definition] means a data subject or a person who has lodged a complaint pursuant to regulation 4
[Definition] means the person appointed under section 6 of the Act
[Definition] means the office of the Data Protection Commissioner
[Definition] Commissioner under regulation 16
[Definition] Commissioner under regulation 20
[Definition] lodged
[Definition] writing, directing a person to appear before the Office</t>
        </is>
      </c>
      <c r="O304" s="8" t="inlineStr">
        <is>
          <t>In these Regulations, unless the context otherwise requires means a data subject or a person who has lodged a complaint pursuant to regulation 4; means the person appointed under section 6 of the Act; means the office of the Data Protection Commissioner; Commissioner under regulation 16; Commissioner under regulation 20; lodged; and writing, directing a person to appear before the Office.</t>
        </is>
      </c>
      <c r="P304" s="10" t="inlineStr">
        <is>
          <t>Open PDF</t>
        </is>
      </c>
    </row>
    <row r="305">
      <c r="A305" t="inlineStr">
        <is>
          <t>Kenya</t>
        </is>
      </c>
      <c r="B305" t="inlineStr">
        <is>
          <t>THE-DATA-PROTECTION-COMPLAINTS-HANDLING-AND-ENFORCEMENT (Kenya - Row 15)</t>
        </is>
      </c>
      <c r="C305" t="inlineStr">
        <is>
          <t>3</t>
        </is>
      </c>
      <c r="D305" s="8" t="inlineStr">
        <is>
          <t>The object and purpose of these Regulations is to</t>
        </is>
      </c>
      <c r="E305" t="inlineStr">
        <is>
          <t>3–4</t>
        </is>
      </c>
      <c r="F305" t="inlineStr">
        <is>
          <t>Other</t>
        </is>
      </c>
      <c r="G305" t="inlineStr">
        <is>
          <t>None</t>
        </is>
      </c>
      <c r="H305" t="inlineStr">
        <is>
          <t>High (explicit)</t>
        </is>
      </c>
      <c r="I305" s="8" t="inlineStr"/>
      <c r="J305" s="8" t="inlineStr"/>
      <c r="K305" t="inlineStr"/>
      <c r="L305" s="8" t="inlineStr">
        <is>
          <t>This section outlines the objectives of the Regulations, including facilitating fair complaint resolution, issuing enforcement notices, penalty notices, establishing complaint hearing procedures, and resolving complaints through alternative dispute mechanisms as specified in the Act.</t>
        </is>
      </c>
      <c r="M305" s="8" t="inlineStr"/>
      <c r="N305" s="8" t="inlineStr">
        <is>
          <t>[Must] facilitate a fair, impartial, just, expeditious, proportionate and affordable determination of complaints lodged with the Data Commissioner in accordance with the Act and these Regulations, without undue regard to technicalities of procedure
[Must] provide for issuance of enforcement notices as contemplated under section 58 of the Act
[Must] provide for issuance of penalty notices as contemplated under section 62 of the Act
[Must] provide for the procedure for hearing and determining of complaints
[Must] provide for the resolution of complaints lodged with the Data Commissioner by means of alternative dispute resolution mechanisms as specified under section 9(1)(c) of the Act</t>
        </is>
      </c>
      <c r="O305" s="8" t="inlineStr">
        <is>
          <t>The object and purpose of these Regulations is to facilitate a fair, impartial, just, expeditious, proportionate and affordable determination of complaints lodged with the Data Commissioner in accordance with the Act and these Regulations, without undue regard to technicalities of procedure; provide for issuance of enforcement notices as contemplated under section 58 of the Act; provide for issuance of penalty notices as contemplated under section 62 of the Act; provide for the procedure for hearing and determining of complaints; and provide for the resolution of complaints lodged with the Data Commissioner by means of alternative dispute resolution mechanisms as specified under section 9(1)(c) of the Act.</t>
        </is>
      </c>
      <c r="P305" s="10" t="inlineStr">
        <is>
          <t>Open PDF</t>
        </is>
      </c>
    </row>
    <row r="306">
      <c r="A306" t="inlineStr">
        <is>
          <t>Kenya</t>
        </is>
      </c>
      <c r="B306" t="inlineStr">
        <is>
          <t>THE-DATA-PROTECTION-COMPLAINTS-HANDLING-AND-ENFORCEMENT (Kenya - Row 15)</t>
        </is>
      </c>
      <c r="C306" t="inlineStr">
        <is>
          <t>4</t>
        </is>
      </c>
      <c r="D306" s="8" t="inlineStr">
        <is>
          <t>(1) Pursuant to section 56 of the Act, a data subject or any</t>
        </is>
      </c>
      <c r="E306" t="inlineStr">
        <is>
          <t>4</t>
        </is>
      </c>
      <c r="F306" t="inlineStr">
        <is>
          <t>Other</t>
        </is>
      </c>
      <c r="G306" t="inlineStr">
        <is>
          <t>None</t>
        </is>
      </c>
      <c r="H306" t="inlineStr">
        <is>
          <t>High (explicit)</t>
        </is>
      </c>
      <c r="I306" s="8" t="inlineStr"/>
      <c r="J306" s="8" t="inlineStr"/>
      <c r="K306" t="inlineStr"/>
      <c r="L306" s="8" t="inlineStr">
        <is>
          <t>This section details the procedures for lodging complaints with the Data Commissioner, including acceptable methods (oral, electronic, or other means), the requirement to be free of charge, and the seven-day acknowledgment period for complaint receipt.</t>
        </is>
      </c>
      <c r="M306" s="8" t="inlineStr"/>
      <c r="N306" s="8" t="inlineStr">
        <is>
          <t>[Must] Pursuant to section 56 of the Act, a data subject or any person aggrieved on any matter under the Act may lodge a complaint with the Data Commissioner
[Must] A complaint lodged under sub-regulation (1) may be lodged in Form DPC 1 set out in the Schedule
[Must] A complaint may be lodged orally, subject to section 56(3) of the Act
[Must] A complaint may be lodged through electronic means, including email, web posting, complaint management information system
[Must] A complaint may be lodged by the complainant in person
[Must] A complaint may be lodged by a person acting on behalf of the complainant
[Must] A complaint may be lodged by any other person authorized by law to act on behalf of a data subject
[Must] A complaint may be lodged anonymously
[Must] The Data Commissioner shall acknowledge receipt of the complaint within seven days of receipt of the complaint
[Must] The complaint shall be lodged free of charge</t>
        </is>
      </c>
      <c r="O306" s="8" t="inlineStr">
        <is>
          <t>Pursuant to section 56 of the Act, a data subject or any person aggrieved on any matter under the Act may lodge a complaint with the Data Commissioner. A complaint lodged under sub-regulation (1) may be lodged in Form DPC 1 set out in the Schedule (a) orally, subject to section 56(3) of the Act; (b) through electronic means, including email, web posting, complaint management information system; or (c) by any other appropriate means.</t>
        </is>
      </c>
      <c r="P306" s="10" t="inlineStr">
        <is>
          <t>Open PDF</t>
        </is>
      </c>
    </row>
    <row r="307">
      <c r="A307" t="inlineStr">
        <is>
          <t>Kenya</t>
        </is>
      </c>
      <c r="B307" t="inlineStr">
        <is>
          <t>THE-DATA-PROTECTION-COMPLAINTS-HANDLING-AND-ENFORCEMENT (Kenya - Row 15)</t>
        </is>
      </c>
      <c r="C307" t="inlineStr">
        <is>
          <t>5</t>
        </is>
      </c>
      <c r="D307" s="8" t="inlineStr">
        <is>
          <t>(1) The Data Commissioner shall keep and maintain an up to</t>
        </is>
      </c>
      <c r="E307" t="inlineStr">
        <is>
          <t>4</t>
        </is>
      </c>
      <c r="F307" t="inlineStr">
        <is>
          <t>Other</t>
        </is>
      </c>
      <c r="G307" t="inlineStr">
        <is>
          <t>None</t>
        </is>
      </c>
      <c r="H307" t="inlineStr">
        <is>
          <t>High (explicit)</t>
        </is>
      </c>
      <c r="I307" s="8" t="inlineStr"/>
      <c r="J307" s="8" t="inlineStr"/>
      <c r="K307" t="inlineStr"/>
      <c r="L307" s="8" t="inlineStr">
        <is>
          <t>This section mandates the Data Commissioner to maintain an up-to-date Register of Complaints, record complainant details, and protect the complainant's identity upon request.</t>
        </is>
      </c>
      <c r="M307" s="8" t="inlineStr"/>
      <c r="N307" s="8" t="inlineStr">
        <is>
          <t>[Must] The Data Commissioner shall keep and maintain an up to date Register of Complaints
[Must] An entry into the register of complaints shall state the particulars of the complainant and the complaint filed with the Data Commissioner
[Must] The Data Commissioner shall protect the identity of the complainant where the request to protect the identity is sought by the complainant</t>
        </is>
      </c>
      <c r="O307" s="8" t="inlineStr">
        <is>
          <t>The Data Commissioner shall keep and maintain an up to date Register of Complaints. An entry into the register of complaints shall state the particulars of the complainant and the complaint filed with the Data Commissioner. The Data Commissioner shall protect the identity of the complainant where the request to protect the identity is sought by the complainant.</t>
        </is>
      </c>
      <c r="P307" s="10" t="inlineStr">
        <is>
          <t>Open PDF</t>
        </is>
      </c>
    </row>
    <row r="308">
      <c r="A308" t="inlineStr">
        <is>
          <t>Kenya</t>
        </is>
      </c>
      <c r="B308" t="inlineStr">
        <is>
          <t>THE-DATA-PROTECTION-COMPLAINTS-HANDLING-AND-ENFORCEMENT (Kenya - Row 15)</t>
        </is>
      </c>
      <c r="C308" t="inlineStr">
        <is>
          <t>6</t>
        </is>
      </c>
      <c r="D308" s="8" t="inlineStr">
        <is>
          <t>(1) The Data Commissioner shall undertake a preliminary</t>
        </is>
      </c>
      <c r="E308" t="inlineStr">
        <is>
          <t>4–5</t>
        </is>
      </c>
      <c r="F308" t="inlineStr">
        <is>
          <t>Other</t>
        </is>
      </c>
      <c r="G308" t="inlineStr">
        <is>
          <t>None</t>
        </is>
      </c>
      <c r="H308" t="inlineStr">
        <is>
          <t>High (explicit)</t>
        </is>
      </c>
      <c r="I308" s="8" t="inlineStr"/>
      <c r="J308" s="8" t="inlineStr"/>
      <c r="K308" t="inlineStr"/>
      <c r="L308" s="8" t="inlineStr">
        <is>
          <t>This section outlines the preliminary review process for complaints, including admission, referral, or decline of complaints, and the procedures for conducting inquiries, investigations, and alternative dispute resolution mechanisms.</t>
        </is>
      </c>
      <c r="M308" s="8" t="inlineStr"/>
      <c r="N308" s="8" t="inlineStr">
        <is>
          <t>[Must] The Data Commissioner shall undertake a preliminary review of a complaint, upon receipt of the complaint by the Office
[May] The Data Commissioner may, upon undertaking a preliminary review of the complaint, admit the complaint
[May] The Data Commissioner may, upon undertaking a preliminary review of the complaint, advise the complainant in writing that the matter is not within the mandate of the Data Commissioner
[May] The Data Commissioner may, upon undertaking a preliminary review of the complaint, advise the complainant that the matter lies for determination by another body or institution and refer the complainant to that body or institution
[May] Despite sub-regulation (2), the Data Commissioner may decline to admit a complaint where the complaint does not raise any issue under the Act
[May] Upon admission of a complaint, the Data Commissioner may conduct an inquiry into the complaint
[May] Upon admission of a complaint, the Data Commissioner may conduct investigations
[May] Upon admission of a complaint, the Data Commissioner may facilitate mediation, conciliation or negotiation in accordance with the Act and these Regulations
[May] Upon admission of a complaint, the Data Commissioner may use any other mechanisms to resolve the complaint
[May] Where a complaint is declined for admission under sub-regulation (3), the complaint may be re-admitted within six months from the date of decline, where the complaint raises new issues for determination under the Act</t>
        </is>
      </c>
      <c r="O308" s="8" t="inlineStr">
        <is>
          <t>The Data Commissioner shall undertake a preliminary review of a complaint, upon receipt of the complaint by the Office. The Data Commissioner may, upon undertaking a preliminary review of the complaint, admit the complaint; where applicable, advise the complainant in writing that the matter is not within the mandate of the Data Commissioner; or advise the complainant that the matter lies for determination by another body or institution and refer the complainant to that body or institution.</t>
        </is>
      </c>
      <c r="P308" s="10" t="inlineStr">
        <is>
          <t>Open PDF</t>
        </is>
      </c>
    </row>
    <row r="309">
      <c r="A309" t="inlineStr">
        <is>
          <t>Kenya</t>
        </is>
      </c>
      <c r="B309" t="inlineStr">
        <is>
          <t>THE-DATA-PROTECTION-COMPLAINTS-HANDLING-AND-ENFORCEMENT (Kenya - Row 15)</t>
        </is>
      </c>
      <c r="C309" t="inlineStr">
        <is>
          <t>7</t>
        </is>
      </c>
      <c r="D309" s="8" t="inlineStr">
        <is>
          <t>(1) The Data Commissioner may discontinue an existing</t>
        </is>
      </c>
      <c r="E309" t="inlineStr">
        <is>
          <t>5</t>
        </is>
      </c>
      <c r="F309" t="inlineStr">
        <is>
          <t>Other</t>
        </is>
      </c>
      <c r="G309" t="inlineStr">
        <is>
          <t>Low</t>
        </is>
      </c>
      <c r="H309" t="inlineStr">
        <is>
          <t>High (explicit)</t>
        </is>
      </c>
      <c r="I309" s="8" t="inlineStr"/>
      <c r="J309" s="8" t="inlineStr"/>
      <c r="K309" t="inlineStr">
        <is>
          <t>Data Commissioner</t>
        </is>
      </c>
      <c r="L309" s="8" t="inlineStr">
        <is>
          <t>The Data Commissioner can terminate a complaint in Form DPC 2 if the complaint lacks merit or the complainant fails to communicate without justifiable cause. The Commissioner must provide written reasons for termination within fourteen days and notify both parties. A complainant may refile the complaint after providing grounds for reinstatement.</t>
        </is>
      </c>
      <c r="M309" s="8" t="inlineStr">
        <is>
          <t>This section outlines procedures for terminating complaints, which may impact DTIA by requiring clear termination grounds and re-institution mechanisms for complaints.</t>
        </is>
      </c>
      <c r="N309" s="8" t="inlineStr">
        <is>
          <t>[Must] The Data Commissioner may discontinue an existing complaint in Form DPC 2 where a complaint does not merit further consideration
[Must] The Data Commissioner may discontinue an existing complaint in Form DPC 2 where a complainant refuses, fails or neglects to communicate without justifiable cause
[Must] The Data Commissioner shall provide the reasons for discontinuation on any of the grounds specified under sub-regulation (1) (a) or (b) and shall, in writing, notify the complainant and respondent within fourteen days from the date the decision to discontinue a complaint is made
[May] A complainant may, where a complaint has been discontinued pursuant to these Regulations, re-institute a complaint upon providing grounds for the restitution to the Data Commissioner</t>
        </is>
      </c>
      <c r="O309" s="8" t="inlineStr">
        <is>
          <t>7. (1) The Data Commissioner may discontinue an existing complaint in Form DPC 2 set out in the Schedule, where (a) a complaint does not merit further consideration; or (b) a complainant refuses, fails or neglects to communicate without justifiable cause.</t>
        </is>
      </c>
      <c r="P309" s="10" t="inlineStr">
        <is>
          <t>Open PDF</t>
        </is>
      </c>
    </row>
    <row r="310">
      <c r="A310" t="inlineStr">
        <is>
          <t>Kenya</t>
        </is>
      </c>
      <c r="B310" t="inlineStr">
        <is>
          <t>THE-DATA-PROTECTION-COMPLAINTS-HANDLING-AND-ENFORCEMENT (Kenya - Row 15)</t>
        </is>
      </c>
      <c r="C310" t="inlineStr">
        <is>
          <t>8</t>
        </is>
      </c>
      <c r="D310" s="8" t="inlineStr">
        <is>
          <t>(1) A complaint may be withdrawn at any stage during its</t>
        </is>
      </c>
      <c r="E310" t="inlineStr">
        <is>
          <t>5</t>
        </is>
      </c>
      <c r="F310" t="inlineStr">
        <is>
          <t>Other</t>
        </is>
      </c>
      <c r="G310" t="inlineStr">
        <is>
          <t>Low</t>
        </is>
      </c>
      <c r="H310" t="inlineStr">
        <is>
          <t>High (explicit)</t>
        </is>
      </c>
      <c r="I310" s="8" t="inlineStr"/>
      <c r="J310" s="8" t="inlineStr"/>
      <c r="K310" t="inlineStr"/>
      <c r="L310" s="8" t="inlineStr">
        <is>
          <t>Complaints can be withdrawn at any stage before a determination is made. Complainants must submit a withdrawal request in Form DPC 2, and withdrawn complaints can be re-lodged within six months. The Office processes re-lodged complaints according to the same procedures.</t>
        </is>
      </c>
      <c r="M310" s="8" t="inlineStr">
        <is>
          <t>This section allows for complaint withdrawal and re-lodging, which may affect DTIA by introducing time-bound re-lodging and procedural continuity.</t>
        </is>
      </c>
      <c r="N310" s="8" t="inlineStr">
        <is>
          <t>[May] A complaint may be withdrawn at any stage during its consideration but before a determination is made
[May] A complainant may, at any time during the consideration of a complaint lodged pursuant to regulation 4 and before its determination, withdraw the complaint
[Must] An application for a withdrawal under sub-regulation (1) shall be in Form DPC 2 set out in the Schedule
[May] A withdrawn complaint under sub-regulation (1) may be re-lodged, within six months from the date of withdrawal of such complaint</t>
        </is>
      </c>
      <c r="O310" s="8" t="inlineStr">
        <is>
          <t>8. (1) A complaint may be withdrawn at any stage during its consideration but before a determination is made.</t>
        </is>
      </c>
      <c r="P310" s="10" t="inlineStr">
        <is>
          <t>Open PDF</t>
        </is>
      </c>
    </row>
    <row r="311">
      <c r="A311" t="inlineStr">
        <is>
          <t>Kenya</t>
        </is>
      </c>
      <c r="B311" t="inlineStr">
        <is>
          <t>THE-DATA-PROTECTION-COMPLAINTS-HANDLING-AND-ENFORCEMENT (Kenya - Row 15)</t>
        </is>
      </c>
      <c r="C311" t="inlineStr">
        <is>
          <t>9</t>
        </is>
      </c>
      <c r="D311" s="8" t="inlineStr">
        <is>
          <t>(1) Where two or more complaints are lodged in which similar</t>
        </is>
      </c>
      <c r="E311" t="inlineStr">
        <is>
          <t>5–6</t>
        </is>
      </c>
      <c r="F311" t="inlineStr">
        <is>
          <t>Other</t>
        </is>
      </c>
      <c r="G311" t="inlineStr">
        <is>
          <t>Low</t>
        </is>
      </c>
      <c r="H311" t="inlineStr">
        <is>
          <t>High (explicit)</t>
        </is>
      </c>
      <c r="I311" s="8" t="inlineStr"/>
      <c r="J311" s="8" t="inlineStr"/>
      <c r="K311" t="inlineStr">
        <is>
          <t>Data Commissioner</t>
        </is>
      </c>
      <c r="L311" s="8" t="inlineStr">
        <is>
          <t>The Data Commissioner may consolidate similar complaints with complainant consent or treat one as a test complaint to resolve others pending its outcome. Consolidated complaints are treated as single complaints, and test complaints apply to stayed complaints.</t>
        </is>
      </c>
      <c r="M311" s="8" t="inlineStr">
        <is>
          <t>This section addresses joint complaint handling, which may impact DTIA by allowing for consolidated processing of similar complaints across jurisdictions.</t>
        </is>
      </c>
      <c r="N311" s="8" t="inlineStr">
        <is>
          <t>[May] Where two or more complaints are lodged in which similar issues are raised against a respondent, the Data Commissioner may, with the consent of the complainants, consolidate the complaints and make a determination
[May] Where two or more complaints are lodged in which similar issues are raised against a respondent, the Data Commissioner may, with the consent of the complainants, treat one complaint as a test complaint and stay further action on the other complaints pending resolution of the test complaint
[Must] The Data Commissioner shall, with necessary modifications, apply the decision of a test complaint to all the complaints stayed under sub-regulation (1)(b)
[Must] Where complaints are consolidated in accordance with this regulation, the complaint shall be treated as a single complaint and shall be determined in accordance with the provisions of these Regulations</t>
        </is>
      </c>
      <c r="O311" s="8" t="inlineStr">
        <is>
          <t>9. (1) Where two or more complaints are lodged in which similar issues are raised against a respondent, the Data Commissioner may, with the consent of the complainants (a) consolidate the complaints and make a determination; or (b) treat one complaint as a test complaint and stay further action on the other complaints pending resolution of the test complaint.</t>
        </is>
      </c>
      <c r="P311" s="10" t="inlineStr">
        <is>
          <t>Open PDF</t>
        </is>
      </c>
    </row>
    <row r="312">
      <c r="A312" t="inlineStr">
        <is>
          <t>Kenya</t>
        </is>
      </c>
      <c r="B312" t="inlineStr">
        <is>
          <t>THE-DATA-PROTECTION-COMPLAINTS-HANDLING-AND-ENFORCEMENT (Kenya - Row 15)</t>
        </is>
      </c>
      <c r="C312" t="inlineStr">
        <is>
          <t>10</t>
        </is>
      </c>
      <c r="D312" s="8" t="inlineStr">
        <is>
          <t>(1) Proceedings before the Office shall be conducted in</t>
        </is>
      </c>
      <c r="E312" t="inlineStr">
        <is>
          <t>6</t>
        </is>
      </c>
      <c r="F312" t="inlineStr">
        <is>
          <t>Other</t>
        </is>
      </c>
      <c r="G312" t="inlineStr">
        <is>
          <t>Low</t>
        </is>
      </c>
      <c r="H312" t="inlineStr">
        <is>
          <t>High (explicit)</t>
        </is>
      </c>
      <c r="I312" s="8" t="inlineStr"/>
      <c r="J312" s="8" t="inlineStr"/>
      <c r="K312" t="inlineStr"/>
      <c r="L312" s="8" t="inlineStr">
        <is>
          <t>Proceedings before the Office must be conducted in Kiswahili, English, or Kenyan Sign Language. The Office may provide interpreters for parties who cannot communicate in the language of proceedings.</t>
        </is>
      </c>
      <c r="M312" s="8" t="inlineStr">
        <is>
          <t>This section ensures language accessibility for proceedings, which may impact DTIA by requiring language accommodations for complaints involving different linguistic groups.</t>
        </is>
      </c>
      <c r="N312" s="8" t="inlineStr">
        <is>
          <t>[Must] Proceedings before the Office shall be conducted in Kiswahili, English or Kenyan Sign Language
[May] The Office may ensure that a party who cannot speak, hear or understand the language of proceedings receives the services of an interpreter provided for by the Office</t>
        </is>
      </c>
      <c r="O312" s="8" t="inlineStr">
        <is>
          <t>10. (1) Proceedings before the Office shall be conducted in Kiswahili, English or Kenyan Sign Language.</t>
        </is>
      </c>
      <c r="P312" s="10" t="inlineStr">
        <is>
          <t>Open PDF</t>
        </is>
      </c>
    </row>
    <row r="313">
      <c r="A313" t="inlineStr">
        <is>
          <t>Kenya</t>
        </is>
      </c>
      <c r="B313" t="inlineStr">
        <is>
          <t>THE-DATA-PROTECTION-COMPLAINTS-HANDLING-AND-ENFORCEMENT (Kenya - Row 15)</t>
        </is>
      </c>
      <c r="C313" t="inlineStr">
        <is>
          <t>11</t>
        </is>
      </c>
      <c r="D313" s="8" t="inlineStr">
        <is>
          <t>(1) Upon admission of a complaint, the Data Commissioner</t>
        </is>
      </c>
      <c r="E313" t="inlineStr">
        <is>
          <t>6</t>
        </is>
      </c>
      <c r="F313" t="inlineStr">
        <is>
          <t>Other</t>
        </is>
      </c>
      <c r="G313" t="inlineStr">
        <is>
          <t>Low</t>
        </is>
      </c>
      <c r="H313" t="inlineStr">
        <is>
          <t>High (explicit)</t>
        </is>
      </c>
      <c r="I313" s="8" t="inlineStr"/>
      <c r="J313" s="8" t="inlineStr"/>
      <c r="K313" t="inlineStr">
        <is>
          <t>Data Commissioner</t>
        </is>
      </c>
      <c r="L313" s="8" t="inlineStr">
        <is>
          <t>Upon complaint admission, the Data Commissioner must notify the respondent in Form DPC 3, requiring them to respond within twenty-one days by making representations, reviewing the complaint, or providing a response. If the respondent fails to act, the Commissioner proceeds with determination.</t>
        </is>
      </c>
      <c r="M313" s="8" t="inlineStr">
        <is>
          <t>This section details notification procedures for complaints, which may impact DTIA by requiring timely respondent engagement and alternative dispute resolution options.</t>
        </is>
      </c>
      <c r="N313" s="8" t="inlineStr">
        <is>
          <t>[Must] Upon admission of a complaint, the Data Commissioner shall notify the respondent of the complaint lodged against him, in Form DPC 3 set out in the Schedule and shall require the respondent to within twenty-one days (a) make representations and provide any relevant material or evidence in support of its representations; (b) review the complaint with a view of summarily resolving the complaint to the satisfaction of the complainant; or (c) provide a response with the required information
[Must] Where a respondent does not take any action as contemplated under sub-regulation (1), the Data Commissioner shall proceed to determine the complaint in accordance with the Act and these Regulations
[Must] The notice referred to under sub-regulation (1) shall specify options available to resolve a complaint including determining the complaint through alternative dispute resolution mechanisms specified in the Act and these Regulations</t>
        </is>
      </c>
      <c r="O313" s="8" t="inlineStr">
        <is>
          <t>11. (1) Upon admission of a complaint, the Data Commissioner shall notify the respondent of the complaint lodged against him, in Form DPC 3 set out in the Schedule and shall require the respondent to within twenty-one days (a) make representations and provide any relevant material or evidence in support of its representations; (b) review the complaint with a view of summarily resolving the complaint to the satisfaction of the complainant; or (c) provide a response with the required information.</t>
        </is>
      </c>
      <c r="P313" s="10" t="inlineStr">
        <is>
          <t>Open PDF</t>
        </is>
      </c>
    </row>
    <row r="314">
      <c r="A314" t="inlineStr">
        <is>
          <t>Kenya</t>
        </is>
      </c>
      <c r="B314" t="inlineStr">
        <is>
          <t>THE-DATA-PROTECTION-COMPLAINTS-HANDLING-AND-ENFORCEMENT (Kenya - Row 15)</t>
        </is>
      </c>
      <c r="C314" t="inlineStr">
        <is>
          <t>12</t>
        </is>
      </c>
      <c r="D314" s="8" t="inlineStr">
        <is>
          <t>(1) Where it appears to the Data Commissioner, or by</t>
        </is>
      </c>
      <c r="E314" t="inlineStr">
        <is>
          <t>6–7</t>
        </is>
      </c>
      <c r="F314" t="inlineStr">
        <is>
          <t>Other</t>
        </is>
      </c>
      <c r="G314" t="inlineStr">
        <is>
          <t>Low</t>
        </is>
      </c>
      <c r="H314" t="inlineStr">
        <is>
          <t>High (explicit)</t>
        </is>
      </c>
      <c r="I314" s="8" t="inlineStr"/>
      <c r="J314" s="8" t="inlineStr"/>
      <c r="K314" t="inlineStr"/>
      <c r="L314" s="8" t="inlineStr">
        <is>
          <t>The Data Commissioner may order a person to be a party to a complaint if necessary, and parties with sufficient interest may apply to be enjoined before hearing. Applications must include specific details about the parties, their addresses, grounds, supporting documents, and requested relief.</t>
        </is>
      </c>
      <c r="M314" s="8" t="inlineStr">
        <is>
          <t>This section addresses joinder of parties, which may impact DTIA by allowing for additional parties to be included in complaint proceedings.</t>
        </is>
      </c>
      <c r="N314" s="8" t="inlineStr">
        <is>
          <t>[May] Where it appears to the Data Commissioner, or by an application by either the complainant or the respondent, that it is necessary that a person becomes a party to a complaint, the Data Commissioner may order that person to be enjoined as a party
[May] A person who has sufficient interest in the outcome of a complaint may apply to the Office for leave to be enjoined in the proceedings prior to the hearing of the complaint
[Must] An application under sub-regulation (1) shall include (a) the names of the parties to which that application relates; (b) the name and address for service of the person wishing to be enjoined; (c) the grounds the applicant relies on to be enjoined; (d) a copy of any relevant document in support of the application; and (e) the relief sought</t>
        </is>
      </c>
      <c r="O314" s="8" t="inlineStr">
        <is>
          <t>12. (1) Where it appears to the Data Commissioner, or by an application by either the complainant or the respondent, that it is necessary that a person becomes a party to a complaint, the Data Commissioner may order that person to be enjoined as a party.</t>
        </is>
      </c>
      <c r="P314" s="10" t="inlineStr">
        <is>
          <t>Open PDF</t>
        </is>
      </c>
    </row>
    <row r="315">
      <c r="A315" t="inlineStr">
        <is>
          <t>Kenya</t>
        </is>
      </c>
      <c r="B315" t="inlineStr">
        <is>
          <t>THE-DATA-PROTECTION-COMPLAINTS-HANDLING-AND-ENFORCEMENT (Kenya - Row 15)</t>
        </is>
      </c>
      <c r="C315" t="inlineStr">
        <is>
          <t>13</t>
        </is>
      </c>
      <c r="D315" s="8" t="inlineStr">
        <is>
          <t>(1) In investigating a complaint, the Data Commissioner</t>
        </is>
      </c>
      <c r="E315" t="inlineStr">
        <is>
          <t>7</t>
        </is>
      </c>
      <c r="F315" t="inlineStr">
        <is>
          <t>Other</t>
        </is>
      </c>
      <c r="G315" t="inlineStr">
        <is>
          <t>None</t>
        </is>
      </c>
      <c r="H315" t="inlineStr">
        <is>
          <t>High (explicit)</t>
        </is>
      </c>
      <c r="I315" s="8" t="inlineStr"/>
      <c r="J315" s="8" t="inlineStr"/>
      <c r="K315" t="inlineStr">
        <is>
          <t>Data Commissioner</t>
        </is>
      </c>
      <c r="L315" s="8" t="inlineStr">
        <is>
          <t>The Data Commissioner may issue summons, examine individuals, administer oaths, require documents, and conduct searches with warrants during complaint investigations, guided by the Fair Administrative Action Act. These powers apply to persons involved in data protection complaints and are subject to court warrants for searches.</t>
        </is>
      </c>
      <c r="M315" s="8" t="inlineStr"/>
      <c r="N315" s="8" t="inlineStr">
        <is>
          <t>[Must] issue summons in Form DPC 4 set out in the Schedule requiring the attendance of any person at a specified date, time and place for examination
[Must] examine any person in relation to a complaint
[Must] administer an oath or affirmation on any person during the proceedings
[Must] require any person to produce any document or information from a person or institution
[Must] on obtaining warrants from the court, enter into any establishment or premises and conduct a search and may seize any material relevant to the investigation</t>
        </is>
      </c>
      <c r="O315" s="8" t="inlineStr">
        <is>
          <t>13. (1) In investigating a complaint, the Data Commissioner may, subject to section 57 of the Act (a) issue summons in Form DPC 4 set out in the Schedule requiring the attendance of any person at a specified date, time and place for examination; (b) examine any person in relation to a complaint; (c) administer an oath or affirmation on any person during the proceedings; (d) require any person to produce any document or information from a person or institution; and (e) on obtaining warrants from the court, enter into any establishment or premises and conduct a search and may seize any material relevant to the investigation.</t>
        </is>
      </c>
      <c r="P315" s="10" t="inlineStr">
        <is>
          <t>Open PDF</t>
        </is>
      </c>
    </row>
    <row r="316">
      <c r="A316" t="inlineStr">
        <is>
          <t>Kenya</t>
        </is>
      </c>
      <c r="B316" t="inlineStr">
        <is>
          <t>THE-DATA-PROTECTION-COMPLAINTS-HANDLING-AND-ENFORCEMENT (Kenya - Row 15)</t>
        </is>
      </c>
      <c r="C316" t="inlineStr">
        <is>
          <t>14</t>
        </is>
      </c>
      <c r="D316" s="8" t="inlineStr">
        <is>
          <t>(1) The Data Commissioner shall, upon the conclusion of the</t>
        </is>
      </c>
      <c r="E316" t="inlineStr">
        <is>
          <t>7–8</t>
        </is>
      </c>
      <c r="F316" t="inlineStr">
        <is>
          <t>Other</t>
        </is>
      </c>
      <c r="G316" t="inlineStr">
        <is>
          <t>None</t>
        </is>
      </c>
      <c r="H316" t="inlineStr">
        <is>
          <t>High (explicit)</t>
        </is>
      </c>
      <c r="I316" s="8" t="inlineStr"/>
      <c r="J316" s="8" t="inlineStr"/>
      <c r="K316" t="inlineStr">
        <is>
          <t>Data Commissioner</t>
        </is>
      </c>
      <c r="L316" s="8" t="inlineStr">
        <is>
          <t>The Data Commissioner must issue written determinations based on investigation findings, detailing complaint nature, facts, decisions, remedies, and other relevant matters. Remedies include enforcement notices, penalties, dismissal, prosecution recommendations, or compensation orders. These determinations are binding and enforceable as court orders.</t>
        </is>
      </c>
      <c r="M316" s="8" t="inlineStr"/>
      <c r="N316" s="8" t="inlineStr">
        <is>
          <t>[Must] make a determination based on the findings of the investigations
[Must] a determination under sub-regulation (1) shall be in writing and shall state the nature of the complaint
[Must] a determination under sub-regulation (1) shall be in writing and shall state a summary of the relevant facts and evidence adduced
[Must] a determination under sub-regulation (1) shall be in writing and shall state the decision and the reasons for the decision
[Must] a determination under sub-regulation (1) shall be in writing and shall state the remedy to which the complainant is entitled
[May] the remedies contemplated under sub-regulation (2) (d) may include issuance of an enforcement notice to the respondent in accordance with the Act and these Regulations
[May] the remedies contemplated under sub-regulation (2) (d) may include issuance of a penalty notice imposing an administrative fine
[May] the remedies contemplated under sub-regulation (2) (d) may include dismissal of the complaint where it lacks merit
[May] the remedies contemplated under sub-regulation (2) (d) may include recommendation for prosecution
[May] the remedies contemplated under sub-regulation (2) (d) may include an order for compensation to the data subject by the respondent
[Must] the Data Commissioner shall within seven days from the date of such determination, communicate the decision under sub-regulation (3) to the parties, in writing
[Must] the decision of the Data Commissioner made under these Regulations shall be binding on the parties
[Must] the decision of the Data Commissioner made under these Regulations shall be enforced as an order of the Court</t>
        </is>
      </c>
      <c r="O316" s="8" t="inlineStr">
        <is>
          <t>14. (1) The Data Commissioner shall, upon the conclusion of the investigations, make a determination based on the findings of the investigations. (2) A determination under sub-regulation (1) shall be in writing and shall state (a) the nature of the complaint; (b) a summary of the relevant facts and evidence adduced; (c) the decision and the reasons for the decision; (d) the remedy to which the complainant is entitled; and (e) any other relevant matter.</t>
        </is>
      </c>
      <c r="P316" s="10" t="inlineStr">
        <is>
          <t>Open PDF</t>
        </is>
      </c>
    </row>
    <row r="317">
      <c r="A317" t="inlineStr">
        <is>
          <t>Kenya</t>
        </is>
      </c>
      <c r="B317" t="inlineStr">
        <is>
          <t>THE-DATA-PROTECTION-COMPLAINTS-HANDLING-AND-ENFORCEMENT (Kenya - Row 15)</t>
        </is>
      </c>
      <c r="C317" t="inlineStr">
        <is>
          <t>15</t>
        </is>
      </c>
      <c r="D317" s="8" t="inlineStr">
        <is>
          <t>(1) Where the complaint is to be determined through</t>
        </is>
      </c>
      <c r="E317" t="inlineStr">
        <is>
          <t>8</t>
        </is>
      </c>
      <c r="F317" t="inlineStr">
        <is>
          <t>Other</t>
        </is>
      </c>
      <c r="G317" t="inlineStr">
        <is>
          <t>None</t>
        </is>
      </c>
      <c r="H317" t="inlineStr">
        <is>
          <t>High (explicit)</t>
        </is>
      </c>
      <c r="I317" s="8" t="inlineStr"/>
      <c r="J317" s="8" t="inlineStr"/>
      <c r="K317" t="inlineStr">
        <is>
          <t>Data Commissioner</t>
        </is>
      </c>
      <c r="L317" s="8" t="inlineStr">
        <is>
          <t>Complaints may be resolved through negotiation, mediation, or conciliation, with the Data Commissioner facilitating the process and applying appropriate procedures. Parties must sign a formal agreement, which is deemed a binding determination. Withdrawal from proceedings is permitted within seven days, and parties must act in good faith to resolve disputes amicably.</t>
        </is>
      </c>
      <c r="M317" s="8" t="inlineStr"/>
      <c r="N317" s="8" t="inlineStr">
        <is>
          <t>[Must] Where the complaint is to be determined through negotiation, mediation or conciliation, the provisions of these Regulations shall apply
[May] The Data Commissioner may in consultation with the parties facilitate the process
[May] During the negotiations, mediation or conciliation, the Data Commissioner may apply such procedures as may, in the interest of the parties, deem appropriate in the circumstances
[Must] At the conclusion of the negotiations, mediation or conciliation process, the parties shall sign a negotiation, mediation or conciliation agreement in the manner specified in Form DPC 5 set out in the Schedule
[Must] A negotiation, mediation or conciliation agreement entered into under this regulation shall be deemed to be a determination of the Data Commissioner, and shall be enforceable as such
[May] A party to dispute who is subject to a negotiation, mediation or conciliation may withdraw from the proceedings at any stage and shall notify the Data Commissioner and other parties of such withdrawal within seven days from the date of making such a decision
[Must] Parties to a dispute shall take all reasonable measures to amicably determine a dispute and act in good faith</t>
        </is>
      </c>
      <c r="O317" s="8" t="inlineStr">
        <is>
          <t>15. (1) Where the complaint is to be determined through negotiation, mediation or conciliation, the provisions of these Regulations shall apply. (2) Where parties to a complaint agree to negotiation, mediation or conciliation, the Data Commissioner may in consultation with the parties facilitate the process. (3) During the negotiations, mediation or conciliation, the Data Commissioner may apply such procedures as may, in the interest of the parties, deem appropriate in the circumstances. (4) At the conclusion of the negotiations, mediation or conciliation process, the parties shall sign a negotiation, mediation or conciliation agreement in the manner specified in Form DPC 5 set out in the Schedule. (5) A negotiation, mediation or conciliation agreement entered into under this regulation shall be deemed to be a determination of the Data Commissioner, and shall be enforceable as such. (6) Despite this regulation, a party to dispute who is subject to a negotiation, mediation or conciliation may withdraw from the proceedings at any stage and shall notify the Data Commissioner and other parties of such withdrawal within seven days from the date of making such a decision. (7) Parties to a dispute shall take all reasonable measures to amicably determine a dispute and act in good faith. (8) Where the complaint is not determined through negotiation, mediation or conciliation, the Data Commissioner shall proceed to determine the complaint as provided for in the Act and these Regulations.</t>
        </is>
      </c>
      <c r="P317" s="10" t="inlineStr">
        <is>
          <t>Open PDF</t>
        </is>
      </c>
    </row>
    <row r="318">
      <c r="A318" t="inlineStr">
        <is>
          <t>Kenya</t>
        </is>
      </c>
      <c r="B318" t="inlineStr">
        <is>
          <t>THE-DATA-PROTECTION-COMPLAINTS-HANDLING-AND-ENFORCEMENT (Kenya - Row 15)</t>
        </is>
      </c>
      <c r="C318" t="inlineStr">
        <is>
          <t>16</t>
        </is>
      </c>
      <c r="D318" s="8" t="inlineStr">
        <is>
          <t>(1) The Data Commissioner may pursuant these Regulations</t>
        </is>
      </c>
      <c r="E318" t="inlineStr">
        <is>
          <t>8–9</t>
        </is>
      </c>
      <c r="F318" t="inlineStr">
        <is>
          <t>Other</t>
        </is>
      </c>
      <c r="G318" t="inlineStr">
        <is>
          <t>None</t>
        </is>
      </c>
      <c r="H318" t="inlineStr">
        <is>
          <t>High (explicit)</t>
        </is>
      </c>
      <c r="I318" s="8" t="inlineStr"/>
      <c r="J318" s="8" t="inlineStr"/>
      <c r="K318" t="inlineStr">
        <is>
          <t>Data Commissioner</t>
        </is>
      </c>
      <c r="L318" s="8" t="inlineStr">
        <is>
          <t>The Data Commissioner may issue enforcement notices under the Act or regulations, specifying consequences for non-compliance, including potential penalty notices. These notices are a formal mechanism for addressing data protection violations.</t>
        </is>
      </c>
      <c r="M318" s="8" t="inlineStr"/>
      <c r="N318" s="8" t="inlineStr">
        <is>
          <t>[May] The Data Commissioner may pursuant these Regulations or section 58 of the Act issue an enforcement notice
[Must] An enforcement notice shall specify the consequences of failure to comply with the notice including issuance of a penalty notice as provided under section 62 (1) of the Act</t>
        </is>
      </c>
      <c r="O318" s="8" t="inlineStr">
        <is>
          <t>16. (1) The Data Commissioner may pursuant these Regulations or section 58 of the Act issue an enforcement notice. (2) An enforcement notice shall specify the consequences of failure to comply with the notice including issuance of a penalty notice as provided under section 62 (1) of the Act.</t>
        </is>
      </c>
      <c r="P318" s="10" t="inlineStr">
        <is>
          <t>Open PDF</t>
        </is>
      </c>
    </row>
    <row r="319">
      <c r="A319" t="inlineStr">
        <is>
          <t>Kenya</t>
        </is>
      </c>
      <c r="B319" t="inlineStr">
        <is>
          <t>THE-DATA-PROTECTION-COMPLAINTS-HANDLING-AND-ENFORCEMENT (Kenya - Row 15)</t>
        </is>
      </c>
      <c r="C319" t="inlineStr">
        <is>
          <t>17</t>
        </is>
      </c>
      <c r="D319" s="8" t="inlineStr">
        <is>
          <t>(1) An enforcement notice shall be deemed to have been</t>
        </is>
      </c>
      <c r="E319" t="inlineStr">
        <is>
          <t>9</t>
        </is>
      </c>
      <c r="F319" t="inlineStr">
        <is>
          <t>Other</t>
        </is>
      </c>
      <c r="G319" t="inlineStr">
        <is>
          <t>None</t>
        </is>
      </c>
      <c r="H319" t="inlineStr">
        <is>
          <t>High (explicit)</t>
        </is>
      </c>
      <c r="I319" s="8" t="inlineStr"/>
      <c r="J319" s="8" t="inlineStr"/>
      <c r="K319" t="inlineStr">
        <is>
          <t>Data Commissioner</t>
        </is>
      </c>
      <c r="L319" s="8" t="inlineStr">
        <is>
          <t>An enforcement notice is deemed duly served electronically if sent to the recipient's electronic address or physically delivered to their registered office. The notice takes effect from the date of service, establishing the timeline for compliance.</t>
        </is>
      </c>
      <c r="M319" s="8" t="inlineStr"/>
      <c r="N319" s="8" t="inlineStr">
        <is>
          <t>[Must] An enforcement notice shall be deemed to have been duly served on the concerned person where (a) an electronic copy of enforcement notice is sent to the concerned person
[Must] An enforcement notice shall be deemed to have been duly served on the concerned person where (b) the enforcement notice is posted or physically delivered to the registered offices of the concerned person, in the absence of an electronic address
[Must] The enforcement notice shall take effect from the date of service specified under sub-regulation (1)</t>
        </is>
      </c>
      <c r="O319" s="8" t="inlineStr">
        <is>
          <t>17. (1) An enforcement notice shall be deemed to have been duly served on the concerned person where (a) an electronic copy of enforcement notice is sent to the concerned person; (b) the enforcement notice is posted or physically delivered to the registered offices of the concerned person, in the absence of an electronic address. (2) The enforcement notice shall take effect from the date of service specified under sub-regulation (1).</t>
        </is>
      </c>
      <c r="P319" s="10" t="inlineStr">
        <is>
          <t>Open PDF</t>
        </is>
      </c>
    </row>
    <row r="320">
      <c r="A320" t="inlineStr">
        <is>
          <t>Kenya</t>
        </is>
      </c>
      <c r="B320" t="inlineStr">
        <is>
          <t>THE-DATA-PROTECTION-COMPLAINTS-HANDLING-AND-ENFORCEMENT (Kenya - Row 15)</t>
        </is>
      </c>
      <c r="C320" t="inlineStr">
        <is>
          <t>18</t>
        </is>
      </c>
      <c r="D320" s="8" t="inlineStr">
        <is>
          <t>(1) A person to whom an enforcement notice is given may</t>
        </is>
      </c>
      <c r="E320" t="inlineStr">
        <is>
          <t>9</t>
        </is>
      </c>
      <c r="F320" t="inlineStr">
        <is>
          <t>Other</t>
        </is>
      </c>
      <c r="G320" t="inlineStr">
        <is>
          <t>None</t>
        </is>
      </c>
      <c r="H320" t="inlineStr">
        <is>
          <t>High (explicit)</t>
        </is>
      </c>
      <c r="I320" s="8" t="inlineStr"/>
      <c r="J320" s="8" t="inlineStr"/>
      <c r="K320" t="inlineStr">
        <is>
          <t>Data Commissioner</t>
        </is>
      </c>
      <c r="L320" s="8" t="inlineStr">
        <is>
          <t>A person receiving an enforcement notice may apply for a review within the specified period, citing changed circumstances or the need to comply with fewer provisions of the notice. The review process allows for reconsideration of the enforcement notice before its final implementation.</t>
        </is>
      </c>
      <c r="M320" s="8" t="inlineStr"/>
      <c r="N320" s="8" t="inlineStr">
        <is>
          <t>[May] A person to whom an enforcement notice is given may apply in Form DPC 6 set out in the Schedule to the Data Commissioner for a review of the enforcement notice
[Must] An application under sub-regulation (1) may be made before the end of the period specified in the enforcement notice
[May] An application under sub-regulation (1) may be made on the ground that (i) a change of circumstances or new facts have arisen; or (ii) one or more of the provisions of that notice need not be complied with in order to remedy the failure identified in the notice</t>
        </is>
      </c>
      <c r="O320" s="8" t="inlineStr">
        <is>
          <t>18. (1) A person to whom an enforcement notice is given may apply in Form DPC 6 set out in the Schedule to the Data Commissioner for a review of the enforcement notice. (2) An application under sub-regulation (1) may be made (a) before the end of the period specified in the enforcement notice; and (b) on the ground that (i) a change of circumstances or new facts have arisen; or (ii) one or more of the provisions of that notice need not be complied with in order to remedy the failure identified in the notice.</t>
        </is>
      </c>
      <c r="P320" s="10" t="inlineStr">
        <is>
          <t>Open PDF</t>
        </is>
      </c>
    </row>
    <row r="321">
      <c r="A321" t="inlineStr">
        <is>
          <t>Kenya</t>
        </is>
      </c>
      <c r="B321" t="inlineStr">
        <is>
          <t>THE-DATA-PROTECTION-COMPLAINTS-HANDLING-AND-ENFORCEMENT (Kenya - Row 15)</t>
        </is>
      </c>
      <c r="C321" t="inlineStr">
        <is>
          <t>19</t>
        </is>
      </c>
      <c r="D321" s="8" t="inlineStr">
        <is>
          <t>Subject to sections 58 (2) (d) and 64 of the Act, a person</t>
        </is>
      </c>
      <c r="E321" t="inlineStr">
        <is>
          <t>9</t>
        </is>
      </c>
      <c r="F321" t="inlineStr">
        <is>
          <t>Other</t>
        </is>
      </c>
      <c r="G321" t="inlineStr">
        <is>
          <t>Low</t>
        </is>
      </c>
      <c r="H321" t="inlineStr">
        <is>
          <t>High (explicit)</t>
        </is>
      </c>
      <c r="I321" s="8" t="inlineStr"/>
      <c r="J321" s="8" t="inlineStr"/>
      <c r="K321" t="inlineStr">
        <is>
          <t>High Court</t>
        </is>
      </c>
      <c r="L321" s="8" t="inlineStr">
        <is>
          <t>A person may appeal to the High Court within thirty days of receiving an enforcement notice against a decision arising from its enforcement, subject to sections 58(2)(d) and 64 of the Act. This appeal right applies to individuals or entities subject to enforcement notices under the Data Protection Act.</t>
        </is>
      </c>
      <c r="M321" s="8" t="inlineStr">
        <is>
          <t>This section provides a time-bound appeal mechanism for decisions made under enforcement notices, which is relevant for DTIAs as it establishes a legal pathway to challenge cross-border data transfer decisions if they are part of the enforcement context.</t>
        </is>
      </c>
      <c r="N321" s="8" t="inlineStr">
        <is>
          <t>[May] may before the lapse of thirty days from the date of service of the enforcement notice, appeal to the High Court against a decision arising out of the enforcement of the notice</t>
        </is>
      </c>
      <c r="O321" s="8" t="inlineStr">
        <is>
          <t>Subject to sections 58 (2) (d) and 64 of the Act, a person may before the lapse of thirty days from the date of service of the enforcement notice, appeal to the High Court against a decision arising out of the enforcement of the notice.</t>
        </is>
      </c>
      <c r="P321" s="10" t="inlineStr">
        <is>
          <t>Open PDF</t>
        </is>
      </c>
    </row>
    <row r="322">
      <c r="A322" t="inlineStr">
        <is>
          <t>Kenya</t>
        </is>
      </c>
      <c r="B322" t="inlineStr">
        <is>
          <t>THE-DATA-PROTECTION-COMPLAINTS-HANDLING-AND-ENFORCEMENT (Kenya - Row 15)</t>
        </is>
      </c>
      <c r="C322" t="inlineStr">
        <is>
          <t>20</t>
        </is>
      </c>
      <c r="D322" s="8" t="inlineStr">
        <is>
          <t>(1) The Data Commissioner shall, where any of the</t>
        </is>
      </c>
      <c r="E322" t="inlineStr">
        <is>
          <t>9–10</t>
        </is>
      </c>
      <c r="F322" t="inlineStr">
        <is>
          <t>Other</t>
        </is>
      </c>
      <c r="G322" t="inlineStr">
        <is>
          <t>High</t>
        </is>
      </c>
      <c r="H322" t="inlineStr">
        <is>
          <t>High (explicit)</t>
        </is>
      </c>
      <c r="I322" s="8" t="inlineStr"/>
      <c r="J322" s="8" t="inlineStr">
        <is>
          <t>Personal Information</t>
        </is>
      </c>
      <c r="K322" t="inlineStr">
        <is>
          <t>Data Commissioner</t>
        </is>
      </c>
      <c r="L322" s="8" t="inlineStr">
        <is>
          <t>The Data Commissioner must issue penalty notices for breaches identified in enforcement notices, specifying the person's details, reasons for penalty, penalty amount, payment details, and appeal rights. Penalties must consider individual circumstances and may impose daily fines up to KES 10,000 per breach until rectification.</t>
        </is>
      </c>
      <c r="M322" s="8" t="inlineStr">
        <is>
          <t>This section mandates penalty notices for data breaches, including daily fines for non-compliance, which impacts DTIAs by requiring financial safeguards for cross-border data transfers where breaches occur.</t>
        </is>
      </c>
      <c r="N322" s="8" t="inlineStr">
        <is>
          <t>[Must] The Data Commissioner shall, where any of the circumstances specified under section 62 of the Act and these Regulations arises, issue a penalty notice for each breach identified in the enforcement notice
[Must] A penalty notice shall contain (a) the name and address of the concerned person, (b) the reasons why the Data Commissioner proposes to impose the penalty and the amount thereof, (c) an administrative fine imposed as contemplated under section 63 of the Act, (d) details of how the penalty is to be paid, and (e) details of the rights of appeal under section 64 of the Act
[Must] The administrative fine levied under sub-regulation (2)(c) shall consider each individual case and have due regard to factors or reasons outlined under section 62 (2) of the Act
[May] A penalty notice may impose a daily fine of not more than ten thousand shillings for each breach identified until the breach is rectified</t>
        </is>
      </c>
      <c r="O322" s="8" t="inlineStr">
        <is>
          <t>The Data Commissioner shall, where any of the circumstances specified under section 62 of the Act and these Regulations arises, issue a penalty notice for each breach identified in the enforcement notice.</t>
        </is>
      </c>
      <c r="P322" s="10" t="inlineStr">
        <is>
          <t>Open PDF</t>
        </is>
      </c>
    </row>
    <row r="323">
      <c r="A323" t="inlineStr">
        <is>
          <t>Kenya</t>
        </is>
      </c>
      <c r="B323" t="inlineStr">
        <is>
          <t>THE-DATA-PROTECTION-COMPLAINTS-HANDLING-AND-ENFORCEMENT (Kenya - Row 15)</t>
        </is>
      </c>
      <c r="C323" t="inlineStr">
        <is>
          <t>21</t>
        </is>
      </c>
      <c r="D323" s="8" t="inlineStr">
        <is>
          <t>The Data Commissioner shall enforce or take action to</t>
        </is>
      </c>
      <c r="E323" t="inlineStr">
        <is>
          <t>10–16</t>
        </is>
      </c>
      <c r="F323" t="inlineStr">
        <is>
          <t>Other</t>
        </is>
      </c>
      <c r="G323" t="inlineStr">
        <is>
          <t>High</t>
        </is>
      </c>
      <c r="H323" t="inlineStr">
        <is>
          <t>High (explicit)</t>
        </is>
      </c>
      <c r="I323" s="8" t="inlineStr"/>
      <c r="J323" s="8" t="inlineStr">
        <is>
          <t>Personal Information</t>
        </is>
      </c>
      <c r="K323" t="inlineStr">
        <is>
          <t>Data Commissioner</t>
        </is>
      </c>
      <c r="L323" s="8" t="inlineStr">
        <is>
          <t>The Data Commissioner may enforce penalties by recovering amounts upon the expiration of the payment period, final appeal determination, or lapse of the appeal period. This ensures penalties are enforced within the legal timeframe after a penalty notice is issued.</t>
        </is>
      </c>
      <c r="M323" s="8" t="inlineStr">
        <is>
          <t>This section outlines enforcement mechanisms for penalties, which is relevant for DTIAs as it ensures accountability for cross-border data transfer violations through time-bound recovery processes.</t>
        </is>
      </c>
      <c r="N323" s="8" t="inlineStr">
        <is>
          <t>[Must] The Data Commissioner shall enforce or take action to recover a penalty (a) upon the lapse of the period specified in the penalty notice for payment of the penalty; (b) on the final determination of any appeal against the penalty notice; or (c) on the lapse of the period given to appeal against the penalty</t>
        </is>
      </c>
      <c r="O323" s="8" t="inlineStr">
        <is>
          <t>The Data Commissioner shall enforce or take action to recover a penalty upon the lapse of the period specified in the penalty notice for payment of the penalty; on the final determination of any appeal against the penalty notice; or on the lapse of the period given to appeal against the penalty.</t>
        </is>
      </c>
      <c r="P323" s="10" t="inlineStr">
        <is>
          <t>Open PDF</t>
        </is>
      </c>
    </row>
    <row r="324">
      <c r="A324" t="inlineStr">
        <is>
          <t>Kenya</t>
        </is>
      </c>
      <c r="B324" t="inlineStr">
        <is>
          <t>THE-DATA-PROTECTION-REGISTRATION-OF-DATA-CONTROLLERS-AND-DATA-PROCESSORS-REGULATIONS-2021 (Kenya = row17)</t>
        </is>
      </c>
      <c r="C324" t="inlineStr">
        <is>
          <t>1</t>
        </is>
      </c>
      <c r="D324" s="8" t="inlineStr">
        <is>
          <t>(1) These Regulations may be cited as the Data Protection</t>
        </is>
      </c>
      <c r="E324" t="inlineStr">
        <is>
          <t>2</t>
        </is>
      </c>
      <c r="F324" t="inlineStr">
        <is>
          <t>Definitions</t>
        </is>
      </c>
      <c r="G324" t="inlineStr">
        <is>
          <t>None</t>
        </is>
      </c>
      <c r="H324" t="inlineStr">
        <is>
          <t>High (explicit)</t>
        </is>
      </c>
      <c r="I324" s="8" t="inlineStr"/>
      <c r="J324" s="8" t="inlineStr"/>
      <c r="K324" t="inlineStr"/>
      <c r="L324" s="8" t="inlineStr">
        <is>
          <t>This section establishes the title of the Regulations as the Data Protection (Registration of Data Controllers and Data Processors) Regulations, 2021. It provides the formal citation for the legislative instrument without imposing any operational requirements.</t>
        </is>
      </c>
      <c r="M324" s="8" t="inlineStr"/>
      <c r="N324" s="8" t="inlineStr">
        <is>
          <t>[Definition] These Regulations may be cited as the Data Protection (Registration of Data Controllers and Data Processors) Regulations, 2021</t>
        </is>
      </c>
      <c r="O324" s="8" t="inlineStr">
        <is>
          <t>These Regulations may be cited as the Data Protection (Registration of Data Controllers and Data Processors) Regulations, 2021</t>
        </is>
      </c>
      <c r="P324" s="10" t="inlineStr">
        <is>
          <t>Open PDF</t>
        </is>
      </c>
    </row>
    <row r="325">
      <c r="A325" t="inlineStr">
        <is>
          <t>Kenya</t>
        </is>
      </c>
      <c r="B325" t="inlineStr">
        <is>
          <t>THE-DATA-PROTECTION-REGISTRATION-OF-DATA-CONTROLLERS-AND-DATA-PROCESSORS-REGULATIONS-2021 (Kenya = row17)</t>
        </is>
      </c>
      <c r="C325" t="inlineStr">
        <is>
          <t>2</t>
        </is>
      </c>
      <c r="D325" s="8" t="inlineStr">
        <is>
          <t>In these Regulations, unless the context otherwise requires</t>
        </is>
      </c>
      <c r="E325" t="inlineStr">
        <is>
          <t>2</t>
        </is>
      </c>
      <c r="F325" t="inlineStr">
        <is>
          <t>Definitions</t>
        </is>
      </c>
      <c r="G325" t="inlineStr">
        <is>
          <t>None</t>
        </is>
      </c>
      <c r="H325" t="inlineStr">
        <is>
          <t>High (explicit)</t>
        </is>
      </c>
      <c r="I325" s="8" t="inlineStr">
        <is>
          <t>Data Storage</t>
        </is>
      </c>
      <c r="J325" s="8" t="inlineStr">
        <is>
          <t>Personal Information</t>
        </is>
      </c>
      <c r="K325" t="inlineStr"/>
      <c r="L325" s="8" t="inlineStr">
        <is>
          <t>This section defines 'establishment' as the legal instruments or structures that create a body, including statutes, charters, registration certificates, trust deeds, and governing administrative frameworks. It clarifies the scope of entities that can be registered under the Regulations.</t>
        </is>
      </c>
      <c r="M325" s="8" t="inlineStr"/>
      <c r="N325" s="8" t="inlineStr">
        <is>
          <t>[Definition] establishment means the person appointed under section 6 of the Act
[Definition] establishment (a) a Statute, Charter or statutory instrument in which a body is established
[Definition] establishment (b) registration certificate
[Definition] establishment (c) trust deeds in which a trust has been established
[Definition] establishment (d) other instruments by which a body is established including its governing and administrative structure</t>
        </is>
      </c>
      <c r="O325" s="8" t="inlineStr">
        <is>
          <t>establishment means the person appointed under section 6 of the Act; (a) a Statute, Charter or statutory instrument in which a body is established; (b) registration certificate; (c) trust deeds in which a trust has been established; and (d) other instruments by which a body is established including its governing and administrative structure.</t>
        </is>
      </c>
      <c r="P325" s="10" t="inlineStr">
        <is>
          <t>Open PDF</t>
        </is>
      </c>
    </row>
    <row r="326">
      <c r="A326" t="inlineStr">
        <is>
          <t>Kenya</t>
        </is>
      </c>
      <c r="B326" t="inlineStr">
        <is>
          <t>THE-DATA-PROTECTION-REGISTRATION-OF-DATA-CONTROLLERS-AND-DATA-PROCESSORS-REGULATIONS-2021 (Kenya = row17)</t>
        </is>
      </c>
      <c r="C326" t="inlineStr">
        <is>
          <t>3</t>
        </is>
      </c>
      <c r="D326" s="8" t="inlineStr">
        <is>
          <t>(1) These Regulations provide for the procedure for</t>
        </is>
      </c>
      <c r="E326" t="inlineStr">
        <is>
          <t>2</t>
        </is>
      </c>
      <c r="F326" t="inlineStr">
        <is>
          <t>Definitions</t>
        </is>
      </c>
      <c r="G326" t="inlineStr">
        <is>
          <t>None</t>
        </is>
      </c>
      <c r="H326" t="inlineStr">
        <is>
          <t>High (explicit)</t>
        </is>
      </c>
      <c r="I326" s="8" t="inlineStr"/>
      <c r="J326" s="8" t="inlineStr"/>
      <c r="K326" t="inlineStr"/>
      <c r="L326" s="8" t="inlineStr">
        <is>
          <t>This section specifies that the Regulations govern the registration procedure for data controllers and data processors as outlined in section 18 of the Act, excluding civil registration entities covered by the Data Protection (Civil Registration) Regulations.</t>
        </is>
      </c>
      <c r="M326" s="8" t="inlineStr"/>
      <c r="N326" s="8" t="inlineStr">
        <is>
          <t>[Definition] These Regulations provide for the procedure for registration of data controllers and data processors as provided under section 18 of the Act
[Definition] These Regulations shall not apply to civil registration entities specified under the Data Protection (Civil Registration) Regulations</t>
        </is>
      </c>
      <c r="O326" s="8" t="inlineStr">
        <is>
          <t>These Regulations provide for the procedure for registration of data controllers and data processors as provided under section 18 of the Act. These Regulations shall not apply to civil registration entities specified under the Data Protection (Civil Registration) Regulations,</t>
        </is>
      </c>
      <c r="P326" s="10" t="inlineStr">
        <is>
          <t>Open PDF</t>
        </is>
      </c>
    </row>
    <row r="327">
      <c r="A327" t="inlineStr">
        <is>
          <t>Kenya</t>
        </is>
      </c>
      <c r="B327" t="inlineStr">
        <is>
          <t>THE-DATA-PROTECTION-REGISTRATION-OF-DATA-CONTROLLERS-AND-DATA-PROCESSORS-REGULATIONS-2021 (Kenya = row17)</t>
        </is>
      </c>
      <c r="C327" t="inlineStr">
        <is>
          <t>4</t>
        </is>
      </c>
      <c r="D327" s="8" t="inlineStr">
        <is>
          <t>(1) Subject to regulation 13 (1), every data controller and data</t>
        </is>
      </c>
      <c r="E327" t="inlineStr">
        <is>
          <t>2–3</t>
        </is>
      </c>
      <c r="F327" t="inlineStr">
        <is>
          <t>Other</t>
        </is>
      </c>
      <c r="G327" t="inlineStr">
        <is>
          <t>Medium</t>
        </is>
      </c>
      <c r="H327" t="inlineStr">
        <is>
          <t>High (explicit)</t>
        </is>
      </c>
      <c r="I327" s="8" t="inlineStr"/>
      <c r="J327" s="8" t="inlineStr">
        <is>
          <t>Personal Information</t>
        </is>
      </c>
      <c r="K327" t="inlineStr"/>
      <c r="L327" s="8" t="inlineStr">
        <is>
          <t>This section mandates that all data controllers and processors must register under the Regulations, with specific criteria for determining whether a person is a data controller or processor. It allows data controllers to apply for dual registration and clarifies that processors acting outside instructions become controllers for that activity.</t>
        </is>
      </c>
      <c r="M327" s="8" t="inlineStr">
        <is>
          <t>This section establishes registration requirements for data controllers and processors, which are critical for DTIA as it defines the legal framework for identifying and classifying data handling entities before cross-border transfers.</t>
        </is>
      </c>
      <c r="N327" s="8" t="inlineStr">
        <is>
          <t>[Must] Subject to regulation 13 (1), every data controller and data processor shall be required to register in accordance with the provisions of the Act and these Regulations
[Definition] For purposes of registration, a person shall register as a data controller, where the person determines the purpose and means for processing personal data
[Definition] For purposes of registration, a person shall register as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
[Must] Despite sub-regulation (2) (a), a data controller may apply for registration as both a data controller and a data processor with regards to any processing operations and shall be required to pay the requisite fees applicable for both a data controller and a data processor thereto
[Definition] Despite sub-regulation (2) (b), where a data processor processes personal data other than as instructed by the data controller, the data processor shall be considered to be a data controller in respect of that processing activity, for purposes of assessing liability</t>
        </is>
      </c>
      <c r="O327" s="8" t="inlineStr">
        <is>
          <t>Subject to regulation 13 (1), every data controller and data processor shall be required to register in accordance with the provisions of the Act and these Regulations. For purposes of registration, a person shall register as a data controller, where the person determines the purpose and means for processing personal data; or a data processor, where the person processes personal data on behalf of the data controller but excludes employees of the data controller and has (i) a contractual relationship with the data controller; and (ii) no decision making power on the purpose and means of processing personal data.</t>
        </is>
      </c>
      <c r="P327" s="10" t="inlineStr">
        <is>
          <t>Open PDF</t>
        </is>
      </c>
    </row>
    <row r="328">
      <c r="A328" t="inlineStr">
        <is>
          <t>Kenya</t>
        </is>
      </c>
      <c r="B328" t="inlineStr">
        <is>
          <t>THE-DATA-PROTECTION-REGISTRATION-OF-DATA-CONTROLLERS-AND-DATA-PROCESSORS-REGULATIONS-2021 (Kenya = row17)</t>
        </is>
      </c>
      <c r="C328" t="inlineStr">
        <is>
          <t>5</t>
        </is>
      </c>
      <c r="D328" s="8" t="inlineStr">
        <is>
          <t>(1) An application for registration of a data controller or data</t>
        </is>
      </c>
      <c r="E328" t="inlineStr">
        <is>
          <t>3</t>
        </is>
      </c>
      <c r="F328" t="inlineStr">
        <is>
          <t>Other</t>
        </is>
      </c>
      <c r="G328" t="inlineStr">
        <is>
          <t>Medium</t>
        </is>
      </c>
      <c r="H328" t="inlineStr">
        <is>
          <t>High (explicit)</t>
        </is>
      </c>
      <c r="I328" s="8" t="inlineStr"/>
      <c r="J328" s="8" t="inlineStr">
        <is>
          <t>Personal Information</t>
        </is>
      </c>
      <c r="K328" t="inlineStr"/>
      <c r="L328" s="8" t="inlineStr">
        <is>
          <t>This section outlines the application requirements for registration, including specific forms, fees, and documentation such as establishment documents, personal data descriptions, and processing purposes.</t>
        </is>
      </c>
      <c r="M328" s="8" t="inlineStr">
        <is>
          <t>This section details the documentation required for registration, which is essential for DTIA as it ensures that data handlers have properly documented their data processing activities before cross-border transfers.</t>
        </is>
      </c>
      <c r="N328" s="8" t="inlineStr">
        <is>
          <t>[Must] An application for registration of a data controller or data processor shall be in Form DPR1 set out in the First Schedule
[Must] An application for registration of a data controller or data processor shall be accompanied by the registration fees specified in the Second Schedule
[Must] An application for registration under sub-regulation (1) shall be accompanied by a copy of the establishment documents
[Must] An application for registration under sub-regulation (1) shall be accompanied by particulars of the data controllers or data processors including name and contact details
[Must] An application for registration under sub-regulation (1) shall be accompanied by a description of the purpose for which personal data is processed
[Must] An application for registration under sub-regulation (1) shall be accompanied by a description of categories of personal data being processed</t>
        </is>
      </c>
      <c r="O328" s="8" t="inlineStr">
        <is>
          <t>An application for registration of a data controller or data processor shall be in Form DPR1 set out in the First Schedule; and be accompanied by the registration fees specified in the Second Schedule.</t>
        </is>
      </c>
      <c r="P328" s="10" t="inlineStr">
        <is>
          <t>Open PDF</t>
        </is>
      </c>
    </row>
    <row r="329">
      <c r="A329" t="inlineStr">
        <is>
          <t>Kenya</t>
        </is>
      </c>
      <c r="B329" t="inlineStr">
        <is>
          <t>THE-DATA-PROTECTION-REGISTRATION-OF-DATA-CONTROLLERS-AND-DATA-PROCESSORS-REGULATIONS-2021 (Kenya = row17)</t>
        </is>
      </c>
      <c r="C329" t="inlineStr">
        <is>
          <t>6</t>
        </is>
      </c>
      <c r="D329" s="8" t="inlineStr">
        <is>
          <t>(1) A state department or county department shall register and</t>
        </is>
      </c>
      <c r="E329" t="inlineStr">
        <is>
          <t>3–4</t>
        </is>
      </c>
      <c r="F329" t="inlineStr">
        <is>
          <t>Other</t>
        </is>
      </c>
      <c r="G329" t="inlineStr">
        <is>
          <t>High</t>
        </is>
      </c>
      <c r="H329" t="inlineStr">
        <is>
          <t>High (explicit)</t>
        </is>
      </c>
      <c r="I329" s="8" t="inlineStr"/>
      <c r="J329" s="8" t="inlineStr">
        <is>
          <t>Personal Information</t>
        </is>
      </c>
      <c r="K329" t="inlineStr"/>
      <c r="L329" s="8" t="inlineStr">
        <is>
          <t>This section specifies that state and county government departments must register and pay fees on behalf of public entities that meet certain criteria, including being funded from the Consolidated Fund and providing public services.</t>
        </is>
      </c>
      <c r="M329" s="8" t="inlineStr">
        <is>
          <t>This section addresses registration obligations for public entities, which may impact DTIA if public entities handle data that requires cross-border transfers.</t>
        </is>
      </c>
      <c r="N329" s="8" t="inlineStr">
        <is>
          <t>[Must] A state department or county department shall register and pay the fees on behalf of their respective entities
[Definition] The entities referred to under sub-regulation (1) shall be the public entities at national or county government which operates within a state department or county department
[Definition] The entities referred to under sub-regulation (1) shall be the public entities at national or county government which is wholly funded from the Consolidated Fund
[Definition] The entities referred to under sub-regulation (1) shall be the public entities at national or county government which provides a public service
[Must] The fees paid by the state department or county department under sub-regulation (1) shall cater for the specified entities registered under the concerned state department or county department
[Must] Despite this regulation, a State Corporation or a County Corporation shall be required to register as a data controller or a data processor in respect of their processing activity, in the manner specified under these Regulations</t>
        </is>
      </c>
      <c r="O329" s="8" t="inlineStr">
        <is>
          <t>A state department or county department shall register and pay the fees on behalf of their respective entities. The entities referred to under sub-regulation (1) shall be the public entities at national or county government which operates within a state department or county department; is wholly funded from the Consolidated Fund; and provides a public service.</t>
        </is>
      </c>
      <c r="P329" s="10" t="inlineStr">
        <is>
          <t>Open PDF</t>
        </is>
      </c>
    </row>
    <row r="330">
      <c r="A330" t="inlineStr">
        <is>
          <t>Kenya</t>
        </is>
      </c>
      <c r="B330" t="inlineStr">
        <is>
          <t>THE-DATA-PROTECTION-REGISTRATION-OF-DATA-CONTROLLERS-AND-DATA-PROCESSORS-REGULATIONS-2021 (Kenya = row17)</t>
        </is>
      </c>
      <c r="C330" t="inlineStr">
        <is>
          <t>8</t>
        </is>
      </c>
      <c r="D330" s="8" t="inlineStr">
        <is>
          <t>Where the Data Commissioner is satisfied that the applicant</t>
        </is>
      </c>
      <c r="E330" t="inlineStr">
        <is>
          <t>4</t>
        </is>
      </c>
      <c r="F330" t="inlineStr">
        <is>
          <t>Other</t>
        </is>
      </c>
      <c r="G330" t="inlineStr">
        <is>
          <t>None</t>
        </is>
      </c>
      <c r="H330" t="inlineStr">
        <is>
          <t>High (explicit)</t>
        </is>
      </c>
      <c r="I330" s="8" t="inlineStr"/>
      <c r="J330" s="8" t="inlineStr"/>
      <c r="K330" t="inlineStr">
        <is>
          <t>Data Commissioner</t>
        </is>
      </c>
      <c r="L330" s="8" t="inlineStr">
        <is>
          <t>The Data Commissioner must issue a certificate of registration for the duration specified under regulation 9 and enter the applicant's particulars in the register within fourteen days if satisfied with the application's compliance. This applies to data controllers and data processors seeking registration under the Data Protection Regulations.</t>
        </is>
      </c>
      <c r="M330" s="8" t="inlineStr"/>
      <c r="N330" s="8" t="inlineStr">
        <is>
          <t>[Must] Where the Data Commissioner is satisfied that the applicant fulfills the requirements for registration under these Regulations, the Data Commissioner shall, within fourteen days issue the applicant with a certificate of registration for the duration specified under regulation 9
[Must] The Data Commissioner shall, within fourteen days enter the particulars of the successful applicant in the register</t>
        </is>
      </c>
      <c r="O330" s="8" t="inlineStr">
        <is>
          <t>8. Where the Data Commissioner is satisfied that the applicant fulfills the requirements for registration under these Regulations, the Data Commissioner shall, within fourteen days (a) issue the applicant with a certificate of registration for the duration specified under regulation 9; and (b) enter the particulars of the successful applicant in the register.</t>
        </is>
      </c>
      <c r="P330" s="10" t="inlineStr">
        <is>
          <t>Open PDF</t>
        </is>
      </c>
    </row>
    <row r="331">
      <c r="A331" t="inlineStr">
        <is>
          <t>Kenya</t>
        </is>
      </c>
      <c r="B331" t="inlineStr">
        <is>
          <t>THE-DATA-PROTECTION-REGISTRATION-OF-DATA-CONTROLLERS-AND-DATA-PROCESSORS-REGULATIONS-2021 (Kenya = row17)</t>
        </is>
      </c>
      <c r="C331" t="inlineStr">
        <is>
          <t>9</t>
        </is>
      </c>
      <c r="D331" s="8" t="inlineStr">
        <is>
          <t>A certificate of registration issued under regulation 8 (a) shall</t>
        </is>
      </c>
      <c r="E331" t="inlineStr">
        <is>
          <t>4</t>
        </is>
      </c>
      <c r="F331" t="inlineStr">
        <is>
          <t>Other</t>
        </is>
      </c>
      <c r="G331" t="inlineStr">
        <is>
          <t>None</t>
        </is>
      </c>
      <c r="H331" t="inlineStr">
        <is>
          <t>High (explicit)</t>
        </is>
      </c>
      <c r="I331" s="8" t="inlineStr"/>
      <c r="J331" s="8" t="inlineStr"/>
      <c r="K331" t="inlineStr"/>
      <c r="L331" s="8" t="inlineStr">
        <is>
          <t>A certificate of registration issued under regulation 8(a) remains valid for twenty-four months from the date of issuance. This duration applies to data controllers and data processors who have been registered under the Data Protection Regulations.</t>
        </is>
      </c>
      <c r="M331" s="8" t="inlineStr"/>
      <c r="N331" s="8" t="inlineStr">
        <is>
          <t>[Must] A certificate of registration issued under regulation 8 (a) shall be valid for a period of twenty-four months from the date of issuance</t>
        </is>
      </c>
      <c r="O331" s="8" t="inlineStr">
        <is>
          <t>9. A certificate of registration issued under regulation 8 (a) shall be valid for a period of twenty-four months from the date of issuance.</t>
        </is>
      </c>
      <c r="P331" s="10" t="inlineStr">
        <is>
          <t>Open PDF</t>
        </is>
      </c>
    </row>
    <row r="332">
      <c r="A332" t="inlineStr">
        <is>
          <t>Kenya</t>
        </is>
      </c>
      <c r="B332" t="inlineStr">
        <is>
          <t>THE-DATA-PROTECTION-REGISTRATION-OF-DATA-CONTROLLERS-AND-DATA-PROCESSORS-REGULATIONS-2021 (Kenya = row17)</t>
        </is>
      </c>
      <c r="C332" t="inlineStr">
        <is>
          <t>10</t>
        </is>
      </c>
      <c r="D332" s="8" t="inlineStr">
        <is>
          <t>(1) Where the Data Commissioner declines to approve an</t>
        </is>
      </c>
      <c r="E332" t="inlineStr">
        <is>
          <t>4</t>
        </is>
      </c>
      <c r="F332" t="inlineStr">
        <is>
          <t>Other</t>
        </is>
      </c>
      <c r="G332" t="inlineStr">
        <is>
          <t>None</t>
        </is>
      </c>
      <c r="H332" t="inlineStr">
        <is>
          <t>High (explicit)</t>
        </is>
      </c>
      <c r="I332" s="8" t="inlineStr"/>
      <c r="J332" s="8" t="inlineStr"/>
      <c r="K332" t="inlineStr">
        <is>
          <t>Data Commissioner</t>
        </is>
      </c>
      <c r="L332" s="8" t="inlineStr">
        <is>
          <t>The Data Commissioner must notify applicants in writing of refusal within twenty-one days and provide reasons for declining registration applications. Refusal can occur if application particulars are insufficient, privacy safeguards are inadequate, or the entity violates other regulations. Applicants may reapply after complying with refusal requirements.</t>
        </is>
      </c>
      <c r="M332" s="8" t="inlineStr"/>
      <c r="N332" s="8" t="inlineStr">
        <is>
          <t>[Must] Where the Data Commissioner declines to approve an application for registration, the Data Commissioner shall within twenty-one days from the date of such decision notify, in writing, the applicant of the refusal
[Must] Where the Data Commissioner declines to approve an application for registration, the Data Commissioner shall within twenty-one days from the date of such decision provide reasons for such refusal
[May] The Data Commissioner may decline to grant an application for registration, where the particulars provided for inclusion in an entry in the register are insufficient
[May] The Data Commissioner may decline to grant an application for registration, where appropriate safeguards for the protection of the privacy of the data subject have not been provided by the data controller or a data processor
[May] The Data Commissioner may decline to grant an application for registration, where the data controller or data processor is in violation of any provisions of the Act and these Regulations
[May] A data controller or data processor whose application for registration has been declined under these Regulations may make a fresh application upon complying with the requirements specified in the refusal notice</t>
        </is>
      </c>
      <c r="O332" s="8" t="inlineStr">
        <is>
          <t>10. (1) Where the Data Commissioner declines to approve an application for registration, the Data Commissioner shall within twenty-one days from the date of such decision (a) notify, in writing, the applicant of the refusal; and (b) provide reasons for such refusal.</t>
        </is>
      </c>
      <c r="P332" s="10" t="inlineStr">
        <is>
          <t>Open PDF</t>
        </is>
      </c>
    </row>
    <row r="333">
      <c r="A333" t="inlineStr">
        <is>
          <t>Kenya</t>
        </is>
      </c>
      <c r="B333" t="inlineStr">
        <is>
          <t>THE-DATA-PROTECTION-REGISTRATION-OF-DATA-CONTROLLERS-AND-DATA-PROCESSORS-REGULATIONS-2021 (Kenya = row17)</t>
        </is>
      </c>
      <c r="C333" t="inlineStr">
        <is>
          <t>11</t>
        </is>
      </c>
      <c r="D333" s="8" t="inlineStr">
        <is>
          <t>(1) Pursuant to section 20 of the Act, a registered data</t>
        </is>
      </c>
      <c r="E333" t="inlineStr">
        <is>
          <t>4–5</t>
        </is>
      </c>
      <c r="F333" t="inlineStr">
        <is>
          <t>Other</t>
        </is>
      </c>
      <c r="G333" t="inlineStr">
        <is>
          <t>None</t>
        </is>
      </c>
      <c r="H333" t="inlineStr">
        <is>
          <t>High (explicit)</t>
        </is>
      </c>
      <c r="I333" s="8" t="inlineStr"/>
      <c r="J333" s="8" t="inlineStr"/>
      <c r="K333" t="inlineStr">
        <is>
          <t>Data Commissioner</t>
        </is>
      </c>
      <c r="L333" s="8" t="inlineStr">
        <is>
          <t>Registered data controllers or processors must apply for renewal of registration after their certificate expires. Renewal applications require Form PR 2 and a renewal fee. The Data Commissioner may require verification if the renewal pertains to distinct purposes or data categories.</t>
        </is>
      </c>
      <c r="M333" s="8" t="inlineStr"/>
      <c r="N333" s="8" t="inlineStr">
        <is>
          <t>[Must] Pursuant to section 20 of the Act, a registered data controller or data processor shall apply for a renewal of registration as a data controller or data processor, after the expiry of the certificate of registration
[Must] An application for renewal of a certificate of registration shall be made in Form PR 2 set out in the First Schedule
[Must] An application for renewal of a certificate of registration shall be accompanied by the appropriate renewal fee specified in the Second Schedule
[Must] The Data Commissioner shall, upon receipt of the application, and where satisfied that the applicant complies with the requirements for registration, renew the certificate of registration
[Must] Despite sub-regulation (2), where renewal is for a distinct purpose or categories of data other than that for which the data controller or data processor had been registered for, the Data Commissioner shall undertake a verification process in the manner provided under regulation 7</t>
        </is>
      </c>
      <c r="O333" s="8" t="inlineStr">
        <is>
          <t>11. (1) Pursuant to section 20 of the Act, a registered data controller or data processor shall apply for a renewal of registration as a data controller or data processor, after the expiry of the certificate of registration.</t>
        </is>
      </c>
      <c r="P333" s="10" t="inlineStr">
        <is>
          <t>Open PDF</t>
        </is>
      </c>
    </row>
    <row r="334">
      <c r="A334" t="inlineStr">
        <is>
          <t>Kenya</t>
        </is>
      </c>
      <c r="B334" t="inlineStr">
        <is>
          <t>THE-DATA-PROTECTION-REGISTRATION-OF-DATA-CONTROLLERS-AND-DATA-PROCESSORS-REGULATIONS-2021 (Kenya = row17)</t>
        </is>
      </c>
      <c r="C334" t="inlineStr">
        <is>
          <t>12</t>
        </is>
      </c>
      <c r="D334" s="8" t="inlineStr">
        <is>
          <t>(1) Where the Data Commissioner declines to renew an</t>
        </is>
      </c>
      <c r="E334" t="inlineStr">
        <is>
          <t>5</t>
        </is>
      </c>
      <c r="F334" t="inlineStr">
        <is>
          <t>Other</t>
        </is>
      </c>
      <c r="G334" t="inlineStr">
        <is>
          <t>Low</t>
        </is>
      </c>
      <c r="H334" t="inlineStr">
        <is>
          <t>High (explicit)</t>
        </is>
      </c>
      <c r="I334" s="8" t="inlineStr">
        <is>
          <t>Special Personal Information</t>
        </is>
      </c>
      <c r="J334" s="8" t="inlineStr">
        <is>
          <t>Special Personal Information</t>
        </is>
      </c>
      <c r="K334" t="inlineStr"/>
      <c r="L334" s="8" t="inlineStr">
        <is>
          <t>This section specifies that businesses processing genetic data must register with the Data Commissioner under the Data Protection Regulations, establishing a regulatory threshold for genetic data processing activities.</t>
        </is>
      </c>
      <c r="M334" s="8" t="inlineStr">
        <is>
          <t>This section identifies genetic data as a category requiring specific registration, which is relevant for DTIA as it affects how genetic data is handled across borders and with third parties.</t>
        </is>
      </c>
      <c r="N334" s="8" t="inlineStr">
        <is>
          <t>[Must] Businesses that process genetic data must register with the Data Commissioner</t>
        </is>
      </c>
      <c r="O334" s="8" t="inlineStr">
        <is>
          <t>12. Businesses that process genetic data.</t>
        </is>
      </c>
      <c r="P334" s="10" t="inlineStr">
        <is>
          <t>Open PDF</t>
        </is>
      </c>
    </row>
    <row r="335">
      <c r="A335" t="inlineStr">
        <is>
          <t>Kenya</t>
        </is>
      </c>
      <c r="B335" t="inlineStr">
        <is>
          <t>THE-DATA-PROTECTION-REGISTRATION-OF-DATA-CONTROLLERS-AND-DATA-PROCESSORS-REGULATIONS-2021 (Kenya = row17)</t>
        </is>
      </c>
      <c r="C335" t="inlineStr">
        <is>
          <t>12</t>
        </is>
      </c>
      <c r="D335" s="8" t="inlineStr">
        <is>
          <t>Businesses that process genetic data.</t>
        </is>
      </c>
      <c r="E335" t="inlineStr">
        <is>
          <t>13</t>
        </is>
      </c>
      <c r="F335" t="inlineStr">
        <is>
          <t>Other</t>
        </is>
      </c>
      <c r="G335" t="inlineStr">
        <is>
          <t>Low</t>
        </is>
      </c>
      <c r="H335" t="inlineStr">
        <is>
          <t>High (explicit)</t>
        </is>
      </c>
      <c r="I335" s="8" t="inlineStr">
        <is>
          <t>Special Personal Information</t>
        </is>
      </c>
      <c r="J335" s="8" t="inlineStr">
        <is>
          <t>Special Personal Information</t>
        </is>
      </c>
      <c r="K335" t="inlineStr"/>
      <c r="L335" s="8" t="inlineStr">
        <is>
          <t>This section specifies that businesses processing genetic data must register with the Data Commissioner under the Data Protection Regulations, establishing a regulatory threshold for genetic data processing activities.</t>
        </is>
      </c>
      <c r="M335" s="8" t="inlineStr">
        <is>
          <t>This section identifies genetic data as a category requiring specific registration, which is relevant for DTIA as it affects how genetic data is handled across borders and with third parties.</t>
        </is>
      </c>
      <c r="N335" s="8" t="inlineStr">
        <is>
          <t>[Must] Businesses that process genetic data must register with the Data Commissioner</t>
        </is>
      </c>
      <c r="O335" s="8" t="inlineStr">
        <is>
          <t>12. Businesses that process genetic data.</t>
        </is>
      </c>
      <c r="P335" s="10" t="inlineStr">
        <is>
          <t>Open PDF</t>
        </is>
      </c>
    </row>
    <row r="336">
      <c r="A336" t="inlineStr">
        <is>
          <t>Kenya</t>
        </is>
      </c>
      <c r="B336" t="inlineStr">
        <is>
          <t>THE-DATA-PROTECTION-REGISTRATION-OF-DATA-CONTROLLERS-AND-DATA-PROCESSORS-REGULATIONS-2021 (Kenya = row17)</t>
        </is>
      </c>
      <c r="C336" t="inlineStr">
        <is>
          <t>13</t>
        </is>
      </c>
      <c r="D336" s="8" t="inlineStr">
        <is>
          <t>(1) For purposes of this regulation</t>
        </is>
      </c>
      <c r="E336" t="inlineStr">
        <is>
          <t>5–6</t>
        </is>
      </c>
      <c r="F336" t="inlineStr">
        <is>
          <t>Exemptions</t>
        </is>
      </c>
      <c r="G336" t="inlineStr">
        <is>
          <t>None</t>
        </is>
      </c>
      <c r="H336" t="inlineStr">
        <is>
          <t>High (explicit)</t>
        </is>
      </c>
      <c r="I336" s="8" t="inlineStr"/>
      <c r="J336" s="8" t="inlineStr"/>
      <c r="K336" t="inlineStr"/>
      <c r="L336" s="8" t="inlineStr">
        <is>
          <t>Entities with annual turnover below five million shillings and fewer than ten employees are exempt from mandatory registration. However, this exemption does not apply to entities processing personal data for purposes specified in the Third Schedule, and they must still comply with Part IV and Part VI of the Act.</t>
        </is>
      </c>
      <c r="M336" s="8" t="inlineStr"/>
      <c r="N336" s="8" t="inlineStr">
        <is>
          <t>[May] A data controller or data processor is exempt from mandatory registration under these Regulations where the data controller or data processor has an annual turnover of below five million shillings or annual revenue of below five million shillings
[May] A data controller or data processor is exempt from mandatory registration under these Regulations where the data controller or data processor has less than ten employees
[Must] Despite the provisions of sub-regulation (2), the data controller and data processor exempt under sub-regulation (2) shall be required to comply with the provisions of the Part IV and Part VI of the Act
[Must] The exemption provided under sub-regulation (1) shall not apply to a data controller or data processor whose annual turnover is below five million shillings and processes personal data for the purposes specified under the Third Schedule</t>
        </is>
      </c>
      <c r="O336" s="8" t="inlineStr">
        <is>
          <t>13. (2) A data controller or data processor is exempt from mandatory registration under these Regulations where the data controller or data processor (a) has an annual turnover of below five million shillings or annual revenue of below five million shillings; and (b) has less than ten employees.</t>
        </is>
      </c>
      <c r="P336" s="10" t="inlineStr">
        <is>
          <t>Open PDF</t>
        </is>
      </c>
    </row>
    <row r="337">
      <c r="A337" t="inlineStr">
        <is>
          <t>Kenya</t>
        </is>
      </c>
      <c r="B337" t="inlineStr">
        <is>
          <t>THE-DATA-PROTECTION-REGISTRATION-OF-DATA-CONTROLLERS-AND-DATA-PROCESSORS-REGULATIONS-2021 (Kenya = row17)</t>
        </is>
      </c>
      <c r="C337" t="inlineStr">
        <is>
          <t>14</t>
        </is>
      </c>
      <c r="D337" s="8" t="inlineStr">
        <is>
          <t>(1) Subject to section 21 of the Act, the Data Commissioner</t>
        </is>
      </c>
      <c r="E337" t="inlineStr">
        <is>
          <t>6</t>
        </is>
      </c>
      <c r="F337" t="inlineStr">
        <is>
          <t>Other</t>
        </is>
      </c>
      <c r="G337" t="inlineStr">
        <is>
          <t>Medium</t>
        </is>
      </c>
      <c r="H337" t="inlineStr">
        <is>
          <t>High (explicit)</t>
        </is>
      </c>
      <c r="I337" s="8" t="inlineStr">
        <is>
          <t>Data Storage</t>
        </is>
      </c>
      <c r="J337" s="8" t="inlineStr">
        <is>
          <t>Personal Information</t>
        </is>
      </c>
      <c r="K337" t="inlineStr">
        <is>
          <t>Data Commissioner</t>
        </is>
      </c>
      <c r="L337" s="8" t="inlineStr">
        <is>
          <t>The Data Commissioner must maintain an up-to-date register containing registered data controllers and processors, their categories of personal data processed, business addresses, data protection officers (where applicable), and other relevant particulars. This register is updated within 14 days of any changes to registration details and published on the official website every 30 days.</t>
        </is>
      </c>
      <c r="M337" s="8" t="inlineStr">
        <is>
          <t>This section establishes a mandatory registration system that requires data controllers and processors to disclose their data processing activities to the Data Commissioner, creating a foundational record for assessing data flows and ensuring transparency in data handling practices.</t>
        </is>
      </c>
      <c r="N337" s="8" t="inlineStr">
        <is>
          <t>[Must] The Data Commissioner shall keep and maintain an up to date register which shall contain the names and particulars of registered data controllers and data processors
[Must] The Data Commissioner shall keep and maintain an up to date register which shall contain categories of personal data being processed by the data controllers and data processors
[Must] The Data Commissioner shall keep and maintain an up to date register which shall contain the address of the principal places of business of the data controllers and data processors
[Must] The Data Commissioner shall keep and maintain an up to date register which shall contain where applicable, details of data protection officers
[Must] The Data Commissioner shall keep and maintain an up to date register which shall contain any other relevant particular
[Must] The Office shall, once every thirty days, publish on the official website a list of registered data controllers or data processors</t>
        </is>
      </c>
      <c r="O337" s="8" t="inlineStr">
        <is>
          <t>14. (1) Subject to section 21 of the Act, the Data Commissioner shall keep and maintain an up to date register which shall contain (a) the names and particulars of registered data controllers and data processors; (b) categories of personal data being processed by the data controllers and data processors; (c) the address of the principal places of business of the data controllers and data processors; (d) where applicable, details of data protection officers; and (e) any other relevant particular.</t>
        </is>
      </c>
      <c r="P337" s="10" t="inlineStr">
        <is>
          <t>Open PDF</t>
        </is>
      </c>
    </row>
    <row r="338">
      <c r="A338" t="inlineStr">
        <is>
          <t>Kenya</t>
        </is>
      </c>
      <c r="B338" t="inlineStr">
        <is>
          <t>THE-DATA-PROTECTION-REGISTRATION-OF-DATA-CONTROLLERS-AND-DATA-PROCESSORS-REGULATIONS-2021 (Kenya = row17)</t>
        </is>
      </c>
      <c r="C338" t="inlineStr">
        <is>
          <t>15</t>
        </is>
      </c>
      <c r="D338" s="8" t="inlineStr">
        <is>
          <t>(1) Subject to section 19(2) of the Act, a data controller or</t>
        </is>
      </c>
      <c r="E338" t="inlineStr">
        <is>
          <t>6</t>
        </is>
      </c>
      <c r="F338" t="inlineStr">
        <is>
          <t>Other</t>
        </is>
      </c>
      <c r="G338" t="inlineStr">
        <is>
          <t>Medium</t>
        </is>
      </c>
      <c r="H338" t="inlineStr">
        <is>
          <t>High (explicit)</t>
        </is>
      </c>
      <c r="I338" s="8" t="inlineStr"/>
      <c r="J338" s="8" t="inlineStr">
        <is>
          <t>Personal Information</t>
        </is>
      </c>
      <c r="K338" t="inlineStr">
        <is>
          <t>Data Commissioner</t>
        </is>
      </c>
      <c r="L338" s="8" t="inlineStr">
        <is>
          <t>Data controllers and processors must notify the Data Commissioner in writing within 14 days of any changes to their registration particulars. The Data Commissioner may request additional documents or proof before updating the register, and failure to comply constitutes an offence punishable under section 73 of the Act.</t>
        </is>
      </c>
      <c r="M338" s="8" t="inlineStr">
        <is>
          <t>This section mandates timely updates to the registration register, ensuring the Data Commissioner maintains accurate records of data processing activities, which is critical for DTIA compliance as it requires ongoing verification of data flows.</t>
        </is>
      </c>
      <c r="N338" s="8" t="inlineStr">
        <is>
          <t>[Must] A data controller or data processor shall, within fourteen days of the occurrence of any changes in the particulars of a data controller or a data processor, notify the Data Commissioner in writing
[Must] The Data Commissioner shall, on receiving the notification make the necessary changes on the register, where necessary
[Condition] The Data Commissioner may prior to making any change on the register, request for any necessary documents or proof thereof
[Must Not] A data controller or data processor who contravenes this regulation commits an offence and shall, on conviction, be liable to the penalty specified under section 73 of the Act</t>
        </is>
      </c>
      <c r="O338" s="8" t="inlineStr">
        <is>
          <t>15. (1) Subject to section 19(2) of the Act, a data controller or data processor shall, within fourteen days of the occurrence of any changes in the particulars of a data controller or a data processor, notify the Data Commissioner in writing.</t>
        </is>
      </c>
      <c r="P338" s="10" t="inlineStr">
        <is>
          <t>Open PDF</t>
        </is>
      </c>
    </row>
    <row r="339">
      <c r="A339" t="inlineStr">
        <is>
          <t>Kenya</t>
        </is>
      </c>
      <c r="B339" t="inlineStr">
        <is>
          <t>THE-DATA-PROTECTION-REGISTRATION-OF-DATA-CONTROLLERS-AND-DATA-PROCESSORS-REGULATIONS-2021 (Kenya = row17)</t>
        </is>
      </c>
      <c r="C339" t="inlineStr">
        <is>
          <t>16</t>
        </is>
      </c>
      <c r="D339" s="8" t="inlineStr">
        <is>
          <t>(1) Subject to section 22 of the Act, the Data Commissioner</t>
        </is>
      </c>
      <c r="E339" t="inlineStr">
        <is>
          <t>6</t>
        </is>
      </c>
      <c r="F339" t="inlineStr">
        <is>
          <t>Other</t>
        </is>
      </c>
      <c r="G339" t="inlineStr">
        <is>
          <t>Medium</t>
        </is>
      </c>
      <c r="H339" t="inlineStr">
        <is>
          <t>High (explicit)</t>
        </is>
      </c>
      <c r="I339" s="8" t="inlineStr"/>
      <c r="J339" s="8" t="inlineStr">
        <is>
          <t>Personal Information</t>
        </is>
      </c>
      <c r="K339" t="inlineStr">
        <is>
          <t>Data Commissioner</t>
        </is>
      </c>
      <c r="L339" s="8" t="inlineStr">
        <is>
          <t>The Data Commissioner may cancel or vary a certificate of registration if a data controller or processor provides false information, willfully or negligently fails to comply with the Act and Regulations, or applies for cancellation/variation. The process must follow the Fair Administrative Actions Act, 2015.</t>
        </is>
      </c>
      <c r="M339" s="8" t="inlineStr">
        <is>
          <t>This section provides the mechanism for revoking registration when data processing activities are non-compliant, which is essential for DTIA to ensure that only legitimate data flows are maintained.</t>
        </is>
      </c>
      <c r="N339" s="8" t="inlineStr">
        <is>
          <t>[May] The Data Commissioner may cancel a certificate of registration or vary the conditions for registration, where (a) the data controller or data processor applies for cancellation or variation
[May] The Data Commissioner may cancel a certificate of registration or vary the conditions for registration, where (b) the Data Commissioner establishes that the data controller or data processor provided false or misleading information in relation to any registration particulars
[May] The Data Commissioner may cancel a certificate of registration or vary the conditions for registration, where (c) the data controller or data processor willfully or negligently, fails to comply with provisions of the Act and any Regulations made thereunder
[Must] The Data Commissioner shall, before cancelling or varying the conditions of registration, be guided by the provisions of the Fair Administrative Actions Act, 2015</t>
        </is>
      </c>
      <c r="O339" s="8" t="inlineStr">
        <is>
          <t>16. (1) Subject to section 22 of the Act, the Data Commissioner may cancel a certificate of registration or vary the conditions for registration, where (a) the data controller or data processor applies for cancellation or variation; (b) the Data Commissioner establishes that the data controller or data processor provided false or misleading information in relation to any registration particulars; or (c) the data controller or data processor willfully or negligently, fails to comply with provisions of the Act and any Regulations made thereunder.</t>
        </is>
      </c>
      <c r="P339" s="10" t="inlineStr">
        <is>
          <t>Open PDF</t>
        </is>
      </c>
    </row>
    <row r="340">
      <c r="A340" t="inlineStr">
        <is>
          <t>Kenya</t>
        </is>
      </c>
      <c r="B340" t="inlineStr">
        <is>
          <t>THE-DATA-PROTECTION-REGISTRATION-OF-DATA-CONTROLLERS-AND-DATA-PROCESSORS-REGULATIONS-2021 (Kenya = row17)</t>
        </is>
      </c>
      <c r="C340" t="inlineStr">
        <is>
          <t>18</t>
        </is>
      </c>
      <c r="D340" s="8" t="inlineStr">
        <is>
          <t>A data controller or a data processor who</t>
        </is>
      </c>
      <c r="E340" t="inlineStr">
        <is>
          <t>6–13</t>
        </is>
      </c>
      <c r="F340" t="inlineStr">
        <is>
          <t>Other</t>
        </is>
      </c>
      <c r="G340" t="inlineStr">
        <is>
          <t>Medium</t>
        </is>
      </c>
      <c r="H340" t="inlineStr">
        <is>
          <t>High (explicit)</t>
        </is>
      </c>
      <c r="I340" s="8" t="inlineStr"/>
      <c r="J340" s="8" t="inlineStr">
        <is>
          <t>Personal Information</t>
        </is>
      </c>
      <c r="K340" t="inlineStr">
        <is>
          <t>Data Commissioner</t>
        </is>
      </c>
      <c r="L340" s="8" t="inlineStr">
        <is>
          <t>Data controllers and processors who fail to register, provide false information, or fail to renew their certificate of registration after expiry commit an offence under section 73 of the Act and face penalties for non-compliance.</t>
        </is>
      </c>
      <c r="M340" s="8" t="inlineStr">
        <is>
          <t>This section defines specific offences related to registration compliance, which are critical for DTIA as they establish the consequences of non-compliance with registration requirements for data processing activities.</t>
        </is>
      </c>
      <c r="N340" s="8" t="inlineStr">
        <is>
          <t>[Must Not] A data controller or a data processor who processes personal data without registering in accordance with these Regulations commits an offence
[Must Not] A data controller or a data processor who provides false or misleading information for the purpose of registration commits an offence
[Must Not] A data controller or a data processor who fails to renew a certificate of registration and continues to process personal data after the expiry of the certificate commits an offence
[Must] A data controller or a data processor who commits an offence shall, upon conviction, be liable to penalty specified under section 73 of the Act</t>
        </is>
      </c>
      <c r="O340" s="8" t="inlineStr">
        <is>
          <t>18. A data controller or a data processor who (a) processes personal data without registering in accordance with these Regulations; (b) provides false or misleading information for the purpose of registration; or (c) fails to renew a certificate of registration and continues to process personal data after the expiry of the certificate, commits an offence and shall, upon conviction, be liable to penalty specified under section 73 of the Act.</t>
        </is>
      </c>
      <c r="P340" s="10" t="inlineStr">
        <is>
          <t>Open PDF</t>
        </is>
      </c>
    </row>
    <row r="341">
      <c r="A341" t="inlineStr">
        <is>
          <t>Mauritius</t>
        </is>
      </c>
      <c r="B341" t="inlineStr">
        <is>
          <t>Mauritius_Emerging_Technologies_Council_Act_2021 (Mauritius - Row 24)</t>
        </is>
      </c>
      <c r="C341" t="inlineStr">
        <is>
          <t>2</t>
        </is>
      </c>
      <c r="D341" s="8" t="inlineStr">
        <is>
          <t>Interpretation</t>
        </is>
      </c>
      <c r="E341" t="inlineStr">
        <is>
          <t>2–3</t>
        </is>
      </c>
      <c r="F341" t="inlineStr">
        <is>
          <t>Definitions</t>
        </is>
      </c>
      <c r="G341" t="inlineStr">
        <is>
          <t>None</t>
        </is>
      </c>
      <c r="H341" t="inlineStr">
        <is>
          <t>High (explicit)</t>
        </is>
      </c>
      <c r="I341" s="8" t="inlineStr"/>
      <c r="J341" s="8" t="inlineStr">
        <is>
          <t>Special Personal Information</t>
        </is>
      </c>
      <c r="K341" t="inlineStr"/>
      <c r="L341" s="8" t="inlineStr">
        <is>
          <t>This section defines key terms used throughout the Act, including 'Chairperson', 'Council', 'Executive Director', 'Intellectual property', 'member', 'Minister', 'Ministry', and 'research and development'. Each term is explicitly specified with precise meanings relevant to the Mauritius Emerging Technologies Council's operations.</t>
        </is>
      </c>
      <c r="M341" s="8" t="inlineStr"/>
      <c r="N341" s="8" t="inlineStr">
        <is>
          <t>[Definition] Chairperson means the Chairperson of the Council
[Definition] Council means the Mauritius Emerging Technologies Council established under section 3
[Definition] Executive Director means the Executive Director of the Council, appointed under section 10
[Definition] Intellectual property includes any knowledge, know-how, technique, technology, design or trade secret, invented, developed or acquired as a result of research and development and innovation activities
[Definition] member means a member of the Council
[Definition] Minister means the Minister to whom responsibility for the subject of information technology is assigned
[Definition] Ministry means the Ministry responsible for the subject of information technology
[Definition] research and development means systematic, investigative and experimental activities which involve emerging technologies and are carried out, wholly or partly, within Mauritius for the purpose of creating new or improved materials, products, devices, processes or services</t>
        </is>
      </c>
      <c r="O341" s="8" t="inlineStr">
        <is>
          <t>Interpretation In this Act – "Chairperson" means the Chairperson of the Council; "Council" means the Mauritius Emerging Technologies Council established under section 3; "Executive Director" means the Executive Director of the Council, appointed under section 10; "Intellectual property" includes any knowledge, know-how, technique, technology, design or trade secret, invented, developed or acquired as a result of research and development and innovation activities; "member" – (a) means a member of the Council; and (b) includes the Chairperson; "Minister" means the Minister to whom responsibility for the subject of information technology is assigned; "Ministry" means the Ministry responsible for the subject of information technology; "research and development" means systematic, investigative and experimental activities which involve emerging technologies and are carried out, wholly or partly, within Mauritius for the purpose of creating new or improved materials, products, devices, processes or services.</t>
        </is>
      </c>
      <c r="P341" s="10" t="inlineStr">
        <is>
          <t>Open PDF</t>
        </is>
      </c>
    </row>
    <row r="342">
      <c r="A342" t="inlineStr">
        <is>
          <t>Mauritius</t>
        </is>
      </c>
      <c r="B342" t="inlineStr">
        <is>
          <t>Mauritius_Emerging_Technologies_Council_Act_2021 (Mauritius - Row 24)</t>
        </is>
      </c>
      <c r="C342" t="inlineStr">
        <is>
          <t>7</t>
        </is>
      </c>
      <c r="D342" s="8" t="inlineStr">
        <is>
          <t>The Council</t>
        </is>
      </c>
      <c r="E342" t="inlineStr">
        <is>
          <t>5–6</t>
        </is>
      </c>
      <c r="F342" t="inlineStr">
        <is>
          <t>Governance</t>
        </is>
      </c>
      <c r="G342" t="inlineStr">
        <is>
          <t>None</t>
        </is>
      </c>
      <c r="H342" t="inlineStr">
        <is>
          <t>High (explicit)</t>
        </is>
      </c>
      <c r="I342" s="8" t="inlineStr">
        <is>
          <t>Governance, Record Keeping</t>
        </is>
      </c>
      <c r="J342" s="8" t="inlineStr">
        <is>
          <t>Special Personal Information</t>
        </is>
      </c>
      <c r="K342" t="inlineStr"/>
      <c r="L342" s="8" t="inlineStr">
        <is>
          <t>This section outlines the composition of the Council, specifying that it must include a Chairperson appointed by the Minister, representatives from the Ministry, the Ministry of Finance, the Ministry of Industrial Development, the Attorney-General's Office, the Economic Development Board, the private sector, and four technology experts. It also details disqualifications for members, term lengths, resignation procedures, and the requirement for members to be paid by the Minister.</t>
        </is>
      </c>
      <c r="M342" s="8" t="inlineStr"/>
      <c r="N342" s="8" t="inlineStr">
        <is>
          <t>[Must] 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
[Must Not] No person shall be qualified to be a member where he is – (a) a member of the Assembly; (b) a member of a local authority; or (c) otherwise actively engaged in politics
[Condition] Subject to subsection (4), a member, other than an ex officio member, shall hold office for a period of 3 years and may be eligible for reappointment
[Condition] A member, other than an ex officio member, shall cease to hold office – (a) on the completion of his term of office; (b) on his resignation; (c) where he becomes a member of the Assembly or a local authority, or otherwise actively engages in politics; or (d) where, without sufficient cause, he fails to attend 3 consecutive meetings of the Council
[Must] Every member shall be paid such fees or allowances as the Minister may determine
[Must] The names of the members of the Council shall be published in the Gazette
[May] The Council may co-opt any person who may be of assistance in relation to any matter before it and the co-opted member shall – (a) not have the right to vote at any meeting of the Council; and (b) be paid such fees or allowances as the Council may determine
[Must Not] A member shall not engage in any activity which may undermine the reputation or the integrity of the Council</t>
        </is>
      </c>
      <c r="O342" s="8" t="inlineStr">
        <is>
          <t>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t>
        </is>
      </c>
      <c r="P342" s="10" t="inlineStr">
        <is>
          <t>Open PDF</t>
        </is>
      </c>
    </row>
    <row r="343">
      <c r="A343" t="inlineStr">
        <is>
          <t>Mauritius</t>
        </is>
      </c>
      <c r="B343" t="inlineStr">
        <is>
          <t>Mauritius_Emerging_Technologies_Council_Act_2021 (Mauritius - Row 24)</t>
        </is>
      </c>
      <c r="C343" t="inlineStr">
        <is>
          <t>13</t>
        </is>
      </c>
      <c r="D343" s="8" t="inlineStr">
        <is>
          <t>Disclosure of interest</t>
        </is>
      </c>
      <c r="E343" t="inlineStr">
        <is>
          <t>9</t>
        </is>
      </c>
      <c r="F343" t="inlineStr">
        <is>
          <t>Governance</t>
        </is>
      </c>
      <c r="G343" t="inlineStr">
        <is>
          <t>None</t>
        </is>
      </c>
      <c r="H343" t="inlineStr">
        <is>
          <t>High (explicit)</t>
        </is>
      </c>
      <c r="I343" s="8" t="inlineStr">
        <is>
          <t>Governance, Record Keeping</t>
        </is>
      </c>
      <c r="J343" s="8" t="inlineStr">
        <is>
          <t>Special Personal Information</t>
        </is>
      </c>
      <c r="K343" t="inlineStr"/>
      <c r="L343" s="8" t="inlineStr">
        <is>
          <t>This section requires members of the Council or their relatives to disclose any pecuniary or material interest in matters before the Council or its committees, and prohibits them from participating in deliberations on those matters. Disclosures must be recorded in the meeting minutes.</t>
        </is>
      </c>
      <c r="M343" s="8" t="inlineStr"/>
      <c r="N343" s="8" t="inlineStr">
        <is>
          <t>[Must] 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
[Must] A disclosure of interest made under subsection (1) shall be recorded in the minutes of proceedings of the meeting of the Council or committee, as the case may be</t>
        </is>
      </c>
      <c r="O343" s="8" t="inlineStr">
        <is>
          <t>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t>
        </is>
      </c>
      <c r="P343" s="10" t="inlineStr">
        <is>
          <t>Open PDF</t>
        </is>
      </c>
    </row>
    <row r="344">
      <c r="A344" t="inlineStr">
        <is>
          <t>Mauritius</t>
        </is>
      </c>
      <c r="B344" t="inlineStr">
        <is>
          <t>Mauritius_Emerging_Technologies_Council_Act_2021 (Mauritius - Row 24)</t>
        </is>
      </c>
      <c r="C344" t="inlineStr">
        <is>
          <t>16</t>
        </is>
      </c>
      <c r="D344" s="8" t="inlineStr">
        <is>
          <t>General Fund</t>
        </is>
      </c>
      <c r="E344" t="inlineStr">
        <is>
          <t>9–10</t>
        </is>
      </c>
      <c r="F344" t="inlineStr">
        <is>
          <t>Governance</t>
        </is>
      </c>
      <c r="G344" t="inlineStr">
        <is>
          <t>None</t>
        </is>
      </c>
      <c r="H344" t="inlineStr">
        <is>
          <t>High (explicit)</t>
        </is>
      </c>
      <c r="I344" s="8" t="inlineStr">
        <is>
          <t>Governance, Record Keeping</t>
        </is>
      </c>
      <c r="J344" s="8" t="inlineStr">
        <is>
          <t>Special Personal Information</t>
        </is>
      </c>
      <c r="K344" t="inlineStr"/>
      <c r="L344" s="8" t="inlineStr">
        <is>
          <t>This section establishes a General Fund for the Council, which receives funds from the Consolidated Fund, loans, other lawful accruals, and other sources, and from which all required payments are made. It specifies that the Council must publish its annual report within six months of the financial year-end.</t>
        </is>
      </c>
      <c r="M344" s="8" t="inlineStr"/>
      <c r="N344" s="8" t="inlineStr">
        <is>
          <t>[Must] 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t>
        </is>
      </c>
      <c r="O344" s="8" t="inlineStr">
        <is>
          <t>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t>
        </is>
      </c>
      <c r="P344" s="10" t="inlineStr">
        <is>
          <t>Open PDF</t>
        </is>
      </c>
    </row>
    <row r="345">
      <c r="A345" t="inlineStr">
        <is>
          <t>Mauritius</t>
        </is>
      </c>
      <c r="B345" t="inlineStr">
        <is>
          <t>Mauritius_Emerging_Technologies_Council_Act_2021 (Mauritius - Row 24)</t>
        </is>
      </c>
      <c r="C345" t="inlineStr">
        <is>
          <t>21</t>
        </is>
      </c>
      <c r="D345" s="8" t="inlineStr">
        <is>
          <t>Annual report</t>
        </is>
      </c>
      <c r="E345" t="inlineStr">
        <is>
          <t>10–11</t>
        </is>
      </c>
      <c r="F345" t="inlineStr">
        <is>
          <t>Governance</t>
        </is>
      </c>
      <c r="G345" t="inlineStr">
        <is>
          <t>None</t>
        </is>
      </c>
      <c r="H345" t="inlineStr">
        <is>
          <t>High (explicit)</t>
        </is>
      </c>
      <c r="I345" s="8" t="inlineStr">
        <is>
          <t>Governance, Record Keeping</t>
        </is>
      </c>
      <c r="J345" s="8" t="inlineStr">
        <is>
          <t>Special Personal Information</t>
        </is>
      </c>
      <c r="K345" t="inlineStr"/>
      <c r="L345" s="8" t="inlineStr">
        <is>
          <t>This section mandates that the Council publish an annual report within six months of the financial year-end, including audited accounts. It also specifies that the first financial year starts from the Act's commencement date to June 30 of the following year, and that the Statutory Bodies (Accounts and Audit) Act does not apply to the first financial year.</t>
        </is>
      </c>
      <c r="M345" s="8" t="inlineStr"/>
      <c r="N345" s="8" t="inlineStr">
        <is>
          <t>[Must] The Council shall, not later than 6 months after the close of every financial year, cause to be published a report on the activities of the Council, including its audited accounts, in respect of that financial year
[Condition] For the purposes of the Statutory Bodies (Accounts and Audit) Act, the period extending from the commencement of this Act to 30 June of the following year shall be deemed to be the first financial year of the Council
[Condition] Section 7 (1) of the Statutory Bodies (Accounts and Audit) Act shall not apply to the first financial year of the Council
[Must] The auditor to be appointed under section 5 (1) of the Statutory Bodies (Accounts and Audit) Act shall be the Director of Audit
[Must] The Council shall forward a copy of the report referred to in subsection (1) to the Minister
[Must] The Council shall furnish to the Minister such information with respect to its activities, in such manner and at such time, as he may specify
[Must] The Minister shall, at the earliest available opportunity, lay a copy of the annual report and audited accounts of the Council before the Assembly</t>
        </is>
      </c>
      <c r="O345" s="8" t="inlineStr">
        <is>
          <t>The Council shall, not later than 6 months after the close of every financial year, cause to be published a report on the activities of the Council, including its audited accounts, in respect of that financial year.</t>
        </is>
      </c>
      <c r="P345" s="10" t="inlineStr">
        <is>
          <t>Open PDF</t>
        </is>
      </c>
    </row>
    <row r="346">
      <c r="A346" t="inlineStr">
        <is>
          <t>Mauritius</t>
        </is>
      </c>
      <c r="B346" t="inlineStr">
        <is>
          <t>National-Identity-Card-Act-Consolidated- (Mauritius - Row 23)</t>
        </is>
      </c>
      <c r="C346" t="inlineStr">
        <is>
          <t>2</t>
        </is>
      </c>
      <c r="D346" s="8" t="inlineStr">
        <is>
          <t>Interpretation</t>
        </is>
      </c>
      <c r="E346" t="inlineStr">
        <is>
          <t>1</t>
        </is>
      </c>
      <c r="F346" t="inlineStr">
        <is>
          <t>Definitions</t>
        </is>
      </c>
      <c r="G346" t="inlineStr">
        <is>
          <t>None</t>
        </is>
      </c>
      <c r="H346" t="inlineStr">
        <is>
          <t>High (explicit)</t>
        </is>
      </c>
      <c r="I346" s="8" t="inlineStr"/>
      <c r="J346" s="8" t="inlineStr">
        <is>
          <t>Biometric Data</t>
        </is>
      </c>
      <c r="K346" t="inlineStr"/>
      <c r="L346" s="8" t="inlineStr">
        <is>
          <t>This section defines key terms used throughout the National Identity Card Act, including biometric information, digital wallet, identity card, Minister, Mobile ID, MNIC System, NIC number, register, Registrar, and Unit. These definitions establish the scope and meaning of critical concepts for the implementation of the identity card system and related processes.</t>
        </is>
      </c>
      <c r="M346" s="8" t="inlineStr"/>
      <c r="N346" s="8" t="inlineStr">
        <is>
          <t>[Definition] biometric information
[Definition] digital wallet
[Definition] identity card
[Definition] Minister
[Definition] Mobile ID
[Definition] MNIC System
[Definition] NIC number
[Definition] register
[Definition] Registrar
[Definition] Unit</t>
        </is>
      </c>
      <c r="O346" s="8" t="inlineStr">
        <is>
          <t>2. Interpretation In this Act— "biometric information", in relation to an individual, means data about his external characteristics, including his fingerprints; "digital wallet" means a digital application issued by the National Identity Card Unit to store such digital documents as may be prescribed; "identity card" means a card issued under section 5(1); "Minister" means the Minister to whom responsiblity for the subject of civil status is assigned; "Mobile ID" means the digital identity document which the holder of an identity card may register under section 5(2B) and which is stored in the digital wallet; "MNIC System" means the hardware, software and infrastructure for the registration, personalisation, issuance and post-issuance of the identity card and Mobile ID; "NIC number" has the same meaning as in the Civil Status Act; "register" means the register kept under section 3; "Registrar" means the Registrar of Civil Status; "Unit" means the National Identity Card Unit referred to in section 2A.</t>
        </is>
      </c>
      <c r="P346" s="10" t="inlineStr">
        <is>
          <t>Open PDF</t>
        </is>
      </c>
    </row>
    <row r="347">
      <c r="A347" t="inlineStr">
        <is>
          <t>Mauritius</t>
        </is>
      </c>
      <c r="B347" t="inlineStr">
        <is>
          <t>National-Identity-Card-Act-Consolidated- (Mauritius - Row 23)</t>
        </is>
      </c>
      <c r="C347" t="inlineStr">
        <is>
          <t>2</t>
        </is>
      </c>
      <c r="D347" s="8" t="inlineStr">
        <is>
          <t>Interpretation</t>
        </is>
      </c>
      <c r="E347" t="inlineStr">
        <is>
          <t>1–3</t>
        </is>
      </c>
      <c r="F347" t="inlineStr">
        <is>
          <t>Definitions</t>
        </is>
      </c>
      <c r="G347" t="inlineStr">
        <is>
          <t>None</t>
        </is>
      </c>
      <c r="H347" t="inlineStr">
        <is>
          <t>High (explicit)</t>
        </is>
      </c>
      <c r="I347" s="8" t="inlineStr"/>
      <c r="J347" s="8" t="inlineStr">
        <is>
          <t>Biometric Data</t>
        </is>
      </c>
      <c r="K347" t="inlineStr"/>
      <c r="L347" s="8" t="inlineStr">
        <is>
          <t>This section defines key terms used throughout the National Identity Card Act, including biometric information, digital wallet, identity card, Minister, Mobile ID, MNIC System, NIC number, register, Registrar, and Unit. These definitions establish the scope and meaning of critical concepts for the implementation of the identity card system and related processes.</t>
        </is>
      </c>
      <c r="M347" s="8" t="inlineStr"/>
      <c r="N347" s="8" t="inlineStr">
        <is>
          <t>[Definition] biometric information
[Definition] digital wallet
[Definition] identity card
[Definition] Minister
[Definition] Mobile ID
[Definition] MNIC System
[Definition] NIC number
[Definition] register
[Definition] Registrar
[Definition] Unit</t>
        </is>
      </c>
      <c r="O347" s="8" t="inlineStr">
        <is>
          <t>2. Interpretation In this Act— "biometric information", in relation to an individual, means data about his external characteristics, including his fingerprints; "digital wallet" means a digital application issued by the National Identity Card Unit to store such digital documents as may be prescribed; "identity card" means a card issued under section 5(1); "Minister" means the Minister to whom responsiblity for the subject of civil status is assigned; "Mobile ID" means the digital identity document which the holder of an identity card may register under section 5(2B) and which is stored in the digital wallet; "MNIC System" means the hardware, software and infrastructure for the registration, personalisation, issuance and post-issuance of the identity card and Mobile ID; "NIC number" has the same meaning as in the Civil Status Act; "register" means the register kept under section 3; "Registrar" means the Registrar of Civil Status; "Unit" means the National Identity Card Unit referred to in section 2A.</t>
        </is>
      </c>
      <c r="P347" s="10" t="inlineStr">
        <is>
          <t>Open PDF</t>
        </is>
      </c>
    </row>
    <row r="348">
      <c r="A348" t="inlineStr">
        <is>
          <t>Mauritius</t>
        </is>
      </c>
      <c r="B348" t="inlineStr">
        <is>
          <t>National-Identity-Card-Act-Consolidated- (Mauritius - Row 23)</t>
        </is>
      </c>
      <c r="C348" t="inlineStr">
        <is>
          <t>4</t>
        </is>
      </c>
      <c r="D348" s="8" t="inlineStr">
        <is>
          <t>Duty to be registered</t>
        </is>
      </c>
      <c r="E348" t="inlineStr">
        <is>
          <t>3–4</t>
        </is>
      </c>
      <c r="F348" t="inlineStr">
        <is>
          <t>Data Collection</t>
        </is>
      </c>
      <c r="G348" t="inlineStr">
        <is>
          <t>None</t>
        </is>
      </c>
      <c r="H348" t="inlineStr">
        <is>
          <t>High (explicit)</t>
        </is>
      </c>
      <c r="I348" s="8" t="inlineStr"/>
      <c r="J348" s="8" t="inlineStr">
        <is>
          <t>Biometric Data, Personal Information</t>
        </is>
      </c>
      <c r="K348" t="inlineStr"/>
      <c r="L348" s="8" t="inlineStr">
        <is>
          <t>This section mandates that citizens of Mauritius must apply for an identity card within six months of turning 18, with exceptions for non-residents or those with serious illnesses. Applicants must provide birth certificates, other documents, and biometric information, with medical certifications allowing exemptions for those unable to provide biometrics due to permanent disabilities.</t>
        </is>
      </c>
      <c r="M348" s="8" t="inlineStr"/>
      <c r="N348" s="8" t="inlineStr">
        <is>
          <t>[Must] Every person who is a citizen of Mauritius shall, within 6 months of attaining the age of 18 and on such form as may be prescribed, apply for an identity card at any office designated by the Head of the Unit.
[Must] Where a person is not a resident of Mauritius or is unable to comply with paragraph (a) on account of serious illness, as certified by a medical practitioner in the public service, or on any other compelling and reasonable ground, he may apply for an identity card in such manner and within such period of attaining the age of 18 as the Head of the Unit may determine.
[Must] Every person who applies for an identity card shall produce his birth certificate or his certificate of registration or naturalisation as a citizen of Mauritius, as the case may be.
[Must] Every person who applies for an identity card shall produce such other documents as the Head of the Unit may require.
[Must] Every person who applies for an identity card shall allow his fingerprints, and other biometric information about himself, to be taken and recorded.
[Must] Every person who applies for an identity card shall allow himself to be photographed, for the purpose of the identity card.
[Must Not] Subsection (2)(c) shall not apply to a person who is certified by a medical practitioner in the public service to be unable to provide his biometric information by reason of any permanent infirmity or permanent disability.</t>
        </is>
      </c>
      <c r="O348" s="8" t="inlineStr">
        <is>
          <t>4. Duty to be registered (1) (a) Subject to paragraph (b), every person who is a citizen of Mauritius shall, within 6 months of attaining the age of 18 and on such form as may be prescribed, apply for an identity card at any office designated by the Head of the Unit. (b) Where a person – (i) is not a resident of Mauritius; or (ii) is unable to comply with paragraph (a) on account of serious illness, as certified by a medical practitioner in the public service, or on any other compelling and reasonable ground, he may apply for an identity card in such manner and within such period of attaining the age of 18 as the Head of the Unit may determine. (2) Every person who applies for an identity card shall — (a) produce his birth certificate or his certificate of registration or naturalisation as a citizen of Mauritius, as the case may be; (b) produce such other documents as the Head of the Unit may require; (c) allow his fingerprints, and other biornetric information about himself, to be taken and recorded; and (d) allow himself to be photographed, for the purpose of the identity card.</t>
        </is>
      </c>
      <c r="P348" s="10" t="inlineStr">
        <is>
          <t>Open PDF</t>
        </is>
      </c>
    </row>
    <row r="349">
      <c r="A349" t="inlineStr">
        <is>
          <t>Mauritius</t>
        </is>
      </c>
      <c r="B349" t="inlineStr">
        <is>
          <t>National-Identity-Card-Act-Consolidated- (Mauritius - Row 23)</t>
        </is>
      </c>
      <c r="C349" t="inlineStr">
        <is>
          <t>6</t>
        </is>
      </c>
      <c r="D349" s="8" t="inlineStr">
        <is>
          <t>Change of residence</t>
        </is>
      </c>
      <c r="E349" t="inlineStr">
        <is>
          <t>5–6</t>
        </is>
      </c>
      <c r="F349" t="inlineStr">
        <is>
          <t>Data Storage</t>
        </is>
      </c>
      <c r="G349" t="inlineStr">
        <is>
          <t>None</t>
        </is>
      </c>
      <c r="H349" t="inlineStr">
        <is>
          <t>High (explicit)</t>
        </is>
      </c>
      <c r="I349" s="8" t="inlineStr">
        <is>
          <t>Data Storage</t>
        </is>
      </c>
      <c r="J349" s="8" t="inlineStr">
        <is>
          <t>Personal Information</t>
        </is>
      </c>
      <c r="K349" t="inlineStr"/>
      <c r="L349" s="8" t="inlineStr">
        <is>
          <t>This section requires individuals who have obtained an identity card to notify the National Identity Card Unit within 28 days of changing their residence. The notification must be submitted in a prescribed form, ensuring timely updates to the identity card system.</t>
        </is>
      </c>
      <c r="M349" s="8" t="inlineStr"/>
      <c r="N349" s="8" t="inlineStr">
        <is>
          <t>[Must] Where any person issued with an identity card changes his residence, he shall, within 28 days of the occurrence, notify the change at any office designated by the Head of the Unit or in such manner as may be prescribed.
[Must] Any change of residence reported under subsection (1) shall be in such form as may be prescribed.</t>
        </is>
      </c>
      <c r="O349" s="8" t="inlineStr">
        <is>
          <t>6. Change of residence (1) Where any person issued with an identity card changes his residence, he shall, within 28 days of the occurrence, notify the change at any office designated by the Head of the Unit or in such manner as may be prescribed.</t>
        </is>
      </c>
      <c r="P349" s="10" t="inlineStr">
        <is>
          <t>Open PDF</t>
        </is>
      </c>
    </row>
    <row r="350">
      <c r="A350" t="inlineStr">
        <is>
          <t>Mauritius</t>
        </is>
      </c>
      <c r="B350" t="inlineStr">
        <is>
          <t>National-Identity-Card-Act-Consolidated- (Mauritius - Row 23)</t>
        </is>
      </c>
      <c r="C350" t="inlineStr">
        <is>
          <t>11</t>
        </is>
      </c>
      <c r="D350" s="8" t="inlineStr">
        <is>
          <t>Designation of office</t>
        </is>
      </c>
      <c r="E350" t="inlineStr">
        <is>
          <t>1</t>
        </is>
      </c>
      <c r="F350" t="inlineStr">
        <is>
          <t>Definitions</t>
        </is>
      </c>
      <c r="G350" t="inlineStr">
        <is>
          <t>None</t>
        </is>
      </c>
      <c r="H350" t="inlineStr">
        <is>
          <t>High (explicit)</t>
        </is>
      </c>
      <c r="I350" s="8" t="inlineStr"/>
      <c r="J350" s="8" t="inlineStr">
        <is>
          <t>Personal Information</t>
        </is>
      </c>
      <c r="K350" t="inlineStr"/>
      <c r="L350" s="8" t="inlineStr">
        <is>
          <t>This section states that data collection and processing under the Act must comply with the Data Protection Act, establishing the legal framework for handling personal information. It ensures that all data activities are subject to privacy protections.</t>
        </is>
      </c>
      <c r="M350" s="8" t="inlineStr"/>
      <c r="N350" s="8" t="inlineStr">
        <is>
          <t>[Must] The collection and processing of personal data, including biometric information, under this Act shall be subject to the provisions of the Data Protection Act.</t>
        </is>
      </c>
      <c r="O350" s="8" t="inlineStr">
        <is>
          <t>12. Collection and processing of data to be subject to Data Protection Act The collection and processing of personal data, including biometric information, under this Act shall be subject to the provisions of the Data Protection Act.</t>
        </is>
      </c>
      <c r="P350" s="10" t="inlineStr">
        <is>
          <t>Open PDF</t>
        </is>
      </c>
    </row>
    <row r="351">
      <c r="A351" t="inlineStr">
        <is>
          <t>Mauritius</t>
        </is>
      </c>
      <c r="B351" t="inlineStr">
        <is>
          <t>National-Identity-Card-Act-Consolidated- (Mauritius - Row 23)</t>
        </is>
      </c>
      <c r="C351" t="inlineStr">
        <is>
          <t>12</t>
        </is>
      </c>
      <c r="D351" s="8" t="inlineStr">
        <is>
          <t>Collection and processing of data to be subject to Data Protection Act</t>
        </is>
      </c>
      <c r="E351" t="inlineStr">
        <is>
          <t>9</t>
        </is>
      </c>
      <c r="F351" t="inlineStr">
        <is>
          <t>Data Collection</t>
        </is>
      </c>
      <c r="G351" t="inlineStr">
        <is>
          <t>None</t>
        </is>
      </c>
      <c r="H351" t="inlineStr">
        <is>
          <t>High (explicit)</t>
        </is>
      </c>
      <c r="I351" s="8" t="inlineStr"/>
      <c r="J351" s="8" t="inlineStr">
        <is>
          <t>Biometric Data, Personal Information</t>
        </is>
      </c>
      <c r="K351" t="inlineStr"/>
      <c r="L351" s="8" t="inlineStr">
        <is>
          <t>This section explicitly states that all personal data, including biometric information, collected and processed under the National Identity Card Act must comply with the Data Protection Act, ensuring that data handling adheres to privacy regulations.</t>
        </is>
      </c>
      <c r="M351" s="8" t="inlineStr"/>
      <c r="N351" s="8" t="inlineStr">
        <is>
          <t>[Must] The collection and processing of personal data, including biometric information, under this Act shall be subject to the provisions of the Data Protection Act.</t>
        </is>
      </c>
      <c r="O351" s="8" t="inlineStr">
        <is>
          <t>12. Collection and processing of data to be subject to Data Protection Act The collection and processing of personal data, including biometric information, under this Act shall be subject to the provisions of the Data Protection Act.</t>
        </is>
      </c>
      <c r="P351" s="10" t="inlineStr">
        <is>
          <t>Open PDF</t>
        </is>
      </c>
    </row>
    <row r="352">
      <c r="A352" t="inlineStr">
        <is>
          <t>Mauritius</t>
        </is>
      </c>
      <c r="B352" t="inlineStr">
        <is>
          <t>code-of-business-conduct_final (Mauritius - Row 14)</t>
        </is>
      </c>
      <c r="C352" t="inlineStr">
        <is>
          <t>1</t>
        </is>
      </c>
      <c r="D352" s="8" t="inlineStr">
        <is>
          <t>SCOPE OF THE CODE</t>
        </is>
      </c>
      <c r="E352" t="inlineStr">
        <is>
          <t>2</t>
        </is>
      </c>
      <c r="F352" t="inlineStr">
        <is>
          <t>Other</t>
        </is>
      </c>
      <c r="G352" t="inlineStr">
        <is>
          <t>High</t>
        </is>
      </c>
      <c r="H352" t="inlineStr">
        <is>
          <t>High (explicit)</t>
        </is>
      </c>
      <c r="I352" s="8" t="inlineStr"/>
      <c r="J352" s="8" t="inlineStr"/>
      <c r="K352" t="inlineStr">
        <is>
          <t>Financial Services Commission (FSC)</t>
        </is>
      </c>
      <c r="L352" s="8" t="inlineStr">
        <is>
          <t>The Code of Business Conduct is part of the Fair Market Conduct Programme implemented by the Financial Services Commission (FSC). It establishes 9 Guiding Principles that define licensees' obligations for sound business conduct in the financial services sector. The Code aims to ensure sound conduct, build consumer confidence, maintain Mauritius' reputation as an international financial centre, and ensure fair treatment of consumers and the public. Licensees must adopt appropriate processes to meet these obligations based on their business model.</t>
        </is>
      </c>
      <c r="M352" s="8" t="inlineStr"/>
      <c r="N352" s="8" t="inlineStr">
        <is>
          <t>[Must] The Code of Business Conduct (the "Code") is part of the Fair Market Conduct Programme which the Financial Services Commission (the "Commission") is implementing.
[Must] The Code has 9 Guiding Principles, which set out in general terms a licensee's obligations to ensure the sound conduct of business.
[Must] The objectives of the Code are to: ensure sound conduct of business in the financial services sector; instil confidence in the financial services sector; establish standards in order to preserve and maintain the good repute of Mauritius as an international financial centre; and ensure fair treatment of consumers of financial services and the public in general.
[Must] Some of the Guiding Principles are already embedded in existing legislative provisions or market practices. The onus is on the licensee to adopt appropriate processes and procedures, in line with their business model, to meet their obligations under the Guiding Principles.</t>
        </is>
      </c>
      <c r="O352" s="8" t="inlineStr">
        <is>
          <t>The Code of Business Conduct (the "Code") is part of the Fair Market Conduct Programme which the Financial Services Commission (the "Commission") is implementing.</t>
        </is>
      </c>
      <c r="P352" s="10" t="inlineStr">
        <is>
          <t>Open PDF</t>
        </is>
      </c>
    </row>
    <row r="353">
      <c r="A353" t="inlineStr">
        <is>
          <t>Mauritius</t>
        </is>
      </c>
      <c r="B353" t="inlineStr">
        <is>
          <t>code-of-business-conduct_final (Mauritius - Row 14)</t>
        </is>
      </c>
      <c r="C353" t="inlineStr">
        <is>
          <t>3</t>
        </is>
      </c>
      <c r="D353" s="8" t="inlineStr">
        <is>
          <t>EFFECTIVE DATE</t>
        </is>
      </c>
      <c r="E353" t="inlineStr">
        <is>
          <t>2–3</t>
        </is>
      </c>
      <c r="F353" t="inlineStr">
        <is>
          <t>Other</t>
        </is>
      </c>
      <c r="G353" t="inlineStr">
        <is>
          <t>High</t>
        </is>
      </c>
      <c r="H353" t="inlineStr">
        <is>
          <t>High (explicit)</t>
        </is>
      </c>
      <c r="I353" s="8" t="inlineStr"/>
      <c r="J353" s="8" t="inlineStr"/>
      <c r="K353" t="inlineStr"/>
      <c r="L353" s="8" t="inlineStr">
        <is>
          <t>The Code of Business Conduct comes into effect on 01 January 2016. This section establishes the effective date for implementation of the Code, which is a key milestone for financial institutions operating in Mauritius under the Financial Services Commission's regulatory framework.</t>
        </is>
      </c>
      <c r="M353" s="8" t="inlineStr"/>
      <c r="N353" s="8" t="inlineStr">
        <is>
          <t>[Must] The Code shall come into effect on 01 January 2016.</t>
        </is>
      </c>
      <c r="O353" s="8" t="inlineStr">
        <is>
          <t>The Code shall come into effect on 01 January 2016.</t>
        </is>
      </c>
      <c r="P353" s="10" t="inlineStr">
        <is>
          <t>Open PDF</t>
        </is>
      </c>
    </row>
    <row r="354">
      <c r="A354" t="inlineStr">
        <is>
          <t>Mauritius</t>
        </is>
      </c>
      <c r="B354" t="inlineStr">
        <is>
          <t>code-of-business-conduct_final (Mauritius - Row 14)</t>
        </is>
      </c>
      <c r="C354" t="inlineStr">
        <is>
          <t>4</t>
        </is>
      </c>
      <c r="D354" s="8" t="inlineStr">
        <is>
          <t>explanatory notes have been included.</t>
        </is>
      </c>
      <c r="E354" t="inlineStr">
        <is>
          <t>3–5</t>
        </is>
      </c>
      <c r="F354" t="inlineStr">
        <is>
          <t>Other</t>
        </is>
      </c>
      <c r="G354" t="inlineStr">
        <is>
          <t>High</t>
        </is>
      </c>
      <c r="H354" t="inlineStr">
        <is>
          <t>High (explicit)</t>
        </is>
      </c>
      <c r="I354" s="8" t="inlineStr"/>
      <c r="J354" s="8" t="inlineStr"/>
      <c r="K354" t="inlineStr">
        <is>
          <t>Financial Services Commission (FSC)</t>
        </is>
      </c>
      <c r="L354" s="8" t="inlineStr">
        <is>
          <t>This section details 9 Guiding Principles for financial licensees in Mauritius, including requirements for skill and care in customer interactions, business integrity, conflict of interest management, customer communication, asset protection, compliance with regulations, financial resource adequacy, internal affairs management, and cooperative relations with the Financial Services Commission. Each principle includes specific obligations and explanatory notes on implementation.</t>
        </is>
      </c>
      <c r="M354" s="8" t="inlineStr"/>
      <c r="N354" s="8" t="inlineStr">
        <is>
          <t>[Must] Licensees must act with due skill, care and diligence towards their customers and other stakeholders.
[Must] Licensees must have in place appropriate safeguards against occurrences of behaviour that constitute a lack of due skill, care and diligence amounting to culpable negligence. These safeguards include appropriate staff training.
[Must] Licensees must apply the "fit and proper" test for their officers and persons acting on their behalf.
[Must] Licensees must observe high standards of honesty, integrity and fairness and ensure that all business transactions are carried out and recorded fairly and accurately.
[Must] This principle includes any obligation to avoid misleading and deceptive acts or representations.
[Must] Licensees must avoid situations of conflict of interests, and in case a conflict arises, licensees are required to ensure the fair treatment of all their customers.
[Must] This principle recognises that conflict of interests may be managed and that proper management to ensure fair treatment of customers may require disclosure, internal rules of confidentiality, or other appropriate methods or combinations of methods.
[Must] Licensees must seek the necessary information about their customers' individual circumstances and financial objectives.
[Must] Licensees must ensure that customers are provided with accurate, timely and comprehensible information that would enable them to make informed decisions.
[Must] This principle includes any obligation of the licensees: to know their customers and to fulfil any suitability requirements; to acquire and to provide information, including information about risks, required by the customer to make informed investment decisions; to provide timely and accurate reports to the customer about business undertaken with the customer.
[Must] Licensees must ensure that, in cases where they have control over their clients' assets, these are, at all times, properly segregated and identifiable. This includes ensuring that client's money is properly segregated.
[Must] Licensees must segregate the clients' assets which they hold from their own. The aim is to ensure that client's assets are protected from risk of loss and that they can be easily identified in case of insolvency of the licensee or the client.
[Must] Licensees must observe high standards of market conduct and must comply with all regulatory requirements applicable to the conduct of its business activities so as to promote the best interests of customers and the integrity of the market.
[Must] Licensees must ensure compliance with all applicable laws, including, but not limited to the relevant Acts, regulations, rules and guidelines issued thereunder.
[Must] Licensees must ensure that they maintain, at all times, adequate financial resources to meet their financial obligations and that they implement appropriate risk management policies in their business.
[Must] Licensees must manage their business in a responsible and sustainable manner while ensuring that adequate controls are maintained. They must also ensure that, at all times, proper systems and procedures are in place in respect of operations, record keeping, human resources, training, compliance as well as such other matters as the Commission may deem necessary.
[Must] Licensees must deal with the Commission in a co-operative manner and must comply with their disclosure obligations in a prompt manner.</t>
        </is>
      </c>
      <c r="O354" s="8" t="inlineStr">
        <is>
          <t>Licensees must act with due skill, care and diligence towards their customers and other stakeholders.</t>
        </is>
      </c>
      <c r="P354" s="10" t="inlineStr">
        <is>
          <t>Open PDF</t>
        </is>
      </c>
    </row>
    <row r="355">
      <c r="A355" t="inlineStr">
        <is>
          <t>Mauritius</t>
        </is>
      </c>
      <c r="B355" t="inlineStr">
        <is>
          <t>code-of-business-conduct_final (Mauritius - Row 14)</t>
        </is>
      </c>
      <c r="C355" t="inlineStr">
        <is>
          <t>5</t>
        </is>
      </c>
      <c r="D355" s="8" t="inlineStr">
        <is>
          <t>COMPLIANCE WITH THE CODE</t>
        </is>
      </c>
      <c r="E355" t="inlineStr">
        <is>
          <t>5–6</t>
        </is>
      </c>
      <c r="F355" t="inlineStr">
        <is>
          <t>Other</t>
        </is>
      </c>
      <c r="G355" t="inlineStr">
        <is>
          <t>High</t>
        </is>
      </c>
      <c r="H355" t="inlineStr">
        <is>
          <t>High (explicit)</t>
        </is>
      </c>
      <c r="I355" s="8" t="inlineStr"/>
      <c r="J355" s="8" t="inlineStr"/>
      <c r="K355" t="inlineStr">
        <is>
          <t>Financial Services Commission (FSC)</t>
        </is>
      </c>
      <c r="L355" s="8" t="inlineStr">
        <is>
          <t>All financial licensees in Mauritius must comply with the Code of Business Conduct. The Board and other officers are responsible for setting the tone and guiding business practices to ensure employees and third parties contribute to sound business conduct. Licensees must maintain records of compliance arrangements for Commission inspection and face regulatory actions for non-compliance.</t>
        </is>
      </c>
      <c r="M355" s="8" t="inlineStr"/>
      <c r="N355" s="8" t="inlineStr">
        <is>
          <t>[Must] All licensees must comply with the Code.
[Must] The Board and other officers of licensees are responsible for setting the tone and guiding business practices in the organisation so that all employees of the licensees and other persons acting on the behalf of the licensees can contribute to sound business conduct.
[Must] Licensees must keep appropriate records of any arrangements made to comply with the Code. These records must be available for inspection by the Commission, at any time, upon request.
[Must] Non-compliance with the Code will expose the licensee to regulatory actions in accordance with the relevant Acts.</t>
        </is>
      </c>
      <c r="O355" s="8" t="inlineStr">
        <is>
          <t>All licensees must comply with the Code.</t>
        </is>
      </c>
      <c r="P355" s="10" t="inlineStr">
        <is>
          <t>Open PDF</t>
        </is>
      </c>
    </row>
    <row r="356">
      <c r="A356" t="inlineStr">
        <is>
          <t>Mauritius</t>
        </is>
      </c>
      <c r="B356" t="inlineStr">
        <is>
          <t>code-of-business-conduct_final (Mauritius - Row 18)</t>
        </is>
      </c>
      <c r="C356" t="inlineStr">
        <is>
          <t>1</t>
        </is>
      </c>
      <c r="D356" s="8" t="inlineStr">
        <is>
          <t>SCOPE OF THE CODE</t>
        </is>
      </c>
      <c r="E356" t="inlineStr">
        <is>
          <t>2</t>
        </is>
      </c>
      <c r="F356" t="inlineStr">
        <is>
          <t>Other</t>
        </is>
      </c>
      <c r="G356" t="inlineStr">
        <is>
          <t>High</t>
        </is>
      </c>
      <c r="H356" t="inlineStr">
        <is>
          <t>High (explicit)</t>
        </is>
      </c>
      <c r="I356" s="8" t="inlineStr">
        <is>
          <t>Governance, Record Keeping</t>
        </is>
      </c>
      <c r="J356" s="8" t="inlineStr"/>
      <c r="K356" t="inlineStr">
        <is>
          <t>Financial Services Commission (FSC)</t>
        </is>
      </c>
      <c r="L356" s="8" t="inlineStr">
        <is>
          <t>The Code of Business Conduct is part of the Fair Market Conduct Programme implemented by the Financial Services Commission (FSC). It establishes 9 Guiding Principles that define licensees' obligations for sound business conduct in the financial services sector. The objectives include ensuring sound conduct, building consumer confidence, maintaining Mauritius' reputation as an international financial centre, and ensuring fair treatment of consumers and the public.</t>
        </is>
      </c>
      <c r="M356" s="8" t="inlineStr"/>
      <c r="N356" s="8" t="inlineStr">
        <is>
          <t>[Must] The Code of Business Conduct (the "Code") is part of the Fair Market Conduct Programme which the Financial Services Commission (the "Commission") is implementing.
[Must] The Code has 9 Guiding Principles, which set out in general terms a licensee's obligations to ensure the sound conduct of business.
[Must] The objectives of the Code are to ensure sound conduct of business in the financial services sector; instil confidence in the financial services sector; establish standards in order to preserve and maintain the good repute of Mauritius as an international financial centre; and ensure fair treatment of consumers of financial services and the public in general.
[Must] Some of the Guiding Principles are already embedded in existing legislative provisions or market practices. The onus is on the licensee to adopt appropriate processes and procedures, in line with their business model, to meet their obligations under the Guiding Principles.</t>
        </is>
      </c>
      <c r="O356" s="8" t="inlineStr">
        <is>
          <t>The Code of Business Conduct (the "Code") is part of the Fair Market Conduct Programme which the Financial Services Commission (the "Commission") is implementing.</t>
        </is>
      </c>
      <c r="P356" s="10" t="inlineStr">
        <is>
          <t>Open PDF</t>
        </is>
      </c>
    </row>
    <row r="357">
      <c r="A357" t="inlineStr">
        <is>
          <t>Mauritius</t>
        </is>
      </c>
      <c r="B357" t="inlineStr">
        <is>
          <t>code-of-business-conduct_final (Mauritius - Row 18)</t>
        </is>
      </c>
      <c r="C357" t="inlineStr">
        <is>
          <t>3</t>
        </is>
      </c>
      <c r="D357" s="8" t="inlineStr">
        <is>
          <t>EFFECTIVE DATE</t>
        </is>
      </c>
      <c r="E357" t="inlineStr">
        <is>
          <t>2–3</t>
        </is>
      </c>
      <c r="F357" t="inlineStr">
        <is>
          <t>Other</t>
        </is>
      </c>
      <c r="G357" t="inlineStr">
        <is>
          <t>High</t>
        </is>
      </c>
      <c r="H357" t="inlineStr">
        <is>
          <t>High (explicit)</t>
        </is>
      </c>
      <c r="I357" s="8" t="inlineStr">
        <is>
          <t>Governance</t>
        </is>
      </c>
      <c r="J357" s="8" t="inlineStr"/>
      <c r="K357" t="inlineStr"/>
      <c r="L357" s="8" t="inlineStr">
        <is>
          <t>The Code of Business Conduct comes into effect on 01 January 2016. This section establishes the effective date for the implementation of the Code, which is a key milestone for financial institutions operating under the Fair Market Conduct Programme.</t>
        </is>
      </c>
      <c r="M357" s="8" t="inlineStr"/>
      <c r="N357" s="8" t="inlineStr">
        <is>
          <t>[Must] The Code shall come into effect on 01 January 2016.</t>
        </is>
      </c>
      <c r="O357" s="8" t="inlineStr">
        <is>
          <t>The Code shall come into effect on 01 January 2016.</t>
        </is>
      </c>
      <c r="P357" s="10" t="inlineStr">
        <is>
          <t>Open PDF</t>
        </is>
      </c>
    </row>
    <row r="358">
      <c r="A358" t="inlineStr">
        <is>
          <t>Mauritius</t>
        </is>
      </c>
      <c r="B358" t="inlineStr">
        <is>
          <t>code-of-business-conduct_final (Mauritius - Row 18)</t>
        </is>
      </c>
      <c r="C358" t="inlineStr">
        <is>
          <t>4</t>
        </is>
      </c>
      <c r="D358" s="8" t="inlineStr">
        <is>
          <t>explanatory notes have been included.</t>
        </is>
      </c>
      <c r="E358" t="inlineStr">
        <is>
          <t>3–5</t>
        </is>
      </c>
      <c r="F358" t="inlineStr">
        <is>
          <t>Other</t>
        </is>
      </c>
      <c r="G358" t="inlineStr">
        <is>
          <t>High</t>
        </is>
      </c>
      <c r="H358" t="inlineStr">
        <is>
          <t>High (explicit)</t>
        </is>
      </c>
      <c r="I358" s="8" t="inlineStr">
        <is>
          <t>Customer Information, Record Keeping</t>
        </is>
      </c>
      <c r="J358" s="8" t="inlineStr"/>
      <c r="K358" t="inlineStr">
        <is>
          <t>Financial Services Commission (FSC)</t>
        </is>
      </c>
      <c r="L358" s="8" t="inlineStr">
        <is>
          <t>This section details 9 Guiding Principles for financial licensees, including requirements for skill and care in customer interactions, business integrity, conflict of interest management, customer communication, asset protection, compliance with regulations, financial resource management, internal affairs, and cooperation with the Financial Services Commission. Each principle includes specific obligations and explanatory notes.</t>
        </is>
      </c>
      <c r="M358" s="8" t="inlineStr"/>
      <c r="N358" s="8" t="inlineStr">
        <is>
          <t>[Must] Licensees must act with due skill, care and diligence towards their customers and other stakeholders.
[Must] Licensees must have in place appropriate safeguards against occurrences of behaviour that constitute a lack of due skill, care and diligence amounting to culpable negligence. These safeguards include appropriate staff training.
[Must] Licensees must apply the "fit and proper" test for their officers and persons acting on their behalf.
[Must] Licensees must observe high standards of honesty, integrity and fairness and ensure that all business transactions are carried out and recorded fairly and accurately.
[Must] This principle includes any obligation to avoid misleading and deceptive acts or representations.
[Must] Licensees must avoid situations of conflict of interests, and in case a conflict arises, licensees are required to ensure the fair treatment of all their customers.
[Must] This principle recognises that conflict of interests may be managed and that proper management to ensure fair treatment of customers may require disclosure, internal rules of confidentiality, or other appropriate methods or combinations of methods.
[Must] Licensees must seek the necessary information about their customers' individual circumstances and financial objectives.
[Must] Licensees must ensure that customers are provided with accurate, timely and comprehensible information that would enable them to make informed decisions.
[Must] This principle includes any obligation of the licensees: to know their customers and to fulfil any suitability requirements; to acquire and to provide information, including information about risks, required by the customer to make informed investment decisions; to provide timely and accurate reports to the customer about business undertaken with the customer.
[Must] Licensees must ensure that, in cases where they have control over their clients' assets, these are, at all times, properly segregated and identifiable. This includes ensuring that client's money is properly segregated.
[Must] Licensees must segregate the clients' assets which they hold from their own. The aim is to ensure that client's assets are protected from risk of loss and that they can be easily identified in case of insolvency of the licensee or the client.
[Must] Licensees must observe high standards of market conduct and must comply with all regulatory requirements applicable to the conduct of its business activities so as to promote the best interests of customers and the integrity of the market.
[Must] Licensees must ensure compliance with all applicable laws, including, but not limited to the relevant Acts, regulations, rules and guidelines issued thereunder.
[Must] Licensees must ensure that they maintain, at all times, adequate financial resources to meet their financial obligations and that they implement appropriate risk management policies in their business.
[Must] Licensees must manage their business in a responsible and sustainable manner while ensuring that adequate controls are maintained. They must also ensure that, at all times, proper systems and procedures are in place in respect of operations, record keeping, human resources, training, compliance as well as such other matters as the Commission may deem necessary.
[Must] Licensees must deal with the Commission in a co-operative manner and must comply with their disclosure obligations in a prompt manner.</t>
        </is>
      </c>
      <c r="O358" s="8" t="inlineStr">
        <is>
          <t>Licensees must act with due skill, care and diligence towards their customers and other stakeholders.</t>
        </is>
      </c>
      <c r="P358" s="10" t="inlineStr">
        <is>
          <t>Open PDF</t>
        </is>
      </c>
    </row>
    <row r="359">
      <c r="A359" t="inlineStr">
        <is>
          <t>Mauritius</t>
        </is>
      </c>
      <c r="B359" t="inlineStr">
        <is>
          <t>code-of-business-conduct_final (Mauritius - Row 18)</t>
        </is>
      </c>
      <c r="C359" t="inlineStr">
        <is>
          <t>5</t>
        </is>
      </c>
      <c r="D359" s="8" t="inlineStr">
        <is>
          <t>COMPLIANCE WITH THE CODE</t>
        </is>
      </c>
      <c r="E359" t="inlineStr">
        <is>
          <t>5–6</t>
        </is>
      </c>
      <c r="F359" t="inlineStr">
        <is>
          <t>Other</t>
        </is>
      </c>
      <c r="G359" t="inlineStr">
        <is>
          <t>High</t>
        </is>
      </c>
      <c r="H359" t="inlineStr">
        <is>
          <t>High (explicit)</t>
        </is>
      </c>
      <c r="I359" s="8" t="inlineStr">
        <is>
          <t>Record Keeping</t>
        </is>
      </c>
      <c r="J359" s="8" t="inlineStr"/>
      <c r="K359" t="inlineStr">
        <is>
          <t>Financial Services Commission (FSC)</t>
        </is>
      </c>
      <c r="L359" s="8" t="inlineStr">
        <is>
          <t>All financial licensees must comply with the Code of Business Conduct. The Board and other officers are responsible for setting the tone and guiding business practices to ensure employees and third parties contribute to sound business conduct. Licensees must maintain records of compliance arrangements for Commission inspection, and non-compliance may result in regulatory actions under relevant Acts.</t>
        </is>
      </c>
      <c r="M359" s="8" t="inlineStr"/>
      <c r="N359" s="8" t="inlineStr">
        <is>
          <t>[Must] All licensees must comply with the Code.
[Must] The Board and other officers of licensees are responsible for setting the tone and guiding business practices in the organisation so that all employees of the licensees and other persons acting on the behalf of the licensees can contribute to sound business conduct.
[Must] Licensees must keep appropriate records of any arrangements made to comply with the Code. These records must be available for inspection by the Commission, at any time, upon request.
[Must] Non-compliance with the Code will expose the licensee to regulatory actions in accordance with the relevant Acts.</t>
        </is>
      </c>
      <c r="O359" s="8" t="inlineStr">
        <is>
          <t>All licensees must comply with the Code.</t>
        </is>
      </c>
      <c r="P359" s="10" t="inlineStr">
        <is>
          <t>Open PDF</t>
        </is>
      </c>
    </row>
    <row r="360">
      <c r="A360" t="inlineStr">
        <is>
          <t>Mauritius</t>
        </is>
      </c>
      <c r="B360" t="inlineStr">
        <is>
          <t>guidelines_on_outsourcing_by_financial_institutions (Mauritius - Row 3)</t>
        </is>
      </c>
      <c r="C360" t="inlineStr">
        <is>
          <t>4</t>
        </is>
      </c>
      <c r="D360" s="8" t="inlineStr">
        <is>
          <t>Outsourcing risk management framework for financial institutions</t>
        </is>
      </c>
      <c r="E360" t="inlineStr">
        <is>
          <t>2–7</t>
        </is>
      </c>
      <c r="F360" t="inlineStr">
        <is>
          <t>Other</t>
        </is>
      </c>
      <c r="G360" t="inlineStr">
        <is>
          <t>High</t>
        </is>
      </c>
      <c r="H360" t="inlineStr">
        <is>
          <t>High (explicit)</t>
        </is>
      </c>
      <c r="I360" s="8" t="inlineStr">
        <is>
          <t>Third Party Processing, Outsourcing</t>
        </is>
      </c>
      <c r="J360" s="8" t="inlineStr">
        <is>
          <t>Financial Data</t>
        </is>
      </c>
      <c r="K360" t="inlineStr">
        <is>
          <t>Bank of Mauritius</t>
        </is>
      </c>
      <c r="L360" s="8" t="inlineStr">
        <is>
          <t>Financial institutions must establish comprehensive outsourcing policies before engaging third-party service providers. These policies must define core activities that cannot be outsourced, assess materiality of outsourced activities, evaluate risks, and include contingency plans. The Board of Directors and senior management share responsibilities for oversight, including approving material outsourcing arrangements, reviewing risks annually, and ensuring compliance with regulatory requirements. The framework applies to all Bank of Mauritius-licensed financial institutions.</t>
        </is>
      </c>
      <c r="M360" s="8" t="inlineStr">
        <is>
          <t>This section mandates specific risk management protocols for outsourcing that directly impact data transfer assessments by requiring financial institutions to evaluate third-party service providers, define material activities, and implement contingency plans for cross-border outsourcing arrangements.</t>
        </is>
      </c>
      <c r="N360" s="8" t="inlineStr">
        <is>
          <t>[Must] Prior to outsourcing any activity, a financial institution should establish a comprehensive policy on outsourcing that guides assessment of whether and how an activity should be outsourced
[Must] The policy should include strategic goals, objectives, business needs, definition of activities that may be outsourced and core activities that cannot be outsourced
[Must] The policy should specify criteria for determining material outsourcing and processes for evaluating risks associated with outsourced activities
[Must] The policy should include criteria for evaluating outsourcing relationships with service providers, necessary controls and reporting processes
[Must] The policy should define limits on acceptable overall level of outsourced activities
[Must] The policy should establish eligibility criteria for selecting service providers considering any relations with the latter
[Must] The policy should address risk concentrations and risks from outsourcing multiple activities to the same service provider
[Must] The policy should include steps to ensure compliance with legal and regulatory requirements in both home and host countries
[Must] The policy should include a contingency plan in case of business disruptions
[Must] The Board of Directors must approve the outsourcing policy
[Must] The Board of Directors must assess outsourcing strategies and arrangements for consistency with strategic objectives
[Must] The Board of Directors must assess how outsourcing arrangements support financial institution's objectives and strategic plans
[Must] The Board of Directors must lay down appropriate approval authorities for outsourcing
[Must] The Board of Directors must approve material outsourcing arrangements
[Must] The Board of Directors must approve the exit mechanism for material outsourcing arrangements
[Must] The Board of Directors must assess management competencies for developing sound outsourcing risk management policies
[Must] The Board of Directors must review all material outsourcing activities and relevant reports at least annually
[Must] The Board of Directors must ensure continued maintenance of operational stability framework considering outsourced services
[Must] Senior management must evaluate risks and materiality of outsourcing activities
[Must] Senior management must implement sound outsourcing policies and procedures approved by the Board
[Must] Senior management must monitor and control all aspects of outsourcing arrangements on an ongoing basis
[Must] Senior management must keep the Board informed on material outsourcing risks in a timely manner
[Must] Senior management must ensure contingency plans including alternative service providers and resources for switching
[Must] Senior management must ensure internal audit and external auditors have authority to assess outsourced functions
[Must] Senior management must ensure regulatory and legal requirements are complied with at all times</t>
        </is>
      </c>
      <c r="O360" s="8" t="inlineStr">
        <is>
          <t>Prior to the outsourcing of any activity, a financial institution should establish a comprehensive policy on outsourcing. The policy should guide the assessment of whether and how an activity should be outsourced.</t>
        </is>
      </c>
      <c r="P360" s="10" t="inlineStr">
        <is>
          <t>Open PDF</t>
        </is>
      </c>
    </row>
    <row r="361">
      <c r="A361" t="inlineStr">
        <is>
          <t>Mauritius</t>
        </is>
      </c>
      <c r="B361" t="inlineStr">
        <is>
          <t>guidelines_on_outsourcing_by_financial_institutions (Mauritius - Row 3)</t>
        </is>
      </c>
      <c r="C361" t="inlineStr">
        <is>
          <t>4 (part 2)</t>
        </is>
      </c>
      <c r="D361" s="8" t="inlineStr">
        <is>
          <t>Core functions that cannot be outsourced</t>
        </is>
      </c>
      <c r="E361" t="inlineStr">
        <is>
          <t>7–11</t>
        </is>
      </c>
      <c r="F361" t="inlineStr">
        <is>
          <t>Other</t>
        </is>
      </c>
      <c r="G361" t="inlineStr">
        <is>
          <t>High</t>
        </is>
      </c>
      <c r="H361" t="inlineStr">
        <is>
          <t>Medium (merged from chunks)</t>
        </is>
      </c>
      <c r="I361" s="8" t="inlineStr">
        <is>
          <t>Outsourcing</t>
        </is>
      </c>
      <c r="J361" s="8" t="inlineStr"/>
      <c r="K361" t="inlineStr">
        <is>
          <t>Bank</t>
        </is>
      </c>
      <c r="L361" s="8" t="inlineStr">
        <is>
          <t>[extraction failed: model output unparseable] Financial institutions cannot outsource core functions including board/senior management oversight, internal audit, and compliance. The Bank explicitly prohibits outsourcing these activities but allows case-by-case exceptions for intra-group outsourcing. Outsourced activities must be treated as material and meet the requirements of section 4.1.3.</t>
        </is>
      </c>
      <c r="M361" s="8" t="inlineStr">
        <is>
          <t>Outsourcing core functions like internal audit and compliance is prohibited unless approved by the Bank as material intra-group outsourcing. This affects DTIA by requiring specific authorization and adherence to material outsourcing standards.</t>
        </is>
      </c>
      <c r="N361" s="8" t="inlineStr">
        <is>
          <t>[Must Not] Financial institutions cannot outsource core functions including board/senior management oversight, internal audit, and compliance.
[Must Not] The Bank would not support the outsourcing of the abovementioned activities.
[May] Exceptions for certain types of intra-group outsourcing may be allowed on a case-by-case basis.
[Must] Financial institutions that intend to outsource the abovementioned activities within the group must seek prior authorization of the Bank.
[Must] Outsourced activities must be treated as material outsourcing and meet the requirements of section 4.1.3.</t>
        </is>
      </c>
      <c r="O361" s="8" t="inlineStr">
        <is>
          <t>Activities that are considered ‘core' and should not be outsourced are; board and senior management functions such as strategic oversight; internal audit function; and compliance function.</t>
        </is>
      </c>
      <c r="P361" s="10" t="inlineStr">
        <is>
          <t>Open PDF</t>
        </is>
      </c>
    </row>
    <row r="362">
      <c r="A362" t="inlineStr">
        <is>
          <t>Mauritius</t>
        </is>
      </c>
      <c r="B362" t="inlineStr">
        <is>
          <t>guidelines_on_outsourcing_by_financial_institutions (Mauritius - Row 3)</t>
        </is>
      </c>
      <c r="C362" t="inlineStr">
        <is>
          <t>4 (part 3)</t>
        </is>
      </c>
      <c r="D362" s="8" t="inlineStr">
        <is>
          <t>(continued)</t>
        </is>
      </c>
      <c r="E362" t="inlineStr">
        <is>
          <t>11</t>
        </is>
      </c>
      <c r="F362" t="inlineStr">
        <is>
          <t>Other</t>
        </is>
      </c>
      <c r="G362" t="inlineStr">
        <is>
          <t>Unknown</t>
        </is>
      </c>
      <c r="H362" t="inlineStr">
        <is>
          <t>Low</t>
        </is>
      </c>
      <c r="I362" s="8" t="inlineStr"/>
      <c r="J362" s="8" t="inlineStr"/>
      <c r="K362" t="inlineStr"/>
      <c r="L362" s="8" t="inlineStr"/>
      <c r="M362" s="8" t="inlineStr"/>
      <c r="N362" s="8" t="inlineStr"/>
      <c r="O362" s="8" t="inlineStr"/>
      <c r="P362" s="10" t="inlineStr">
        <is>
          <t>Open PDF</t>
        </is>
      </c>
    </row>
    <row r="363">
      <c r="A363" t="inlineStr">
        <is>
          <t>Mauritius</t>
        </is>
      </c>
      <c r="B363" t="inlineStr">
        <is>
          <t>guidelines_on_outsourcing_by_financial_institutions (Mauritius - Row 3)</t>
        </is>
      </c>
      <c r="C363" t="inlineStr">
        <is>
          <t>5</t>
        </is>
      </c>
      <c r="D363" s="8" t="inlineStr"/>
      <c r="E363" t="inlineStr">
        <is>
          <t>11</t>
        </is>
      </c>
      <c r="F363" t="inlineStr">
        <is>
          <t>Other</t>
        </is>
      </c>
      <c r="G363" t="inlineStr">
        <is>
          <t>Unknown</t>
        </is>
      </c>
      <c r="H363" t="inlineStr">
        <is>
          <t>Low</t>
        </is>
      </c>
      <c r="I363" s="8" t="inlineStr"/>
      <c r="J363" s="8" t="inlineStr"/>
      <c r="K363" t="inlineStr"/>
      <c r="L363" s="8" t="inlineStr"/>
      <c r="M363" s="8" t="inlineStr"/>
      <c r="N363" s="8" t="inlineStr"/>
      <c r="O363" s="8" t="inlineStr"/>
      <c r="P363" s="10" t="inlineStr">
        <is>
          <t>Open PDF</t>
        </is>
      </c>
    </row>
    <row r="364">
      <c r="A364" t="inlineStr">
        <is>
          <t>Mauritius</t>
        </is>
      </c>
      <c r="B364" t="inlineStr">
        <is>
          <t>guidelines_on_outsourcing_by_financial_institutions (Mauritius - Row 3)</t>
        </is>
      </c>
      <c r="C364" t="inlineStr">
        <is>
          <t>6</t>
        </is>
      </c>
      <c r="D364" s="8" t="inlineStr"/>
      <c r="E364" t="inlineStr">
        <is>
          <t>11</t>
        </is>
      </c>
      <c r="F364" t="inlineStr">
        <is>
          <t>Other</t>
        </is>
      </c>
      <c r="G364" t="inlineStr">
        <is>
          <t>Unknown</t>
        </is>
      </c>
      <c r="H364" t="inlineStr">
        <is>
          <t>Low</t>
        </is>
      </c>
      <c r="I364" s="8" t="inlineStr"/>
      <c r="J364" s="8" t="inlineStr"/>
      <c r="K364" t="inlineStr"/>
      <c r="L364" s="8" t="inlineStr"/>
      <c r="M364" s="8" t="inlineStr"/>
      <c r="N364" s="8" t="inlineStr"/>
      <c r="O364" s="8" t="inlineStr"/>
      <c r="P364" s="10" t="inlineStr">
        <is>
          <t>Open PDF</t>
        </is>
      </c>
    </row>
    <row r="365">
      <c r="A365" t="inlineStr">
        <is>
          <t>Mauritius</t>
        </is>
      </c>
      <c r="B365" t="inlineStr">
        <is>
          <t>guidelines_on_outsourcing_by_financial_institutions (Mauritius - Row 3)</t>
        </is>
      </c>
      <c r="C365" t="inlineStr">
        <is>
          <t>7</t>
        </is>
      </c>
      <c r="D365" s="8" t="inlineStr"/>
      <c r="E365" t="inlineStr">
        <is>
          <t>11–14</t>
        </is>
      </c>
      <c r="F365" t="inlineStr">
        <is>
          <t>Other</t>
        </is>
      </c>
      <c r="G365" t="inlineStr">
        <is>
          <t>Unknown</t>
        </is>
      </c>
      <c r="H365" t="inlineStr">
        <is>
          <t>Low</t>
        </is>
      </c>
      <c r="I365" s="8" t="inlineStr"/>
      <c r="J365" s="8" t="inlineStr"/>
      <c r="K365" t="inlineStr"/>
      <c r="L365" s="8" t="inlineStr"/>
      <c r="M365" s="8" t="inlineStr"/>
      <c r="N365" s="8" t="inlineStr"/>
      <c r="O365" s="8" t="inlineStr"/>
      <c r="P365" s="10" t="inlineStr">
        <is>
          <t>Open PDF</t>
        </is>
      </c>
    </row>
    <row r="366">
      <c r="A366" t="inlineStr">
        <is>
          <t>Nigeria</t>
        </is>
      </c>
      <c r="B366" t="inlineStr">
        <is>
          <t>NCCPolicy_New1 (Nigeria - Row 21)</t>
        </is>
      </c>
      <c r="C366" t="inlineStr">
        <is>
          <t>23</t>
        </is>
      </c>
      <c r="D366" s="8" t="inlineStr">
        <is>
          <t>Regulatory instruments for cloud computing implementation</t>
        </is>
      </c>
      <c r="E366" t="inlineStr">
        <is>
          <t>2</t>
        </is>
      </c>
      <c r="F366" t="inlineStr">
        <is>
          <t>Cloud Services</t>
        </is>
      </c>
      <c r="G366" t="inlineStr">
        <is>
          <t>Medium</t>
        </is>
      </c>
      <c r="H366" t="inlineStr">
        <is>
          <t>High (explicit)</t>
        </is>
      </c>
      <c r="I366" s="8" t="inlineStr">
        <is>
          <t>Cloud Services</t>
        </is>
      </c>
      <c r="J366" s="8" t="inlineStr">
        <is>
          <t>Customer Data</t>
        </is>
      </c>
      <c r="K366" t="inlineStr">
        <is>
          <t>NITDA</t>
        </is>
      </c>
      <c r="L366" s="8" t="inlineStr">
        <is>
          <t>This section identifies key regulatory instruments necessary for cloud computing implementation in Nigeria. It establishes the framework for cloud adoption by public institutions and SMEs, emphasizing the need for policy alignment with national digital strategies. The section outlines the role of NITDA in issuing cloud-related policies and the importance of cloud-first approaches for efficient IT resource deployment.</t>
        </is>
      </c>
      <c r="M366" s="8" t="inlineStr">
        <is>
          <t>This section sets the foundation for cloud computing adoption by public institutions and SMEs in Nigeria, requiring alignment with national digital strategies and regulatory frameworks. It establishes the 'cloud-first' approach as a key policy thrust for efficient IT resource deployment.</t>
        </is>
      </c>
      <c r="N366" s="8" t="inlineStr">
        <is>
          <t>[Must] Key regulatory instruments for cloud computing implementation must be established</t>
        </is>
      </c>
      <c r="O366" s="8" t="inlineStr">
        <is>
          <t>KEY REGULATORY INSTRUMENTS FOR THE ACTUALIZATION OF CLOUD 23.0</t>
        </is>
      </c>
      <c r="P366" s="10" t="inlineStr">
        <is>
          <t>Open PDF</t>
        </is>
      </c>
    </row>
    <row r="367">
      <c r="A367" t="inlineStr">
        <is>
          <t>Nigeria</t>
        </is>
      </c>
      <c r="B367" t="inlineStr">
        <is>
          <t>NCCPolicy_New1 (Nigeria - Row 21)</t>
        </is>
      </c>
      <c r="C367" t="inlineStr">
        <is>
          <t>24</t>
        </is>
      </c>
      <c r="D367" s="8" t="inlineStr">
        <is>
          <t>Cloud computing policy implementation framework</t>
        </is>
      </c>
      <c r="E367" t="inlineStr">
        <is>
          <t>2–9</t>
        </is>
      </c>
      <c r="F367" t="inlineStr">
        <is>
          <t>Cloud Services</t>
        </is>
      </c>
      <c r="G367" t="inlineStr">
        <is>
          <t>High</t>
        </is>
      </c>
      <c r="H367" t="inlineStr">
        <is>
          <t>High (explicit)</t>
        </is>
      </c>
      <c r="I367" s="8" t="inlineStr">
        <is>
          <t>Cloud Services</t>
        </is>
      </c>
      <c r="J367" s="8" t="inlineStr"/>
      <c r="K367" t="inlineStr">
        <is>
          <t>NITDA</t>
        </is>
      </c>
      <c r="L367" s="8" t="inlineStr">
        <is>
          <t>This section details the implementation framework for cloud computing in Nigeria, specifying that the policy applies to federal public institutions, state and local government entities, and government-owned corporations. It mandates that public sector entities prioritize cloud-based procurement of ICT solutions to reduce costs, improve service delivery, and enhance digital transformation. The policy targets a 30% increase in cloud adoption by 2024 among public institutions and SMEs providing digital services to government.</t>
        </is>
      </c>
      <c r="M367" s="8" t="inlineStr">
        <is>
          <t>This section mandates that public sector entities prioritize cloud-based procurement of ICT solutions, requiring data transfers to cloud environments to be assessed for compliance with national security and data governance standards.</t>
        </is>
      </c>
      <c r="N367" s="8" t="inlineStr">
        <is>
          <t>[Must] The policy applies to all Federal Public Institutions, Public Institutions at State and Local Government levels, and government-owned corporations
[Must] Public sector entities shall prioritize procurement of cloud-based ICT solutions whenever possible
[Must] The policy targets a 30% increase in cloud adoption by 2024 among Federal Public Institutions and SMEs providing digital services to government
[Must] The policy targets 35% growth in cloud computing investments by 2024</t>
        </is>
      </c>
      <c r="O367" s="8" t="inlineStr">
        <is>
          <t>The Nigeria Cloud Computing Policy is issued pursuant to Section 6 (a) (b) (c) and (i) of the National Information Technology Development Act 2007.</t>
        </is>
      </c>
      <c r="P367" s="10" t="inlineStr">
        <is>
          <t>Open PDF</t>
        </is>
      </c>
    </row>
    <row r="368">
      <c r="A368" t="inlineStr">
        <is>
          <t>Nigeria</t>
        </is>
      </c>
      <c r="B368" t="inlineStr">
        <is>
          <t>NCCPolicy_New1 (Nigeria - Row 21)</t>
        </is>
      </c>
      <c r="C368" t="inlineStr">
        <is>
          <t>24 (part 2)</t>
        </is>
      </c>
      <c r="D368" s="8" t="inlineStr">
        <is>
          <t>(continued)</t>
        </is>
      </c>
      <c r="E368" t="inlineStr">
        <is>
          <t>9–14</t>
        </is>
      </c>
      <c r="F368" t="inlineStr">
        <is>
          <t>Other</t>
        </is>
      </c>
      <c r="G368" t="inlineStr">
        <is>
          <t>Unknown</t>
        </is>
      </c>
      <c r="H368" t="inlineStr">
        <is>
          <t>Low</t>
        </is>
      </c>
      <c r="I368" s="8" t="inlineStr"/>
      <c r="J368" s="8" t="inlineStr"/>
      <c r="K368" t="inlineStr"/>
      <c r="L368" s="8" t="inlineStr"/>
      <c r="M368" s="8" t="inlineStr"/>
      <c r="N368" s="8" t="inlineStr"/>
      <c r="O368" s="8" t="inlineStr"/>
      <c r="P368" s="10" t="inlineStr">
        <is>
          <t>Open PDF</t>
        </is>
      </c>
    </row>
    <row r="369">
      <c r="A369" t="inlineStr">
        <is>
          <t>Nigeria</t>
        </is>
      </c>
      <c r="B369" t="inlineStr">
        <is>
          <t>NCCPolicy_New1 (Nigeria - Row 21)</t>
        </is>
      </c>
      <c r="C369" t="inlineStr">
        <is>
          <t>24 (part 3)</t>
        </is>
      </c>
      <c r="D369" s="8" t="inlineStr">
        <is>
          <t>Cloud Computing Service Models and Deployment Options</t>
        </is>
      </c>
      <c r="E369" t="inlineStr">
        <is>
          <t>14–19</t>
        </is>
      </c>
      <c r="F369" t="inlineStr">
        <is>
          <t>Cloud Services</t>
        </is>
      </c>
      <c r="G369" t="inlineStr">
        <is>
          <t>High</t>
        </is>
      </c>
      <c r="H369" t="inlineStr">
        <is>
          <t>High (explicit)</t>
        </is>
      </c>
      <c r="I369" s="8" t="inlineStr">
        <is>
          <t>Cloud Services</t>
        </is>
      </c>
      <c r="J369" s="8" t="inlineStr">
        <is>
          <t>Customer Data, Employee Data</t>
        </is>
      </c>
      <c r="K369" t="inlineStr">
        <is>
          <t>NITDA</t>
        </is>
      </c>
      <c r="L369" s="8" t="inlineStr">
        <is>
          <t>This section describes cloud computing service models (SaaS, PaaS, IaaS) and deployment models (private, public, hybrid clouds). It outlines how public institutions in Nigeria can leverage these models for efficient service delivery, cost savings, and resource optimization without managing underlying infrastructure. The section emphasizes transitioning from traditional IT systems to cloud solutions to improve responsiveness, transparency, and resource allocation while avoiding vendor lock-in.</t>
        </is>
      </c>
      <c r="M369" s="8" t="inlineStr">
        <is>
          <t>This section defines cloud service models and deployment options critical for DTIA as it specifies how data storage and processing must align with Nigerian territorial boundaries and security requirements for different data sensitivity levels. It mandates that public institutions assess cloud solutions based on data classification to ensure compliance with national security and data protection standards.</t>
        </is>
      </c>
      <c r="N369" s="8" t="inlineStr">
        <is>
          <t>[Must] Public Institutions will leverage cloud services to provide improved responsiveness to citizens' needs and increased transparency in healthcare, social amenities, justice, public safety, and education services.
[Must] Cloud technologies will create competitive advantages for SMEs by generating employment opportunities, developing indigenous technology, and diversifying the economy.
[Must] Migrating to cloud can streamline processes by consolidating dispersed IT systems under a central government platform, reducing costs through 'as needed' resource procurement.
[Must] Public Institutions must use cloud services to move routine IT tasks to providers, allowing staff to focus on value-adding skills like application development.
[Must] Cloud service providers must offer infrastructure that allows provisioning of processing, storage, networks, and other computing resources without managing underlying infrastructure.
[Must] Cloud service providers must provide security certifications assessed by third-party professionals to ensure data security.</t>
        </is>
      </c>
      <c r="O369" s="8" t="inlineStr">
        <is>
          <t>Cloud computing allows for new features to be continuously deployed, while the costs are amortised across a global service customer base.</t>
        </is>
      </c>
      <c r="P369" s="10" t="inlineStr">
        <is>
          <t>Open PDF</t>
        </is>
      </c>
    </row>
    <row r="370">
      <c r="A370" t="inlineStr">
        <is>
          <t>Nigeria</t>
        </is>
      </c>
      <c r="B370" t="inlineStr">
        <is>
          <t>NCCPolicy_New1 (Nigeria - Row 21)</t>
        </is>
      </c>
      <c r="C370" t="inlineStr">
        <is>
          <t>24 (part 4)</t>
        </is>
      </c>
      <c r="D370" s="8" t="inlineStr">
        <is>
          <t>Cross-Border Data Flows and Data Classification for Cloud Services</t>
        </is>
      </c>
      <c r="E370" t="inlineStr">
        <is>
          <t>19–24</t>
        </is>
      </c>
      <c r="F370" t="inlineStr">
        <is>
          <t>Cross-border Transfer</t>
        </is>
      </c>
      <c r="G370" t="inlineStr">
        <is>
          <t>High</t>
        </is>
      </c>
      <c r="H370" t="inlineStr">
        <is>
          <t>High (explicit)</t>
        </is>
      </c>
      <c r="I370" s="8" t="inlineStr">
        <is>
          <t>Cross-border Transfer, Data Storage</t>
        </is>
      </c>
      <c r="J370" s="8" t="inlineStr">
        <is>
          <t>Customer Data, Employee Data, Special Personal Information</t>
        </is>
      </c>
      <c r="K370" t="inlineStr">
        <is>
          <t>NITDA</t>
        </is>
      </c>
      <c r="L370" s="8" t="inlineStr">
        <is>
          <t>This section addresses cross-border data flows in cloud environments, requiring public institutions to ensure cloud service providers store data in jurisdictions with equivalent data protection standards to Nigeria. It mandates data classification based on sensitivity levels (public, confidential, secret, classified) to determine appropriate cloud storage locations and security measures, with classified data restricted to Nigerian territory or private cloud solutions.</t>
        </is>
      </c>
      <c r="M370" s="8" t="inlineStr">
        <is>
          <t>This section is critical for DTIA as it specifies jurisdictional requirements for cross-border data flows and mandates data classification to ensure compliance with Nigerian territorial boundaries and security standards for different data sensitivity levels.</t>
        </is>
      </c>
      <c r="N370" s="8" t="inlineStr">
        <is>
          <t>[Must] Public Institutions must contract cloud service providers that store data in jurisdictions with equivalent personal data protection standards to Nigeria.
[Must] Data classified as 'secret' must reside primarily within Nigerian territorial boundaries with encryption and strong user authentication.
[Must] Data classified as 'classified' must remain within Nigerian territory or collocated in Nigerian cloud environments.
[Must] Public Institutions must classify data into four sensitivity levels to determine appropriate cloud storage and security measures.
[Must] Cloud service providers must provide security certifications assessed by third-party professionals to ensure data security.</t>
        </is>
      </c>
      <c r="O370" s="8" t="inlineStr">
        <is>
          <t>Agencies shall consider focusing on access to data when required. To this end, NITDA will ensure that CSPs provide adequate security and privacy measures and transparency around data compliance.</t>
        </is>
      </c>
      <c r="P370" s="10" t="inlineStr">
        <is>
          <t>Open PDF</t>
        </is>
      </c>
    </row>
    <row r="371">
      <c r="A371" t="inlineStr">
        <is>
          <t>Nigeria</t>
        </is>
      </c>
      <c r="B371" t="inlineStr">
        <is>
          <t>NCCPolicy_New1 (Nigeria - Row 21)</t>
        </is>
      </c>
      <c r="C371" t="inlineStr">
        <is>
          <t>24 (part 5)</t>
        </is>
      </c>
      <c r="D371" s="8" t="inlineStr">
        <is>
          <t>Cloud service contracts for government entities require minimum data protection clauses</t>
        </is>
      </c>
      <c r="E371" t="inlineStr">
        <is>
          <t>24–30</t>
        </is>
      </c>
      <c r="F371" t="inlineStr">
        <is>
          <t>Cloud Services</t>
        </is>
      </c>
      <c r="G371" t="inlineStr">
        <is>
          <t>High</t>
        </is>
      </c>
      <c r="H371" t="inlineStr">
        <is>
          <t>High (explicit)</t>
        </is>
      </c>
      <c r="I371" s="8" t="inlineStr">
        <is>
          <t>Cloud Services, Data Sharing, Data Storage, Security</t>
        </is>
      </c>
      <c r="J371" s="8" t="inlineStr">
        <is>
          <t>Personal Information, Financial Data</t>
        </is>
      </c>
      <c r="K371" t="inlineStr">
        <is>
          <t>NITDA</t>
        </is>
      </c>
      <c r="L371" s="8" t="inlineStr">
        <is>
          <t>This section mandates that NITDA develops a regulatory framework for cloud contracts between public institutions and cloud service providers (CSPs). The framework ensures government entities receive equivalent rights to private customers and includes minimum contractual requirements such as CSP due diligence compliance, data handling procedures, data retrieval rights upon termination, liability limitations, and security certifications. These provisions establish baseline contractual obligations for data protection in government cloud deployments.</t>
        </is>
      </c>
      <c r="M371" s="8" t="inlineStr">
        <is>
          <t>Government cloud contracts must include specific data protection clauses like data retrieval rights upon termination and liability limitations, which directly impact cross-border data transfer safeguards when government entities use international CSPs.</t>
        </is>
      </c>
      <c r="N371" s="8" t="inlineStr">
        <is>
          <t>[Must] NITDA will work on the development of a regulatory framework for the execution of cloud computing contracts between Public Institutions and Cloud Service Providers (CSP)
[Must] Government entities using the cloud as cloud customers enjoy at least the same rights as those enjoyed by individual customers, enterprises and other cloud customers
[Must] CSP adherence to the due diligence process and conformity of public procurement guidelines/processes
[Must] a description of services to be provided
[Must] the contract's duration (unless it is of unlimited duration)
[Must] payment terms and termination
[Must] details on the available Service Level Agreements (SLA)
[Must] rules on handling cloud customer data, including their processing, destruction and restoration
[Must] CSP's customer care services depending on a particular service offering
[Must] customers' right to retrieve their data stored in the CSP's system, if the cloud contract is terminated
[Must] limitation of CSPs' right to exclude their liability unreasonably or to impose unfair contract terms related to loss of, or damage to, customer's data, quality of service degradations such as service unavailability, or data breaches
[Must] Level of cloud security and privacy</t>
        </is>
      </c>
      <c r="O371" s="8" t="inlineStr">
        <is>
          <t>NITDA will work on the development of a regulatory framework for the execution of cloud computing contracts between Public Institutions and Cloud Service Providers (CSP). This regulatory framework shall ensure that government entities using the cloud as cloud customers enjoy at least the same rights as those enjoyed by individual customers, enterprises and other cloud customers.</t>
        </is>
      </c>
      <c r="P371" s="10" t="inlineStr">
        <is>
          <t>Open PDF</t>
        </is>
      </c>
    </row>
    <row r="372">
      <c r="A372" t="inlineStr">
        <is>
          <t>Nigeria</t>
        </is>
      </c>
      <c r="B372" t="inlineStr">
        <is>
          <t>NCCPolicy_New1 (Nigeria - Row 21)</t>
        </is>
      </c>
      <c r="C372" t="inlineStr">
        <is>
          <t>24 (part 6)</t>
        </is>
      </c>
      <c r="D372" s="8" t="inlineStr">
        <is>
          <t>Cloud governance framework for public sector cloud adoption</t>
        </is>
      </c>
      <c r="E372" t="inlineStr">
        <is>
          <t>30–33</t>
        </is>
      </c>
      <c r="F372" t="inlineStr">
        <is>
          <t>Cloud Services</t>
        </is>
      </c>
      <c r="G372" t="inlineStr">
        <is>
          <t>High</t>
        </is>
      </c>
      <c r="H372" t="inlineStr">
        <is>
          <t>High (explicit)</t>
        </is>
      </c>
      <c r="I372" s="8" t="inlineStr">
        <is>
          <t>Cloud Services, Data Storage, Security, Governance</t>
        </is>
      </c>
      <c r="J372" s="8" t="inlineStr">
        <is>
          <t>Personal Information, Financial Data</t>
        </is>
      </c>
      <c r="K372" t="inlineStr">
        <is>
          <t>NITDA</t>
        </is>
      </c>
      <c r="L372" s="8" t="inlineStr">
        <is>
          <t>This section establishes a four-tiered cloud governance framework for Nigerian public sector entities, requiring coordination between NITDA, Bureau of Public Procurement, and other agencies. It mandates specific governance responsibilities including cloud readiness assessments, procurement regulation development, security monitoring, and standardization with international bodies like NIST and ISO. The framework ensures accountability across infrastructure, operating systems, applications, and user activities while defining roles for cloud adoption and migration.</t>
        </is>
      </c>
      <c r="M372" s="8" t="inlineStr">
        <is>
          <t>Public sector cloud governance requires specific oversight mechanisms for data protection and service continuity, directly impacting cross-border data transfers through contractual obligations and security standards.</t>
        </is>
      </c>
      <c r="N372" s="8" t="inlineStr">
        <is>
          <t>[Must] The plan shall operate across four levels of cloud governance: infrastructure, operating system, platform or application, business/user activity
[Must] The following bodies shall have these roles and responsibilities: Bureau of Public Procurement shall develop and operationalize government-wide procurement regulation for Cloud services
[Must] NITDA will liaise with the BPP to accommodate cloud procurement models in the procurement process
[Must] NITDA shall conduct a Cloud readiness assessment
[Must] The Office for National Security Adviser (ONSA) and NITDA shall monitor operational security issues related to the cloud
[Must] NITDA shall drive government-wide adoption of cloud, identify next-generation cloud technologies, share best practices, templates and reusable example
[Must] NITDA shall coordinate activities across governance bodies, set overall cloud-related priorities, and provide guidance to agencies
[Must] NITDA shall monitor, identify and prioritize cloud computing standards and guidance from NIST, ISO and other relevant international standards organisations</t>
        </is>
      </c>
      <c r="O372" s="8" t="inlineStr">
        <is>
          <t>The Bureau of Public Procurement shall develop and operationalize government-wide procurement regulation for Cloud services in consultation with NITDA and other relevant agencies of government</t>
        </is>
      </c>
      <c r="P372" s="10" t="inlineStr">
        <is>
          <t>Open PDF</t>
        </is>
      </c>
    </row>
    <row r="373">
      <c r="A373" t="inlineStr">
        <is>
          <t>Nigeria</t>
        </is>
      </c>
      <c r="B373" t="inlineStr">
        <is>
          <t>NCCPolicy_New1 (Nigeria - Row 23)</t>
        </is>
      </c>
      <c r="C373" t="inlineStr">
        <is>
          <t>23</t>
        </is>
      </c>
      <c r="D373" s="8" t="inlineStr">
        <is>
          <t>Cloud computing policy framework for public sector adoption</t>
        </is>
      </c>
      <c r="E373" t="inlineStr">
        <is>
          <t>2</t>
        </is>
      </c>
      <c r="F373" t="inlineStr">
        <is>
          <t>Cloud Services</t>
        </is>
      </c>
      <c r="G373" t="inlineStr">
        <is>
          <t>Medium</t>
        </is>
      </c>
      <c r="H373" t="inlineStr">
        <is>
          <t>High (explicit)</t>
        </is>
      </c>
      <c r="I373" s="8" t="inlineStr">
        <is>
          <t>Cloud Services</t>
        </is>
      </c>
      <c r="J373" s="8" t="inlineStr">
        <is>
          <t>Customer Data, Employee Data</t>
        </is>
      </c>
      <c r="K373" t="inlineStr"/>
      <c r="L373" s="8" t="inlineStr">
        <is>
          <t>This section establishes the policy framework for cloud computing adoption by Nigerian public institutions and SMEs. It defines key terms including Cloud Computing, Cloud First Policy, Government Data, and Federal Open Data Initiative. The policy aims to promote cloud adoption as an efficient way to acquire and deploy computing resources while reducing capital costs and improving service delivery. The framework specifies that cloud computing is a model for ubiquitous, convenient, on-demand network access to shared computing resources.</t>
        </is>
      </c>
      <c r="M373" s="8" t="inlineStr">
        <is>
          <t>This section provides foundational definitions and policy context for cloud computing adoption, relevant to DTIAs as it establishes the regulatory environment for cloud services and data handling in Nigeria. It does not specify transfer mechanisms or data handling requirements.</t>
        </is>
      </c>
      <c r="N373" s="8" t="inlineStr">
        <is>
          <t>[Definition] Small Medium and Enterprises (SMEs): refers to enterprises which have an annual turnover not exceeding Five Hundred Thousand Naira (N500,000).
[Definition] Public Institutions (PIs): means Ministries, Departments, Extra-Ministerial Departments and Agencies of Government at Federal, State and Area Council levels.
[Definition] Federal Public Institutions (FPIs): means Ministries, Departments, Extra-Ministerial Departments and Agencies of Government at the Federal level.
[Definition] Cloud Computing: refers to computing model for ubiquitous, convenient, on-demand and real time network access pool of configurable and rapidly provisioned computing resources (networks, servers, storage, applications and services among others) required by and available to FPIs and SMEs to carry out their businesses and operations.
[Definition] Cloud First Policy: refers to the Federal Government of Nigeria's strong commitment and support for cloud computing service adoption, especially from a local cloud service providers, as a first choice consideration while deploying and accessing computing resources in the public sector and by the SMEs that provide computing services to the public sector.
[Definition] Government Data: Data produced or commissioned by government or government controlled entities.
[Definition] Federal Open Data Initiative: refers to an initiative of the Federal Government through the Federal Ministry of Communications (FMC) aimed at ensuring substantial amount of public and non-sensitive data is released and used through digital platforms for the creation of innovative digital services that promote the country's social-economic development.
[Definition] Cloud Migration: refers to the process of moving data, applications, hardware, software, network infrastructure and/or other business elements and services to a cloud computing environment.
[Definition] Cloud Adoption: refers to the process or strategy that provides incentives for the public institutions and SMEs to use the cloud computing for their computing requirements in way that is efficient and sustainable.
[Definition] Artificial Intelligence (AI): connotes the creation of intelligent objects that work and react like humans to carry out certain tasks meant for intelligent beings without human intervention.
[Definition] Machine Learning (ML): connotes algorithm and programming that provides AI the ability to detect patterns in the data presented by smart systems, so as to learn from these patterns and improve actions from experience without human intervention
[Definition] Internet of Things (IoTs): refers to the combination of concepts and technologies for embedding computer systems and the internet into all the artifacts/physical things in the real world in order to automatically collect, communicate and exchange data with one another through digital platforms.
[Definition] Virtualization: refers to the concepts and technologies that allow creation of a virtual version of a device or resource, such as server, storage device, network or operating system through a framework that divides the resource into one or more execution environments
[Definition] Encryption: refers to a process of converting data or information into a code to prevent unauthorised access by human and/or computer systems.
[Definition] On-premise: refers to computer systems that are located within the physical confines of Federal Public Institutions and SMEs in Nigeria.
[Definition] Cloud Service Providers (CSPs): refer to local and/or international cloud computing service providers rendering service to FPIs and SMEs in Nigeria.
[Definition] Cloud Consulting Service Providers (CCSP): refer to local cloud computing company or individual professional proving cloud computing consulting services to FPIs and SMEs in Nigeria.
[Definition] Virtual Machine: refers to a software program or operating system that exhibits the behaviour of a separate computer and capable of performing tasks such as running applications and programs.
[Definition] Vendor lock-in: refers to a situation in which FPI or SME using the cloud product or service of a cloud service provider cannot easily transition to competitor's cloud product or service.</t>
        </is>
      </c>
      <c r="O373" s="8" t="inlineStr">
        <is>
          <t>KEY REGULATORY INSTRUMENTS FOR THE ACTUALIZATION OF CLOUD 23.0</t>
        </is>
      </c>
      <c r="P373" s="10" t="inlineStr">
        <is>
          <t>Open PDF</t>
        </is>
      </c>
    </row>
    <row r="374">
      <c r="A374" t="inlineStr">
        <is>
          <t>Nigeria</t>
        </is>
      </c>
      <c r="B374" t="inlineStr">
        <is>
          <t>NCCPolicy_New1 (Nigeria - Row 23)</t>
        </is>
      </c>
      <c r="C374" t="inlineStr">
        <is>
          <t>24</t>
        </is>
      </c>
      <c r="D374" s="8" t="inlineStr">
        <is>
          <t>Cloud adoption policy for public sector and SMEs</t>
        </is>
      </c>
      <c r="E374" t="inlineStr">
        <is>
          <t>2–9</t>
        </is>
      </c>
      <c r="F374" t="inlineStr">
        <is>
          <t>Cloud Services</t>
        </is>
      </c>
      <c r="G374" t="inlineStr">
        <is>
          <t>High</t>
        </is>
      </c>
      <c r="H374" t="inlineStr">
        <is>
          <t>High (explicit)</t>
        </is>
      </c>
      <c r="I374" s="8" t="inlineStr">
        <is>
          <t>Cloud Services</t>
        </is>
      </c>
      <c r="J374" s="8" t="inlineStr">
        <is>
          <t>Customer Data, Employee Data</t>
        </is>
      </c>
      <c r="K374" t="inlineStr">
        <is>
          <t>NITDA</t>
        </is>
      </c>
      <c r="L374" s="8" t="inlineStr">
        <is>
          <t>This section outlines the policy framework for cloud adoption by Nigerian public institutions and SMEs, emphasizing the 'Cloud First' approach. It specifies that the policy applies to Federal Public Institutions, State and Local Government entities, and government-owned corporations. The policy aims to achieve a 30% increase in cloud adoption by 2024 among public sector entities and SMEs providing digital services to the government, while also targeting a 35% growth in cloud computing investments by 2024. The policy mandates that public-sector entities prioritize cloud-based procurement whenever possible to reduce costs and improve service delivery.</t>
        </is>
      </c>
      <c r="M374" s="8" t="inlineStr">
        <is>
          <t>This section establishes the policy requirements for cloud adoption in Nigeria, relevant to DTIAs as it mandates cloud-first procurement for public sector entities and specifies data handling requirements for government data. It does not address cross-border data transfers.</t>
        </is>
      </c>
      <c r="N374" s="8" t="inlineStr">
        <is>
          <t>[Authority] The Nigeria Cloud Computing Policy is issued pursuant to Section 6 (a) (b) (c) and (i) of the National Information Technology Development Act 2007.
[Scope] The Policy is applicable to all Federal Public Institutions, Public Institutions at the State and Local Government levels. The Policy shall also apply to all corporations fully or partially owned by the Federal Government in Nigeria, as data generated by these institutions constitute data that is regarded as "Government Data".
[Requirement] Upon the publication of this policy, Nigerian public-sector entities shall prioritise the procurement of cloud-based information and communication technologies (ICTs), whenever possible.
[Objective] The goal of this Policy is to ensure a 30% increase in adoption of cloud computing by 2024 among Federal Public Institutions (FPIs) and SMEs that provide digital-enabled services to the government. The policy also targets 35% growth in cloud computing investments by 2024.
[Objective] The policy also aims to create an enabling environment for more investment in Cloud infrastructure and platforms.
[Scope] This policy applies regardless of whether the ICT solution under procurement is destined for end users in government service, for citizen use, or for government data centre needs.</t>
        </is>
      </c>
      <c r="O374" s="8" t="inlineStr">
        <is>
          <t>The Nigeria Cloud Computing Policy is issued pursuant to Section 6 (a) (b) (c) and (i) of the National Information Technology Development Act 2007.</t>
        </is>
      </c>
      <c r="P374" s="10" t="inlineStr">
        <is>
          <t>Open PDF</t>
        </is>
      </c>
    </row>
    <row r="375">
      <c r="A375" t="inlineStr">
        <is>
          <t>Nigeria</t>
        </is>
      </c>
      <c r="B375" t="inlineStr">
        <is>
          <t>NCCPolicy_New1 (Nigeria - Row 23)</t>
        </is>
      </c>
      <c r="C375" t="inlineStr">
        <is>
          <t>24 (part 2)</t>
        </is>
      </c>
      <c r="D375" s="8" t="inlineStr">
        <is>
          <t>(continued)</t>
        </is>
      </c>
      <c r="E375" t="inlineStr">
        <is>
          <t>9–14</t>
        </is>
      </c>
      <c r="F375" t="inlineStr">
        <is>
          <t>Other</t>
        </is>
      </c>
      <c r="G375" t="inlineStr">
        <is>
          <t>Unknown</t>
        </is>
      </c>
      <c r="H375" t="inlineStr">
        <is>
          <t>Low</t>
        </is>
      </c>
      <c r="I375" s="8" t="inlineStr"/>
      <c r="J375" s="8" t="inlineStr"/>
      <c r="K375" t="inlineStr"/>
      <c r="L375" s="8" t="inlineStr"/>
      <c r="M375" s="8" t="inlineStr"/>
      <c r="N375" s="8" t="inlineStr"/>
      <c r="O375" s="8" t="inlineStr"/>
      <c r="P375" s="10" t="inlineStr">
        <is>
          <t>Open PDF</t>
        </is>
      </c>
    </row>
    <row r="376">
      <c r="A376" t="inlineStr">
        <is>
          <t>Nigeria</t>
        </is>
      </c>
      <c r="B376" t="inlineStr">
        <is>
          <t>NCCPolicy_New1 (Nigeria - Row 23)</t>
        </is>
      </c>
      <c r="C376" t="inlineStr">
        <is>
          <t>24 (part 3)</t>
        </is>
      </c>
      <c r="D376" s="8" t="inlineStr">
        <is>
          <t>Cloud Computing Service Models and Deployment Options</t>
        </is>
      </c>
      <c r="E376" t="inlineStr">
        <is>
          <t>14–19</t>
        </is>
      </c>
      <c r="F376" t="inlineStr">
        <is>
          <t>Cloud Services</t>
        </is>
      </c>
      <c r="G376" t="inlineStr">
        <is>
          <t>High</t>
        </is>
      </c>
      <c r="H376" t="inlineStr">
        <is>
          <t>High (explicit)</t>
        </is>
      </c>
      <c r="I376" s="8" t="inlineStr">
        <is>
          <t>Cloud Services</t>
        </is>
      </c>
      <c r="J376" s="8" t="inlineStr">
        <is>
          <t>Customer Data, Financial Data</t>
        </is>
      </c>
      <c r="K376" t="inlineStr">
        <is>
          <t>NITDA</t>
        </is>
      </c>
      <c r="L376" s="8" t="inlineStr">
        <is>
          <t>This section describes cloud computing service models (SaaS, PaaS, IaaS) and deployment models (private, public, hybrid clouds). It outlines how public institutions in Nigeria can leverage these models for efficient service delivery, cost savings, and resource optimization without managing underlying infrastructure. The section emphasizes transitioning from traditional IT systems to cloud solutions to improve responsiveness, transparency, and resource allocation while avoiding vendor lock-in.</t>
        </is>
      </c>
      <c r="M376" s="8" t="inlineStr">
        <is>
          <t>This section defines cloud service models and deployment options critical for DTIA as it specifies how data storage and processing must align with Nigerian territorial boundaries and security requirements for different data sensitivity levels. It mandates that public institutions assess cloud solutions based on data classification to ensure compliance with national security and data protection standards.</t>
        </is>
      </c>
      <c r="N376" s="8" t="inlineStr">
        <is>
          <t>[Must] Public Institutions will leverage cloud services to provide improved responsiveness to citizens' needs and increased transparency in healthcare, social amenities, justice, public safety, and education services.
[Must] Cloud technologies will create competitive advantages for SMEs by generating employment opportunities, developing indigenous technology, and diversifying the economy.
[Must] Migrating to cloud can streamline processes by consolidating dispersed IT systems under a central government platform, reducing costs through 'as needed' resource procurement.
[Must] Public institutions must use cloud services to move process-oriented tasks like server maintenance to providers, allowing IT professionals to focus on value-adding skills.
[Must] Cloud service providers must offer infrastructure that allows provisioning of processing, storage, networks, and other computing resources without managing underlying infrastructure.
[Must] Cloud service providers must provide security certifications assessed by third-party professionals to ensure data security.</t>
        </is>
      </c>
      <c r="O376" s="8" t="inlineStr">
        <is>
          <t>Cloud computing allows for new features to be continuously deployed, while the costs are amortised across a global service customer base.</t>
        </is>
      </c>
      <c r="P376" s="10" t="inlineStr">
        <is>
          <t>Open PDF</t>
        </is>
      </c>
    </row>
    <row r="377">
      <c r="A377" t="inlineStr">
        <is>
          <t>Nigeria</t>
        </is>
      </c>
      <c r="B377" t="inlineStr">
        <is>
          <t>NCCPolicy_New1 (Nigeria - Row 23)</t>
        </is>
      </c>
      <c r="C377" t="inlineStr">
        <is>
          <t>24 (part 4)</t>
        </is>
      </c>
      <c r="D377" s="8" t="inlineStr">
        <is>
          <t>Cross-Border Data Flows and Data Classification for Cloud Services</t>
        </is>
      </c>
      <c r="E377" t="inlineStr">
        <is>
          <t>19–24</t>
        </is>
      </c>
      <c r="F377" t="inlineStr">
        <is>
          <t>Cross-border Transfer</t>
        </is>
      </c>
      <c r="G377" t="inlineStr">
        <is>
          <t>High</t>
        </is>
      </c>
      <c r="H377" t="inlineStr">
        <is>
          <t>High (explicit)</t>
        </is>
      </c>
      <c r="I377" s="8" t="inlineStr">
        <is>
          <t>Cross-border Transfer, Data Residency, Security</t>
        </is>
      </c>
      <c r="J377" s="8" t="inlineStr">
        <is>
          <t>Customer Data, Financial Data, Special Personal Information</t>
        </is>
      </c>
      <c r="K377" t="inlineStr">
        <is>
          <t>NITDA</t>
        </is>
      </c>
      <c r="L377" s="8" t="inlineStr">
        <is>
          <t>This section addresses cross-border data flows in cloud environments, requiring public institutions to ensure cloud service providers store data in jurisdictions with equivalent data protection standards to Nigeria. It mandates data classification based on sensitivity levels (official, confidential, secret, classified) to determine appropriate cloud storage locations and security measures, with classified data restricted to Nigerian territory or private cloud solutions.</t>
        </is>
      </c>
      <c r="M377" s="8" t="inlineStr">
        <is>
          <t>This section is critical for DTIA as it specifies jurisdictional requirements for cross-border data flows and mandates data classification to ensure compliance with Nigerian territorial boundaries and security standards for different data sensitivity levels.</t>
        </is>
      </c>
      <c r="N377" s="8" t="inlineStr">
        <is>
          <t>[Must] Public Institutions must contract cloud service providers that store data in jurisdictions with equivalent personal data protection standards to Nigeria.
[Must] Data classified as 'official, public or non-confidential' may be moved to cloud services without restrictions.
[Must] Confidential data must reside primarily within Nigerian territorial boundaries but can be accessed internationally for economic purposes.
[Must] Secret data must reside primarily within Nigerian territorial boundaries with encryption and strong authentication.
[Must] Classified data must remain within Nigerian territory or private cloud solutions, with no international access.</t>
        </is>
      </c>
      <c r="O377" s="8" t="inlineStr">
        <is>
          <t>Agencies shall consider focusing on access to data when required. To this end, NITDA will ensure that CSPs provide adequate security and privacy measures and transparency around data compliance.</t>
        </is>
      </c>
      <c r="P377" s="10" t="inlineStr">
        <is>
          <t>Open PDF</t>
        </is>
      </c>
    </row>
    <row r="378">
      <c r="A378" t="inlineStr">
        <is>
          <t>Nigeria</t>
        </is>
      </c>
      <c r="B378" t="inlineStr">
        <is>
          <t>NCCPolicy_New1 (Nigeria - Row 23)</t>
        </is>
      </c>
      <c r="C378" t="inlineStr">
        <is>
          <t>24 (part 5)</t>
        </is>
      </c>
      <c r="D378" s="8" t="inlineStr">
        <is>
          <t>Cloud service contracts for government entities</t>
        </is>
      </c>
      <c r="E378" t="inlineStr">
        <is>
          <t>24–30</t>
        </is>
      </c>
      <c r="F378" t="inlineStr">
        <is>
          <t>Cloud Services</t>
        </is>
      </c>
      <c r="G378" t="inlineStr">
        <is>
          <t>High</t>
        </is>
      </c>
      <c r="H378" t="inlineStr">
        <is>
          <t>High (explicit)</t>
        </is>
      </c>
      <c r="I378" s="8" t="inlineStr">
        <is>
          <t>Cloud Services, Data Sharing, Data Storage, Security</t>
        </is>
      </c>
      <c r="J378" s="8" t="inlineStr">
        <is>
          <t>Personal Information, Financial Data</t>
        </is>
      </c>
      <c r="K378" t="inlineStr">
        <is>
          <t>NITDA</t>
        </is>
      </c>
      <c r="L378" s="8" t="inlineStr">
        <is>
          <t>This section mandates that NITDA develops a regulatory framework for cloud computing contracts between public institutions and cloud service providers (CSPs). The framework ensures government entities receive rights equivalent to individual customers, including minimum contractual requirements such as CSP due diligence compliance, service descriptions, contract duration, payment terms, SLAs, data handling rules, data retrieval rights upon termination, liability limitations, and security certifications. These provisions establish baseline contractual obligations for secure and transparent cloud service relationships.</t>
        </is>
      </c>
      <c r="M378" s="8" t="inlineStr">
        <is>
          <t>Requires contractual safeguards for data handling, termination rights, and liability limitations when transferring data to CSPs, directly impacting cross-border data transfers if government entities use international CSPs.</t>
        </is>
      </c>
      <c r="N378" s="8" t="inlineStr">
        <is>
          <t>[Must] NITDA will develop a regulatory framework for cloud computing contracts between Public Institutions and Cloud Service Providers (CSPs)
[Must] Government entities using cloud as customers must enjoy at least the same rights as individual customers, enterprises and other cloud customers
[Must] Contracts must include CSP adherence to due diligence process and public procurement guidelines
[Must] Contracts must specify service descriptions
[Must] Contracts must define duration unless unlimited
[Must] Contracts must include payment terms and termination clauses
[Must] Contracts must detail Service Level Agreements (SLAs)
[Must] Contracts must specify rules for handling cloud customer data including processing, destruction and restoration
[Must] Contracts must include CSP customer care services depending on service offering
[Must] Contracts must provide customers' right to retrieve data upon termination
[Must] Contracts must limit CSPs' right to exclude liability unreasonably or impose unfair terms related to data loss, damage, service degradation or breaches
[Must] Contracts must specify level of cloud security and privacy</t>
        </is>
      </c>
      <c r="O378" s="8" t="inlineStr">
        <is>
          <t>NITDA will work on the development of a regulatory framework for the execution of cloud computing contracts between Public Institutions and Cloud Service Providers (CSP). This regulatory framework shall ensure that government entities using the cloud as cloud customers enjoy at least the same rights as those enjoyed by individual customers, enterprises and other cloud customers.</t>
        </is>
      </c>
      <c r="P378" s="10" t="inlineStr">
        <is>
          <t>Open PDF</t>
        </is>
      </c>
    </row>
    <row r="379">
      <c r="A379" t="inlineStr">
        <is>
          <t>Nigeria</t>
        </is>
      </c>
      <c r="B379" t="inlineStr">
        <is>
          <t>NCCPolicy_New1 (Nigeria - Row 23)</t>
        </is>
      </c>
      <c r="C379" t="inlineStr">
        <is>
          <t>24 (part 6)</t>
        </is>
      </c>
      <c r="D379" s="8" t="inlineStr">
        <is>
          <t>(continued)</t>
        </is>
      </c>
      <c r="E379" t="inlineStr">
        <is>
          <t>30–33</t>
        </is>
      </c>
      <c r="F379" t="inlineStr">
        <is>
          <t>Other</t>
        </is>
      </c>
      <c r="G379" t="inlineStr">
        <is>
          <t>Unknown</t>
        </is>
      </c>
      <c r="H379" t="inlineStr">
        <is>
          <t>Low</t>
        </is>
      </c>
      <c r="I379" s="8" t="inlineStr"/>
      <c r="J379" s="8" t="inlineStr"/>
      <c r="K379" t="inlineStr"/>
      <c r="L379" s="8" t="inlineStr"/>
      <c r="M379" s="8" t="inlineStr"/>
      <c r="N379" s="8" t="inlineStr"/>
      <c r="O379" s="8" t="inlineStr"/>
      <c r="P379" s="10" t="inlineStr">
        <is>
          <t>Open PDF</t>
        </is>
      </c>
    </row>
    <row r="380">
      <c r="A380" t="inlineStr">
        <is>
          <t>Nigeria</t>
        </is>
      </c>
      <c r="B380" t="inlineStr">
        <is>
          <t>REVISED REGULATORY FRAMEWORK FOR BANK VERIFICATION NUMBER (BVN) OPERATIONS AND WATCH-LIST FOR THE NIGERIAN BANKING INDUSTRY 121021 FINAL (Nigeria - Row 11)</t>
        </is>
      </c>
      <c r="C380" t="inlineStr">
        <is>
          <t>3</t>
        </is>
      </c>
      <c r="D380" s="8" t="inlineStr">
        <is>
          <t>BVN system participants and their roles in banking operations</t>
        </is>
      </c>
      <c r="E380" t="inlineStr">
        <is>
          <t>4–11</t>
        </is>
      </c>
      <c r="F380" t="inlineStr">
        <is>
          <t>Cross-border Transfer</t>
        </is>
      </c>
      <c r="G380" t="inlineStr">
        <is>
          <t>High</t>
        </is>
      </c>
      <c r="H380" t="inlineStr">
        <is>
          <t>High (explicit)</t>
        </is>
      </c>
      <c r="I380" s="8" t="inlineStr">
        <is>
          <t>Cross-border Transfer, Data Storage, Security, Data Sharing, Third Party Processing, Cloud Services, Incident Reporting, Breach Notification</t>
        </is>
      </c>
      <c r="J380" s="8" t="inlineStr">
        <is>
          <t>Personal Information, Financial Data</t>
        </is>
      </c>
      <c r="K380" t="inlineStr">
        <is>
          <t>Central Bank of Nigeria (CBN)</t>
        </is>
      </c>
      <c r="L380" s="8" t="inlineStr">
        <is>
          <t>This section defines the regulatory framework for Bank Verification Number (BVN) operations and Watch-list in Nigeria. It specifies the roles and responsibilities of Central Bank of Nigeria (CBN), Nigeria Inter-Bank Settlement System Plc (NIBSS), banks, other financial institutions, and customers. Participants must link customer accounts to BVNs within specified timeframes, report breaches to NIBSS, and ensure BVN data is stored within Nigeria. The framework establishes procedures for enrollment, identification, verification, and linking of customer BVNs to accounts while restricting BVN use to banking purposes only.</t>
        </is>
      </c>
      <c r="M380" s="8" t="inlineStr">
        <is>
          <t>This section establishes Nigeria's BVN system with strict data residency requirements (BVN data stored within Nigeria), participant obligations for linking accounts to BVNs, and restrictions on BVN use to prevent cross-border data transfers. It mandates that BVN data must not be routed across borders without CBN consent, directly impacting data transfer impact assessments for financial institutions.</t>
        </is>
      </c>
      <c r="N380" s="8" t="inlineStr">
        <is>
          <t>[Must] Participants include Central Bank of Nigeria (CBN), Nigeria Inter-Bank Settlement System Plc (NIBSS), Banks, Other Financial Institutions (OFIs), and Customers
[Must] Banks must link all accounts/wallets (except Tier 1) to BVNs within 24 hours of NIBSS making BVN available
[Must] Banks must enroll mobile money wallets (except Tier 1) on BVN database within 180 days of this framework
[Must] Banks must report BVNs of individuals in breach to NIBSS within 1 business day
[Must] Banks must report BVNs of confirmed deceased customers to NIBSS within 24 hours
[Must] BVN data shall be stored within Nigeria and not routed across borders without CBN consent
[Must] BVN use shall be restricted only to purposes specified by CBN
[Must] Participants must ensure BVN information is treated as confidential</t>
        </is>
      </c>
      <c r="O380" s="8" t="inlineStr">
        <is>
          <t>BVN data shall be stored within the shores of Nigeria and shall not be routed across borders without the consent of the CBN.</t>
        </is>
      </c>
      <c r="P380" s="10" t="inlineStr">
        <is>
          <t>Open PDF</t>
        </is>
      </c>
    </row>
    <row r="381">
      <c r="A381" t="inlineStr">
        <is>
          <t>Nigeria</t>
        </is>
      </c>
      <c r="B381" t="inlineStr">
        <is>
          <t>REVISED REGULATORY FRAMEWORK FOR BANK VERIFICATION NUMBER (BVN) OPERATIONS AND WATCH-LIST FOR THE NIGERIAN BANKING INDUSTRY 121021 FINAL (Nigeria - Row 11)</t>
        </is>
      </c>
      <c r="C381" t="inlineStr">
        <is>
          <t>3 (part 2)</t>
        </is>
      </c>
      <c r="D381" s="8" t="inlineStr">
        <is>
          <t>(continued)</t>
        </is>
      </c>
      <c r="E381" t="inlineStr">
        <is>
          <t>11–17</t>
        </is>
      </c>
      <c r="F381" t="inlineStr">
        <is>
          <t>Other</t>
        </is>
      </c>
      <c r="G381" t="inlineStr">
        <is>
          <t>Unknown</t>
        </is>
      </c>
      <c r="H381" t="inlineStr">
        <is>
          <t>Low</t>
        </is>
      </c>
      <c r="I381" s="8" t="inlineStr"/>
      <c r="J381" s="8" t="inlineStr"/>
      <c r="K381" t="inlineStr"/>
      <c r="L381" s="8" t="inlineStr"/>
      <c r="M381" s="8" t="inlineStr"/>
      <c r="N381" s="8" t="inlineStr"/>
      <c r="O381" s="8" t="inlineStr"/>
      <c r="P381" s="10" t="inlineStr">
        <is>
          <t>Open PDF</t>
        </is>
      </c>
    </row>
    <row r="382">
      <c r="A382" t="inlineStr">
        <is>
          <t>Nigeria</t>
        </is>
      </c>
      <c r="B382" t="inlineStr">
        <is>
          <t>REVISED REGULATORY FRAMEWORK FOR BANK VERIFICATION NUMBER (BVN) OPERATIONS AND WATCH-LIST FOR THE NIGERIAN BANKING INDUSTRY 121021 FINAL (Nigeria - Row 11)</t>
        </is>
      </c>
      <c r="C382" t="inlineStr">
        <is>
          <t>3 (part 3)</t>
        </is>
      </c>
      <c r="D382" s="8" t="inlineStr">
        <is>
          <t>Penalties for BVN watch-list breaches</t>
        </is>
      </c>
      <c r="E382" t="inlineStr">
        <is>
          <t>17–23</t>
        </is>
      </c>
      <c r="F382" t="inlineStr">
        <is>
          <t>Enforcement</t>
        </is>
      </c>
      <c r="G382" t="inlineStr">
        <is>
          <t>High</t>
        </is>
      </c>
      <c r="H382" t="inlineStr">
        <is>
          <t>High (explicit)</t>
        </is>
      </c>
      <c r="I382" s="8" t="inlineStr">
        <is>
          <t>Cross-border Transfer, Financial Data, AML</t>
        </is>
      </c>
      <c r="J382" s="8" t="inlineStr">
        <is>
          <t>Financial Data</t>
        </is>
      </c>
      <c r="K382" t="inlineStr">
        <is>
          <t>Central Bank of Nigeria</t>
        </is>
      </c>
      <c r="L382" s="8" t="inlineStr">
        <is>
          <t>Participants failing to meet BVN framework obligations face penalties from the Central Bank of Nigeria. Customers with watch-listed BVNs are prohibited from new relationships, restricted electronic access, and barred from credit facilities. Repeat offenders face extended penalties and consecutive periods on the watch-list. Penalties apply to all accounts linked to watch-listed BVNs except Tier 1 accounts.</t>
        </is>
      </c>
      <c r="M382" s="8" t="inlineStr">
        <is>
          <t>Penalties for BVN watch-list breaches directly impact data transfer restrictions and financial sanctions when moving data across borders involving watch-listed individuals.</t>
        </is>
      </c>
      <c r="N382" s="8" t="inlineStr">
        <is>
          <t>[Must] Any participant who fails to perform its stipulated responsibilities shall be penalised by the Central Bank of Nigeria.
[Must] They shall not be allowed to enter new relationship with any participant.
[May] A participant may choose not to continue business relationship with account/wallet (except Tier 1) holder on the Watch-list.
[Must] Where a participant chooses to continue an existing business relationship with holders of account/wallets (except Tier 1) on the watch-list, the account/wallet (except Tier 1) holder shall be prohibited from all electronic channels such as but not limited to ATM, POS, Internet Banking, Mobile Banking, USSD including issuance of third-party cheques.
[May] However, inflows may be allowed, provided these are from legitimate sources.
[Must] A customer with watch-listed BVN shall not reference accounts, access or guarantee credit facilities.
[Must] A customer shall remain on the Watch-list for a period as specified in 'Table 2: Watch-list Penalties' below.
[Must] In the event of a recurrence of breach, the penalty period shall run consecutively.
[Must] Subject to the provision of Section 1.9, penalties associated with a watch-listed BVN shall apply to all accounts/wallets (except Tier 1) the BVN is linked to.</t>
        </is>
      </c>
      <c r="O382" s="8" t="inlineStr">
        <is>
          <t>Any participant who fails to perform its stipulated responsibilities shall be penalised by the Central Bank of Nigeria.</t>
        </is>
      </c>
      <c r="P382" s="10" t="inlineStr">
        <is>
          <t>Open PDF</t>
        </is>
      </c>
    </row>
    <row r="383">
      <c r="A383" t="inlineStr">
        <is>
          <t>Nigeria</t>
        </is>
      </c>
      <c r="B383" t="inlineStr">
        <is>
          <t>cbn consumer protection regulations (Nigeria - Row 4)</t>
        </is>
      </c>
      <c r="C383" t="inlineStr">
        <is>
          <t>4</t>
        </is>
      </c>
      <c r="D383" s="8" t="inlineStr">
        <is>
          <t>Pre-contract and contractual disclosures for consumer products</t>
        </is>
      </c>
      <c r="E383" t="inlineStr">
        <is>
          <t>3</t>
        </is>
      </c>
      <c r="F383" t="inlineStr">
        <is>
          <t>Data Collection</t>
        </is>
      </c>
      <c r="G383" t="inlineStr">
        <is>
          <t>High</t>
        </is>
      </c>
      <c r="H383" t="inlineStr">
        <is>
          <t>High (explicit)</t>
        </is>
      </c>
      <c r="I383" s="8" t="inlineStr">
        <is>
          <t>Financial Data</t>
        </is>
      </c>
      <c r="J383" s="8" t="inlineStr">
        <is>
          <t>Financial Data</t>
        </is>
      </c>
      <c r="K383" t="inlineStr">
        <is>
          <t>Central Bank of Nigeria (CBN)</t>
        </is>
      </c>
      <c r="L383" s="8" t="inlineStr">
        <is>
          <t>Institutions must disclose all terms, conditions, features, risks, benefits, fees, and charges to consumers before and during contract execution. They must provide a Key Facts Statement (KFS) for loans, allow a 3-day cooling-off period after signing, and ensure variations in interest rates are notified with specific details. These disclosures apply to credit, deposit, and other financial products to ensure transparency and informed consumer choices.</t>
        </is>
      </c>
      <c r="M383" s="8" t="inlineStr">
        <is>
          <t>Requires detailed pre-contract disclosures for financial products, including key terms, fees, and interest rates, which impact data transfer impact assessments by mandating clear communication of financial terms before data processing begins.</t>
        </is>
      </c>
      <c r="N383" s="8" t="inlineStr">
        <is>
          <t>[Must] Disclose all terms and conditions of a product or service on offer, as well as features, risks, benefits, fees and associated charges
[Must] Disclose in contracts the possibility of variations in interest rates or foreign exchange due to market conditions
[Must] Disclose similar products and services within the Institution to enable consumer comparisons
[Must] Provide a Key Facts Statement (KFS) in the format attached as Annexure A stating a summary of key information on consumer loans
[Must] Allow consumers a minimum of two (2) days from date of receipt to review draft contract before execution
[Must] Give a consumer a cooling-off period of three (3) working days after signing a credit contract to cancel without penalty
[Must] Notify consumers of any transaction on their account immediately it is made, including date, amount, payer, transaction reference, channel and cleared account balance
[Must] Ensure descriptions in account statements are clear, including transaction reference, payer, transaction channel, location and account balance
[Must] Ensure credit contracts contain key features and risks, tenor of the contract, interest/fee calculations, APR, notice of interest rate variations, and complaint escalation channels
[Must] Provide monthly statements for all products and account types at no cost
[Must] Give prior notice of interest rate variations to customers, stating reason, commencement date, revised repayment schedule, and alternatives</t>
        </is>
      </c>
      <c r="O383" s="8" t="inlineStr">
        <is>
          <t>Institutions shall comply with the following requirements prior to the execution of any contract with consumers: Disclose all terms and conditions of a product or service on offer, as well as the features, risks, benefits, fees and other associated charges.</t>
        </is>
      </c>
      <c r="P383" s="10" t="inlineStr">
        <is>
          <t>Open PDF</t>
        </is>
      </c>
    </row>
    <row r="384">
      <c r="A384" t="inlineStr">
        <is>
          <t>Nigeria</t>
        </is>
      </c>
      <c r="B384" t="inlineStr">
        <is>
          <t>cbn consumer protection regulations (Nigeria - Row 4)</t>
        </is>
      </c>
      <c r="C384" t="inlineStr">
        <is>
          <t>5</t>
        </is>
      </c>
      <c r="D384" s="8" t="inlineStr">
        <is>
          <t>Responsible business conduct and data protection for consumers</t>
        </is>
      </c>
      <c r="E384" t="inlineStr">
        <is>
          <t>3</t>
        </is>
      </c>
      <c r="F384" t="inlineStr">
        <is>
          <t>Other</t>
        </is>
      </c>
      <c r="G384" t="inlineStr">
        <is>
          <t>High</t>
        </is>
      </c>
      <c r="H384" t="inlineStr">
        <is>
          <t>High (explicit)</t>
        </is>
      </c>
      <c r="I384" s="8" t="inlineStr">
        <is>
          <t>Financial Data, Data Sharing, Customer Information</t>
        </is>
      </c>
      <c r="J384" s="8" t="inlineStr">
        <is>
          <t>Financial Data</t>
        </is>
      </c>
      <c r="K384" t="inlineStr">
        <is>
          <t>Central Bank of Nigeria (CBN)</t>
        </is>
      </c>
      <c r="L384" s="8" t="inlineStr">
        <is>
          <t>Institutions must conduct business ethically, train staff, provide clear product information, and ensure consumers know complaint channels. They must display all applicable fees for electronic payments, not impose products on consumers, and avoid charging for services not requested. These requirements ensure transparency and ethical handling of consumer data throughout the relationship.</t>
        </is>
      </c>
      <c r="M384" s="8" t="inlineStr">
        <is>
          <t>Mandates ethical business practices and clear communication of fees and services, which are critical for data transfer impact assessments to ensure consumer data is handled transparently and responsibly.</t>
        </is>
      </c>
      <c r="N384" s="8" t="inlineStr">
        <is>
          <t>[Must] Conduct business in a responsible, professional and ethical manner
[Must] Train staff to promote competence, efficiency and professionalism in discharge of duties
[Must] Provide clear information about products and services, features, terms and conditions and applicable fees and charges
[Must] Provide and inform consumers of channels to make enquiries and complaints
[Must] Notify customers of circumstances that may affect terms of contracts or relationships
[Must] Display all applicable fees for electronic payment services with option to accept or decline before transaction
[Must Not] Not impose any product, service or channel on consumers
[Must Not] Not charge fees for issuance and renewal of products or services which have not been requested by the customer
[Must Not] Not compel consumers to buy products or services as a condition for another product unless directly dependent</t>
        </is>
      </c>
      <c r="O384" s="8" t="inlineStr">
        <is>
          <t>Institutions shall comply with the following provisions: Conduct their business in a responsible, professional and ethical manner.</t>
        </is>
      </c>
      <c r="P384" s="10" t="inlineStr">
        <is>
          <t>Open PDF</t>
        </is>
      </c>
    </row>
    <row r="385">
      <c r="A385" t="inlineStr">
        <is>
          <t>Nigeria</t>
        </is>
      </c>
      <c r="B385" t="inlineStr">
        <is>
          <t>cbn consumer protection regulations (Nigeria - Row 4)</t>
        </is>
      </c>
      <c r="C385" t="inlineStr">
        <is>
          <t>6</t>
        </is>
      </c>
      <c r="D385" s="8" t="inlineStr">
        <is>
          <t>Complaints handling and redress mechanisms</t>
        </is>
      </c>
      <c r="E385" t="inlineStr">
        <is>
          <t>3–12</t>
        </is>
      </c>
      <c r="F385" t="inlineStr">
        <is>
          <t>Other</t>
        </is>
      </c>
      <c r="G385" t="inlineStr">
        <is>
          <t>High</t>
        </is>
      </c>
      <c r="H385" t="inlineStr">
        <is>
          <t>High (explicit)</t>
        </is>
      </c>
      <c r="I385" s="8" t="inlineStr">
        <is>
          <t>Data Sharing, Customer Information</t>
        </is>
      </c>
      <c r="J385" s="8" t="inlineStr"/>
      <c r="K385" t="inlineStr">
        <is>
          <t>Central Bank of Nigeria (CBN)</t>
        </is>
      </c>
      <c r="L385" s="8" t="inlineStr">
        <is>
          <t>Institutions must establish complaint channels, internal dispute resolution processes, and external escalation to the Central Bank of Nigeria. They must respond to consumer inquiries within five working days and provide timely resolution for complaints, ensuring fair and transparent redress mechanisms for financial consumers.</t>
        </is>
      </c>
      <c r="M385" s="8" t="inlineStr">
        <is>
          <t>Requires institutions to have structured complaint handling processes that impact data transfer impact assessments by ensuring consumer data disputes are resolved transparently and efficiently.</t>
        </is>
      </c>
      <c r="N385" s="8" t="inlineStr">
        <is>
          <t>[Must] Establish complaints management channels for consumers
[Must] Implement internal dispute resolution processes
[Must] Provide dispute resolution at the Central Bank of Nigeria for unresolved cases
[Must] Respond to customers' enquiries/requests within five (5) working days
[Must] Communicate decisions on waivers, extensions, and concessions within ten (10) working days</t>
        </is>
      </c>
      <c r="O385" s="8" t="inlineStr">
        <is>
          <t>Institutions shall establish complaints management channels, internal dispute resolution processes, and external escalation to the Central Bank of Nigeria.</t>
        </is>
      </c>
      <c r="P385" s="10" t="inlineStr">
        <is>
          <t>Open PDF</t>
        </is>
      </c>
    </row>
    <row r="386">
      <c r="A386" t="inlineStr">
        <is>
          <t>Nigeria</t>
        </is>
      </c>
      <c r="B386" t="inlineStr">
        <is>
          <t>cbn consumer protection regulations (Nigeria - Row 4)</t>
        </is>
      </c>
      <c r="C386" t="inlineStr">
        <is>
          <t>6 (part 2)</t>
        </is>
      </c>
      <c r="D386" s="8" t="inlineStr">
        <is>
          <t>(continued)</t>
        </is>
      </c>
      <c r="E386" t="inlineStr">
        <is>
          <t>12–19</t>
        </is>
      </c>
      <c r="F386" t="inlineStr">
        <is>
          <t>Other</t>
        </is>
      </c>
      <c r="G386" t="inlineStr">
        <is>
          <t>Unknown</t>
        </is>
      </c>
      <c r="H386" t="inlineStr">
        <is>
          <t>Low</t>
        </is>
      </c>
      <c r="I386" s="8" t="inlineStr"/>
      <c r="J386" s="8" t="inlineStr"/>
      <c r="K386" t="inlineStr"/>
      <c r="L386" s="8" t="inlineStr"/>
      <c r="M386" s="8" t="inlineStr"/>
      <c r="N386" s="8" t="inlineStr"/>
      <c r="O386" s="8" t="inlineStr"/>
      <c r="P386" s="10" t="inlineStr">
        <is>
          <t>Open PDF</t>
        </is>
      </c>
    </row>
    <row r="387">
      <c r="A387" t="inlineStr">
        <is>
          <t>Nigeria</t>
        </is>
      </c>
      <c r="B387" t="inlineStr">
        <is>
          <t>cbn consumer protection regulations (Nigeria - Row 4)</t>
        </is>
      </c>
      <c r="C387" t="inlineStr">
        <is>
          <t>6 (part 3)</t>
        </is>
      </c>
      <c r="D387" s="8" t="inlineStr">
        <is>
          <t>Consumer data privacy and consent requirements for financial institutions</t>
        </is>
      </c>
      <c r="E387" t="inlineStr">
        <is>
          <t>19–25</t>
        </is>
      </c>
      <c r="F387" t="inlineStr">
        <is>
          <t>Other</t>
        </is>
      </c>
      <c r="G387" t="inlineStr">
        <is>
          <t>High</t>
        </is>
      </c>
      <c r="H387" t="inlineStr">
        <is>
          <t>High (explicit)</t>
        </is>
      </c>
      <c r="I387" s="8" t="inlineStr">
        <is>
          <t>Consent, Data Sharing</t>
        </is>
      </c>
      <c r="J387" s="8" t="inlineStr">
        <is>
          <t>Personal Information</t>
        </is>
      </c>
      <c r="K387" t="inlineStr">
        <is>
          <t>Central Bank of Nigeria (CBN)</t>
        </is>
      </c>
      <c r="L387" s="8" t="inlineStr">
        <is>
          <t>Financial institutions must obtain written consumer consent for specific data processing purposes and allow withdrawal of consent at any time. They must protect consumer information against unauthorized access and be accountable for related actions. Institutions must not transfer consumer data to third parties without express consent, except where legally required. They must inform consumers when data is shared with authorized third parties and review data processing procedures to ensure consent purposes remain valid.</t>
        </is>
      </c>
      <c r="M387" s="8" t="inlineStr">
        <is>
          <t>Requires explicit consumer consent for data processing, prohibits unauthorized third-party data transfers without consent, mandates data sharing transparency, and necessitates periodic review of data processing purposes – all critical for cross-border data transfers involving Nigerian financial institutions.</t>
        </is>
      </c>
      <c r="N387" s="8" t="inlineStr">
        <is>
          <t>[Must] Obtain the written consent of consumers to collect and process their personal data for specific purpose and provide them with the option to withdraw the consent at any time.
[Must] Protect the privacy and confidentiality of consumer information and assets against unauthorized access, and be accountable for acts or omissions in respect thereof.
[Must Not] Not transfer personal data of consumers to a third party without their express consent, except in compliance with a legal obligation.
[Must] Inform consumers whenever their data is exchanged with an authorized third party, stating details of the exchange.
[Must] Review data processing and privacy procedures to ensure that the purpose(s) for which initial consent was granted remained valid.
[Must] Keep accurate and updated data of consumers always.</t>
        </is>
      </c>
      <c r="O387" s="8" t="inlineStr">
        <is>
          <t>To ensure data protection and privacy of consumers, Institutions shall: 5.4.1 Protect the privacy and confidentiality of consumer information and assets against unauthorized access, and be accountable for acts or omissions in respect thereof.</t>
        </is>
      </c>
      <c r="P387" s="10" t="inlineStr">
        <is>
          <t>Open PDF</t>
        </is>
      </c>
    </row>
    <row r="388">
      <c r="A388" t="inlineStr">
        <is>
          <t>Nigeria</t>
        </is>
      </c>
      <c r="B388" t="inlineStr">
        <is>
          <t>cbn consumer protection regulations (Nigeria - Row 4)</t>
        </is>
      </c>
      <c r="C388" t="inlineStr">
        <is>
          <t>6 (part 4)</t>
        </is>
      </c>
      <c r="D388" s="8" t="inlineStr">
        <is>
          <t>Complaint resolution reporting and outsourcing requirements</t>
        </is>
      </c>
      <c r="E388" t="inlineStr">
        <is>
          <t>25–26</t>
        </is>
      </c>
      <c r="F388" t="inlineStr">
        <is>
          <t>Other</t>
        </is>
      </c>
      <c r="G388" t="inlineStr">
        <is>
          <t>High</t>
        </is>
      </c>
      <c r="H388" t="inlineStr">
        <is>
          <t>High (explicit)</t>
        </is>
      </c>
      <c r="I388" s="8" t="inlineStr">
        <is>
          <t>Outsourcing</t>
        </is>
      </c>
      <c r="J388" s="8" t="inlineStr">
        <is>
          <t>Customer Data</t>
        </is>
      </c>
      <c r="K388" t="inlineStr">
        <is>
          <t>Central Bank of Nigeria</t>
        </is>
      </c>
      <c r="L388" s="8" t="inlineStr">
        <is>
          <t>The RCAR must detail complaint frequency, root causes, and remedial actions. Institutions must report complaint statistics annually in financial statements per CBN format. Outsourcing complaints handling requires CBN approval. These obligations apply to financial institutions regulated by the Central Bank of Nigeria.</t>
        </is>
      </c>
      <c r="M388" s="8" t="inlineStr">
        <is>
          <t>Requires institutions to document complaint resolution processes and report statistics, impacting data transfer assessments for complaint handling systems and third-party outsourcing.</t>
        </is>
      </c>
      <c r="N388" s="8" t="inlineStr">
        <is>
          <t>[Must] The RCAR shall contain the frequency of occurrence, identified root cause(s) and the remedial actions implemented.
[Must] Report complaints statistics in annual reports and the abridged Financial Statement in line with the approved format or any other format as may be prescribed by the CBN from time to time.
[May] Institutions may outsource complaints handling functions subject to CBN approval.</t>
        </is>
      </c>
      <c r="O388" s="8" t="inlineStr">
        <is>
          <t>6.3.17 The RCAR shall contain the frequency of occurrence, identified root cause(s) and the remedial actions implemented.</t>
        </is>
      </c>
      <c r="P388" s="10" t="inlineStr">
        <is>
          <t>Open PDF</t>
        </is>
      </c>
    </row>
    <row r="389">
      <c r="A389" t="inlineStr">
        <is>
          <t>Nigeria</t>
        </is>
      </c>
      <c r="B389" t="inlineStr">
        <is>
          <t>cbn consumer protection regulations (Nigeria - Row 4)</t>
        </is>
      </c>
      <c r="C389" t="inlineStr">
        <is>
          <t>7</t>
        </is>
      </c>
      <c r="D389" s="8" t="inlineStr">
        <is>
          <t>Penalties for non-compliance with complaint resolution</t>
        </is>
      </c>
      <c r="E389" t="inlineStr">
        <is>
          <t>26–34</t>
        </is>
      </c>
      <c r="F389" t="inlineStr">
        <is>
          <t>Other</t>
        </is>
      </c>
      <c r="G389" t="inlineStr">
        <is>
          <t>High</t>
        </is>
      </c>
      <c r="H389" t="inlineStr">
        <is>
          <t>High (explicit)</t>
        </is>
      </c>
      <c r="I389" s="8" t="inlineStr"/>
      <c r="J389" s="8" t="inlineStr">
        <is>
          <t>Customer Data</t>
        </is>
      </c>
      <c r="K389" t="inlineStr">
        <is>
          <t>Central Bank of Nigeria</t>
        </is>
      </c>
      <c r="L389" s="8" t="inlineStr">
        <is>
          <t>Institutions face penalties for failing to resolve complaints within timelines, acknowledging complaints, issuing tracking numbers, responding to requests, or complying with CBN directives. Penalties include fines up to N500,000 per week for unresolved complaints, N2,000,000 per complaint for non-acknowledgment, and additional sanctions for persistent breaches.</t>
        </is>
      </c>
      <c r="M389" s="8" t="inlineStr">
        <is>
          <t>Imposes financial penalties for non-compliance with complaint resolution processes, directly impacting data transfer assessments for complaint handling systems.</t>
        </is>
      </c>
      <c r="N389" s="8" t="inlineStr">
        <is>
          <t>[Penalty] A penalty of N500,000.00 per complaint per week while the infraction subsists.
[Penalty] Non-acknowledgment of complaints from customer or non-issuance of tracking numbers – N2,000,000.00 per complaint.
[Penalty] Non-response to request or failure to comply with CBN directive - A penalty of N2,000,000.00.
[Penalty] False or non-rendition of Returns/Reports - N100,000.00, and in addition, N10,000 for each day the infraction continues.
[Penalty] Persistent breach of regulations - Administrative sanctions on responsible officer(s), including issuance of warning letters and any other statutory sanctions on the officer(s) or Institution.</t>
        </is>
      </c>
      <c r="O389" s="8" t="inlineStr">
        <is>
          <t>7.1 Non-resolution of complaints within prescribed timelines - A penalty of N500,000.00 per complaint per week while the infraction subsists.</t>
        </is>
      </c>
      <c r="P389" s="10" t="inlineStr">
        <is>
          <t>Open PDF</t>
        </is>
      </c>
    </row>
    <row r="390">
      <c r="A390" t="inlineStr">
        <is>
          <t>Nigeria</t>
        </is>
      </c>
      <c r="B390" t="inlineStr">
        <is>
          <t>cbn consumer protection regulations (Nigeria - Row 4)</t>
        </is>
      </c>
      <c r="C390" t="inlineStr">
        <is>
          <t>7 (part 2)</t>
        </is>
      </c>
      <c r="D390" s="8" t="inlineStr">
        <is>
          <t>Timelines for complaint resolution by financial institutions</t>
        </is>
      </c>
      <c r="E390" t="inlineStr">
        <is>
          <t>34–39</t>
        </is>
      </c>
      <c r="F390" t="inlineStr">
        <is>
          <t>Other</t>
        </is>
      </c>
      <c r="G390" t="inlineStr">
        <is>
          <t>High</t>
        </is>
      </c>
      <c r="H390" t="inlineStr">
        <is>
          <t>High (explicit)</t>
        </is>
      </c>
      <c r="I390" s="8" t="inlineStr"/>
      <c r="J390" s="8" t="inlineStr">
        <is>
          <t>Customer Data</t>
        </is>
      </c>
      <c r="K390" t="inlineStr">
        <is>
          <t>Consumer Protection Department</t>
        </is>
      </c>
      <c r="L390" s="8" t="inlineStr">
        <is>
          <t>This section specifies standardized timelines for resolving customer complaints across various financial services categories. It outlines the number of working days required for first and second reviews for each complaint type, including account management, cards, loans, fraud, and international transactions. The timelines apply to all financial institutions regulated under the Consumer Protection Regulations.</t>
        </is>
      </c>
      <c r="M390" s="8" t="inlineStr"/>
      <c r="N390" s="8" t="inlineStr">
        <is>
          <t>[Must] Account Management: 2 working days for first review and 1 working day for second review
[Must] Card Activation: 3 working days for first review and 2 working days for second review
[Must] Loan Application Issues: 14 working days for first review and 7 working days for second review
[Must] Fraudulent Withdrawals: 14 working days for first review and 7 working days for second review
[Must] International Banking Fraud (Not on us): 60 working days for first review and 30 working days for second review
[Must] International Banking Fraud (on us): 50 working days for first review and 25 working days for second review</t>
        </is>
      </c>
      <c r="O390" s="8" t="inlineStr">
        <is>
          <t>TIMELINES FOR COMPLAINTS RESOLUTION BY INSTITUTIONS: Category Sub-category CCMS Code 1st Review (working days) 2nd review (working days)</t>
        </is>
      </c>
      <c r="P390" s="10" t="inlineStr">
        <is>
          <t>Open PDF</t>
        </is>
      </c>
    </row>
    <row r="391">
      <c r="A391" t="inlineStr">
        <is>
          <t>Nigeria</t>
        </is>
      </c>
      <c r="B391" t="inlineStr">
        <is>
          <t>circular on the regulatory framework on open banking in nigeria (Nigeria - Row 8)</t>
        </is>
      </c>
      <c r="C391" t="inlineStr">
        <is>
          <t>10</t>
        </is>
      </c>
      <c r="D391" s="8" t="inlineStr">
        <is>
          <t>Risk management framework for open banking participants</t>
        </is>
      </c>
      <c r="E391" t="inlineStr">
        <is>
          <t>3–10</t>
        </is>
      </c>
      <c r="F391" t="inlineStr">
        <is>
          <t>Other</t>
        </is>
      </c>
      <c r="G391" t="inlineStr">
        <is>
          <t>High</t>
        </is>
      </c>
      <c r="H391" t="inlineStr">
        <is>
          <t>High (explicit)</t>
        </is>
      </c>
      <c r="I391" s="8" t="inlineStr">
        <is>
          <t>Security</t>
        </is>
      </c>
      <c r="J391" s="8" t="inlineStr">
        <is>
          <t>Personal Information, Financial Data</t>
        </is>
      </c>
      <c r="K391" t="inlineStr">
        <is>
          <t>Central Bank of Nigeria</t>
        </is>
      </c>
      <c r="L391" s="8" t="inlineStr">
        <is>
          <t>This section establishes risk management maturity levels for open banking participants, defining access levels based on data categories. It mandates risk assessment reports, onboarding procedures, and registry registration for Tier 0-3 participants. The framework requires providers to implement robust security, conduct regular monitoring, and maintain detailed records of API interactions to ensure compliance with data privacy standards and consumer protection requirements.</t>
        </is>
      </c>
      <c r="M391" s="8" t="inlineStr">
        <is>
          <t>This section defines risk-based access controls for data sharing across open banking participants, requiring tiered security measures for different data categories (PIST, MIT, PIFT, PAST) and mandating regular risk assessments to ensure data protection during cross-participant data exchanges.</t>
        </is>
      </c>
      <c r="N391" s="8" t="inlineStr">
        <is>
          <t>[Must] Participants shall be assigned risk maturity levels (Tier 0-3) based on regulatory status and data access requirements
[Must] Tier 0 participants must be registered with Central Bank of Nigeria within 3 working days of onboarding
[Must] Tier 2 and Tier 3 participants must submit risk assessment reports signed by Chief Risk Officer
[Must] Providers must publish APIs with technical guidelines and define accessible data/services
[Must] Providers must carry out Know Your Partner (KYP) due diligence on partner participants
[Must] Providers must maintain logs of API adoption and usage metrics
[Must] Providers must notify partner participants of relationship termination within 48 hours of breaching risk thresholds
[Must] Providers must notify Central Bank within 3 business days of terminated relationships
[Must] API Users must obtain end-user consent for each action on their accounts
[Must] Consent must be revalidated annually and re-validated if 180 days have passed without service use</t>
        </is>
      </c>
      <c r="O391" s="8" t="inlineStr">
        <is>
          <t>The Central Bank of Nigeria shall regulate the development of a common Banking Industry API standard with technical design standard, data standard, information security standard and operational rules.</t>
        </is>
      </c>
      <c r="P391" s="10" t="inlineStr">
        <is>
          <t>Open PDF</t>
        </is>
      </c>
    </row>
    <row r="392">
      <c r="A392" t="inlineStr">
        <is>
          <t>Nigeria</t>
        </is>
      </c>
      <c r="B392" t="inlineStr">
        <is>
          <t>circular on the regulatory framework on open banking in nigeria (Nigeria - Row 8)</t>
        </is>
      </c>
      <c r="C392" t="inlineStr">
        <is>
          <t>10 (part 2)</t>
        </is>
      </c>
      <c r="D392" s="8" t="inlineStr">
        <is>
          <t>Risk Management……………………………………………….14 (cont.)</t>
        </is>
      </c>
      <c r="E392" t="inlineStr">
        <is>
          <t>10–17</t>
        </is>
      </c>
      <c r="F392" t="inlineStr">
        <is>
          <t>Other</t>
        </is>
      </c>
      <c r="G392" t="inlineStr">
        <is>
          <t>Unknown</t>
        </is>
      </c>
      <c r="H392" t="inlineStr">
        <is>
          <t>Low</t>
        </is>
      </c>
      <c r="I392" s="8" t="inlineStr"/>
      <c r="J392" s="8" t="inlineStr"/>
      <c r="K392" t="inlineStr"/>
      <c r="L392" s="8" t="inlineStr"/>
      <c r="M392" s="8" t="inlineStr"/>
      <c r="N392" s="8" t="inlineStr"/>
      <c r="O392" s="8" t="inlineStr"/>
      <c r="P392" s="10" t="inlineStr">
        <is>
          <t>Open PDF</t>
        </is>
      </c>
    </row>
    <row r="393">
      <c r="A393" t="inlineStr">
        <is>
          <t>Nigeria</t>
        </is>
      </c>
      <c r="B393" t="inlineStr">
        <is>
          <t>circular on the regulatory framework on open banking in nigeria (Nigeria - Row 8)</t>
        </is>
      </c>
      <c r="C393" t="inlineStr">
        <is>
          <t>10 (part 3)</t>
        </is>
      </c>
      <c r="D393" s="8" t="inlineStr">
        <is>
          <t>Risk Management……………………………………………….14 (cont.)</t>
        </is>
      </c>
      <c r="E393" t="inlineStr">
        <is>
          <t>17–19</t>
        </is>
      </c>
      <c r="F393" t="inlineStr">
        <is>
          <t>Other</t>
        </is>
      </c>
      <c r="G393" t="inlineStr">
        <is>
          <t>Unknown</t>
        </is>
      </c>
      <c r="H393" t="inlineStr">
        <is>
          <t>Low</t>
        </is>
      </c>
      <c r="I393" s="8" t="inlineStr"/>
      <c r="J393" s="8" t="inlineStr"/>
      <c r="K393" t="inlineStr"/>
      <c r="L393" s="8" t="inlineStr"/>
      <c r="M393" s="8" t="inlineStr"/>
      <c r="N393" s="8" t="inlineStr"/>
      <c r="O393" s="8" t="inlineStr"/>
      <c r="P393" s="10" t="inlineStr">
        <is>
          <t>Open PDF</t>
        </is>
      </c>
    </row>
    <row r="394">
      <c r="A394" t="inlineStr">
        <is>
          <t>Singapore</t>
        </is>
      </c>
      <c r="B394" t="inlineStr">
        <is>
          <t>A Comprehensive Guide to the Law of Confidence and Breach of Confidence in Singapore_ Insights from [2024] SGCA 16 - IRB Law Singapore (Singapore - Row 33)</t>
        </is>
      </c>
      <c r="C394" t="inlineStr">
        <is>
          <t>2</t>
        </is>
      </c>
      <c r="D394" s="8" t="inlineStr">
        <is>
          <t>Whether these claims could be made in respect of the same set of confidential</t>
        </is>
      </c>
      <c r="E394" t="inlineStr">
        <is>
          <t>2</t>
        </is>
      </c>
      <c r="F394" t="inlineStr">
        <is>
          <t>Other</t>
        </is>
      </c>
      <c r="G394" t="inlineStr">
        <is>
          <t>None</t>
        </is>
      </c>
      <c r="H394" t="inlineStr">
        <is>
          <t>High (explicit)</t>
        </is>
      </c>
      <c r="I394" s="8" t="inlineStr"/>
      <c r="J394" s="8" t="inlineStr">
        <is>
          <t>Special Personal Information</t>
        </is>
      </c>
      <c r="K394" t="inlineStr"/>
      <c r="L394" s="8" t="inlineStr">
        <is>
          <t>This section addresses whether claims for breach of confidence can be made regarding the same set of confidential information. It explains that the modern law of confidence establishes an independent cause of action for misuse of confidential information, distinct from traditional approaches like the Coco test which requires proving specific elements such as the plaintiff's relationship to the information and the defendant's misuse.</t>
        </is>
      </c>
      <c r="M394" s="8" t="inlineStr"/>
      <c r="N394" s="8" t="inlineStr">
        <is>
          <t>[[]] The protection of confidential information has evolved significantly over time.
[[]] Historically, it found expression in various forms such as breach of contract and the tort of inducing breach of contract.
[[]] The modern law of confidence, however, firmly establishes an independent cause of action for the misuse of confidential information.</t>
        </is>
      </c>
      <c r="O394" s="8" t="inlineStr">
        <is>
          <t>2. Whether these claims could be made in respect of the same set of confidential information. The protection of confidential information has evolved significantly over time.</t>
        </is>
      </c>
      <c r="P394" s="10" t="inlineStr">
        <is>
          <t>Open PDF</t>
        </is>
      </c>
    </row>
    <row r="395">
      <c r="A395" t="inlineStr">
        <is>
          <t>Singapore</t>
        </is>
      </c>
      <c r="B395" t="inlineStr">
        <is>
          <t>A Comprehensive Guide to the Law of Confidence and Breach of Confidence in Singapore_ Insights from [2024] SGCA 16 - IRB Law Singapore (Singapore - Row 33)</t>
        </is>
      </c>
      <c r="C395" t="inlineStr">
        <is>
          <t>2</t>
        </is>
      </c>
      <c r="D395" s="8" t="inlineStr">
        <is>
          <t>Broad Issue: The court found that claims for wrongful gain and wrongful loss in</t>
        </is>
      </c>
      <c r="E395" t="inlineStr">
        <is>
          <t>3–5</t>
        </is>
      </c>
      <c r="F395" t="inlineStr">
        <is>
          <t>Other</t>
        </is>
      </c>
      <c r="G395" t="inlineStr">
        <is>
          <t>None</t>
        </is>
      </c>
      <c r="H395" t="inlineStr">
        <is>
          <t>High (explicit)</t>
        </is>
      </c>
      <c r="I395" s="8" t="inlineStr"/>
      <c r="J395" s="8" t="inlineStr">
        <is>
          <t>Special Personal Information</t>
        </is>
      </c>
      <c r="K395" t="inlineStr"/>
      <c r="L395" s="8" t="inlineStr">
        <is>
          <t>This section addresses whether claims for breach of confidence can be made regarding the same set of confidential information. It explains that the modern law of confidence establishes an independent cause of action for misuse of confidential information, distinct from traditional approaches like the Coco test which requires proving specific elements such as the plaintiff's relationship to the information and the defendant's misuse.</t>
        </is>
      </c>
      <c r="M395" s="8" t="inlineStr"/>
      <c r="N395" s="8" t="inlineStr">
        <is>
          <t>[[]] The protection of confidential information has evolved significantly over time.
[[]] Historically, it found expression in various forms such as breach of contract and the tort of inducing breach of contract.
[[]] The modern law of confidence, however, firmly establishes an independent cause of action for the misuse of confidential information.</t>
        </is>
      </c>
      <c r="O395" s="8" t="inlineStr">
        <is>
          <t>2. Whether these claims could be made in respect of the same set of confidential information. The protection of confidential information has evolved significantly over time.</t>
        </is>
      </c>
      <c r="P395" s="10" t="inlineStr">
        <is>
          <t>Open PDF</t>
        </is>
      </c>
    </row>
    <row r="396">
      <c r="A396" t="inlineStr">
        <is>
          <t>Singapore</t>
        </is>
      </c>
      <c r="B396" t="inlineStr">
        <is>
          <t>ID18_24 (Singapore - Row 12)</t>
        </is>
      </c>
      <c r="C396" t="inlineStr">
        <is>
          <t>p1</t>
        </is>
      </c>
      <c r="D396" s="8" t="inlineStr">
        <is>
          <t>Circular No: ID 18/24</t>
        </is>
      </c>
      <c r="E396" t="inlineStr">
        <is>
          <t>1</t>
        </is>
      </c>
      <c r="F396" t="inlineStr">
        <is>
          <t>Other</t>
        </is>
      </c>
      <c r="G396" t="inlineStr">
        <is>
          <t>High</t>
        </is>
      </c>
      <c r="H396" t="inlineStr">
        <is>
          <t>High (explicit)</t>
        </is>
      </c>
      <c r="I396" s="8" t="inlineStr">
        <is>
          <t>Cross-border Transfer, Governance</t>
        </is>
      </c>
      <c r="J396" s="8" t="inlineStr">
        <is>
          <t>Customer Data</t>
        </is>
      </c>
      <c r="K396" t="inlineStr">
        <is>
          <t>Monetary Authority of Singapore (MAS)</t>
        </is>
      </c>
      <c r="L396" s="8" t="inlineStr">
        <is>
          <t>This section introduces the Monetary Authority of Singapore's (MAS) information paper on AI model risk management, targeting licensed insurers and Lloyd's Asia Scheme. It outlines good practices observed during a thematic review of financial institutions' AI model risk management, with emphasis on governance, oversight, key risk management systems, and AI development/deployment processes. The document encourages financial institutions to adopt these practices when implementing AI solutions.</t>
        </is>
      </c>
      <c r="M396" s="8" t="inlineStr">
        <is>
          <t>This section establishes foundational guidance for AI model risk management that may impact data transfer considerations when deploying AI systems across borders, particularly for financial institutions handling customer data through generative AI.</t>
        </is>
      </c>
      <c r="N396" s="8" t="inlineStr">
        <is>
          <t>[Must] MAS has published an information paper on 'Artificial Intelligence (AI) Model Risk Management'
[Must] The information paper is based on a thematic review of banks' AI (including Generative AI) model risk management practices in mid-2024
[Must] This information paper sets out good practices for AI model risk management that were observed during the review, focusing on governance and oversight, key risk management systems and processes, and development and deployment of AI
[Should] MAS encourages all financial institutions to reference these good practices when developing and deploying AI</t>
        </is>
      </c>
      <c r="O396" s="8" t="inlineStr">
        <is>
          <t>Circular No: ID 18/24
5 December 2024
To Chief Executives
All Licensed Insurers and Lloyd's Asia Scheme</t>
        </is>
      </c>
      <c r="P396" s="10" t="inlineStr">
        <is>
          <t>Open PDF</t>
        </is>
      </c>
    </row>
    <row r="397">
      <c r="A397" t="inlineStr">
        <is>
          <t>Singapore</t>
        </is>
      </c>
      <c r="B397" t="inlineStr">
        <is>
          <t>ID18_24-2 (Singapore - Row 21)</t>
        </is>
      </c>
      <c r="C397" t="inlineStr">
        <is>
          <t>p1</t>
        </is>
      </c>
      <c r="D397" s="8" t="inlineStr">
        <is>
          <t>Circular No: ID 18/24</t>
        </is>
      </c>
      <c r="E397" t="inlineStr">
        <is>
          <t>1</t>
        </is>
      </c>
      <c r="F397" t="inlineStr">
        <is>
          <t>Other</t>
        </is>
      </c>
      <c r="G397" t="inlineStr">
        <is>
          <t>Medium</t>
        </is>
      </c>
      <c r="H397" t="inlineStr">
        <is>
          <t>High (explicit)</t>
        </is>
      </c>
      <c r="I397" s="8" t="inlineStr">
        <is>
          <t>Governance, Record Keeping</t>
        </is>
      </c>
      <c r="J397" s="8" t="inlineStr"/>
      <c r="K397" t="inlineStr">
        <is>
          <t>Monetary Authority of Singapore (MAS)</t>
        </is>
      </c>
      <c r="L397" s="8" t="inlineStr">
        <is>
          <t>This section introduces the Monetary Authority of Singapore's (MAS) information paper on AI model risk management, targeting licensed insurers and Lloyd's Asia Scheme. It outlines the purpose of the paper as a thematic review of AI model risk practices in mid-2024, emphasizing governance, oversight, and risk management systems. The document encourages financial institutions to adopt these good practices for AI development and deployment.</t>
        </is>
      </c>
      <c r="M397" s="8" t="inlineStr"/>
      <c r="N397" s="8" t="inlineStr">
        <is>
          <t>[Must] MAS has published an information paper on 'Artificial Intelligence (AI) Model Risk Management'
[Must] The information paper is based on a thematic review of banks' AI (including Generative AI) model risk management practices in mid-2024
[Must] This information paper sets out good practices for AI model risk management that were observed during the review, focusing on governance and oversight, key risk management systems and processes, and development and deployment of AI
[Should] MAS encourages all financial institutions to reference these good practices when developing and deploying AI</t>
        </is>
      </c>
      <c r="O397" s="8" t="inlineStr">
        <is>
          <t>Circular No: ID 18/24
5 December 2024
To Chief Executives
All Licensed Insurers and Lloyd's Asia Scheme</t>
        </is>
      </c>
      <c r="P397" s="10" t="inlineStr">
        <is>
          <t>Open PDF</t>
        </is>
      </c>
    </row>
    <row r="398">
      <c r="A398" t="inlineStr">
        <is>
          <t>Singapore</t>
        </is>
      </c>
      <c r="B398" t="inlineStr">
        <is>
          <t>MAS Notices 644 655 644A 655A 1114 1118 Cancellation 2024 (Singapore - Row 18)</t>
        </is>
      </c>
      <c r="C398" t="inlineStr">
        <is>
          <t>1</t>
        </is>
      </c>
      <c r="D398" s="8" t="inlineStr">
        <is>
          <t>This Notice is issued under sections 55(1), 57D(1)(a) and (3) and 55(1) as applied by</t>
        </is>
      </c>
      <c r="E398" t="inlineStr">
        <is>
          <t>1</t>
        </is>
      </c>
      <c r="F398" t="inlineStr">
        <is>
          <t>Other</t>
        </is>
      </c>
      <c r="G398" t="inlineStr">
        <is>
          <t>None</t>
        </is>
      </c>
      <c r="H398" t="inlineStr">
        <is>
          <t>High (explicit)</t>
        </is>
      </c>
      <c r="I398" s="8" t="inlineStr"/>
      <c r="J398" s="8" t="inlineStr"/>
      <c r="K398" t="inlineStr"/>
      <c r="L398" s="8" t="inlineStr">
        <is>
          <t>This section states that the Notice is issued under specific sections of the Banking Act 1970, namely sections 55(1), 57D(1)(a) and (3), and 55(1) as applied by section 55ZJ(1). It establishes the legal basis for the Notice's issuance without imposing new obligations or conditions.</t>
        </is>
      </c>
      <c r="M398" s="8" t="inlineStr"/>
      <c r="N398" s="8" t="inlineStr">
        <is>
          <t>[Authorisation] This Notice is issued under sections 55(1), 57D(1)(a) and (3) and 55(1) as applied by section 55ZJ(1) of the Banking Act 1970.</t>
        </is>
      </c>
      <c r="O398" s="8" t="inlineStr">
        <is>
          <t>This Notice is issued under sections 55(1), 57D(1)(a) and (3) and 55(1) as applied by section 55ZJ(1) of the Banking Act 1970.</t>
        </is>
      </c>
      <c r="P398" s="10" t="inlineStr">
        <is>
          <t>Open PDF</t>
        </is>
      </c>
    </row>
    <row r="399">
      <c r="A399" t="inlineStr">
        <is>
          <t>Singapore</t>
        </is>
      </c>
      <c r="B399" t="inlineStr">
        <is>
          <t>MAS Notices 644 655 644A 655A 1114 1118 Cancellation 2024 (Singapore - Row 18)</t>
        </is>
      </c>
      <c r="C399" t="inlineStr">
        <is>
          <t>2</t>
        </is>
      </c>
      <c r="D399" s="8" t="inlineStr">
        <is>
          <t>The following Notices are cancelled with effect from 10 May 2024:</t>
        </is>
      </c>
      <c r="E399" t="inlineStr">
        <is>
          <t>1</t>
        </is>
      </c>
      <c r="F399" t="inlineStr">
        <is>
          <t>Exemptions</t>
        </is>
      </c>
      <c r="G399" t="inlineStr">
        <is>
          <t>High</t>
        </is>
      </c>
      <c r="H399" t="inlineStr">
        <is>
          <t>High (explicit)</t>
        </is>
      </c>
      <c r="I399" s="8" t="inlineStr"/>
      <c r="J399" s="8" t="inlineStr"/>
      <c r="K399" t="inlineStr">
        <is>
          <t>MAS</t>
        </is>
      </c>
      <c r="L399" s="8" t="inlineStr">
        <is>
          <t>This section cancels six specific MAS Notices with effect from 10 May 2024, including notices related to technology risk management and cyber hygiene. The cancellation removes the legal obligations associated with these notices for financial institutions in Singapore.</t>
        </is>
      </c>
      <c r="M399" s="8" t="inlineStr">
        <is>
          <t>The cancellation of these notices affects data transfer and processing obligations by removing prior requirements for technology risk management and cyber hygiene, which may simplify DTIA processes for financial institutions.</t>
        </is>
      </c>
      <c r="N399" s="8" t="inlineStr">
        <is>
          <t>[Exemptions] The following Notices are cancelled with effect from 10 May 2024: (a) MAS Notice 644 "Notice on Technology Risk Management" dated 21 June 2013; (b) MAS Notice 655 "Notice on Cyber Hygiene" dated 6 August 2019; (c) MAS Notice 644A "Notice on Technology Risk Management" dated 21 June 2013; (d) MAS Notice 655A "Notice on Cyber Hygiene" dated 6 August 2019; (e) MAS Notice 1114 "Notice on Technology Risk Management" dated 1 July 2021; (f) MAS Notice 1118 "Notice on Cyber Hygiene" dated 1 July 2021.</t>
        </is>
      </c>
      <c r="O399" s="8" t="inlineStr">
        <is>
          <t>The following Notices are cancelled with effect from 10 May 2024: (a) MAS Notice 644 "Notice on Technology Risk Management" dated 21 June 2013; (b) MAS Notice 655 "Notice on Cyber Hygiene" dated 6 August 2019; (c) MAS Notice 644A "Notice on Technology Risk Management" dated 21 June 2013; (d) MAS Notice 655A "Notice on Cyber Hygiene" dated 6 August 2019; (e) MAS Notice 1114 "Notice on Technology Risk Management" dated 1 July 2021; (f) MAS Notice 1118 "Notice on Cyber Hygiene" dated 1 July 2021.</t>
        </is>
      </c>
      <c r="P399" s="10" t="inlineStr">
        <is>
          <t>Open PDF</t>
        </is>
      </c>
    </row>
    <row r="400">
      <c r="A400" t="inlineStr">
        <is>
          <t>Singapore</t>
        </is>
      </c>
      <c r="B400" t="inlineStr">
        <is>
          <t>Personal Data Protection (Prescribed Law Enforceme (Singapore - Row 26)</t>
        </is>
      </c>
      <c r="C400" t="inlineStr">
        <is>
          <t>1</t>
        </is>
      </c>
      <c r="D400" s="8" t="inlineStr">
        <is>
          <t>Notification effective date and scope</t>
        </is>
      </c>
      <c r="E400" t="inlineStr">
        <is>
          <t>1</t>
        </is>
      </c>
      <c r="F400" t="inlineStr">
        <is>
          <t>Other</t>
        </is>
      </c>
      <c r="G400" t="inlineStr">
        <is>
          <t>None</t>
        </is>
      </c>
      <c r="H400" t="inlineStr">
        <is>
          <t>High (explicit)</t>
        </is>
      </c>
      <c r="I400" s="8" t="inlineStr"/>
      <c r="J400" s="8" t="inlineStr"/>
      <c r="K400" t="inlineStr"/>
      <c r="L400" s="8" t="inlineStr">
        <is>
          <t>This section establishes the effective date and scope of the Personal Data Protection (Prescribed Law Enforcement Agency) Notification 2020. It designates the Notification as the official document that comes into effect on 15 April 2020. The Notification serves to define which agencies are considered prescribed law enforcement agencies under the Act.</t>
        </is>
      </c>
      <c r="M400" s="8" t="inlineStr"/>
      <c r="N400" s="8" t="inlineStr">
        <is>
          <t>[Must] This Notification is the Personal Data Protection (Prescribed Law Enforcement Agency) Notification 2020 and comes into operation on 15 April 2020.</t>
        </is>
      </c>
      <c r="O400" s="8" t="inlineStr">
        <is>
          <t>This Notification is the Personal Data Protection (Prescribed Law Enforcement Agency) Notification 2020 and comes into operation on 15 April 2020.</t>
        </is>
      </c>
      <c r="P400" s="10" t="inlineStr">
        <is>
          <t>Open PDF</t>
        </is>
      </c>
    </row>
    <row r="401">
      <c r="A401" t="inlineStr">
        <is>
          <t>Singapore</t>
        </is>
      </c>
      <c r="B401" t="inlineStr">
        <is>
          <t>Personal Data Protection (Prescribed Law Enforceme (Singapore - Row 26)</t>
        </is>
      </c>
      <c r="C401" t="inlineStr">
        <is>
          <t>2</t>
        </is>
      </c>
      <c r="D401" s="8" t="inlineStr">
        <is>
          <t>Corrupt Practices Investigation Bureau as prescribed law enforcement agency</t>
        </is>
      </c>
      <c r="E401" t="inlineStr">
        <is>
          <t>1–2</t>
        </is>
      </c>
      <c r="F401" t="inlineStr">
        <is>
          <t>Other</t>
        </is>
      </c>
      <c r="G401" t="inlineStr">
        <is>
          <t>None</t>
        </is>
      </c>
      <c r="H401" t="inlineStr">
        <is>
          <t>High (explicit)</t>
        </is>
      </c>
      <c r="I401" s="8" t="inlineStr"/>
      <c r="J401" s="8" t="inlineStr"/>
      <c r="K401" t="inlineStr"/>
      <c r="L401" s="8" t="inlineStr">
        <is>
          <t>This section specifies that the Corrupt Practices Investigation Bureau (CPIB) is designated as a prescribed law enforcement agency under the Act for the purposes of sections 21(4) and 26D(6) and the Second Schedule. This designation applies to the CPIB's role in data protection matters as a law enforcement agency.</t>
        </is>
      </c>
      <c r="M401" s="8" t="inlineStr"/>
      <c r="N401" s="8" t="inlineStr">
        <is>
          <t>[Must] For the purposes of sections 21(4) and 26D(6) of, and the Second Schedule to, the Act, the Corrupt Practices Investigation Bureau is a prescribed law enforcement agency.</t>
        </is>
      </c>
      <c r="O401" s="8" t="inlineStr">
        <is>
          <t>For the purposes of sections 21(4) and 26D(6) of, and the Second Schedule to, the Act, the Corrupt Practices Investigation Bureau is a prescribed law enforcement agency.</t>
        </is>
      </c>
      <c r="P401" s="10" t="inlineStr">
        <is>
          <t>Open PDF</t>
        </is>
      </c>
    </row>
    <row r="402">
      <c r="A402" t="inlineStr">
        <is>
          <t>South Africa</t>
        </is>
      </c>
      <c r="B402" t="inlineStr">
        <is>
          <t>1. FSCA Conduct Standard 1 of 2025 - Requirements for FIs providing FE initiatives</t>
        </is>
      </c>
      <c r="C402" t="inlineStr">
        <is>
          <t>1</t>
        </is>
      </c>
      <c r="D402" s="8" t="inlineStr">
        <is>
          <t>Definitions</t>
        </is>
      </c>
      <c r="E402" t="inlineStr">
        <is>
          <t>2–3</t>
        </is>
      </c>
      <c r="F402" t="inlineStr">
        <is>
          <t>Definitions</t>
        </is>
      </c>
      <c r="G402" t="inlineStr">
        <is>
          <t>Medium</t>
        </is>
      </c>
      <c r="H402" t="inlineStr">
        <is>
          <t>High (explicit)</t>
        </is>
      </c>
      <c r="I402" s="8" t="inlineStr"/>
      <c r="J402" s="8" t="inlineStr">
        <is>
          <t>Personal Information</t>
        </is>
      </c>
      <c r="K402" t="inlineStr"/>
      <c r="L402" s="8" t="inlineStr">
        <is>
          <t>This section defines key terms used throughout the Conduct Standard, including 'the Act', 'Authority', 'evaluation', 'financial customer', 'financial education', 'financial education initiative', 'Financial Sector Code', 'GN500', 'monitoring', 'service provider', and 'target group'. These definitions establish the scope and meaning of critical concepts for financial institutions providing financial education initiatives, ensuring clarity in subsequent obligations.</t>
        </is>
      </c>
      <c r="M402" s="8" t="inlineStr"/>
      <c r="N402" s="8" t="inlineStr">
        <is>
          <t>[Definition] In this Schedule, 'the Act' means the Financial Sector Regulation Act, 2017
[Definition] 'Authority' means the Financial Sector Conduct Authority as defined in section 1 of the Act
[Definition] 'evaluation' means a systematic and objective assessment of an ongoing or completed financial education initiative, its design, implementation and results
[Definition] 'financial customer' has the meaning assigned to it in the Act, but also includes a potential financial customer
[Definition] 'financial education' means the process by which financial customers improve their understanding of financial products, financial product providers, financial services, financial service providers, financial concepts and risks and, through objective basic information, instruction and the like, aim to develop the skills and confidence to become more aware of financial risks and opportunities; make informed financial decision; manage their financial affairs more sustainably; know where to go for financial assistance and recourse; or take other effective actions to improve their financial well-being and the financial well-being of those under their responsibility
[Definition] 'financial education initiative' means any financial education programme, or other similar initiative or activity that is aimed at providing financial education, excluding any such initiative that is aimed at marketing or creating awareness surrounding a specific financial product or service, financial product provider or financial service provider
[Definition] 'Financial Sector Code' means the codes of good practice on broad based black economic empowerment issued by the Department of Trade and Industry under Government Notice
[Definition] 'GN500' means Guidance Notice GN500(A) on Code Series FS500, Statement 500 - the measurement of the consumer education element of broad-based black economic empowerment, issued by the Financial Sector Transformation Council and referenced in the FSC
[Definition] 'monitoring' means the regular collection and analysis of information about the progress of a financial education initiative
[Definition] 'service provider' means any person, whether or not that person is a representative or other agent of a financial institution, with whom a financial institution has an arrangement relating to the provision of financial education initiatives on the financial institution's behalf
[Definition] 'specific financial product or service' means the actual financial product provided by a financial product provider or actual financial service provided by a financial services provider
[Definition] 'target group' means any identifiable person or group of people, for example: youth; women; small, medium and micro-enterprises; older persons/pensioners; people living with disabilities; previously disadvantaged; underserved groups; people of a specific race; over-indebted individuals; individuals unable to repay debts; individuals unable to maintain insurance policy payments; and/or any other group characterised by an identified vulnerability</t>
        </is>
      </c>
      <c r="O402" s="8" t="inlineStr">
        <is>
          <t>In this Schedule, 'the Act' means the Financial Sector Regulation Act, 2017 () and any word or expression to which a meaning has been assigned in the Act bears the meaning so assigned to it, and unless the context otherwise indicates –</t>
        </is>
      </c>
      <c r="P402" s="10" t="inlineStr">
        <is>
          <t>Open PDF</t>
        </is>
      </c>
    </row>
    <row r="403">
      <c r="A403" t="inlineStr">
        <is>
          <t>South Africa</t>
        </is>
      </c>
      <c r="B403" t="inlineStr">
        <is>
          <t>1. FSCA Conduct Standard 1 of 2025 - Requirements for FIs providing FE initiatives</t>
        </is>
      </c>
      <c r="C403" t="inlineStr">
        <is>
          <t>2</t>
        </is>
      </c>
      <c r="D403" s="8" t="inlineStr">
        <is>
          <t>Application, purpose and proportional application</t>
        </is>
      </c>
      <c r="E403" t="inlineStr">
        <is>
          <t>3</t>
        </is>
      </c>
      <c r="F403" t="inlineStr">
        <is>
          <t>Cross-border Transfer</t>
        </is>
      </c>
      <c r="G403" t="inlineStr">
        <is>
          <t>High</t>
        </is>
      </c>
      <c r="H403" t="inlineStr">
        <is>
          <t>High (explicit)</t>
        </is>
      </c>
      <c r="I403" s="8" t="inlineStr">
        <is>
          <t>Cross-border Transfer, International Processing, Data Storage, Security, Governance, Record Keeping</t>
        </is>
      </c>
      <c r="J403" s="8" t="inlineStr">
        <is>
          <t>Personal Information</t>
        </is>
      </c>
      <c r="K403" t="inlineStr">
        <is>
          <t>Financial Sector Conduct Authority</t>
        </is>
      </c>
      <c r="L403" s="8" t="inlineStr">
        <is>
          <t>This section specifies that the Conduct Standard applies only when financial institutions provide or offer financial education initiatives, including those delivered by service providers. It outlines the purpose of ensuring financial customers' protection through appropriate financial education initiatives and requires financial institutions to take reasonable steps for governance and oversight in developing, implementing, monitoring, and evaluating initiatives while reporting effectiveness to the Authority. The requirements are proportional to the institution's size, complexity, and risk profile.</t>
        </is>
      </c>
      <c r="M403" s="8" t="inlineStr">
        <is>
          <t>This section establishes that financial education initiatives must be designed and implemented with appropriate governance and oversight to ensure effectiveness and compliance with regulatory reporting, which impacts data transfer and processing across borders for financial institutions.</t>
        </is>
      </c>
      <c r="N403" s="8" t="inlineStr">
        <is>
          <t>[Must] This Conduct Standard is only applicable where a financial institution provides or offers a financial education initiative, including the provision of a financial education initiative by a service provider
[Must] The purpose of this Conduct Standard is aimed at ensuring the protection of financial customers by ensuring that financial education initiatives provided by financial institutions are appropriate and support the ability of financial customers to make more informed and/or sound financial decisions about their personal finances or others that fall under their responsibility, as well as the financial health of their small, medium and micro-enterprises
[Must] The purpose of this Conduct Standard is aimed at ensuring that a financial institution providing financial education initiatives takes reasonable steps to ensure appropriate standards of behaviour, governance and oversight when developing content, implementing, monitoring and evaluating a financial education initiative; and reporting on the effectiveness, efficiency and appropriateness of a financial education initiative, including reporting to the Authority
[Condition] The requirements in this Conduct Standard, where appropriate, may be applied in a manner that is proportional to the nature, size, complexity and risk profile of the financial institution concerned as well as the nature and target group of the relevant financial education initiative</t>
        </is>
      </c>
      <c r="O403" s="8" t="inlineStr">
        <is>
          <t>This Conduct Standard is only applicable where a financial institution provides or offers a financial education initiative, including the provision of a financial education initiative by a service provider.</t>
        </is>
      </c>
      <c r="P403" s="10" t="inlineStr">
        <is>
          <t>Open PDF</t>
        </is>
      </c>
    </row>
    <row r="404">
      <c r="A404" t="inlineStr">
        <is>
          <t>South Africa</t>
        </is>
      </c>
      <c r="B404" t="inlineStr">
        <is>
          <t>1. FSCA Conduct Standard 1 of 2025 - Requirements for FIs providing FE initiatives</t>
        </is>
      </c>
      <c r="C404" t="inlineStr">
        <is>
          <t>3</t>
        </is>
      </c>
      <c r="D404" s="8" t="inlineStr">
        <is>
          <t>Governance arrangements</t>
        </is>
      </c>
      <c r="E404" t="inlineStr">
        <is>
          <t>3–4</t>
        </is>
      </c>
      <c r="F404" t="inlineStr">
        <is>
          <t>Governance</t>
        </is>
      </c>
      <c r="G404" t="inlineStr">
        <is>
          <t>High</t>
        </is>
      </c>
      <c r="H404" t="inlineStr">
        <is>
          <t>High (explicit)</t>
        </is>
      </c>
      <c r="I404" s="8" t="inlineStr">
        <is>
          <t>Governance, Record Keeping, Data Storage, Security</t>
        </is>
      </c>
      <c r="J404" s="8" t="inlineStr">
        <is>
          <t>Personal Information</t>
        </is>
      </c>
      <c r="K404" t="inlineStr">
        <is>
          <t>Financial Sector Conduct Authority</t>
        </is>
      </c>
      <c r="L404" s="8" t="inlineStr">
        <is>
          <t>This section mandates that financial institutions must establish appropriate governance arrangements to oversee the design and implementation of financial education initiatives, including ongoing monitoring and review of their suitability and effectiveness. It requires robust systems for reporting to the Authority, ensuring staff and service providers possess necessary skills, and maintaining accountability for regulatory obligations regardless of whether initiatives are delivered by the institution or a service provider.</t>
        </is>
      </c>
      <c r="M404" s="8" t="inlineStr">
        <is>
          <t>Financial institutions must implement governance structures to ensure effective oversight of financial education initiatives, which impacts data handling and transfer practices across borders by requiring regular monitoring, reporting, and accountability mechanisms.</t>
        </is>
      </c>
      <c r="N404" s="8" t="inlineStr">
        <is>
          <t>[Must] A financial institution must have appropriate governance arrangements in place to oversee the design and implementation of financial education initiatives
[Must] The governance arrangements referred to in subparagraph (1) must include establishing and implementing appropriate oversight arrangements to monitor and review the design, suitability and effectiveness of its financial education initiatives on an ongoing basis
[Must] A financial institution must have appropriate systems, processes, policies and controls in place to ensure appropriate reporting on financial education initiatives, pre- and post-implementation, to the Authority
[Must] A financial institution must take reasonable steps to ensure that the relevant employee and service provider responsible for the design and implementation of a financial education initiative possesses the necessary skills, knowledge and expertise to fulfil their functions
[Must] A financial institution must take reasonable steps to ensure that the governance arrangements referred to in this paragraph also apply to a service provider, including that it obtains sufficient information from that service provider, to ensure that these financial education initiatives are, and remain, effective in achieving the intended outcomes
[Must] A financial institution retains responsibility and accountability for all regulatory obligations pertaining to the provision of financial education initiatives as set out in this Conduct Standard, regardless of whether such financial education initiative is performed by the financial institution itself or by a service provider</t>
        </is>
      </c>
      <c r="O404" s="8" t="inlineStr">
        <is>
          <t>A financial institution must have appropriate governance arrangements in place to oversee the design and implementation of financial education initiatives.</t>
        </is>
      </c>
      <c r="P404" s="10" t="inlineStr">
        <is>
          <t>Open PDF</t>
        </is>
      </c>
    </row>
    <row r="405">
      <c r="A405" t="inlineStr">
        <is>
          <t>South Africa</t>
        </is>
      </c>
      <c r="B405" t="inlineStr">
        <is>
          <t>1. FSCA Conduct Standard 1 of 2025 - Requirements for FIs providing FE initiatives</t>
        </is>
      </c>
      <c r="C405" t="inlineStr">
        <is>
          <t>4</t>
        </is>
      </c>
      <c r="D405" s="8" t="inlineStr">
        <is>
          <t>Design and development requirements for financial education initiatives</t>
        </is>
      </c>
      <c r="E405" t="inlineStr">
        <is>
          <t>4</t>
        </is>
      </c>
      <c r="F405" t="inlineStr">
        <is>
          <t>Data Collection</t>
        </is>
      </c>
      <c r="G405" t="inlineStr">
        <is>
          <t>High</t>
        </is>
      </c>
      <c r="H405" t="inlineStr">
        <is>
          <t>High (explicit)</t>
        </is>
      </c>
      <c r="I405" s="8" t="inlineStr">
        <is>
          <t>Data Sharing, Data Storage, Security</t>
        </is>
      </c>
      <c r="J405" s="8" t="inlineStr">
        <is>
          <t>Personal Information</t>
        </is>
      </c>
      <c r="K405" t="inlineStr">
        <is>
          <t>Financial Sector Conduct Authority</t>
        </is>
      </c>
      <c r="L405" s="8" t="inlineStr">
        <is>
          <t>This section requires financial education initiatives to aim at enabling individuals and small businesses to make informed financial decisions and encourage positive behavioral change. It mandates that content must be based on objective information, targeted appropriately to the audience, distinct from marketing activities, and brand agnostic while unpacking financial concepts. Delivery platforms must be suitable for the target group to ensure effective reach.</t>
        </is>
      </c>
      <c r="M405" s="8" t="inlineStr">
        <is>
          <t>Financial education initiatives must be designed with clear objectives and appropriate content to ensure effectiveness, which impacts data collection and processing practices across borders by requiring content to be non-marketing focused and tailored to specific vulnerable groups.</t>
        </is>
      </c>
      <c r="N405" s="8" t="inlineStr">
        <is>
          <t>[Should] 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
[Should] Financial education initiative provided by a financial institution should aim to in respect of financial decision making, encourage positive customer behaviour, influence behavioural change and contribute to long-term skills development
[May] A financial institution may use any delivery platform for a financial education initiative, provided that the delivery platform is appropriate for the type of financial education initiative and the identified target group, to ensure appropriate and effective reach
[Must] The content of a financial education initiative provided by a financial institution must be based on objective and impartial information, generally accepted methodologies, research and trends
[Must] The content of a financial education initiative provided by a financial institution must be targeted suitably at the appropriate target group, taking into account the identified needs of the target group and financial inclusion objectives
[Must] The content of a financial education initiative provided by a financial institution must be distinct from any brand specific financial product or financial service sales process or marketing campaign
[Must] The content of a financial education initiative provided by a financial institution must be brand agnostic, but may unpack the meaning of different types of financial concepts and terms related to a particular financial product or financial service, or categories of financial products or financial services</t>
        </is>
      </c>
      <c r="O405" s="8" t="inlineStr">
        <is>
          <t>The content of a financial education initiative provided by a financial institution must be based on objective and impartial information, generally accepted methodologies, research and trends.</t>
        </is>
      </c>
      <c r="P405" s="10" t="inlineStr">
        <is>
          <t>Open PDF</t>
        </is>
      </c>
    </row>
    <row r="406">
      <c r="A406" t="inlineStr">
        <is>
          <t>South Africa</t>
        </is>
      </c>
      <c r="B406" t="inlineStr">
        <is>
          <t>1. FSCA Conduct Standard 1 of 2025 - Requirements for FIs providing FE initiatives</t>
        </is>
      </c>
      <c r="C406" t="inlineStr">
        <is>
          <t>5</t>
        </is>
      </c>
      <c r="D406" s="8" t="inlineStr">
        <is>
          <t>Location and logistics</t>
        </is>
      </c>
      <c r="E406" t="inlineStr">
        <is>
          <t>4–5</t>
        </is>
      </c>
      <c r="F406" t="inlineStr">
        <is>
          <t>Data Storage</t>
        </is>
      </c>
      <c r="G406" t="inlineStr">
        <is>
          <t>High</t>
        </is>
      </c>
      <c r="H406" t="inlineStr">
        <is>
          <t>High (explicit)</t>
        </is>
      </c>
      <c r="I406" s="8" t="inlineStr">
        <is>
          <t>Data Storage, Data Sharing, Security, Incident Reporting, Breach Notification</t>
        </is>
      </c>
      <c r="J406" s="8" t="inlineStr">
        <is>
          <t>Personal Information</t>
        </is>
      </c>
      <c r="K406" t="inlineStr">
        <is>
          <t>Financial Sector Conduct Authority</t>
        </is>
      </c>
      <c r="L406" s="8" t="inlineStr">
        <is>
          <t>This section requires financial institutions to use appropriate locations for face-to-face initiatives and virtual platforms for online initiatives to ensure effectiveness. It mandates contingency plans for unforeseen circumstances and requires measurable outcomes for financial education initiatives to demonstrate effectiveness and impact. It also prohibits using initiatives for excessive marketing or sales of specific financial products.</t>
        </is>
      </c>
      <c r="M406" s="8" t="inlineStr">
        <is>
          <t>Financial institutions must ensure effective delivery of financial education initiatives through appropriate locations and platforms, which impacts data storage and transfer practices across borders by requiring contingency planning and measurable outcomes.</t>
        </is>
      </c>
      <c r="N406" s="8" t="inlineStr">
        <is>
          <t>[Must] A financial institution providing face-to-face financial education initiatives must utilise a location that is appropriate for this purpose to ensure that the financial education initiative is effective
[Must] A financial institution providing virtual financial education initiatives must ensure that the virtual platform is appropriate for this purpose to ensure that the financial education initiative is effective
[Should] A financial institution should consider contingency plans for unforeseen circumstances regarding implementation of financial education initiatives
[Must] The outcomes of financial education initiatives must be measurable in order to demonstrate effectiveness and measure impact
[Must] The manner used by a financial institution to measure the outcomes of each financial education initiative provided must be appropriate for the specific initiative and relate directly to the outcome
[Must] A financial institution must monitor and evaluate each financial education initiative that is provided to assess its effectiveness, identify areas for improvement, and collect data which can and should (where relevant) be used to improve the effectiveness of future programmes
[Must Not] A financial institution may not use a financial education initiative for excessive marketing of a specific brand or financial institution
[Must Not] A financial institution may not use a financial education initiative for marketing and sales of a specific financial product or financial service</t>
        </is>
      </c>
      <c r="O406" s="8" t="inlineStr">
        <is>
          <t>A financial institution providing face-to-face financial education initiatives must utilise a location that is appropriate for this purpose to ensure that the financial education initiative is effective.</t>
        </is>
      </c>
      <c r="P406" s="10" t="inlineStr">
        <is>
          <t>Open PDF</t>
        </is>
      </c>
    </row>
    <row r="407">
      <c r="A407" t="inlineStr">
        <is>
          <t>South Africa</t>
        </is>
      </c>
      <c r="B407" t="inlineStr">
        <is>
          <t>2024 Open Finance_FSCA Position Paper</t>
        </is>
      </c>
      <c r="C407" t="inlineStr">
        <is>
          <t>1</t>
        </is>
      </c>
      <c r="D407" s="8" t="inlineStr">
        <is>
          <t>EXECUTIVE SUMMARY</t>
        </is>
      </c>
      <c r="E407" t="inlineStr">
        <is>
          <t>3–4</t>
        </is>
      </c>
      <c r="F407" t="inlineStr">
        <is>
          <t>Other</t>
        </is>
      </c>
      <c r="G407" t="inlineStr">
        <is>
          <t>High</t>
        </is>
      </c>
      <c r="H407" t="inlineStr">
        <is>
          <t>High (explicit)</t>
        </is>
      </c>
      <c r="I407" s="8" t="inlineStr"/>
      <c r="J407" s="8" t="inlineStr"/>
      <c r="K407" t="inlineStr">
        <is>
          <t>FSCA</t>
        </is>
      </c>
      <c r="L407" s="8" t="inlineStr">
        <is>
          <t>FSCA outlines policy recommendations for Open Finance, including mandatory regulation, licensing, data protection frameworks, risk management, and consumer recourse mechanisms.</t>
        </is>
      </c>
      <c r="M407" s="8" t="inlineStr"/>
      <c r="N407" s="8" t="inlineStr"/>
      <c r="O407" s="8" t="inlineStr">
        <is>
          <t>The FSCA continues to support mandating Open Finance in future, noting that the foundational Open Finance Programme of Work will likely need to take place in preparation to optimise the value to be derived from Open Finance and mimimise market disruption.</t>
        </is>
      </c>
      <c r="P407" s="10" t="inlineStr">
        <is>
          <t>Open PDF</t>
        </is>
      </c>
    </row>
    <row r="408">
      <c r="A408" t="inlineStr">
        <is>
          <t>South Africa</t>
        </is>
      </c>
      <c r="B408" t="inlineStr">
        <is>
          <t>2024 Open Finance_FSCA Position Paper</t>
        </is>
      </c>
      <c r="C408" t="inlineStr">
        <is>
          <t>1</t>
        </is>
      </c>
      <c r="D408" s="8" t="inlineStr">
        <is>
          <t>The data subject (customer) requests a financial service from a fintech (data user), for</t>
        </is>
      </c>
      <c r="E408" t="inlineStr">
        <is>
          <t>8</t>
        </is>
      </c>
      <c r="F408" t="inlineStr">
        <is>
          <t>Other</t>
        </is>
      </c>
      <c r="G408" t="inlineStr">
        <is>
          <t>High</t>
        </is>
      </c>
      <c r="H408" t="inlineStr">
        <is>
          <t>High (explicit)</t>
        </is>
      </c>
      <c r="I408" s="8" t="inlineStr"/>
      <c r="J408" s="8" t="inlineStr"/>
      <c r="K408" t="inlineStr">
        <is>
          <t>FSCA</t>
        </is>
      </c>
      <c r="L408" s="8" t="inlineStr">
        <is>
          <t>FSCA outlines policy recommendations for Open Finance, including mandatory regulation, licensing, data protection frameworks, risk management, and consumer recourse mechanisms.</t>
        </is>
      </c>
      <c r="M408" s="8" t="inlineStr"/>
      <c r="N408" s="8" t="inlineStr"/>
      <c r="O408" s="8" t="inlineStr">
        <is>
          <t>The FSCA continues to support mandating Open Finance in future, noting that the foundational Open Finance Programme of Work will likely need to take place in preparation to optimise the value to be derived from Open Finance and mimimise market disruption.</t>
        </is>
      </c>
      <c r="P408" s="10" t="inlineStr">
        <is>
          <t>Open PDF</t>
        </is>
      </c>
    </row>
    <row r="409">
      <c r="A409" t="inlineStr">
        <is>
          <t>South Africa</t>
        </is>
      </c>
      <c r="B409" t="inlineStr">
        <is>
          <t>2024 Open Finance_FSCA Position Paper</t>
        </is>
      </c>
      <c r="C409" t="inlineStr">
        <is>
          <t>2</t>
        </is>
      </c>
      <c r="D409" s="8" t="inlineStr">
        <is>
          <t>BACKGROUND AND INTRODUCTION</t>
        </is>
      </c>
      <c r="E409" t="inlineStr">
        <is>
          <t>4–5</t>
        </is>
      </c>
      <c r="F409" t="inlineStr">
        <is>
          <t>Other</t>
        </is>
      </c>
      <c r="G409" t="inlineStr">
        <is>
          <t>High</t>
        </is>
      </c>
      <c r="H409" t="inlineStr">
        <is>
          <t>High (explicit)</t>
        </is>
      </c>
      <c r="I409" s="8" t="inlineStr"/>
      <c r="J409" s="8" t="inlineStr"/>
      <c r="K409" t="inlineStr">
        <is>
          <t>FSCA</t>
        </is>
      </c>
      <c r="L409" s="8" t="inlineStr">
        <is>
          <t>Background on FSCA's process for developing Open Finance policy, including consultations and risks associated with data sharing in the absence of tailored regulatory frameworks.</t>
        </is>
      </c>
      <c r="M409" s="8" t="inlineStr"/>
      <c r="N409" s="8" t="inlineStr"/>
      <c r="O409" s="8" t="inlineStr">
        <is>
          <t>The FSCA continues to support mandating Open Finance in future, noting that the foundational Open Finance Programme of Work will likely need to take place in preparation to optimise the value to be derived from Open Finance and mimimise market disruption.</t>
        </is>
      </c>
      <c r="P409" s="10" t="inlineStr">
        <is>
          <t>Open PDF</t>
        </is>
      </c>
    </row>
    <row r="410">
      <c r="A410" t="inlineStr">
        <is>
          <t>South Africa</t>
        </is>
      </c>
      <c r="B410" t="inlineStr">
        <is>
          <t>2024 Open Finance_FSCA Position Paper</t>
        </is>
      </c>
      <c r="C410" t="inlineStr">
        <is>
          <t>2</t>
        </is>
      </c>
      <c r="D410" s="8" t="inlineStr">
        <is>
          <t>The fintech processes the request and, within its flow, it requires access to data holders</t>
        </is>
      </c>
      <c r="E410" t="inlineStr">
        <is>
          <t>8</t>
        </is>
      </c>
      <c r="F410" t="inlineStr">
        <is>
          <t>Other</t>
        </is>
      </c>
      <c r="G410" t="inlineStr">
        <is>
          <t>High</t>
        </is>
      </c>
      <c r="H410" t="inlineStr">
        <is>
          <t>High (explicit)</t>
        </is>
      </c>
      <c r="I410" s="8" t="inlineStr"/>
      <c r="J410" s="8" t="inlineStr"/>
      <c r="K410" t="inlineStr">
        <is>
          <t>FSCA</t>
        </is>
      </c>
      <c r="L410" s="8" t="inlineStr">
        <is>
          <t>Background on FSCA's process for developing Open Finance policy, including consultations and risks associated with data sharing in the absence of tailored regulatory frameworks.</t>
        </is>
      </c>
      <c r="M410" s="8" t="inlineStr"/>
      <c r="N410" s="8" t="inlineStr"/>
      <c r="O410" s="8" t="inlineStr">
        <is>
          <t>The FSCA continues to support mandating Open Finance in future, noting that the foundational Open Finance Programme of Work will likely need to take place in preparation to optimise the value to be derived from Open Finance and mimimise market disruption.</t>
        </is>
      </c>
      <c r="P410" s="10" t="inlineStr">
        <is>
          <t>Open PDF</t>
        </is>
      </c>
    </row>
    <row r="411">
      <c r="A411" t="inlineStr">
        <is>
          <t>South Africa</t>
        </is>
      </c>
      <c r="B411" t="inlineStr">
        <is>
          <t>2024 Open Finance_FSCA Position Paper</t>
        </is>
      </c>
      <c r="C411" t="inlineStr">
        <is>
          <t>3</t>
        </is>
      </c>
      <c r="D411" s="8" t="inlineStr">
        <is>
          <t>UNDERSTANDING OPEN FINANCE, OPEN BANKING AND THE DATA</t>
        </is>
      </c>
      <c r="E411" t="inlineStr">
        <is>
          <t>5–8</t>
        </is>
      </c>
      <c r="F411" t="inlineStr">
        <is>
          <t>Other</t>
        </is>
      </c>
      <c r="G411" t="inlineStr">
        <is>
          <t>High</t>
        </is>
      </c>
      <c r="H411" t="inlineStr">
        <is>
          <t>High (explicit)</t>
        </is>
      </c>
      <c r="I411" s="8" t="inlineStr"/>
      <c r="J411" s="8" t="inlineStr"/>
      <c r="K411" t="inlineStr">
        <is>
          <t>FSCA</t>
        </is>
      </c>
      <c r="L411" s="8" t="inlineStr">
        <is>
          <t>Proposed definitions of Open Finance and Open Banking, emphasizing consent-based data sharing with third parties and the data-sharing ecosystem structure.</t>
        </is>
      </c>
      <c r="M411" s="8" t="inlineStr"/>
      <c r="N411" s="8" t="inlineStr"/>
      <c r="O411"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c r="P411" s="10" t="inlineStr">
        <is>
          <t>Open PDF</t>
        </is>
      </c>
    </row>
    <row r="412">
      <c r="A412" t="inlineStr">
        <is>
          <t>South Africa</t>
        </is>
      </c>
      <c r="B412" t="inlineStr">
        <is>
          <t>2024 Open Finance_FSCA Position Paper</t>
        </is>
      </c>
      <c r="C412" t="inlineStr">
        <is>
          <t>3</t>
        </is>
      </c>
      <c r="D412" s="8" t="inlineStr">
        <is>
          <t>The data subject consents (providing an authentication factor) to access the data from</t>
        </is>
      </c>
      <c r="E412" t="inlineStr">
        <is>
          <t>8</t>
        </is>
      </c>
      <c r="F412" t="inlineStr">
        <is>
          <t>Other</t>
        </is>
      </c>
      <c r="G412" t="inlineStr">
        <is>
          <t>High</t>
        </is>
      </c>
      <c r="H412" t="inlineStr">
        <is>
          <t>High (explicit)</t>
        </is>
      </c>
      <c r="I412" s="8" t="inlineStr"/>
      <c r="J412" s="8" t="inlineStr"/>
      <c r="K412" t="inlineStr">
        <is>
          <t>FSCA</t>
        </is>
      </c>
      <c r="L412" s="8" t="inlineStr">
        <is>
          <t>Proposed definitions of Open Finance and Open Banking, emphasizing consent-based data sharing with third parties and the data-sharing ecosystem structure.</t>
        </is>
      </c>
      <c r="M412" s="8" t="inlineStr"/>
      <c r="N412" s="8" t="inlineStr"/>
      <c r="O412"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c r="P412" s="10" t="inlineStr">
        <is>
          <t>Open PDF</t>
        </is>
      </c>
    </row>
    <row r="413">
      <c r="A413" t="inlineStr">
        <is>
          <t>South Africa</t>
        </is>
      </c>
      <c r="B413" t="inlineStr">
        <is>
          <t>2024 Open Finance_FSCA Position Paper</t>
        </is>
      </c>
      <c r="C413" t="inlineStr">
        <is>
          <t>4</t>
        </is>
      </c>
      <c r="D413" s="8" t="inlineStr">
        <is>
          <t>The fintech app connects to its back-end server, which has a secure, private, and</t>
        </is>
      </c>
      <c r="E413" t="inlineStr">
        <is>
          <t>8</t>
        </is>
      </c>
      <c r="F413" t="inlineStr">
        <is>
          <t>Other</t>
        </is>
      </c>
      <c r="G413" t="inlineStr">
        <is>
          <t>Unknown</t>
        </is>
      </c>
      <c r="H413" t="inlineStr">
        <is>
          <t>Low</t>
        </is>
      </c>
      <c r="I413" s="8" t="inlineStr"/>
      <c r="J413" s="8" t="inlineStr"/>
      <c r="K413" t="inlineStr"/>
      <c r="L413" s="8" t="inlineStr"/>
      <c r="M413" s="8" t="inlineStr"/>
      <c r="N413" s="8" t="inlineStr"/>
      <c r="O413" s="8" t="inlineStr"/>
      <c r="P413" s="10" t="inlineStr">
        <is>
          <t>Open PDF</t>
        </is>
      </c>
    </row>
    <row r="414">
      <c r="A414" t="inlineStr">
        <is>
          <t>South Africa</t>
        </is>
      </c>
      <c r="B414" t="inlineStr">
        <is>
          <t>2024 Open Finance_FSCA Position Paper</t>
        </is>
      </c>
      <c r="C414" t="inlineStr">
        <is>
          <t>4</t>
        </is>
      </c>
      <c r="D414" s="8" t="inlineStr">
        <is>
          <t>POLICY CONSIDERATIONS AND RISKS</t>
        </is>
      </c>
      <c r="E414" t="inlineStr">
        <is>
          <t>9–13</t>
        </is>
      </c>
      <c r="F414" t="inlineStr">
        <is>
          <t>Other</t>
        </is>
      </c>
      <c r="G414" t="inlineStr">
        <is>
          <t>Low</t>
        </is>
      </c>
      <c r="H414" t="inlineStr">
        <is>
          <t>Medium</t>
        </is>
      </c>
      <c r="I414" s="8" t="inlineStr"/>
      <c r="J414" s="8" t="inlineStr"/>
      <c r="K414" t="inlineStr"/>
      <c r="L414" s="8" t="inlineStr">
        <is>
          <t>Policy considerations and risks related to Open Finance are discussed, including global approaches, potential benefits for financial resilience, inclusion, and competition, and identified risks such as financial exclusion and cybersecurity threats.</t>
        </is>
      </c>
      <c r="M414" s="8" t="inlineStr"/>
      <c r="N414" s="8" t="inlineStr"/>
      <c r="O414" s="8" t="inlineStr">
        <is>
          <t>Policy considerations and risks related to Open Finance have been thoroughly interrogated in past IFWG9, FSCA10 and National Payment System Department (NPSD) publications11.</t>
        </is>
      </c>
      <c r="P414" s="10" t="inlineStr">
        <is>
          <t>Open PDF</t>
        </is>
      </c>
    </row>
    <row r="415">
      <c r="A415" t="inlineStr">
        <is>
          <t>South Africa</t>
        </is>
      </c>
      <c r="B415" t="inlineStr">
        <is>
          <t>2024 Open Finance_FSCA Position Paper</t>
        </is>
      </c>
      <c r="C415" t="inlineStr">
        <is>
          <t>5</t>
        </is>
      </c>
      <c r="D415" s="8" t="inlineStr">
        <is>
          <t>COMMENTS RECEIVED ON DRAFT POSITION PAPER</t>
        </is>
      </c>
      <c r="E415" t="inlineStr">
        <is>
          <t>13–16</t>
        </is>
      </c>
      <c r="F415" t="inlineStr">
        <is>
          <t>Other</t>
        </is>
      </c>
      <c r="G415" t="inlineStr">
        <is>
          <t>Low</t>
        </is>
      </c>
      <c r="H415" t="inlineStr">
        <is>
          <t>Medium</t>
        </is>
      </c>
      <c r="I415" s="8" t="inlineStr"/>
      <c r="J415" s="8" t="inlineStr"/>
      <c r="K415" t="inlineStr"/>
      <c r="L415" s="8" t="inlineStr">
        <is>
          <t>Stakeholders provided feedback on the FSCA's Draft Position Paper, preferring voluntary Open Finance approaches, emphasizing customer experience, competition, alignment with POPIA, liability frameworks, financial literacy, and international case studies.</t>
        </is>
      </c>
      <c r="M415" s="8" t="inlineStr"/>
      <c r="N415" s="8" t="inlineStr"/>
      <c r="O415" s="8" t="inlineStr">
        <is>
          <t>The FSCA received 16 submissions from stakeholders across different industry segments (see Annexure B).</t>
        </is>
      </c>
      <c r="P415" s="10" t="inlineStr">
        <is>
          <t>Open PDF</t>
        </is>
      </c>
    </row>
    <row r="416">
      <c r="A416" t="inlineStr">
        <is>
          <t>South Africa</t>
        </is>
      </c>
      <c r="B416" t="inlineStr">
        <is>
          <t>2024 Open Finance_FSCA Position Paper</t>
        </is>
      </c>
      <c r="C416" t="inlineStr">
        <is>
          <t>6</t>
        </is>
      </c>
      <c r="D416" s="8" t="inlineStr">
        <is>
          <t>INFORMATION REQUEST No 2 of 2023</t>
        </is>
      </c>
      <c r="E416" t="inlineStr">
        <is>
          <t>16–17</t>
        </is>
      </c>
      <c r="F416" t="inlineStr">
        <is>
          <t>Other</t>
        </is>
      </c>
      <c r="G416" t="inlineStr">
        <is>
          <t>Low</t>
        </is>
      </c>
      <c r="H416" t="inlineStr">
        <is>
          <t>Medium</t>
        </is>
      </c>
      <c r="I416" s="8" t="inlineStr"/>
      <c r="J416" s="8" t="inlineStr"/>
      <c r="K416" t="inlineStr"/>
      <c r="L416" s="8" t="inlineStr">
        <is>
          <t>Survey results indicate early-stage Open Finance adoption in South Africa, with financial institutions generating revenue from Open Finance activities, varying service offerings, and a willingness to employ risk management frameworks.</t>
        </is>
      </c>
      <c r="M416" s="8" t="inlineStr"/>
      <c r="N416" s="8" t="inlineStr"/>
      <c r="O416" s="8" t="inlineStr">
        <is>
          <t>More than 400 submissions were received in response to the FSCA's Information Request No 2 of 2023.</t>
        </is>
      </c>
      <c r="P416" s="10" t="inlineStr">
        <is>
          <t>Open PDF</t>
        </is>
      </c>
    </row>
    <row r="417">
      <c r="A417" t="inlineStr">
        <is>
          <t>South Africa</t>
        </is>
      </c>
      <c r="B417" t="inlineStr">
        <is>
          <t>2024 Open Finance_FSCA Position Paper</t>
        </is>
      </c>
      <c r="C417" t="inlineStr">
        <is>
          <t>7</t>
        </is>
      </c>
      <c r="D417" s="8" t="inlineStr">
        <is>
          <t>FSCA OPEN FINANCE POLICY RECOMMENDATIONS</t>
        </is>
      </c>
      <c r="E417" t="inlineStr">
        <is>
          <t>17–20</t>
        </is>
      </c>
      <c r="F417" t="inlineStr">
        <is>
          <t>Other</t>
        </is>
      </c>
      <c r="G417" t="inlineStr">
        <is>
          <t>High</t>
        </is>
      </c>
      <c r="H417" t="inlineStr">
        <is>
          <t>High (explicit)</t>
        </is>
      </c>
      <c r="I417" s="8" t="inlineStr">
        <is>
          <t>Cross-border Transfer, Data Sharing, Consent</t>
        </is>
      </c>
      <c r="J417" s="8" t="inlineStr">
        <is>
          <t>Financial Data</t>
        </is>
      </c>
      <c r="K417" t="inlineStr">
        <is>
          <t>FSCA</t>
        </is>
      </c>
      <c r="L417" s="8" t="inlineStr">
        <is>
          <t>FSCA recommends voluntary adoption of Open Finance with phased mandatory implementation, focusing on data sharing, consent, risk management, and standards for financial institutions and TPPs.</t>
        </is>
      </c>
      <c r="M417" s="8" t="inlineStr">
        <is>
          <t>Proposes voluntary adoption of Open Finance with phased mandatory implementation, requiring consent frameworks, risk management, and API standards for financial data sharing.</t>
        </is>
      </c>
      <c r="N417" s="8" t="inlineStr">
        <is>
          <t>[Must] Persons participating in Open Finance should be regulated for safe and ethical sharing of user consent-based financial data to TPPs
[Must] Consent should be explicit, informed, specific, and not aggregated with other consents
[Must] Providers may not continue to share or utilise consumers' data once consent is withdrawn</t>
        </is>
      </c>
      <c r="O417" s="8" t="inlineStr">
        <is>
          <t>The FSCA aims to promote responsible Open Finance and recommends the following: Persons participating in Open Finance should be regulated for the safe and ethical sharing of user consent-based financial data to TPPs.</t>
        </is>
      </c>
      <c r="P417" s="10" t="inlineStr">
        <is>
          <t>Open PDF</t>
        </is>
      </c>
    </row>
    <row r="418">
      <c r="A418" t="inlineStr">
        <is>
          <t>South Africa</t>
        </is>
      </c>
      <c r="B418" t="inlineStr">
        <is>
          <t>2024 Open Finance_FSCA Position Paper</t>
        </is>
      </c>
      <c r="C418" t="inlineStr">
        <is>
          <t>8</t>
        </is>
      </c>
      <c r="D418" s="8" t="inlineStr">
        <is>
          <t>PROGRAMME OF WORK GOING FORWARD</t>
        </is>
      </c>
      <c r="E418" t="inlineStr">
        <is>
          <t>20–21</t>
        </is>
      </c>
      <c r="F418" t="inlineStr">
        <is>
          <t>Other</t>
        </is>
      </c>
      <c r="G418" t="inlineStr">
        <is>
          <t>High</t>
        </is>
      </c>
      <c r="H418" t="inlineStr">
        <is>
          <t>High (explicit)</t>
        </is>
      </c>
      <c r="I418" s="8" t="inlineStr">
        <is>
          <t>Data Sharing, Consent</t>
        </is>
      </c>
      <c r="J418" s="8" t="inlineStr">
        <is>
          <t>Financial Data</t>
        </is>
      </c>
      <c r="K418" t="inlineStr">
        <is>
          <t>FSCA</t>
        </is>
      </c>
      <c r="L418" s="8" t="inlineStr">
        <is>
          <t>FSCA outlines Programme of Work for Open Finance, including developing API standards, consent frameworks, and consumer awareness mechanisms.</t>
        </is>
      </c>
      <c r="M418" s="8" t="inlineStr">
        <is>
          <t>FSCA plans to develop API standards, consent frameworks, and consumer awareness mechanisms through workshops and advisory group engagement.</t>
        </is>
      </c>
      <c r="N418" s="8" t="inlineStr">
        <is>
          <t>[Must] Developing open API standards for data sharing
[Must] Developing suitable consent, risk management and disclosure frameworks</t>
        </is>
      </c>
      <c r="O418" s="8" t="inlineStr">
        <is>
          <t>The FSCA will hold a series of engagements and workshops with stakeholders to further unpack submissions made to date, in support of the following Programme of Work: Developing open APIs standards, developing suitable consent, risk management and disclosure frameworks.</t>
        </is>
      </c>
      <c r="P418" s="10" t="inlineStr">
        <is>
          <t>Open PDF</t>
        </is>
      </c>
    </row>
    <row r="419">
      <c r="A419" t="inlineStr">
        <is>
          <t>South Africa</t>
        </is>
      </c>
      <c r="B419" t="inlineStr">
        <is>
          <t>2024 Open Finance_FSCA Position Paper</t>
        </is>
      </c>
      <c r="C419" t="inlineStr">
        <is>
          <t>9</t>
        </is>
      </c>
      <c r="D419" s="8" t="inlineStr">
        <is>
          <t>ANNEXURE A: OPEN FINANCE APPROACH ACROSS VARIOUS JURISDICTIONS</t>
        </is>
      </c>
      <c r="E419" t="inlineStr">
        <is>
          <t>21–23</t>
        </is>
      </c>
      <c r="F419" t="inlineStr">
        <is>
          <t>Other</t>
        </is>
      </c>
      <c r="G419" t="inlineStr">
        <is>
          <t>Low</t>
        </is>
      </c>
      <c r="H419" t="inlineStr">
        <is>
          <t>High (explicit)</t>
        </is>
      </c>
      <c r="I419" s="8" t="inlineStr">
        <is>
          <t>Cross-border Transfer, Data Sharing</t>
        </is>
      </c>
      <c r="J419" s="8" t="inlineStr">
        <is>
          <t>Financial Data</t>
        </is>
      </c>
      <c r="K419" t="inlineStr"/>
      <c r="L419" s="8" t="inlineStr">
        <is>
          <t>Compares Open Finance approaches across jurisdictions, highlighting voluntary (Singapore, US, Nigeria) and mandated (Brazil, UK, EU) models with varying regulatory frameworks.</t>
        </is>
      </c>
      <c r="M419" s="8" t="inlineStr">
        <is>
          <t>Describes jurisdictional approaches to Open Finance, including voluntary and mandated models with different regulatory frameworks and implementation requirements.</t>
        </is>
      </c>
      <c r="N419" s="8" t="inlineStr"/>
      <c r="O419" s="8" t="inlineStr">
        <is>
          <t>Voluntary approach – Open Finance/ Open Banking in Singapore, the US, and Nigeria; Mandated approach – Open Finance/ Open Banking in Brazil, the United Kingdom, and European Union.</t>
        </is>
      </c>
      <c r="P419" s="10" t="inlineStr">
        <is>
          <t>Open PDF</t>
        </is>
      </c>
    </row>
    <row r="420">
      <c r="A420" t="inlineStr">
        <is>
          <t>South Africa</t>
        </is>
      </c>
      <c r="B420" t="inlineStr">
        <is>
          <t>2024 Open Finance_FSCA Position Paper</t>
        </is>
      </c>
      <c r="C420" t="inlineStr">
        <is>
          <t>11</t>
        </is>
      </c>
      <c r="D420" s="8" t="inlineStr">
        <is>
          <t>ANNEXURE C: PROPOSED OPEN FINANCE ROAD MAP</t>
        </is>
      </c>
      <c r="E420" t="inlineStr">
        <is>
          <t>24</t>
        </is>
      </c>
      <c r="F420" t="inlineStr">
        <is>
          <t>Other</t>
        </is>
      </c>
      <c r="G420" t="inlineStr">
        <is>
          <t>High</t>
        </is>
      </c>
      <c r="H420" t="inlineStr">
        <is>
          <t>High (explicit)</t>
        </is>
      </c>
      <c r="I420" s="8" t="inlineStr">
        <is>
          <t>Data Sharing, Consent</t>
        </is>
      </c>
      <c r="J420" s="8" t="inlineStr">
        <is>
          <t>Financial Data</t>
        </is>
      </c>
      <c r="K420" t="inlineStr">
        <is>
          <t>FSCA</t>
        </is>
      </c>
      <c r="L420" s="8" t="inlineStr">
        <is>
          <t>Details proposed Open Finance roadmap with timelines for developing API standards, consent frameworks, and consumer awareness mechanisms.</t>
        </is>
      </c>
      <c r="M420" s="8" t="inlineStr">
        <is>
          <t>Outlines phased implementation timeline for Open Finance, including API standards, consent frameworks, and consumer empowerment by 2026.</t>
        </is>
      </c>
      <c r="N420" s="8" t="inlineStr">
        <is>
          <t>[Must] Developing API standards by 31 March 2026
[Must] Developing consent, risk management and disclosure frameworks by 30 September 2026</t>
        </is>
      </c>
      <c r="O420" s="8" t="inlineStr">
        <is>
          <t>Developing API standards – Advisory Group, 31 March 2026; Developing suitable consent, risk management and disclosure frameworks – FSCA, 30 September 2026.</t>
        </is>
      </c>
      <c r="P420" s="10" t="inlineStr">
        <is>
          <t>Open PDF</t>
        </is>
      </c>
    </row>
    <row r="421">
      <c r="A421" t="inlineStr">
        <is>
          <t>South Africa</t>
        </is>
      </c>
      <c r="B421" t="inlineStr">
        <is>
          <t>Conduct-Standard-3-of-2020-BANKS-Annexure-A</t>
        </is>
      </c>
      <c r="C421" t="inlineStr">
        <is>
          <t>2</t>
        </is>
      </c>
      <c r="D421" s="8" t="inlineStr">
        <is>
          <t>Application and general obligations</t>
        </is>
      </c>
      <c r="E421" t="inlineStr">
        <is>
          <t>5–7</t>
        </is>
      </c>
      <c r="F421" t="inlineStr">
        <is>
          <t>Other</t>
        </is>
      </c>
      <c r="G421" t="inlineStr">
        <is>
          <t>High</t>
        </is>
      </c>
      <c r="H421" t="inlineStr">
        <is>
          <t>Medium</t>
        </is>
      </c>
      <c r="I421" s="8" t="inlineStr">
        <is>
          <t>Fair treatment of financial customers</t>
        </is>
      </c>
      <c r="J421" s="8" t="inlineStr">
        <is>
          <t>Financial Data</t>
        </is>
      </c>
      <c r="K421" t="inlineStr">
        <is>
          <t>Financial Sector Conduct Authority</t>
        </is>
      </c>
      <c r="L421" s="8" t="inlineStr"/>
      <c r="M421" s="8" t="inlineStr"/>
      <c r="N421" s="8" t="inlineStr">
        <is>
          <t>[Must] A bank must conduct Its business in a manner that prioritises the fair treatment of financial customers.</t>
        </is>
      </c>
      <c r="O421" s="8" t="inlineStr">
        <is>
          <t>A bank must conduct Its business in a manner that prioritises the fair treatment of financial customers.</t>
        </is>
      </c>
      <c r="P421" s="10" t="inlineStr">
        <is>
          <t>Open PDF</t>
        </is>
      </c>
    </row>
    <row r="422">
      <c r="A422" t="inlineStr">
        <is>
          <t>South Africa</t>
        </is>
      </c>
      <c r="B422" t="inlineStr">
        <is>
          <t>Conduct-Standard-3-of-2020-BANKS-Annexure-A</t>
        </is>
      </c>
      <c r="C422" t="inlineStr">
        <is>
          <t>3</t>
        </is>
      </c>
      <c r="D422" s="8" t="inlineStr">
        <is>
          <t>Culture and governance</t>
        </is>
      </c>
      <c r="E422" t="inlineStr">
        <is>
          <t>7–22</t>
        </is>
      </c>
      <c r="F422" t="inlineStr">
        <is>
          <t>Governance</t>
        </is>
      </c>
      <c r="G422" t="inlineStr">
        <is>
          <t>High</t>
        </is>
      </c>
      <c r="H422" t="inlineStr">
        <is>
          <t>High (explicit)</t>
        </is>
      </c>
      <c r="I422" s="8" t="inlineStr">
        <is>
          <t>Governance, Risk Management, Compliance, Internal Controls</t>
        </is>
      </c>
      <c r="J422" s="8" t="inlineStr">
        <is>
          <t>Financial Data, Customer Information</t>
        </is>
      </c>
      <c r="K422" t="inlineStr">
        <is>
          <t>Financial Sector Conduct Authority (FSCA)</t>
        </is>
      </c>
      <c r="L422" s="8" t="inlineStr">
        <is>
          <t>Banks must maintain integrity, honesty, and transparency in business practices and ensure fair treatment of financial customers through governance arrangements.</t>
        </is>
      </c>
      <c r="M422" s="8" t="inlineStr">
        <is>
          <t>Banks must implement governance structures to ensure fair customer treatment and compliance with conduct standards through oversight mechanisms.</t>
        </is>
      </c>
      <c r="N422" s="8" t="inlineStr">
        <is>
          <t>[Must] A bank must at all times conduct its business with integrity
[Must] A bank must act honestly, fairly, with due skill, care and diligence, and in a manner that does not bring the financial sector into disrepute
[Must] A bank must organise and manage its affairs responsibly and efficiently
[Must] A bank must avoid or, where avoidance is not possible, manage and mitigate actual or potential conflicts of interest
[Must] A bank must deal with the Authority in an open and cooperative manner
[Must] A bank must conduct its business transparently and with due regard to the Information needs of its financial customers
[Must] A bank must document, adopt, implement and monitor the effectiveness of appropriate governance arrangements that are reasonably necessary to ensure adherence to the requirements in section 2(4) and 3(1)
[Must] The governance arrangements must be proportionate to the nature, scale and complexity of the bank's activities and business model
[Must] The governance arrangements must describe how the bank will comply with this section through appropriate policies and procedures
[Must] The governance arrangements must address roles and responsibilities of the governing body and key persons
[Must] The governance arrangements must address remuneration, compensation and incentive practices
[Must] The governance arrangements must address conflicts of interest
[Must] The governance arrangements must address disclosure of interests in related and inter-related parties
[Must] The governance arrangements must address record keeping
[Must] The governance arrangements must address communication with the Authority
[Must] The governance arrangements must address decision making and management procedures, including delegation of authority arrangements
[Must] The governance arrangements must address risk management, compliance and internal control procedures, including segregation of duties and functions
[Must] The governance arrangements must address security, integrity, privacy and confidentiality of information
[Must] The governance arrangements must provide for regular risk-based monitoring and evaluation of the adequacy and effectiveness of the bank's systems, processes, procedures and internal control mechanisms
[Must] The monitoring and evaluation must consider systems, processes, procedures and internal control mechanisms to ensure compliance with this Conduct Standard and other applicable legislation
[Must] The monitoring and evaluation must consider systems, processes, procedures and internal control mechanisms to ensure the effectiveness of the bank's practices in relation to fair treatment of financial customers
[Must] The governing body of a bank is accountable for the approval, establishment, embedment, ongoing review of, and continued compliance with the bank's governance arrangements to reasonably ensure fair treatment of financial customers</t>
        </is>
      </c>
      <c r="O422" s="8" t="inlineStr">
        <is>
          <t>A bank must at all times conduct Its business with integrity; act honestly, fairly, with due skill, care and diligence, and in a manner that does not bring the financial sector into disrepute; organise and manage its affairs responsibly and efficiently; avoid or, where avoidance is not possible, manage and mitigate actual or potential conflicts of interest; deal with the Authority in an open and cooperative manner; and conduct Its business transparently and with due regard to the Information needs of its financial customers.</t>
        </is>
      </c>
      <c r="P422" s="10" t="inlineStr">
        <is>
          <t>Open PDF</t>
        </is>
      </c>
    </row>
    <row r="423">
      <c r="A423" t="inlineStr">
        <is>
          <t>South Africa</t>
        </is>
      </c>
      <c r="B423" t="inlineStr">
        <is>
          <t>Conduct-Standard-3-of-2020-BANKS-Annexure-A</t>
        </is>
      </c>
      <c r="C423" t="inlineStr">
        <is>
          <t>4</t>
        </is>
      </c>
      <c r="D423" s="8" t="inlineStr">
        <is>
          <t>Design, suitability and performance requirements for financial products and financial</t>
        </is>
      </c>
      <c r="E423" t="inlineStr">
        <is>
          <t>2</t>
        </is>
      </c>
      <c r="F423" t="inlineStr">
        <is>
          <t>Other</t>
        </is>
      </c>
      <c r="G423" t="inlineStr">
        <is>
          <t>High</t>
        </is>
      </c>
      <c r="H423" t="inlineStr">
        <is>
          <t>Low</t>
        </is>
      </c>
      <c r="I423" s="8" t="inlineStr"/>
      <c r="J423" s="8" t="inlineStr"/>
      <c r="K423" t="inlineStr"/>
      <c r="L423" s="8" t="inlineStr"/>
      <c r="M423" s="8" t="inlineStr"/>
      <c r="N423" s="8" t="inlineStr"/>
      <c r="O423" s="8" t="inlineStr">
        <is>
          <t>Design, suitability and performance requirements for financial products and financial</t>
        </is>
      </c>
      <c r="P423" s="10" t="inlineStr">
        <is>
          <t>Open PDF</t>
        </is>
      </c>
    </row>
    <row r="424">
      <c r="A424" t="inlineStr">
        <is>
          <t>South Africa</t>
        </is>
      </c>
      <c r="B424" t="inlineStr">
        <is>
          <t>Conduct-Standard-3-of-2020-BANKS-Annexure-A</t>
        </is>
      </c>
      <c r="C424" t="inlineStr">
        <is>
          <t>5</t>
        </is>
      </c>
      <c r="D424" s="8" t="inlineStr">
        <is>
          <t>Additlonal requirements in respect of retail financial CUStOMETS ........::ssccsessssereareees 10</t>
        </is>
      </c>
      <c r="E424" t="inlineStr">
        <is>
          <t>2</t>
        </is>
      </c>
      <c r="F424" t="inlineStr">
        <is>
          <t>Other</t>
        </is>
      </c>
      <c r="G424" t="inlineStr">
        <is>
          <t>High</t>
        </is>
      </c>
      <c r="H424" t="inlineStr">
        <is>
          <t>Low</t>
        </is>
      </c>
      <c r="I424" s="8" t="inlineStr"/>
      <c r="J424" s="8" t="inlineStr"/>
      <c r="K424" t="inlineStr"/>
      <c r="L424" s="8" t="inlineStr"/>
      <c r="M424" s="8" t="inlineStr"/>
      <c r="N424" s="8" t="inlineStr"/>
      <c r="O424" s="8" t="inlineStr">
        <is>
          <t>Additlonal requirements in respect of retail financial CUStOMETS ........::ssccsessssereareees</t>
        </is>
      </c>
      <c r="P424" s="10" t="inlineStr">
        <is>
          <t>Open PDF</t>
        </is>
      </c>
    </row>
    <row r="425">
      <c r="A425" t="inlineStr">
        <is>
          <t>South Africa</t>
        </is>
      </c>
      <c r="B425" t="inlineStr">
        <is>
          <t>Conduct-Standard-3-of-2020-BANKS-Annexure-A</t>
        </is>
      </c>
      <c r="C425" t="inlineStr">
        <is>
          <t>10</t>
        </is>
      </c>
      <c r="D425" s="8" t="inlineStr">
        <is>
          <t>Termination, closure or switching of financlal products or financlal services by the</t>
        </is>
      </c>
      <c r="E425" t="inlineStr">
        <is>
          <t>2</t>
        </is>
      </c>
      <c r="F425" t="inlineStr">
        <is>
          <t>Other</t>
        </is>
      </c>
      <c r="G425" t="inlineStr">
        <is>
          <t>High</t>
        </is>
      </c>
      <c r="H425" t="inlineStr">
        <is>
          <t>Low</t>
        </is>
      </c>
      <c r="I425" s="8" t="inlineStr"/>
      <c r="J425" s="8" t="inlineStr"/>
      <c r="K425" t="inlineStr"/>
      <c r="L425" s="8" t="inlineStr"/>
      <c r="M425" s="8" t="inlineStr"/>
      <c r="N425" s="8" t="inlineStr"/>
      <c r="O425" s="8" t="inlineStr">
        <is>
          <t>Termination, closure or switching of financlal products or financlal services by the</t>
        </is>
      </c>
      <c r="P425" s="10" t="inlineStr">
        <is>
          <t>Open PDF</t>
        </is>
      </c>
    </row>
    <row r="426">
      <c r="A426" t="inlineStr">
        <is>
          <t>South Africa</t>
        </is>
      </c>
      <c r="B426" t="inlineStr">
        <is>
          <t>Conduct-Standard-3-of-2020-BANKS-Annexure-A</t>
        </is>
      </c>
      <c r="C426" t="inlineStr">
        <is>
          <t>10</t>
        </is>
      </c>
      <c r="D426" s="8" t="inlineStr">
        <is>
          <t>(3)</t>
        </is>
      </c>
      <c r="E426" t="inlineStr">
        <is>
          <t>22–23</t>
        </is>
      </c>
      <c r="F426" t="inlineStr">
        <is>
          <t>Customer Information</t>
        </is>
      </c>
      <c r="G426" t="inlineStr">
        <is>
          <t>High</t>
        </is>
      </c>
      <c r="H426" t="inlineStr">
        <is>
          <t>High (explicit)</t>
        </is>
      </c>
      <c r="I426" s="8" t="inlineStr">
        <is>
          <t>Customer Information, Termination</t>
        </is>
      </c>
      <c r="J426" s="8" t="inlineStr">
        <is>
          <t>Customer Information</t>
        </is>
      </c>
      <c r="K426" t="inlineStr"/>
      <c r="L426" s="8" t="inlineStr">
        <is>
          <t>Banks must disclose reasons for refusal, withdrawal, termination or closure of financial products/services to customers.</t>
        </is>
      </c>
      <c r="M426" s="8" t="inlineStr">
        <is>
          <t>Banks must disclose reasons for refusal, withdrawal, termination or closure of financial products/services to customers.</t>
        </is>
      </c>
      <c r="N426" s="8" t="inlineStr">
        <is>
          <t>[Must] When taking actions referred to in subsection (1), a bank must disclose reasons for refusal, withdrawal, termination or closure to the financial customer.
[May] A bank may take actions without providing prior notice or reasons if compelled by law, has reasonable suspicion of illegal use, or has made necessary reports to authority.</t>
        </is>
      </c>
      <c r="O426" s="8" t="inlineStr">
        <is>
          <t>Subject to subsection (4), a bank must, when it takes any of the actions referred to in subsection (1), disclose to the financial customer the reasons for the refusal, withdrawal, termination or closure.</t>
        </is>
      </c>
      <c r="P426" s="10" t="inlineStr">
        <is>
          <t>Open PDF</t>
        </is>
      </c>
    </row>
    <row r="427">
      <c r="A427" t="inlineStr">
        <is>
          <t>South Africa</t>
        </is>
      </c>
      <c r="B427" t="inlineStr">
        <is>
          <t>Conduct-Standard-3-of-2020-BANKS-Annexure-A</t>
        </is>
      </c>
      <c r="C427" t="inlineStr">
        <is>
          <t>11</t>
        </is>
      </c>
      <c r="D427" s="8" t="inlineStr">
        <is>
          <t>Short title ANG COMMENCOMEONE.......:::ssescccccsccssssssscccnsssesseuserenecsenenscessnssasseoooserssessessensss 23</t>
        </is>
      </c>
      <c r="E427" t="inlineStr">
        <is>
          <t>2–5</t>
        </is>
      </c>
      <c r="F427" t="inlineStr">
        <is>
          <t>Definitions</t>
        </is>
      </c>
      <c r="G427" t="inlineStr">
        <is>
          <t>None</t>
        </is>
      </c>
      <c r="H427" t="inlineStr">
        <is>
          <t>High</t>
        </is>
      </c>
      <c r="I427" s="8" t="inlineStr"/>
      <c r="J427" s="8" t="inlineStr"/>
      <c r="K427" t="inlineStr">
        <is>
          <t>Financial Sector Conduct Authority</t>
        </is>
      </c>
      <c r="L427" s="8" t="inlineStr"/>
      <c r="M427" s="8" t="inlineStr"/>
      <c r="N427" s="8" t="inlineStr"/>
      <c r="O427" s="8" t="inlineStr">
        <is>
          <t>In this Conduct Standard, "the Act" means the Financial Sector Regulation Act, 2017 ()</t>
        </is>
      </c>
      <c r="P427" s="10" t="inlineStr">
        <is>
          <t>Open PDF</t>
        </is>
      </c>
    </row>
    <row r="428">
      <c r="A428" t="inlineStr">
        <is>
          <t>South Africa</t>
        </is>
      </c>
      <c r="B428" t="inlineStr">
        <is>
          <t>Directive in respect of cybersecurity and cyber-resilisnce within the national payment system</t>
        </is>
      </c>
      <c r="C428" t="inlineStr">
        <is>
          <t>1</t>
        </is>
      </c>
      <c r="D428" s="8" t="inlineStr">
        <is>
          <t>Critical service providers and cybersecurity terms</t>
        </is>
      </c>
      <c r="E428" t="inlineStr">
        <is>
          <t>3–5</t>
        </is>
      </c>
      <c r="F428" t="inlineStr">
        <is>
          <t>Definitions</t>
        </is>
      </c>
      <c r="G428" t="inlineStr">
        <is>
          <t>None</t>
        </is>
      </c>
      <c r="H428" t="inlineStr">
        <is>
          <t>High (explicit)</t>
        </is>
      </c>
      <c r="I428" s="8" t="inlineStr"/>
      <c r="J428" s="8" t="inlineStr">
        <is>
          <t>Personal Information, Financial Data, Customer Data, Employee Data</t>
        </is>
      </c>
      <c r="K428" t="inlineStr"/>
      <c r="L428" s="8" t="inlineStr">
        <is>
          <t>This section defines key terms used throughout the directive, including critical service providers, compromise, cyber-attack, cyber-event, cyber-incident, cyber-resilience, cyber-risk, cybersecurity, cyber-threat, information asset, information system, information technology system, multi-factor authentication, payment institution, payment system Financial Market Infrastructure, operator, senior management, sensitive information, and vulnerability assessment. These definitions establish the foundational terminology for understanding the directive's requirements regarding cybersecurity and cyber-resilience in South Africa's national payment system.</t>
        </is>
      </c>
      <c r="M428" s="8" t="inlineStr"/>
      <c r="N428" s="8" t="inlineStr">
        <is>
          <t>[Definition] critical service provider means a service provider that provides critical services to a payment institution in the NPS
[Definition] compromise means a violation of the security of an information technology (IT) system
[Definition] cyber-attack means malicious attempt(s) to exploit vulnerabilities through the cyber medium to damage, disrupt or gain unauthorised access to assets
[Definition] cyber-event means any observable occurrence in an information system. Cyber-events sometimes provide an indication that a cyber-incident is actually occurring
[Definition] cyber-incident means a cyber-event that adversely affects the cybersecurity of an information system and/or the information that the system processes, stores or transmits, or which violates the security policies, security procedures and/or acceptable use policies of the payment institution, whether resulting from malicious activity or not
[Definition] cyber-resilience means the ability of a payment institution or an operator to continue carrying out its mission by anticipating and adapting to cyber-threats and other relevant changes in the environment and by withstanding, containing and rapidly recovering from cyber-incidents
[Definition] cyber-risk means the combination of the probability of cyber-incidents occurring and their impact
[Definition] cybersecurity means the preservation of confidentiality, integrity and availability of information and/or information systems through the cyber-medium
[Definition] cyber-threat means a circumstance with the potential to exploit one or more vulnerabilities that adversely affects cybersecurity
[Definition] information asset means any piece of data, device or other component of the environment that supports information-related activities
[Definition] information system means a set of applications, services, information technology assets or other information-handling components, which includes the operating environment and networks
[Definition] information technology system means a set of hardware, software, network or other information technology components which is part of an IT infrastructure
[Definition] multi-factor authentication means the use of two or more authentication factors to verify the identity of a user or system
[Definition] payment institution means persons designated, authorised, registered or regulated under the National Payment System Act 78 of 1998 (NPS Act), including but not limited to clearing system participants, settlement system participants, third-party payment providers and system operators
[Definition] payment system Financial Market Infrastructure means a multilateral system among payment system participants, including the operator of the system, used for the purposes of clearing, settling or recording payments, and includes a systemically important payment, clearing or settlement system and a prominent payment, clearing or settlement system
[Definition] operator means an operator of a payment system, including payment clearing house system operators, operators of settlement systems and the operator(s) of payment system financial market infrastructures (FMIs)
[Definition] senior management means the chief executive officer or the person who is in charge of a payment institution
[Definition] sensitive information means information where loss, misuse, or unauthorised access to or modification could adversely affect the public interest, a payment institution or the privacy to which individuals are entitled
[Definition] vulnerability assessment means a systematic examination of an IT system, including its controls and processes, to determine the adequacy of security measures, identify security deficiencies, provide data from which to predict the effectiveness of proposed security measures and confirm the adequacy of such measures after implementation</t>
        </is>
      </c>
      <c r="O428" s="8" t="inlineStr">
        <is>
          <t>Definitions 1.1.1 to 1.1.19</t>
        </is>
      </c>
      <c r="P428" s="10" t="inlineStr">
        <is>
          <t>Open PDF</t>
        </is>
      </c>
    </row>
    <row r="429">
      <c r="A429" t="inlineStr">
        <is>
          <t>South Africa</t>
        </is>
      </c>
      <c r="B429" t="inlineStr">
        <is>
          <t>Directive in respect of cybersecurity and cyber-resilisnce within the national payment system</t>
        </is>
      </c>
      <c r="C429" t="inlineStr">
        <is>
          <t>2</t>
        </is>
      </c>
      <c r="D429" s="8" t="inlineStr">
        <is>
          <t>Background</t>
        </is>
      </c>
      <c r="E429" t="inlineStr">
        <is>
          <t>5–7</t>
        </is>
      </c>
      <c r="F429" t="inlineStr">
        <is>
          <t>Other</t>
        </is>
      </c>
      <c r="G429" t="inlineStr">
        <is>
          <t>Unknown</t>
        </is>
      </c>
      <c r="H429" t="inlineStr">
        <is>
          <t>Low</t>
        </is>
      </c>
      <c r="I429" s="8" t="inlineStr"/>
      <c r="J429" s="8" t="inlineStr"/>
      <c r="K429" t="inlineStr"/>
      <c r="L429" s="8" t="inlineStr"/>
      <c r="M429" s="8" t="inlineStr"/>
      <c r="N429" s="8" t="inlineStr"/>
      <c r="O429" s="8" t="inlineStr"/>
      <c r="P429" s="10" t="inlineStr">
        <is>
          <t>Open PDF</t>
        </is>
      </c>
    </row>
    <row r="430">
      <c r="A430" t="inlineStr">
        <is>
          <t>South Africa</t>
        </is>
      </c>
      <c r="B430" t="inlineStr">
        <is>
          <t>Directive in respect of cybersecurity and cyber-resilisnce within the national payment system</t>
        </is>
      </c>
      <c r="C430" t="inlineStr">
        <is>
          <t>3</t>
        </is>
      </c>
      <c r="D430" s="8" t="inlineStr">
        <is>
          <t>Purpose of cybersecurity directive for payment systems</t>
        </is>
      </c>
      <c r="E430" t="inlineStr">
        <is>
          <t>7</t>
        </is>
      </c>
      <c r="F430" t="inlineStr">
        <is>
          <t>Governance</t>
        </is>
      </c>
      <c r="G430" t="inlineStr">
        <is>
          <t>High</t>
        </is>
      </c>
      <c r="H430" t="inlineStr">
        <is>
          <t>High (explicit)</t>
        </is>
      </c>
      <c r="I430" s="8" t="inlineStr">
        <is>
          <t>Governance</t>
        </is>
      </c>
      <c r="J430" s="8" t="inlineStr">
        <is>
          <t>Financial Data</t>
        </is>
      </c>
      <c r="K430" t="inlineStr">
        <is>
          <t>SARB</t>
        </is>
      </c>
      <c r="L430" s="8" t="inlineStr">
        <is>
          <t>The South African Reserve Bank (SARB) mandates cybersecurity and cyber-resilience requirements for payment institutions, payment systems, clearing and settlement systems, and operators within the National Payment System (NPS) through this directive. This section establishes the legal basis for imposing specific cybersecurity frameworks and resilience measures on these entities. The directive applies to entities operating within the NPS framework as defined by the NPS Act.</t>
        </is>
      </c>
      <c r="M430" s="8" t="inlineStr">
        <is>
          <t>This section defines the scope of the directive, specifying which entities must comply with cybersecurity and cyber-resilience requirements. It establishes the regulatory authority (SARB) and the legal basis (section 12 of the NPS Act) for the directive's implementation.</t>
        </is>
      </c>
      <c r="N430" s="8" t="inlineStr">
        <is>
          <t>[Must] The SARB, acting pursuant to its powers in terms of section 12 of the NPS Act, hereby issues this directive to impose cybersecurity and cyber-resilience requirements on payment institutions; payment, clearing and settlement systems; payment system FMIs; and operators within the NPS.</t>
        </is>
      </c>
      <c r="O430" s="8" t="inlineStr">
        <is>
          <t>The SARB, acting pursuant to its powers in terms of section 12 of the NPS Act, hereby issues this directive to impose cybersecurity and cyber-resilience requirements on payment institutions; payment, clearing and settlement systems; payment system FMIs; and operators within the NPS.</t>
        </is>
      </c>
      <c r="P430" s="10" t="inlineStr">
        <is>
          <t>Open PDF</t>
        </is>
      </c>
    </row>
    <row r="431">
      <c r="A431" t="inlineStr">
        <is>
          <t>South Africa</t>
        </is>
      </c>
      <c r="B431" t="inlineStr">
        <is>
          <t>Directive in respect of cybersecurity and cyber-resilisnce within the national payment system</t>
        </is>
      </c>
      <c r="C431" t="inlineStr">
        <is>
          <t>5</t>
        </is>
      </c>
      <c r="D431" s="8" t="inlineStr">
        <is>
          <t>Cybersecurity and cyber-resilience frameworks for payment entities</t>
        </is>
      </c>
      <c r="E431" t="inlineStr">
        <is>
          <t>7–13</t>
        </is>
      </c>
      <c r="F431" t="inlineStr">
        <is>
          <t>Security</t>
        </is>
      </c>
      <c r="G431" t="inlineStr">
        <is>
          <t>High</t>
        </is>
      </c>
      <c r="H431" t="inlineStr">
        <is>
          <t>High (explicit)</t>
        </is>
      </c>
      <c r="I431" s="8" t="inlineStr">
        <is>
          <t>Incident Reporting, Breach Notification</t>
        </is>
      </c>
      <c r="J431" s="8" t="inlineStr">
        <is>
          <t>Financial Data</t>
        </is>
      </c>
      <c r="K431" t="inlineStr">
        <is>
          <t>SARB</t>
        </is>
      </c>
      <c r="L431" s="8" t="inlineStr">
        <is>
          <t>Payment institutions and operators must develop and maintain comprehensive cybersecurity and cyber-resilience frameworks that include cyber-governance, identification of critical operations and information assets, cybersecurity measures, detection mechanisms, and response/recovery protocols. These frameworks must be aligned with operational risk management, business continuity planning, and industry standards. The requirements specify detailed obligations for board oversight, staff training, access controls, third-party risk assessments, and incident response timelines.</t>
        </is>
      </c>
      <c r="M431" s="8" t="inlineStr">
        <is>
          <t>This section mandates specific technical and operational safeguards for payment systems, including real-time threat detection, rapid incident response, and strict recovery timeframes. These requirements directly impact data transfer and processing security across borders for financial entities.</t>
        </is>
      </c>
      <c r="N431" s="8" t="inlineStr">
        <is>
          <t>[Must] Payment institutions and operators must develop and maintain cybersecurity and cyber-resilience frameworks that include the following: Cyber-governance, Identification of critical operations and information assets, Cybersecurity measures, Detection, Response and recovery.
[Must] Payment institutions and operators must have written effective cyber-governance arrangements that define cybersecurity and cyber-resilience objectives.
[Must] Payment institutions and operators must have written effective cyber-governance arrangements that outline the people, processes and technology requirements for protecting information systems, managing cyber-risks, and providing timely communication and effective responses to, and recovery from, cyber-attacks.
[Must] Payment institutions and operators must have written effective cyber-governance arrangements that require the board of directors (board) or senior management of the payment institution and the operator to determine the cyber-risk tolerance levels of the payment institution, operator, a payment, clearing or settlement system, or payment system FMI.
[Must] Payment institutions and operators must have written effective cyber-governance arrangements that require the board of directors (board) or senior management of the payment institution and the operator to approve the cybersecurity policies and strategy, and cybersecurity and cyber-resilience framework.
[Must] Payment institutions and operators must have written effective cyber-governance arrangements that require the board of directors (board) or senior management of the payment institution and the operator to oversee the development and implementation of the cybersecurity policies and strategy, and cybersecurity and cyber-resilience framework.
[Must] Payment institutions and operators must have written effective cyber-governance arrangements that require the board of directors (board) or senior management of the payment institution and the operator to ensure that there is an annual review of the cybersecurity policies and strategy, and cybersecurity and cyber-resilience framework.
[Must] Payment institutions and operators must have written effective cyber-governance arrangements that require the board of directors (board) or senior management of the payment institution and the operator to ensure that the cybersecurity and cyber-resilience framework is aligned to the operational risk management framework, operational resilience plan and business continuity plan of the payment institution or operator.
[Must] Payment institutions and operators must have written effective cyber-governance arrangements that require the board of directors (board) or senior management of the payment institution and the operator to ensure that the cybersecurity and cyber-resilience framework is based on industry standards and international best practices, and complies with legislative and regulatory requirements.
[Must] Payment institutions and operators must have written effective cyber-governance arrangements that require the board of directors (board) or senior management of the payment institution and the operator to ensure that the cybersecurity and cyber-resilience framework clearly articulates the identification of cyber-risks and the required controls to manage and mitigate the cyber-risks.
[Must] Payment institutions and operators must have written effective cyber-governance arrangements that require the board of directors (board) or senior management of the payment institution and the operator to ensure the appointment of a senior executive and technical experts with the relevant skills, expertise and experience accountable for cybersecurity and cyber-resilience.
[Must] Payment institutions and operators must have written effective cyber-governance arrangements that require the board of directors (board) or senior management of the payment institution and the operator to ensure that the cybersecurity and cyber-resilience framework makes provision for information sharing and collaboration, where necessary, with the SARB and other relevant payment industry stakeholders in terms of applicable laws.
[Must] Payment institutions and operators must have written effective cyber-governance arrangements that require the senior management of the payment institution, the operator to regularly keep the board informed and updated on the cybersecurity and cyber-resilience status of the payment institution, operator or payment system FMI, and report any material developments relating to cyber-threats within the NPS.
[Must] Payment institutions and operators must have written effective cyber-governance arrangements that require the senior management of the payment institution, the operator to ensure that the payment institution, the operator or payment system FMI complies with this directive and any other applicable cyber-resilience legislation and regulations.
[Must] Payment institutions and operators must have written effective cyber-governance arrangements that require the senior management of the payment institution, the operator to ensure that the payment institution or operator conducts due diligence on the entities they introduce or sponsor, or admit as participants in the NPS.
[Must] Payment institutions and operators must have written effective cyber-governance arrangements that require the senior management of the payment institution, the operator to ensure that the payment institution conducts third-party risk assessments on third-party service providers prior to onboarding as well as on an annual basis.
[Must] Payment institutions and operators must have written effective cyber-governance arrangements that require the senior management of the payment institution, the operator to ensure that the roles and responsibilities in respect of cybersecurity and cyber-resilience are clearly outlined in agreements entered into with third-party service providers.
[Must] Payment institutions and operators must identify critical technology, operations, processes, supporting information and assets that require protection against cyber-compromise.
[Must] Payment institutions and operators must identify internal processes, procedures, information assets and external dependencies that will strengthen the security and resilience to cyber-threats of the payment institution or operator.
[Must] Payment institutions and operators must ensure that cybersecurity frameworks include security controls, processes and systems that effectively protect and safeguard the confidentiality, integrity and availability of services provided as well as the information handled by payment institutions, operators, payment, clearing or settlement systems, or payment system FMIs.
[Must] Payment institutions and operators must ensure that cybersecurity frameworks include security controls, processes and systems that are proportionate to the threat landscape, risk tolerance and systemic role of the payment institution, operators, payment, clearing or settlement systems or payment system FMIs in the NPS.
[Must] Payment institutions and operators must ensure that cybersecurity frameworks include security controls, processes and systems that must include the embedding of protective controls that minimise the likelihood and impact of a successful cyber-attack on identified critical business functions and information assets.
[Must] Payment institutions and operators must ensure that cybersecurity frameworks include security controls, processes and systems that must include the development and implementation of measures to protect critical and sensitive information, which should, at a minimum, include access control, multi-factor authentication (MFA) or encryption.
[Must] Payment institutions and operators must ensure that cybersecurity frameworks include security controls, processes and systems that must include the development and implementation of measures to mitigate risks arising from the interconnectedness with other payment institutions, operators, payment, clearing or settlement systems, or payment system FMIs within the NPS.
[Must] Payment institutions and operators must ensure that cybersecurity frameworks include security controls, processes and systems that must include the development and implementation of measures that mitigate cyber-risk and address anomalous behaviour by staff with access to the system.
[Must] Payment institutions and operators must ensure that cybersecurity frameworks include security controls, processes and systems that must include the continuous training of all relevant staff to develop and maintain awareness and to ensure that staff are knowledgeable in detecting and addressing cyber-risk.
[Must] Payment institutions and operators must ensure that cybersecurity frameworks include security controls, processes and systems that must include the development and design of cyber-secure and cyber-resilient payment instruments and services that ensure that software, network configurations and hardware supporting or connected to critical systems are tested against security standards and cyber-attacks.
[Must] Payment institutions and operators must ensure that cybersecurity frameworks include security controls, processes and systems that must include the development and implementation of cyber-hygiene measures that include strong password security controls, access rights and privileges, MFA and periodic access reviews.
[Must] Payment institutions and operators must ensure that cybersecurity frameworks include security controls, processes and systems that must include the development and implementation of cyber-hygiene measures that ensure third-party service providers that have access to information assets payment institutions, operators, payment, clearing and settlement systems, or payment system FMIs are subject to access restrictions and monitoring.
[Must] Payment institutions and operators must ensure that cybersecurity frameworks include security controls, processes and systems that must include the development and implementation of cyber-hygiene measures that establish processes to manage access to privileged accounts and monitor the use of IT systems for suspicious and unauthorised activities.
[Must] Payment institutions and operators must ensure that cybersecurity frameworks include security controls, processes and systems that must include the development and implementation of cyber-hygiene measures that implement MFA for access to critical systems and for accounts used to access payments institutions' or operators' sensitive information through the internet.
[Must] Payment institutions and operators must ensure that cybersecurity frameworks include security controls, processes and systems that must include the development and implementation of cyber-hygiene measures that ensure the implementation of network perimeter defense controls.
[Must] Payment institutions and operators must ensure that cybersecurity frameworks include security controls, processes and systems that must include the development and implementation of cyber-hygiene measures that implement multiple-layer security controls to curb the effect of security compromises.
[Must] Payment institutions and operators must ensure that cybersecurity frameworks include security controls, processes and systems that must include the development and implementation of cyber-hygiene measures that ensure the application of security patches to address vulnerabilities of systems.
[Must] Payment institutions and operators must ensure that cybersecurity frameworks include security controls, processes and systems that must include the development and implementation of cyber-hygiene measures that ensure that security patches are tested and compatible with existing IT systems.
[Must] Payment institutions and operators must ensure that cybersecurity frameworks include security controls, processes and systems that must include the development and implementation of cyber-hygiene measures that ensure there are security standards applicable to software, systems and devices.
[Must] Payment institutions and operators must ensure that cybersecurity frameworks include security controls, processes and systems that must include the development and implementation of cyber-hygiene measures that develop processes to monitor the application of security standards and ensure that the standards are continually reviewed for relevance to an evolving threat landscape.
[Must] Payment institutions and operators must ensure that cybersecurity frameworks include security controls, processes and systems that must include the development and implementation of cyber-hygiene measures that implement malware protection through defense and response mechanisms.
[Must] Payment institutions and operators must ensure that cybersecurity frameworks include security controls, processes and systems that must include the development and implementation of cyber-hygiene measures that ensure regular scanning of information assets for malicious activities.
[Must] Payment institutions and operators must ensure that cybersecurity frameworks include security controls, processes and systems that must include the development and implementation of data security measures that include data loss prevention policies which should include measures that will enable the payment institutions or operators to detect and prevent the unauthorised access and transmission of sensitive data.
[Must] Payment institutions and operators must ensure that cybersecurity frameworks include security controls, processes and systems that must include the development and implementation of data security measures that ensure the encryption of data storage systems and endpoint devices to protect sensitive data.
[Must] Payment institutions and operators must ensure that cybersecurity frameworks include security controls, processes and systems that must include the development and implementation of data security measures that ensure IT systems that are managed by third-party service providers are protected and subject to security standards.
[Must] Payment institutions and operators must ensure that cyber-resilience frameworks include cyber-attack trigger points and detection measures to continuously detect and monitor anomalous events and activities.
[Must] Payment institutions and operators must ensure that cyber-resilience frameworks include cyber-using attack trigger points and detection measures that include multi-layered trigger indicators and detection controls that accommodate processes, people and technology, ensuring that each layer serves as a safety net.
[Must] Payment institutions and operators must ensure that cyber-resilience frameworks include cyber-attack trigger points and detection measures that include security measures that identify and facilitate the analysis of irregular behaviour by persons with access to the payment institution or operator's information assets and network.
[Must] Payment institutions or operators must have arrangements in place designed to enable the resumption of critical operations safely and swiftly, including early detection of cyber-attack attempts and/or successful cyber-attacks.
[Must] Payment institutions or operators must have arrangements in place designed to enable the resumption of critical operations safely and swiftly, including immediate initiation of recovery efforts to restore operations upon detection of a successful cyber-attack.
[Must] Payment institutions or operators must have arrangements in place designed to enable the resumption of critical operations safely and swiftly, including incident response processes to ensure that there is efficient recovery from incidents that could not be prevented.
[Must] Payment institutions or operators must have arrangements in place designed to enable the resumption of critical operations safely and swiftly, including adequate measures in place, including the design and testing of systems, to enable the return and resumption of critical operations within two (2) hours or any extended timelines with the prior approval of the SARB for payment, clearing and settlement systems and payment system FMIs.
[Must] Payment institutions or operators must have arrangements in place designed to enable the resumption of critical operations safely and swiftly, including within the timelines specified by the PSMB for the payment institutions that are members of, registered or authorised by the PSMB, or as per the timelines specified by operators of payment, clearing and settlement systems for payment institutions that participate in such systems, which shall not, without prior approval by the SARB, exceed eight (8) hours of recovery/resumption time for all payment institutions.
[Must] Payment institutions or operators must have arrangements in place designed to enable the resumption of critical operations safely and swiftly, including recovery measures, upon detection and investigation of a cyber-attack, are in place that enable compliance with payment and settlement obligations to minimise the likelihood of a systemic event.</t>
        </is>
      </c>
      <c r="O431" s="8" t="inlineStr">
        <is>
          <t>Payment institutions and operators must develop and maintain cybersecurity and cyber-resilience frameworks that include the following: Cyber-governance, Identification of critical operations and information assets, Cybersecurity measures, Detection, Response and recovery.</t>
        </is>
      </c>
      <c r="P431" s="10" t="inlineStr">
        <is>
          <t>Open PDF</t>
        </is>
      </c>
    </row>
    <row r="432">
      <c r="A432" t="inlineStr">
        <is>
          <t>South Africa</t>
        </is>
      </c>
      <c r="B432" t="inlineStr">
        <is>
          <t>Directive in respect of cybersecurity and cyber-resilisnce within the national payment system</t>
        </is>
      </c>
      <c r="C432" t="inlineStr">
        <is>
          <t>5 (part 2)</t>
        </is>
      </c>
      <c r="D432" s="8" t="inlineStr">
        <is>
          <t>Cyber-resilience planning and testing for payment institutions</t>
        </is>
      </c>
      <c r="E432" t="inlineStr">
        <is>
          <t>13–16</t>
        </is>
      </c>
      <c r="F432" t="inlineStr">
        <is>
          <t>Other</t>
        </is>
      </c>
      <c r="G432" t="inlineStr">
        <is>
          <t>High</t>
        </is>
      </c>
      <c r="H432" t="inlineStr">
        <is>
          <t>High (explicit)</t>
        </is>
      </c>
      <c r="I432" s="8" t="inlineStr">
        <is>
          <t>Incident Reporting, Breach Notification</t>
        </is>
      </c>
      <c r="J432" s="8" t="inlineStr">
        <is>
          <t>Financial Data</t>
        </is>
      </c>
      <c r="K432" t="inlineStr">
        <is>
          <t>SARB</t>
        </is>
      </c>
      <c r="L432" s="8" t="inlineStr">
        <is>
          <t>Payment institutions must develop and test cyber-resilience plans quarterly, update them using threat intelligence and past incidents, include third-party management in their frameworks, and ensure cloud providers comply with SARB regulations. These plans must cover incident response, recovery, and business continuity for critical operations.</t>
        </is>
      </c>
      <c r="M432" s="8" t="inlineStr">
        <is>
          <t>Requires payment institutions to maintain robust cyber-resilience frameworks with third-party and cloud service providers, including specific testing and monitoring protocols for cross-border data handling in payment systems.</t>
        </is>
      </c>
      <c r="N432" s="8" t="inlineStr">
        <is>
          <t>[Must] Develop and test response, resumption and recovery plans on a quarterly basis
[Must] Continuous update of plans based on information sharing, current cyber-threat intelligence and information from previous cyber-events
[Must] Include third-party management plans in cyber-resilience frameworks to evaluate cyber-resilience measures, assess criticality of outsourced processes, obtain independent security attestation reports, and implement business continuity plans
[Must] Ensure compliance with SARB regulatory requirements for cloud computing and data offshoring in the NPS, including identifying, monitoring and mitigating jurisdiction risks and maintaining accountability for data security
[Must] Develop and implement cyber-resilience testing programmes with scenarios, penetration testing, system change testing, and regular vulnerability assessments
[Must] Share cyber threat and risk information with regulators, cybersecurity agencies, and trusted parties while ensuring compliance with data protection laws and the Cybercrimes Act
[Must] Understand cyber-threat landscapes, develop threat intelligence processes, and monitor threats from other payment institutions and systems
[Must] Ensure cybersecurity frameworks adapt to evolving cyber-risks, learn from incidents, monitor technological developments, and implement predictive capabilities
[Must] Report material cyber-incidents to SARB within 24 hours with detailed reports including incident date, cause, impact, recovery period, and systemic effects
[Must] Provide regular updates to SARB after incident remediation</t>
        </is>
      </c>
      <c r="O432" s="8" t="inlineStr">
        <is>
          <t>Payment institutions or operators must develop and implement cyber-resilience testing programmes and methodologies which include the following: different test scenarios and simulations of various cyber-attacks</t>
        </is>
      </c>
      <c r="P432" s="10" t="inlineStr">
        <is>
          <t>Open PDF</t>
        </is>
      </c>
    </row>
    <row r="433">
      <c r="A433" t="inlineStr">
        <is>
          <t>South Africa</t>
        </is>
      </c>
      <c r="B433" t="inlineStr">
        <is>
          <t>Directive in respect of cybersecurity and cyber-resilisnce within the national payment system</t>
        </is>
      </c>
      <c r="C433" t="inlineStr">
        <is>
          <t>6</t>
        </is>
      </c>
      <c r="D433" s="8" t="inlineStr">
        <is>
          <t>SARB supervision and inspection powers for payment institutions</t>
        </is>
      </c>
      <c r="E433" t="inlineStr">
        <is>
          <t>16–19</t>
        </is>
      </c>
      <c r="F433" t="inlineStr">
        <is>
          <t>Regulator Powers</t>
        </is>
      </c>
      <c r="G433" t="inlineStr">
        <is>
          <t>High</t>
        </is>
      </c>
      <c r="H433" t="inlineStr">
        <is>
          <t>High (explicit)</t>
        </is>
      </c>
      <c r="I433" s="8" t="inlineStr">
        <is>
          <t>Incident Reporting, Breach Notification</t>
        </is>
      </c>
      <c r="J433" s="8" t="inlineStr">
        <is>
          <t>Financial Data</t>
        </is>
      </c>
      <c r="K433" t="inlineStr">
        <is>
          <t>SARB</t>
        </is>
      </c>
      <c r="L433" s="8" t="inlineStr">
        <is>
          <t>The SARB has authority to conduct unscheduled inspections of payment institutions, provide written notifications before inspections, require access to premises, and seize documents or items relevant to compliance. Inspectors must follow strict procedures, including producing identification, obtaining warrants for entry, and allowing examination of systems and records.</t>
        </is>
      </c>
      <c r="M433" s="8" t="inlineStr">
        <is>
          <t>SARB's inspection powers enable oversight of payment institutions' compliance with cyber-resilience requirements, including data handling practices and incident reporting mechanisms.</t>
        </is>
      </c>
      <c r="N433" s="8" t="inlineStr">
        <is>
          <t>[Must] SARB may conduct onsite or offsite inspections to promote compliance with the directive
[Must] SARB must provide written notification to payment institutions before onsite inspections
[Must] SARB representatives must produce a letter of authority and identity document upon entry
[Must] SARB may enter premises without prior consent for business operations or with consent for private residences
[Must] SARB representatives have rights to access documents, systems, and items relevant to inspections
[Must] SARB representatives may require individuals to produce documents or information relevant to inspections
[Must] SARB may issue warrants for inspections if there are reasonable grounds to suspect contravention</t>
        </is>
      </c>
      <c r="O433" s="8" t="inlineStr">
        <is>
          <t>The SARB may at any time conduct a supervisory onsite or offsite inspection on payment institutions or operators, in a form and manner that the SARB may determine, to promote compliance with this directive.</t>
        </is>
      </c>
      <c r="P433" s="10" t="inlineStr">
        <is>
          <t>Open PDF</t>
        </is>
      </c>
    </row>
    <row r="434">
      <c r="A434" t="inlineStr">
        <is>
          <t>South Africa</t>
        </is>
      </c>
      <c r="B434" t="inlineStr">
        <is>
          <t>Directive in respect of cybersecurity and cyber-resilisnce within the national payment system</t>
        </is>
      </c>
      <c r="C434" t="inlineStr">
        <is>
          <t>7</t>
        </is>
      </c>
      <c r="D434" s="8" t="inlineStr">
        <is>
          <t>Effective date and non-compliance penalties for payment institutions</t>
        </is>
      </c>
      <c r="E434" t="inlineStr">
        <is>
          <t>19–20</t>
        </is>
      </c>
      <c r="F434" t="inlineStr">
        <is>
          <t>Enforcement</t>
        </is>
      </c>
      <c r="G434" t="inlineStr">
        <is>
          <t>High</t>
        </is>
      </c>
      <c r="H434" t="inlineStr">
        <is>
          <t>High (explicit)</t>
        </is>
      </c>
      <c r="I434" s="8" t="inlineStr">
        <is>
          <t>Breach Notification</t>
        </is>
      </c>
      <c r="J434" s="8" t="inlineStr">
        <is>
          <t>Financial Data</t>
        </is>
      </c>
      <c r="K434" t="inlineStr">
        <is>
          <t>SARB</t>
        </is>
      </c>
      <c r="L434" s="8" t="inlineStr">
        <is>
          <t>The directive becomes effective three months after publication, with SARB retaining the right to amend requirements. Payment institutions must comply with all stipulated conditions, and contraventions are punishable under section 12(8) of the NPS Act.</t>
        </is>
      </c>
      <c r="M434" s="8" t="inlineStr">
        <is>
          <t>Sets the timeline for implementation and establishes legal consequences for non-compliance with cyber-resilience requirements, including potential penalties under the NPS Act.</t>
        </is>
      </c>
      <c r="N434" s="8" t="inlineStr">
        <is>
          <t>[Must] This directive will be effective three months after publication
[Must] Payment institutions must comply with all requirements in the directive
[Must] Contravention of the directive is an offence under section 12(8) of the NPS Act</t>
        </is>
      </c>
      <c r="O434" s="8" t="inlineStr">
        <is>
          <t>Contravention of this directive is an offence in terms of section 12(8) of the NPS Act.</t>
        </is>
      </c>
      <c r="P434" s="10" t="inlineStr">
        <is>
          <t>Open PDF</t>
        </is>
      </c>
    </row>
    <row r="435">
      <c r="A435" t="inlineStr">
        <is>
          <t>South Africa</t>
        </is>
      </c>
      <c r="B435" t="inlineStr">
        <is>
          <t>FICA (Financial Intelligence Centre Act, 38 of 2001</t>
        </is>
      </c>
      <c r="C435" t="inlineStr">
        <is>
          <t>1</t>
        </is>
      </c>
      <c r="D435" s="8" t="inlineStr">
        <is>
          <t>2.</t>
        </is>
      </c>
      <c r="E435" t="inlineStr">
        <is>
          <t>24</t>
        </is>
      </c>
      <c r="F435" t="inlineStr">
        <is>
          <t>Definitions</t>
        </is>
      </c>
      <c r="G435" t="inlineStr">
        <is>
          <t>High</t>
        </is>
      </c>
      <c r="H435" t="inlineStr">
        <is>
          <t>High (explicit)</t>
        </is>
      </c>
      <c r="I435" s="8" t="inlineStr"/>
      <c r="J435" s="8" t="inlineStr"/>
      <c r="K435" t="inlineStr"/>
      <c r="L435" s="8" t="inlineStr">
        <is>
          <t>Defines supervisory bodies under FICA, including financial regulators and authorities.</t>
        </is>
      </c>
      <c r="M435" s="8" t="inlineStr"/>
      <c r="N435" s="8" t="inlineStr">
        <is>
          <t>[Must] Supervisory bodies include Financial Services Board, South African Reserve Bank, etc.</t>
        </is>
      </c>
      <c r="O435" s="8" t="inlineStr">
        <is>
          <t>1. The Financial Services Board established by the Financial Services Board Act, 1990 (Act 97 of 1990).</t>
        </is>
      </c>
      <c r="P435" s="10" t="inlineStr">
        <is>
          <t>Open PDF</t>
        </is>
      </c>
    </row>
    <row r="436">
      <c r="A436" t="inlineStr">
        <is>
          <t>South Africa</t>
        </is>
      </c>
      <c r="B436" t="inlineStr">
        <is>
          <t>FICA (Financial Intelligence Centre Act, 38 of 2001</t>
        </is>
      </c>
      <c r="C436" t="inlineStr">
        <is>
          <t>2</t>
        </is>
      </c>
      <c r="D436" s="8" t="inlineStr">
        <is>
          <t>(1) A Financial Intelligence Centre is hereby  established as an institution outside</t>
        </is>
      </c>
      <c r="E436" t="inlineStr">
        <is>
          <t>1</t>
        </is>
      </c>
      <c r="F436" t="inlineStr">
        <is>
          <t>Definitions</t>
        </is>
      </c>
      <c r="G436" t="inlineStr">
        <is>
          <t>High</t>
        </is>
      </c>
      <c r="H436" t="inlineStr">
        <is>
          <t>High (explicit)</t>
        </is>
      </c>
      <c r="I436" s="8" t="inlineStr"/>
      <c r="J436" s="8" t="inlineStr"/>
      <c r="K436" t="inlineStr"/>
      <c r="L436" s="8" t="inlineStr">
        <is>
          <t>Defines 'property' as any property or service derived from unlawful activities.</t>
        </is>
      </c>
      <c r="M436" s="8" t="inlineStr"/>
      <c r="N436"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436"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P436" s="10" t="inlineStr">
        <is>
          <t>Open PDF</t>
        </is>
      </c>
    </row>
    <row r="437">
      <c r="A437" t="inlineStr">
        <is>
          <t>South Africa</t>
        </is>
      </c>
      <c r="B437" t="inlineStr">
        <is>
          <t>FICA (Financial Intelligence Centre Act, 38 of 2001</t>
        </is>
      </c>
      <c r="C437" t="inlineStr">
        <is>
          <t>2</t>
        </is>
      </c>
      <c r="D437" s="8" t="inlineStr">
        <is>
          <t>In terms  of  section 1 of the  Prevention  Act,  this  term  means  "any  property</t>
        </is>
      </c>
      <c r="E437" t="inlineStr">
        <is>
          <t>2</t>
        </is>
      </c>
      <c r="F437" t="inlineStr">
        <is>
          <t>Definitions</t>
        </is>
      </c>
      <c r="G437" t="inlineStr">
        <is>
          <t>High</t>
        </is>
      </c>
      <c r="H437" t="inlineStr">
        <is>
          <t>High (explicit)</t>
        </is>
      </c>
      <c r="I437" s="8" t="inlineStr"/>
      <c r="J437" s="8" t="inlineStr"/>
      <c r="K437" t="inlineStr"/>
      <c r="L437" s="8" t="inlineStr">
        <is>
          <t>Defines 'property' as any property or service derived from unlawful activities.</t>
        </is>
      </c>
      <c r="M437" s="8" t="inlineStr"/>
      <c r="N437"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437"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P437" s="10" t="inlineStr">
        <is>
          <t>Open PDF</t>
        </is>
      </c>
    </row>
    <row r="438">
      <c r="A438" t="inlineStr">
        <is>
          <t>South Africa</t>
        </is>
      </c>
      <c r="B438" t="inlineStr">
        <is>
          <t>FICA (Financial Intelligence Centre Act, 38 of 2001</t>
        </is>
      </c>
      <c r="C438" t="inlineStr">
        <is>
          <t>2</t>
        </is>
      </c>
      <c r="D438" s="8" t="inlineStr">
        <is>
          <t>The substitution for section 7A of the following section:</t>
        </is>
      </c>
      <c r="E438" t="inlineStr">
        <is>
          <t>24</t>
        </is>
      </c>
      <c r="F438" t="inlineStr">
        <is>
          <t>Other</t>
        </is>
      </c>
      <c r="G438" t="inlineStr">
        <is>
          <t>High</t>
        </is>
      </c>
      <c r="H438" t="inlineStr">
        <is>
          <t>High (explicit)</t>
        </is>
      </c>
      <c r="I438" s="8" t="inlineStr"/>
      <c r="J438" s="8" t="inlineStr"/>
      <c r="K438" t="inlineStr"/>
      <c r="L438" s="8" t="inlineStr">
        <is>
          <t>Amends section 7A of Prevention of Organised Crime Act with additional defences for reporting obligations.</t>
        </is>
      </c>
      <c r="M438" s="8" t="inlineStr"/>
      <c r="N438" s="8" t="inlineStr">
        <is>
          <t>[May] Defence may be raised if person reported knowledge/suspicion under FICA
[May] Defence may be raised if person complied with internal reporting rules
[May] Defence may be raised if person reported to responsible person</t>
        </is>
      </c>
      <c r="O438" s="8" t="inlineStr">
        <is>
          <t>2. The substitution for section 7A of the following section: Defence 7A. (1) If a person is charged with committing an offence under section 2(1)(a) or (b), 4, 5 or 6, that person may raise as a defence the fact that he or she had reported a knowledge or suspicion in terms of section 29 of the Financial Intelligence Centre Act, 2001.</t>
        </is>
      </c>
      <c r="P438" s="10" t="inlineStr">
        <is>
          <t>Open PDF</t>
        </is>
      </c>
    </row>
    <row r="439">
      <c r="A439" t="inlineStr">
        <is>
          <t>South Africa</t>
        </is>
      </c>
      <c r="B439" t="inlineStr">
        <is>
          <t>FICA (Financial Intelligence Centre Act, 38 of 2001</t>
        </is>
      </c>
      <c r="C439" t="inlineStr">
        <is>
          <t>3</t>
        </is>
      </c>
      <c r="D439" s="8" t="inlineStr">
        <is>
          <t>(1) The principal objective of the  Centre  is  to assist in the identification of the</t>
        </is>
      </c>
      <c r="E439" t="inlineStr">
        <is>
          <t>1–2</t>
        </is>
      </c>
      <c r="F439" t="inlineStr">
        <is>
          <t>Definitions</t>
        </is>
      </c>
      <c r="G439" t="inlineStr">
        <is>
          <t>High</t>
        </is>
      </c>
      <c r="H439" t="inlineStr">
        <is>
          <t>High (explicit)</t>
        </is>
      </c>
      <c r="I439" s="8" t="inlineStr"/>
      <c r="J439" s="8" t="inlineStr"/>
      <c r="K439" t="inlineStr"/>
      <c r="L439" s="8" t="inlineStr">
        <is>
          <t>Defines 'money' as any movable, immovable, corporeal or incorporeal thing.</t>
        </is>
      </c>
      <c r="M439" s="8" t="inlineStr"/>
      <c r="N439" s="8" t="inlineStr">
        <is>
          <t>[Must] In terms of section 1 of the Prevention Act, this term means 'money or any other movable, immovable, corporeal or incorporeal thing, and includes any rights, privileges, claims and securities and any interest therein and all proceeds thereof'.</t>
        </is>
      </c>
      <c r="O439" s="8" t="inlineStr">
        <is>
          <t>3. In terms of section 1 of the Prevention Act, this term means 'money or any other movable, immovable, corporeal or incorporeal thing, and includes any rights, privileges, claims and securities and any interest therein and all proceeds thereof'.</t>
        </is>
      </c>
      <c r="P439" s="10" t="inlineStr">
        <is>
          <t>Open PDF</t>
        </is>
      </c>
    </row>
    <row r="440">
      <c r="A440" t="inlineStr">
        <is>
          <t>South Africa</t>
        </is>
      </c>
      <c r="B440" t="inlineStr">
        <is>
          <t>FICA (Financial Intelligence Centre Act, 38 of 2001</t>
        </is>
      </c>
      <c r="C440" t="inlineStr">
        <is>
          <t>3</t>
        </is>
      </c>
      <c r="D440" s="8" t="inlineStr">
        <is>
          <t>In terms of section 1 of the  Prevention  Act,  this t m n means  "money or any  other  movable,  immovable,</t>
        </is>
      </c>
      <c r="E440" t="inlineStr">
        <is>
          <t>2</t>
        </is>
      </c>
      <c r="F440" t="inlineStr">
        <is>
          <t>Definitions</t>
        </is>
      </c>
      <c r="G440" t="inlineStr">
        <is>
          <t>High</t>
        </is>
      </c>
      <c r="H440" t="inlineStr">
        <is>
          <t>High (explicit)</t>
        </is>
      </c>
      <c r="I440" s="8" t="inlineStr"/>
      <c r="J440" s="8" t="inlineStr"/>
      <c r="K440" t="inlineStr"/>
      <c r="L440" s="8" t="inlineStr">
        <is>
          <t>Defines 'money' as any movable, immovable, corporeal or incorporeal thing.</t>
        </is>
      </c>
      <c r="M440" s="8" t="inlineStr"/>
      <c r="N440" s="8" t="inlineStr">
        <is>
          <t>[Must] In terms of section 1 of the Prevention Act, this term means 'money or any other movable, immovable, corporeal or incorporeal thing, and includes any rights, privileges, claims and securities and any interest therein and all proceeds thereof'.</t>
        </is>
      </c>
      <c r="O440" s="8" t="inlineStr">
        <is>
          <t>3. In terms of section 1 of the Prevention Act, this term means 'money or any other movable, immovable, corporeal or incorporeal thing, and includes any rights, privileges, claims and securities and any interest therein and all proceeds thereof'.</t>
        </is>
      </c>
      <c r="P440" s="10" t="inlineStr">
        <is>
          <t>Open PDF</t>
        </is>
      </c>
    </row>
    <row r="441">
      <c r="A441" t="inlineStr">
        <is>
          <t>South Africa</t>
        </is>
      </c>
      <c r="B441" t="inlineStr">
        <is>
          <t>FICA (Financial Intelligence Centre Act, 38 of 2001</t>
        </is>
      </c>
      <c r="C441" t="inlineStr">
        <is>
          <t>4</t>
        </is>
      </c>
      <c r="D441" s="8" t="inlineStr">
        <is>
          <t>Ir terms  of  section I of the  Prevention  Act,  this  term  means  "conduct  which  constitutes  a  crime</t>
        </is>
      </c>
      <c r="E441" t="inlineStr">
        <is>
          <t>2</t>
        </is>
      </c>
      <c r="F441" t="inlineStr">
        <is>
          <t>Other</t>
        </is>
      </c>
      <c r="G441" t="inlineStr">
        <is>
          <t>High</t>
        </is>
      </c>
      <c r="H441" t="inlineStr">
        <is>
          <t>High (explicit)</t>
        </is>
      </c>
      <c r="I441" s="8" t="inlineStr">
        <is>
          <t>Processing, Data Sharing, Data Storage, Retention</t>
        </is>
      </c>
      <c r="J441" s="8" t="inlineStr">
        <is>
          <t>Financial Data</t>
        </is>
      </c>
      <c r="K441" t="inlineStr"/>
      <c r="L441" s="8" t="inlineStr">
        <is>
          <t>Centre must process, analyse information, inform authorities, monitor compliance, and retain information.</t>
        </is>
      </c>
      <c r="M441" s="8" t="inlineStr">
        <is>
          <t>Centre must process, analyse information disclosed to it, inform authorities, monitor compliance, and retain information.</t>
        </is>
      </c>
      <c r="N441"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441"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c r="P441" s="10" t="inlineStr">
        <is>
          <t>Open PDF</t>
        </is>
      </c>
    </row>
    <row r="442">
      <c r="A442" t="inlineStr">
        <is>
          <t>South Africa</t>
        </is>
      </c>
      <c r="B442" t="inlineStr">
        <is>
          <t>FICA (Financial Intelligence Centre Act, 38 of 2001</t>
        </is>
      </c>
      <c r="C442" t="inlineStr">
        <is>
          <t>4</t>
        </is>
      </c>
      <c r="D442" s="8" t="inlineStr">
        <is>
          <t>To achieve its objectives the Centre  must-</t>
        </is>
      </c>
      <c r="E442" t="inlineStr">
        <is>
          <t>2</t>
        </is>
      </c>
      <c r="F442" t="inlineStr">
        <is>
          <t>Other</t>
        </is>
      </c>
      <c r="G442" t="inlineStr">
        <is>
          <t>High</t>
        </is>
      </c>
      <c r="H442" t="inlineStr">
        <is>
          <t>High (explicit)</t>
        </is>
      </c>
      <c r="I442" s="8" t="inlineStr">
        <is>
          <t>Processing, Data Sharing, Data Storage, Retention</t>
        </is>
      </c>
      <c r="J442" s="8" t="inlineStr">
        <is>
          <t>Financial Data</t>
        </is>
      </c>
      <c r="K442" t="inlineStr"/>
      <c r="L442" s="8" t="inlineStr">
        <is>
          <t>Centre must process, analyse information, inform authorities, monitor compliance, and retain information.</t>
        </is>
      </c>
      <c r="M442" s="8" t="inlineStr">
        <is>
          <t>Centre must process, analyse information disclosed to it, inform authorities, monitor compliance, and retain information.</t>
        </is>
      </c>
      <c r="N442"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442"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c r="P442" s="10" t="inlineStr">
        <is>
          <t>Open PDF</t>
        </is>
      </c>
    </row>
    <row r="443">
      <c r="A443" t="inlineStr">
        <is>
          <t>South Africa</t>
        </is>
      </c>
      <c r="B443" t="inlineStr">
        <is>
          <t>FICA (Financial Intelligence Centre Act, 38 of 2001</t>
        </is>
      </c>
      <c r="C443" t="inlineStr">
        <is>
          <t>4</t>
        </is>
      </c>
      <c r="D443" s="8" t="inlineStr">
        <is>
          <t>The amendment of section 77-</t>
        </is>
      </c>
      <c r="E443" t="inlineStr">
        <is>
          <t>25</t>
        </is>
      </c>
      <c r="F443" t="inlineStr">
        <is>
          <t>Other</t>
        </is>
      </c>
      <c r="G443" t="inlineStr">
        <is>
          <t>High</t>
        </is>
      </c>
      <c r="H443" t="inlineStr">
        <is>
          <t>High (explicit)</t>
        </is>
      </c>
      <c r="I443" s="8" t="inlineStr"/>
      <c r="J443" s="8" t="inlineStr"/>
      <c r="K443" t="inlineStr"/>
      <c r="L443" s="8" t="inlineStr">
        <is>
          <t>Amends section 77 of FICA by deleting specific regulatory provisions.</t>
        </is>
      </c>
      <c r="M443" s="8" t="inlineStr"/>
      <c r="N443" s="8" t="inlineStr">
        <is>
          <t>[Must] Deletion from subsection (1) of paragraph (b) of section 77
[Must] Deletion from subsection (1) of paragraph (c) of section 77</t>
        </is>
      </c>
      <c r="O443" s="8" t="inlineStr">
        <is>
          <t>4. The amendment of section 77- 3.1 by the deletion from subsection (1) of paragraph (b); and 3.2 by the deletion from subsection (1) of paragraph (c).</t>
        </is>
      </c>
      <c r="P443" s="10" t="inlineStr">
        <is>
          <t>Open PDF</t>
        </is>
      </c>
    </row>
    <row r="444">
      <c r="A444" t="inlineStr">
        <is>
          <t>South Africa</t>
        </is>
      </c>
      <c r="B444" t="inlineStr">
        <is>
          <t>FICA (Financial Intelligence Centre Act, 38 of 2001</t>
        </is>
      </c>
      <c r="C444" t="inlineStr">
        <is>
          <t>5</t>
        </is>
      </c>
      <c r="D444" s="8" t="inlineStr">
        <is>
          <t>(1) The  Centre may do all that  is necessary  or  expedient to  perform  its functions</t>
        </is>
      </c>
      <c r="E444" t="inlineStr">
        <is>
          <t>2–3</t>
        </is>
      </c>
      <c r="F444" t="inlineStr">
        <is>
          <t>Other</t>
        </is>
      </c>
      <c r="G444" t="inlineStr">
        <is>
          <t>High</t>
        </is>
      </c>
      <c r="H444" t="inlineStr">
        <is>
          <t>High (explicit)</t>
        </is>
      </c>
      <c r="I444" s="8" t="inlineStr">
        <is>
          <t>Cloud Services, Financial Data</t>
        </is>
      </c>
      <c r="J444" s="8" t="inlineStr">
        <is>
          <t>Financial Data</t>
        </is>
      </c>
      <c r="K444" t="inlineStr"/>
      <c r="L444" s="8" t="inlineStr">
        <is>
          <t>Centre may do all necessary actions to perform functions, including staff management and banking.</t>
        </is>
      </c>
      <c r="M444" s="8" t="inlineStr">
        <is>
          <t>Centre may determine staff establishment, appoint employees, obtain services, acquire property, open bank accounts, insure itself, perform legal acts, engage in lawful activities, and do incidental acts.</t>
        </is>
      </c>
      <c r="N444" s="8" t="inlineStr">
        <is>
          <t>[Must] determine its own staff establishment and the terms and conditions of employment for its staff within a policy framework determined by the Minister
[Must] appoint employees and seconded personnel to posts on its staff establishment
[Must] obtain the services of any person by agreement, including any state department, functionary or institution, to perform any specific act or function
[Must] acquire or dispose of any right in or to property, but rights in respect of immovable property may be acquired or disposed of only with the consent of the Minister
[Must] open and operate its own bank accounts, subject to the Public Finance Management Act, 1999
[Must] insure itself against any loss, damage, risk or liability
[Must] perform legal acts or institute or defend any legal action in its own name
[Must] engage in any lawful activity, whether alone or together with any other organisation in the Republic or elsewhere, aimed at promoting its objectives
[Must] do anything that is incidental to the exercise of any of its powers</t>
        </is>
      </c>
      <c r="O444" s="8" t="inlineStr">
        <is>
          <t>5. (1) The Centre may do all that is necessary or expedient to perform its functions effectively, which includes the power to-- (a) determine its own staff establishment and the terms and conditions of employment for its staff within a policy framework determined by the Minister; (b) appoint employees and seconded personnel to posts on its staff establishment; (c) obtain the services of any person by agreement, including any state department, functionary or institution, to perform any specific act or function; (d) acquire or dispose of any right in or to property, but rights in respect of immovable property may be acquired or disposed of only with the consent of the Minister; (e) open and operate its own bank accounts, subject to the Public Finance Management Act, 1999; (f) insure itself against any loss, damage, risk or liability; (g) perform legal acts or institute or defend any legal action in its own name; (h) engage in any lawful activity, whether alone or together with any other organisation in the Republic or elsewhere, aimed at promoting its objectives; (i) do anything that is incidental to the exercise of any of its powers.</t>
        </is>
      </c>
      <c r="P444" s="10" t="inlineStr">
        <is>
          <t>Open PDF</t>
        </is>
      </c>
    </row>
    <row r="445">
      <c r="A445" t="inlineStr">
        <is>
          <t>South Africa</t>
        </is>
      </c>
      <c r="B445" t="inlineStr">
        <is>
          <t>FICA (Financial Intelligence Centre Act, 38 of 2001</t>
        </is>
      </c>
      <c r="C445" t="inlineStr">
        <is>
          <t>7</t>
        </is>
      </c>
      <c r="D445" s="8" t="inlineStr">
        <is>
          <t>(1) The  Minister may remove  the  Director  from</t>
        </is>
      </c>
      <c r="E445" t="inlineStr">
        <is>
          <t>3</t>
        </is>
      </c>
      <c r="F445" t="inlineStr">
        <is>
          <t>Other</t>
        </is>
      </c>
      <c r="G445" t="inlineStr">
        <is>
          <t>High</t>
        </is>
      </c>
      <c r="H445" t="inlineStr">
        <is>
          <t>High (explicit)</t>
        </is>
      </c>
      <c r="I445" s="8" t="inlineStr"/>
      <c r="J445" s="8" t="inlineStr"/>
      <c r="K445" t="inlineStr"/>
      <c r="L445" s="8" t="inlineStr">
        <is>
          <t>Minister may remove Director from office on grounds of misconduct, incapacity or incompetence.</t>
        </is>
      </c>
      <c r="M445" s="8" t="inlineStr">
        <is>
          <t>Minister may remove Director from office on grounds of misconduct, incapacity or incompetence.</t>
        </is>
      </c>
      <c r="N445" s="8" t="inlineStr">
        <is>
          <t>[Must] The Minister may remove the Director from office only on the grounds referred to in section 13 or on the grounds of misconduct, incapacity or incompetence</t>
        </is>
      </c>
      <c r="O445" s="8" t="inlineStr">
        <is>
          <t>7. (1) The Minister may remove the Director from office only on the grounds referred to in section 13 or on the grounds of misconduct, incapacity or incompetence.</t>
        </is>
      </c>
      <c r="P445" s="10" t="inlineStr">
        <is>
          <t>Open PDF</t>
        </is>
      </c>
    </row>
    <row r="446">
      <c r="A446" t="inlineStr">
        <is>
          <t>South Africa</t>
        </is>
      </c>
      <c r="B446" t="inlineStr">
        <is>
          <t>FICA (Financial Intelligence Centre Act, 38 of 2001</t>
        </is>
      </c>
      <c r="C446" t="inlineStr">
        <is>
          <t>9</t>
        </is>
      </c>
      <c r="D446" s="8" t="inlineStr">
        <is>
          <t>If the Minister has given notice in the Gazette of any  appointment of a person as the</t>
        </is>
      </c>
      <c r="E446" t="inlineStr">
        <is>
          <t>3</t>
        </is>
      </c>
      <c r="F446" t="inlineStr">
        <is>
          <t>Other</t>
        </is>
      </c>
      <c r="G446" t="inlineStr">
        <is>
          <t>High</t>
        </is>
      </c>
      <c r="H446" t="inlineStr">
        <is>
          <t>High (explicit)</t>
        </is>
      </c>
      <c r="I446" s="8" t="inlineStr"/>
      <c r="J446" s="8" t="inlineStr"/>
      <c r="K446" t="inlineStr"/>
      <c r="L446" s="8" t="inlineStr">
        <is>
          <t>Gazette notice of appointment serves as proof of appointment.</t>
        </is>
      </c>
      <c r="M446" s="8" t="inlineStr">
        <is>
          <t>Gazette notice of appointment may be presented in court as proof of appointment.</t>
        </is>
      </c>
      <c r="N446" s="8" t="inlineStr">
        <is>
          <t>[Must] If the Minister has given notice in the Gazette of any appointment of a person as the Director or as acting director, this notice may be presented in a Court as proof of the appointment</t>
        </is>
      </c>
      <c r="O446" s="8" t="inlineStr">
        <is>
          <t>9. If the Minister has given notice in the Gazette of any appointment of a person as the Director or as acting director, this notice may be presented in a Court as proof of the appointment.</t>
        </is>
      </c>
      <c r="P446" s="10" t="inlineStr">
        <is>
          <t>Open PDF</t>
        </is>
      </c>
    </row>
    <row r="447">
      <c r="A447" t="inlineStr">
        <is>
          <t>South Africa</t>
        </is>
      </c>
      <c r="B447" t="inlineStr">
        <is>
          <t>FICA (Financial Intelligence Centre Act, 38 of 2001</t>
        </is>
      </c>
      <c r="C447" t="inlineStr">
        <is>
          <t>10</t>
        </is>
      </c>
      <c r="D447" s="8" t="inlineStr">
        <is>
          <t>(1) The Director-</t>
        </is>
      </c>
      <c r="E447" t="inlineStr">
        <is>
          <t>3–4</t>
        </is>
      </c>
      <c r="F447" t="inlineStr">
        <is>
          <t>Other</t>
        </is>
      </c>
      <c r="G447" t="inlineStr">
        <is>
          <t>Unknown</t>
        </is>
      </c>
      <c r="H447" t="inlineStr">
        <is>
          <t>Low</t>
        </is>
      </c>
      <c r="I447" s="8" t="inlineStr"/>
      <c r="J447" s="8" t="inlineStr"/>
      <c r="K447" t="inlineStr"/>
      <c r="L447" s="8" t="inlineStr"/>
      <c r="M447" s="8" t="inlineStr"/>
      <c r="N447" s="8" t="inlineStr"/>
      <c r="O447" s="8" t="inlineStr"/>
      <c r="P447" s="10" t="inlineStr">
        <is>
          <t>Open PDF</t>
        </is>
      </c>
    </row>
    <row r="448">
      <c r="A448" t="inlineStr">
        <is>
          <t>South Africa</t>
        </is>
      </c>
      <c r="B448" t="inlineStr">
        <is>
          <t>FICA (Financial Intelligence Centre Act, 38 of 2001</t>
        </is>
      </c>
      <c r="C448" t="inlineStr">
        <is>
          <t>11</t>
        </is>
      </c>
      <c r="D448" s="8" t="inlineStr">
        <is>
          <t>(1) The staff of the  Centre consists (of-</t>
        </is>
      </c>
      <c r="E448" t="inlineStr">
        <is>
          <t>4</t>
        </is>
      </c>
      <c r="F448" t="inlineStr">
        <is>
          <t>Other</t>
        </is>
      </c>
      <c r="G448" t="inlineStr">
        <is>
          <t>Unknown</t>
        </is>
      </c>
      <c r="H448" t="inlineStr">
        <is>
          <t>Low</t>
        </is>
      </c>
      <c r="I448" s="8" t="inlineStr"/>
      <c r="J448" s="8" t="inlineStr"/>
      <c r="K448" t="inlineStr"/>
      <c r="L448" s="8" t="inlineStr"/>
      <c r="M448" s="8" t="inlineStr"/>
      <c r="N448" s="8" t="inlineStr"/>
      <c r="O448" s="8" t="inlineStr"/>
      <c r="P448" s="10" t="inlineStr">
        <is>
          <t>Open PDF</t>
        </is>
      </c>
    </row>
    <row r="449">
      <c r="A449" t="inlineStr">
        <is>
          <t>South Africa</t>
        </is>
      </c>
      <c r="B449" t="inlineStr">
        <is>
          <t>FICA (Financial Intelligence Centre Act, 38 of 2001</t>
        </is>
      </c>
      <c r="C449" t="inlineStr">
        <is>
          <t>12</t>
        </is>
      </c>
      <c r="D449" s="8" t="inlineStr">
        <is>
          <t>(1) No person  other than the Director  may be  appointed or  seconded  to  perform</t>
        </is>
      </c>
      <c r="E449" t="inlineStr">
        <is>
          <t>4</t>
        </is>
      </c>
      <c r="F449" t="inlineStr">
        <is>
          <t>Other</t>
        </is>
      </c>
      <c r="G449" t="inlineStr">
        <is>
          <t>Unknown</t>
        </is>
      </c>
      <c r="H449" t="inlineStr">
        <is>
          <t>Low</t>
        </is>
      </c>
      <c r="I449" s="8" t="inlineStr"/>
      <c r="J449" s="8" t="inlineStr"/>
      <c r="K449" t="inlineStr"/>
      <c r="L449" s="8" t="inlineStr"/>
      <c r="M449" s="8" t="inlineStr"/>
      <c r="N449" s="8" t="inlineStr"/>
      <c r="O449" s="8" t="inlineStr"/>
      <c r="P449" s="10" t="inlineStr">
        <is>
          <t>Open PDF</t>
        </is>
      </c>
    </row>
    <row r="450">
      <c r="A450" t="inlineStr">
        <is>
          <t>South Africa</t>
        </is>
      </c>
      <c r="B450" t="inlineStr">
        <is>
          <t>FICA (Financial Intelligence Centre Act, 38 of 2001</t>
        </is>
      </c>
      <c r="C450" t="inlineStr">
        <is>
          <t>13</t>
        </is>
      </c>
      <c r="D450" s="8" t="inlineStr">
        <is>
          <t>(1) No person  may be appointed a:$ the Director  of the Centre unless-</t>
        </is>
      </c>
      <c r="E450" t="inlineStr">
        <is>
          <t>4–5</t>
        </is>
      </c>
      <c r="F450" t="inlineStr">
        <is>
          <t>Other</t>
        </is>
      </c>
      <c r="G450" t="inlineStr">
        <is>
          <t>Unknown</t>
        </is>
      </c>
      <c r="H450" t="inlineStr">
        <is>
          <t>Low</t>
        </is>
      </c>
      <c r="I450" s="8" t="inlineStr"/>
      <c r="J450" s="8" t="inlineStr"/>
      <c r="K450" t="inlineStr"/>
      <c r="L450" s="8" t="inlineStr"/>
      <c r="M450" s="8" t="inlineStr"/>
      <c r="N450" s="8" t="inlineStr"/>
      <c r="O450" s="8" t="inlineStr"/>
      <c r="P450" s="10" t="inlineStr">
        <is>
          <t>Open PDF</t>
        </is>
      </c>
    </row>
    <row r="451">
      <c r="A451" t="inlineStr">
        <is>
          <t>South Africa</t>
        </is>
      </c>
      <c r="B451" t="inlineStr">
        <is>
          <t>FICA (Financial Intelligence Centre Act, 38 of 2001</t>
        </is>
      </c>
      <c r="C451" t="inlineStr">
        <is>
          <t>14</t>
        </is>
      </c>
      <c r="D451" s="8" t="inlineStr">
        <is>
          <t>(1) The  funds of the  Centre consist of-</t>
        </is>
      </c>
      <c r="E451" t="inlineStr">
        <is>
          <t>5</t>
        </is>
      </c>
      <c r="F451" t="inlineStr">
        <is>
          <t>Other</t>
        </is>
      </c>
      <c r="G451" t="inlineStr">
        <is>
          <t>High</t>
        </is>
      </c>
      <c r="H451" t="inlineStr">
        <is>
          <t>High (explicit)</t>
        </is>
      </c>
      <c r="I451" s="8" t="inlineStr"/>
      <c r="J451" s="8" t="inlineStr">
        <is>
          <t>Financial Data</t>
        </is>
      </c>
      <c r="K451" t="inlineStr"/>
      <c r="L451" s="8" t="inlineStr">
        <is>
          <t>Centre's funds consist of parliamentary appropriations, government grants, and legally acquired money.</t>
        </is>
      </c>
      <c r="M451" s="8" t="inlineStr">
        <is>
          <t>Centre's funds consist of money appropriated annually by Parliament, government grants, and other money legally acquired with Minister's approval.</t>
        </is>
      </c>
      <c r="N451" s="8" t="inlineStr">
        <is>
          <t>[Must] money appropriated annually by Parliament for the purposes of the Centre
[Must] any government grants made to it
[Must] any other money legally acquired by it, provided that the Centre may accept donations only with the prior written approval of the Minister</t>
        </is>
      </c>
      <c r="O451" s="8" t="inlineStr">
        <is>
          <t>14. (1) The funds of the Centre consist of- (a) money appropriated annually by Parliament for the purposes of the Centre; (b) any government grants made to it; and (c) any other money legally acquired by it, provided that the Centre may accept donations only with the prior written approval of the Minister.</t>
        </is>
      </c>
      <c r="P451" s="10" t="inlineStr">
        <is>
          <t>Open PDF</t>
        </is>
      </c>
    </row>
    <row r="452">
      <c r="A452" t="inlineStr">
        <is>
          <t>South Africa</t>
        </is>
      </c>
      <c r="B452" t="inlineStr">
        <is>
          <t>FICA (Financial Intelligence Centre Act, 38 of 2001</t>
        </is>
      </c>
      <c r="C452" t="inlineStr">
        <is>
          <t>15</t>
        </is>
      </c>
      <c r="D452" s="8" t="inlineStr">
        <is>
          <t>The Auditor-General  must audit and report on the  accounts and financial records</t>
        </is>
      </c>
      <c r="E452" t="inlineStr">
        <is>
          <t>5</t>
        </is>
      </c>
      <c r="F452" t="inlineStr">
        <is>
          <t>Other</t>
        </is>
      </c>
      <c r="G452" t="inlineStr">
        <is>
          <t>High</t>
        </is>
      </c>
      <c r="H452" t="inlineStr">
        <is>
          <t>High (explicit)</t>
        </is>
      </c>
      <c r="I452" s="8" t="inlineStr"/>
      <c r="J452" s="8" t="inlineStr">
        <is>
          <t>Financial Data</t>
        </is>
      </c>
      <c r="K452" t="inlineStr"/>
      <c r="L452" s="8" t="inlineStr">
        <is>
          <t>Auditor-General must audit and report on Centre's accounts and financial records.</t>
        </is>
      </c>
      <c r="M452" s="8" t="inlineStr">
        <is>
          <t>Auditor-General must audit and report on Centre's accounts and financial records.</t>
        </is>
      </c>
      <c r="N452" s="8" t="inlineStr">
        <is>
          <t>[Must] The Auditor-General must audit and report on the accounts and financial records of the Centre</t>
        </is>
      </c>
      <c r="O452" s="8" t="inlineStr">
        <is>
          <t>15. The Auditor-General must audit and report on the accounts and financial records of the Centre.</t>
        </is>
      </c>
      <c r="P452" s="10" t="inlineStr">
        <is>
          <t>Open PDF</t>
        </is>
      </c>
    </row>
    <row r="453">
      <c r="A453" t="inlineStr">
        <is>
          <t>South Africa</t>
        </is>
      </c>
      <c r="B453" t="inlineStr">
        <is>
          <t>FICA (Financial Intelligence Centre Act, 38 of 2001</t>
        </is>
      </c>
      <c r="C453" t="inlineStr">
        <is>
          <t>16</t>
        </is>
      </c>
      <c r="D453" s="8" t="inlineStr">
        <is>
          <t>(1) The Director may-</t>
        </is>
      </c>
      <c r="E453" t="inlineStr">
        <is>
          <t>5</t>
        </is>
      </c>
      <c r="F453" t="inlineStr">
        <is>
          <t>Other</t>
        </is>
      </c>
      <c r="G453" t="inlineStr">
        <is>
          <t>High</t>
        </is>
      </c>
      <c r="H453" t="inlineStr">
        <is>
          <t>High (explicit)</t>
        </is>
      </c>
      <c r="I453" s="8" t="inlineStr"/>
      <c r="J453" s="8" t="inlineStr">
        <is>
          <t>Financial Data</t>
        </is>
      </c>
      <c r="K453" t="inlineStr"/>
      <c r="L453" s="8" t="inlineStr">
        <is>
          <t>Director may delegate powers to staff or instruct staff to perform functions.</t>
        </is>
      </c>
      <c r="M453" s="8" t="inlineStr">
        <is>
          <t>Director may delegate powers to staff or instruct staff to perform functions, with conditions.</t>
        </is>
      </c>
      <c r="N453" s="8" t="inlineStr">
        <is>
          <t>[Must] delegate, in writing, any of the powers entrusted to the Centre in terms of this Act to a member of the staff of the Centre
[Must] instruct a member of the staff to perform any of the functions assigned to the Centre in terms of this Act</t>
        </is>
      </c>
      <c r="O453" s="8" t="inlineStr">
        <is>
          <t>16. (1) The Director may- (a) delegate, in writing, any of the powers entrusted to the Centre in terms of this Act to a member of the staff of the Centre; or (b) instruct a member of the staff to perform any of the functions assigned to the Centre in terms of this Act.</t>
        </is>
      </c>
      <c r="P453" s="10" t="inlineStr">
        <is>
          <t>Open PDF</t>
        </is>
      </c>
    </row>
    <row r="454">
      <c r="A454" t="inlineStr">
        <is>
          <t>South Africa</t>
        </is>
      </c>
      <c r="B454" t="inlineStr">
        <is>
          <t>FICA (Financial Intelligence Centre Act, 38 of 2001</t>
        </is>
      </c>
      <c r="C454" t="inlineStr">
        <is>
          <t>18</t>
        </is>
      </c>
      <c r="D454" s="8" t="inlineStr">
        <is>
          <t>(1) The  Council  must-</t>
        </is>
      </c>
      <c r="E454" t="inlineStr">
        <is>
          <t>5–6</t>
        </is>
      </c>
      <c r="F454" t="inlineStr">
        <is>
          <t>Other</t>
        </is>
      </c>
      <c r="G454" t="inlineStr">
        <is>
          <t>High</t>
        </is>
      </c>
      <c r="H454" t="inlineStr">
        <is>
          <t>High (explicit)</t>
        </is>
      </c>
      <c r="I454" s="8" t="inlineStr">
        <is>
          <t>Data Sharing</t>
        </is>
      </c>
      <c r="J454" s="8" t="inlineStr">
        <is>
          <t>Financial Data</t>
        </is>
      </c>
      <c r="K454" t="inlineStr"/>
      <c r="L454" s="8" t="inlineStr">
        <is>
          <t>Council must advise Minister on policies, best practices, and Centre's performance.</t>
        </is>
      </c>
      <c r="M454" s="8" t="inlineStr">
        <is>
          <t>Council must advise Minister on policies and best practices to identify proceeds of unlawful activities, exercise powers of Minister, and Centre's performance.</t>
        </is>
      </c>
      <c r="N454" s="8" t="inlineStr">
        <is>
          <t>[Must] on the Minister's request or at its own initiative, advise the Minister on policies and best practices to identify the proceeds of unlawful activities
[Must] advise the Minister on the exercise by the Minister of the powers entrusted to the Minister in terms of this Act
[Must] advise the Centre concerning the performance by the Centre of its functions
[Must] act as a forum in which the Centre, associations representing categories of accountable institutions, organs of state and supervisory bodies can consult one another</t>
        </is>
      </c>
      <c r="O454" s="8" t="inlineStr">
        <is>
          <t>18. (1) The Council must- (a) on the Minister's request or at its own initiative, advise the Minister on- (i) policies and best practices to identify the proceeds of unlawful activities; (ii) the exercise by the Minister of the powers entrusted to the Minister in terms of this Act; (b) advise the Centre concerning the performance by the Centre of its functions; and (c) act as a forum in which the Centre, associations representing categories of accountable institutions, organs of state and supervisory bodies can consult one another.</t>
        </is>
      </c>
      <c r="P454" s="10" t="inlineStr">
        <is>
          <t>Open PDF</t>
        </is>
      </c>
    </row>
    <row r="455">
      <c r="A455" t="inlineStr">
        <is>
          <t>South Africa</t>
        </is>
      </c>
      <c r="B455" t="inlineStr">
        <is>
          <t>FICA (Financial Intelligence Centre Act, 38 of 2001</t>
        </is>
      </c>
      <c r="C455" t="inlineStr">
        <is>
          <t>19</t>
        </is>
      </c>
      <c r="D455" s="8" t="inlineStr">
        <is>
          <t>(1) The Council consists of the Director  and each of the  following, namely-</t>
        </is>
      </c>
      <c r="E455" t="inlineStr">
        <is>
          <t>6</t>
        </is>
      </c>
      <c r="F455" t="inlineStr">
        <is>
          <t>Other</t>
        </is>
      </c>
      <c r="G455" t="inlineStr">
        <is>
          <t>High</t>
        </is>
      </c>
      <c r="H455" t="inlineStr">
        <is>
          <t>High (explicit)</t>
        </is>
      </c>
      <c r="I455" s="8" t="inlineStr"/>
      <c r="J455" s="8" t="inlineStr"/>
      <c r="K455" t="inlineStr"/>
      <c r="L455" s="8" t="inlineStr">
        <is>
          <t>Council consists of Director and specified representatives from government bodies and institutions.</t>
        </is>
      </c>
      <c r="M455" s="8" t="inlineStr">
        <is>
          <t>Council consists of Director and representatives from National Treasury, Police Service, Justice Department, Public Prosecutions, Intelligence Agency, Secret Service, Reserve Bank, Revenue Service, accountable institutions, and supervisory bodies.</t>
        </is>
      </c>
      <c r="N455" s="8" t="inlineStr">
        <is>
          <t>[Must] The Council consists of the Director and each of the following: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persons representing supervisory bodies; and any other persons or bodies requested by the Minister</t>
        </is>
      </c>
      <c r="O455" s="8" t="inlineStr">
        <is>
          <t>19. (1) The Council consists of the Director and each of the following, namely-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requested by the Minister to nominate representatives; persons representing supervisory bodies requested by the Minister to nominate representatives; and any other persons or bodies requested by the Minister to nominate representatives.</t>
        </is>
      </c>
      <c r="P455" s="10" t="inlineStr">
        <is>
          <t>Open PDF</t>
        </is>
      </c>
    </row>
    <row r="456">
      <c r="A456" t="inlineStr">
        <is>
          <t>South Africa</t>
        </is>
      </c>
      <c r="B456" t="inlineStr">
        <is>
          <t>FICA (Financial Intelligence Centre Act, 38 of 2001</t>
        </is>
      </c>
      <c r="C456" t="inlineStr">
        <is>
          <t>19</t>
        </is>
      </c>
      <c r="D456" s="8" t="inlineStr">
        <is>
          <t>An  attorney  as  defined in the Attorneys Act, 1979 (Act 53 of 1979).</t>
        </is>
      </c>
      <c r="E456" t="inlineStr">
        <is>
          <t>23–24</t>
        </is>
      </c>
      <c r="F456" t="inlineStr">
        <is>
          <t>Definitions</t>
        </is>
      </c>
      <c r="G456" t="inlineStr">
        <is>
          <t>High</t>
        </is>
      </c>
      <c r="H456" t="inlineStr">
        <is>
          <t>High (explicit)</t>
        </is>
      </c>
      <c r="I456" s="8" t="inlineStr"/>
      <c r="J456" s="8" t="inlineStr"/>
      <c r="K456" t="inlineStr"/>
      <c r="L456" s="8" t="inlineStr">
        <is>
          <t>Defines accountable institutions under FICA, including banks, insurance companies, and other financial entities.</t>
        </is>
      </c>
      <c r="M456" s="8" t="inlineStr"/>
      <c r="N456" s="8" t="inlineStr">
        <is>
          <t>[Must] Accountable institutions include banks, insurance companies, and other financial entities</t>
        </is>
      </c>
      <c r="O456" s="8" t="inlineStr">
        <is>
          <t>19. An attorney as defined in the Attorneys Act, 1979 (Act 53 of 1979). A person who carries on the business of a bank as defined in the Banks Act, 1990 (Act 94 of 1990).</t>
        </is>
      </c>
      <c r="P456" s="10" t="inlineStr">
        <is>
          <t>Open PDF</t>
        </is>
      </c>
    </row>
    <row r="457">
      <c r="A457" t="inlineStr">
        <is>
          <t>South Africa</t>
        </is>
      </c>
      <c r="B457" t="inlineStr">
        <is>
          <t>FICA (Financial Intelligence Centre Act, 38 of 2001</t>
        </is>
      </c>
      <c r="C457" t="inlineStr">
        <is>
          <t>20</t>
        </is>
      </c>
      <c r="D457" s="8" t="inlineStr">
        <is>
          <t>(1) The chairperson of the  Council may call  a  meeting of the Council, but  must</t>
        </is>
      </c>
      <c r="E457" t="inlineStr">
        <is>
          <t>6–7</t>
        </is>
      </c>
      <c r="F457" t="inlineStr">
        <is>
          <t>Other</t>
        </is>
      </c>
      <c r="G457" t="inlineStr">
        <is>
          <t>Low</t>
        </is>
      </c>
      <c r="H457" t="inlineStr">
        <is>
          <t>High (explicit)</t>
        </is>
      </c>
      <c r="I457" s="8" t="inlineStr"/>
      <c r="J457" s="8" t="inlineStr"/>
      <c r="K457" t="inlineStr">
        <is>
          <t>Minister</t>
        </is>
      </c>
      <c r="L457" s="8" t="inlineStr">
        <is>
          <t>Chairperson may call Council meetings but must call a meeting if Minister requests.</t>
        </is>
      </c>
      <c r="M457" s="8" t="inlineStr"/>
      <c r="N457" s="8" t="inlineStr">
        <is>
          <t>[Must] The chairperson of the Council may call a meeting of the Council, but must call a meeting if the Minister so requests.</t>
        </is>
      </c>
      <c r="O457" s="8" t="inlineStr">
        <is>
          <t>20. (1) The chairperson of the Council may call a meeting of the Council, but must call a meeting if the Minister so requests.</t>
        </is>
      </c>
      <c r="P457" s="10" t="inlineStr">
        <is>
          <t>Open PDF</t>
        </is>
      </c>
    </row>
    <row r="458">
      <c r="A458" t="inlineStr">
        <is>
          <t>South Africa</t>
        </is>
      </c>
      <c r="B458" t="inlineStr">
        <is>
          <t>FICA (Financial Intelligence Centre Act, 38 of 2001</t>
        </is>
      </c>
      <c r="C458" t="inlineStr">
        <is>
          <t>22</t>
        </is>
      </c>
      <c r="D458" s="8" t="inlineStr">
        <is>
          <t>(1) Whenever an accountable institution establishes a business relationship or</t>
        </is>
      </c>
      <c r="E458" t="inlineStr">
        <is>
          <t>7–8</t>
        </is>
      </c>
      <c r="F458" t="inlineStr">
        <is>
          <t>KYC</t>
        </is>
      </c>
      <c r="G458" t="inlineStr">
        <is>
          <t>High</t>
        </is>
      </c>
      <c r="H458" t="inlineStr">
        <is>
          <t>High (explicit)</t>
        </is>
      </c>
      <c r="I458" s="8" t="inlineStr">
        <is>
          <t>Record Keeping</t>
        </is>
      </c>
      <c r="J458" s="8" t="inlineStr">
        <is>
          <t>Personal Information</t>
        </is>
      </c>
      <c r="K458" t="inlineStr">
        <is>
          <t>Accountable institutions</t>
        </is>
      </c>
      <c r="L458" s="8" t="inlineStr">
        <is>
          <t>Accountable institutions must keep records of client identity, business relationships, transactions, and related details.</t>
        </is>
      </c>
      <c r="M458" s="8" t="inlineStr">
        <is>
          <t>Mandatory record-keeping of client identity and transaction details for financial institutions.</t>
        </is>
      </c>
      <c r="N458" s="8" t="inlineStr">
        <is>
          <t>[Must] Whenever an accountable institution establishes a business relationship or concludes a transaction with a client, the accountable institution must keep record of the identity of the client.
[Must] If the client is acting on behalf of another person, the accountable institution must keep record of the identity of that person and the client's authority to act on behalf of that person.
[Must] If another person is acting on behalf of the client, the accountable institution must keep record of the identity of that person and that person's authority to act on behalf of the client.
[Must] The accountable institution must keep record of the manner in which the identity of the persons referred to in paragraphs (a), (b) and (c) was established.
[Must] The accountable institution must keep record of the nature of that business relationship or transaction.
[Must] In the case of a transaction, the accountable institution must keep record of the amount involved and the parties to that transaction.
[Must] The accountable institution must keep record of all accounts involved in transactions concluded by the accountable institution in the course of that business relationship.
[Must] The accountable institution must keep record of all accounts involved in that single transaction.
[Must] The accountable institution must keep record of the name of the person who obtained the information referred to in paragraphs (a), (b) and (c) on behalf of the accountable institution.
[Must] The accountable institution must keep record of any document or copy of a document obtained by the accountable institution in order to verify a person's identity in terms of section 21(1) or (2).</t>
        </is>
      </c>
      <c r="O458" s="8" t="inlineStr">
        <is>
          <t>22. (1) Whenever an accountable institution establishes a business relationship or concludes a transaction with a client, whether the transaction is a single transaction or concluded in the course of a business relationship which that accountable institution has with the client, the accountable institution must keep record of- the identity of the client; if the client is acting on behalf of another person- (i) the identity of the person on whose behalf the client is acting; and (ii) the client's authority to act on behalf of that other person; if another person is acting on behalf of the client- (i) the identity of that other person; and (ii) that other person's authority to act on behalf of the client; the manner in which the identity of the persons referred to in paragraphs (a), (b) and (c) was established; the nature of that business relationship or transaction; in the case of a transaction- (i) the amount involved; and (ii) the parties to that transaction; all accounts that are involved in- (i) transactions concluded by that accountable institution in the course of that business relationship; and (ii) that single transaction; the name of the person who obtained the information referred to in paragraphs (a), (b) and (c) on behalf of the accountable institution; and any document or copy of a document obtained by the accountable institution in order to verify a person's identity in terms of section 21(1) or (2).</t>
        </is>
      </c>
      <c r="P458" s="10" t="inlineStr">
        <is>
          <t>Open PDF</t>
        </is>
      </c>
    </row>
    <row r="459">
      <c r="A459" t="inlineStr">
        <is>
          <t>South Africa</t>
        </is>
      </c>
      <c r="B459" t="inlineStr">
        <is>
          <t>FICA (Financial Intelligence Centre Act, 38 of 2001</t>
        </is>
      </c>
      <c r="C459" t="inlineStr">
        <is>
          <t>23</t>
        </is>
      </c>
      <c r="D459" s="8" t="inlineStr">
        <is>
          <t>An  accountable institution must  keep the records referred to in section 22 which</t>
        </is>
      </c>
      <c r="E459" t="inlineStr">
        <is>
          <t>8</t>
        </is>
      </c>
      <c r="F459" t="inlineStr">
        <is>
          <t>Retention</t>
        </is>
      </c>
      <c r="G459" t="inlineStr">
        <is>
          <t>High</t>
        </is>
      </c>
      <c r="H459" t="inlineStr">
        <is>
          <t>High (explicit)</t>
        </is>
      </c>
      <c r="I459" s="8" t="inlineStr">
        <is>
          <t>Retention</t>
        </is>
      </c>
      <c r="J459" s="8" t="inlineStr">
        <is>
          <t>Personal Information</t>
        </is>
      </c>
      <c r="K459" t="inlineStr">
        <is>
          <t>Accountable institutions</t>
        </is>
      </c>
      <c r="L459" s="8" t="inlineStr">
        <is>
          <t>Records must be kept for at least five years from termination of business relationship or transaction date.</t>
        </is>
      </c>
      <c r="M459" s="8" t="inlineStr">
        <is>
          <t>Records retention period of five years for financial transactions.</t>
        </is>
      </c>
      <c r="N459" s="8" t="inlineStr">
        <is>
          <t>[Must] An accountable institution must keep the records referred to in section 22 which relate to the establishment of a business relationship for at least five years from the date on which the business relationship is terminated.
[Must] An accountable institution must keep the records referred to in section 22 which relate to a transaction which is concluded for at least five years from the date on which that transaction is concluded.</t>
        </is>
      </c>
      <c r="O459" s="8" t="inlineStr">
        <is>
          <t>23. An accountable institution must keep the records referred to in section 22 which relate to- (a) the establishment of a business relationship, for at least five years from the date on which the business relationship is terminated; (b) a transaction which is concluded, for at least five years from the date on which that transaction is concluded.</t>
        </is>
      </c>
      <c r="P459" s="10" t="inlineStr">
        <is>
          <t>Open PDF</t>
        </is>
      </c>
    </row>
    <row r="460">
      <c r="A460" t="inlineStr">
        <is>
          <t>South Africa</t>
        </is>
      </c>
      <c r="B460" t="inlineStr">
        <is>
          <t>FICA (Financial Intelligence Centre Act, 38 of 2001</t>
        </is>
      </c>
      <c r="C460" t="inlineStr">
        <is>
          <t>24</t>
        </is>
      </c>
      <c r="D460" s="8" t="inlineStr">
        <is>
          <t>(1) The  duties  imposed by section  22 on  an accountable  institution to keep record</t>
        </is>
      </c>
      <c r="E460" t="inlineStr">
        <is>
          <t>8</t>
        </is>
      </c>
      <c r="F460" t="inlineStr">
        <is>
          <t>Record Keeping</t>
        </is>
      </c>
      <c r="G460" t="inlineStr">
        <is>
          <t>High</t>
        </is>
      </c>
      <c r="H460" t="inlineStr">
        <is>
          <t>High (explicit)</t>
        </is>
      </c>
      <c r="I460" s="8" t="inlineStr">
        <is>
          <t>Record Keeping</t>
        </is>
      </c>
      <c r="J460" s="8" t="inlineStr">
        <is>
          <t>Personal Information</t>
        </is>
      </c>
      <c r="K460" t="inlineStr">
        <is>
          <t>Accountable institutions</t>
        </is>
      </c>
      <c r="L460" s="8" t="inlineStr">
        <is>
          <t>Third parties may perform record-keeping duties for accountable institutions with access to records.</t>
        </is>
      </c>
      <c r="M460" s="8" t="inlineStr">
        <is>
          <t>Third parties can handle records if accountable institution has access to them.</t>
        </is>
      </c>
      <c r="N460" s="8" t="inlineStr">
        <is>
          <t>[May] The duties imposed by section 22 on an accountable institution to keep record of the matters specified in that section may be performed by a third party on behalf of the accountable institution as long as the accountable institution has free and easy access to the records.
[Must] If a third party referred to in subsection (1) fails to properly comply with the requirements of section 22 on behalf of the accountable institution concerned, the accountable institution is liable for that failure.
[Must] If an accountable institution appoints a third party to perform the duties imposed on it by section 22, the accountable institution must forthwith provide the Centre with the prescribed particulars regarding the third party.</t>
        </is>
      </c>
      <c r="O460" s="8" t="inlineStr">
        <is>
          <t>24. (1) The duties imposed by section 22 on an accountable institution to keep record of the matters specified in that section may be performed by a third party on behalf of the accountable institution as long as the accountable institution has free and easy access to the records. (2) If a third party referred to in subsection (1) fails to properly comply with the requirements of section 22 on behalf of the accountable institution concerned, the accountable institution is liable for that failure. (3) If an accountable institution appoints a third party to perform the duties imposed on it by section 22, the accountable institution must forthwith provide the Centre with the prescribed particulars regarding the third party.</t>
        </is>
      </c>
      <c r="P460" s="10" t="inlineStr">
        <is>
          <t>Open PDF</t>
        </is>
      </c>
    </row>
    <row r="461">
      <c r="A461" t="inlineStr">
        <is>
          <t>South Africa</t>
        </is>
      </c>
      <c r="B461" t="inlineStr">
        <is>
          <t>FICA (Financial Intelligence Centre Act, 38 of 2001</t>
        </is>
      </c>
      <c r="C461" t="inlineStr">
        <is>
          <t>25</t>
        </is>
      </c>
      <c r="D461" s="8" t="inlineStr">
        <is>
          <t>A record kept in terms of section  22 (or section  24, or a certified extract of any such</t>
        </is>
      </c>
      <c r="E461" t="inlineStr">
        <is>
          <t>8</t>
        </is>
      </c>
      <c r="F461" t="inlineStr">
        <is>
          <t>Record Keeping</t>
        </is>
      </c>
      <c r="G461" t="inlineStr">
        <is>
          <t>Low</t>
        </is>
      </c>
      <c r="H461" t="inlineStr">
        <is>
          <t>High (explicit)</t>
        </is>
      </c>
      <c r="I461" s="8" t="inlineStr">
        <is>
          <t>Record Keeping</t>
        </is>
      </c>
      <c r="J461" s="8" t="inlineStr">
        <is>
          <t>Personal Information</t>
        </is>
      </c>
      <c r="K461" t="inlineStr"/>
      <c r="L461" s="8" t="inlineStr">
        <is>
          <t>Records produced in court are admissible as evidence of facts contained in them.</t>
        </is>
      </c>
      <c r="M461" s="8" t="inlineStr">
        <is>
          <t>Records from section 22 or 24 are admissible in court as evidence.</t>
        </is>
      </c>
      <c r="N461" s="8" t="inlineStr">
        <is>
          <t>[Must] A record kept in terms of section 22 (or section 24, or a certified extract of any such record, or a certified printout of any extract of an electronic record) is on its mere production in a matter before a court admissible as evidence of any fact contained in it.</t>
        </is>
      </c>
      <c r="O461" s="8" t="inlineStr">
        <is>
          <t>25. A record kept in terms of section 22 (or section 24, or a certified extract of any such record, or a certified printout of any extract of an electronic record) is on its mere production in a matter before a court admissible as evidence of any fact contained in it.</t>
        </is>
      </c>
      <c r="P461" s="10" t="inlineStr">
        <is>
          <t>Open PDF</t>
        </is>
      </c>
    </row>
    <row r="462">
      <c r="A462" t="inlineStr">
        <is>
          <t>South Africa</t>
        </is>
      </c>
      <c r="B462" t="inlineStr">
        <is>
          <t>FICA (Financial Intelligence Centre Act, 38 of 2001</t>
        </is>
      </c>
      <c r="C462" t="inlineStr">
        <is>
          <t>26</t>
        </is>
      </c>
      <c r="D462" s="8" t="inlineStr">
        <is>
          <t>(1) An authorised representative of the  Centre has access during ordinary working</t>
        </is>
      </c>
      <c r="E462" t="inlineStr">
        <is>
          <t>8–9</t>
        </is>
      </c>
      <c r="F462" t="inlineStr">
        <is>
          <t>Other</t>
        </is>
      </c>
      <c r="G462" t="inlineStr">
        <is>
          <t>High</t>
        </is>
      </c>
      <c r="H462" t="inlineStr">
        <is>
          <t>High (explicit)</t>
        </is>
      </c>
      <c r="I462" s="8" t="inlineStr"/>
      <c r="J462" s="8" t="inlineStr">
        <is>
          <t>Personal Information</t>
        </is>
      </c>
      <c r="K462" t="inlineStr">
        <is>
          <t>Financial Intelligence Centre</t>
        </is>
      </c>
      <c r="L462" s="8" t="inlineStr">
        <is>
          <t>Centre's authorized representatives may access records with warrants for money laundering investigations.</t>
        </is>
      </c>
      <c r="M462" s="8" t="inlineStr">
        <is>
          <t>Centre can access records with warrants for investigations.</t>
        </is>
      </c>
      <c r="N462" s="8" t="inlineStr">
        <is>
          <t>[May] An authorised representative of the Centre has access during ordinary working hours to any records kept by or on behalf of an accountable institution in terms of section 22 or section 24, and may examine, make extracts from or copies of, any such records.
[Must] The authorised representative of the Centre may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[Must]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[Must] An accountable institution must without delay give to an authorised representative of the Centre all reasonable assistance necessary to enable that representative to exercise the powers mentioned in subsection (1).</t>
        </is>
      </c>
      <c r="O462" s="8" t="inlineStr">
        <is>
          <t>26. (1) An authorised representative of the Centre has access during ordinary working hours to any records kept by or on behalf of an accountable institution in terms of section 22 or section 24, and may examine, make extracts from or copies of, any such records. (2) The authorised representative of the Centre may, except in the case of records which the public is entitled to have access to,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(3)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(5) An accountable institution must without delay give to an authorised representative of the Centre all reasonable assistance necessary to enable that representative to exercise the powers mentioned in subsection (1).</t>
        </is>
      </c>
      <c r="P462" s="10" t="inlineStr">
        <is>
          <t>Open PDF</t>
        </is>
      </c>
    </row>
    <row r="463">
      <c r="A463" t="inlineStr">
        <is>
          <t>South Africa</t>
        </is>
      </c>
      <c r="B463" t="inlineStr">
        <is>
          <t>FICA (Financial Intelligence Centre Act, 38 of 2001</t>
        </is>
      </c>
      <c r="C463" t="inlineStr">
        <is>
          <t>28</t>
        </is>
      </c>
      <c r="D463" s="8" t="inlineStr">
        <is>
          <t>An  accountable institution and a reporting institution must,  within the prescribed</t>
        </is>
      </c>
      <c r="E463" t="inlineStr">
        <is>
          <t>9</t>
        </is>
      </c>
      <c r="F463" t="inlineStr">
        <is>
          <t>Other</t>
        </is>
      </c>
      <c r="G463" t="inlineStr">
        <is>
          <t>High</t>
        </is>
      </c>
      <c r="H463" t="inlineStr">
        <is>
          <t>High (explicit)</t>
        </is>
      </c>
      <c r="I463" s="8" t="inlineStr"/>
      <c r="J463" s="8" t="inlineStr">
        <is>
          <t>Financial Data</t>
        </is>
      </c>
      <c r="K463" t="inlineStr">
        <is>
          <t>Accountable institutions</t>
        </is>
      </c>
      <c r="L463" s="8" t="inlineStr">
        <is>
          <t>Accountable institutions must report cash transactions exceeding prescribed amounts to Centre.</t>
        </is>
      </c>
      <c r="M463" s="8" t="inlineStr">
        <is>
          <t>Mandatory reporting of cash transactions above thresholds to Centre.</t>
        </is>
      </c>
      <c r="N463" s="8" t="inlineStr">
        <is>
          <t>[Must] An accountable institution and a reporting institution must, within the prescribed period, report to the Centre the prescribed particulars concerning a transaction concluded with a client if in terms of the transaction an amount of cash in excess of the prescribed amount is paid by the accountable institution or reporting institution to the client, or to a person acting on behalf of the client, or to a person on whose behalf the client is acting.
[Must] An accountable institution and a reporting institution must, within the prescribed period, report to the Centre the prescribed particulars concerning a transaction concluded with a client if in terms of the transaction an amount of cash in excess of the prescribed amount is received by the accountable institution or reporting institution from the client, or from a person acting on behalf of the client, or from a person on whose behalf the client is acting.</t>
        </is>
      </c>
      <c r="O463" s="8" t="inlineStr">
        <is>
          <t>28. An accountable institution and a reporting institution must, within the prescribed period, report to the Centre the prescribed particulars concerning a transaction concluded with a client if in terms of the transaction an amount of cash in excess of the prescribed amount- (a) is paid by the accountable institution or reporting institution to the client, or to a person acting on behalf of the client, or to a person on whose behalf the client is acting; or (b) is received by the accountable institution or reporting institution from the client, or from a person acting on behalf of the client, or from a person on whose behalf the client is acting.</t>
        </is>
      </c>
      <c r="P463" s="10" t="inlineStr">
        <is>
          <t>Open PDF</t>
        </is>
      </c>
    </row>
    <row r="464">
      <c r="A464" t="inlineStr">
        <is>
          <t>South Africa</t>
        </is>
      </c>
      <c r="B464" t="inlineStr">
        <is>
          <t>FICA (Financial Intelligence Centre Act, 38 of 2001</t>
        </is>
      </c>
      <c r="C464" t="inlineStr">
        <is>
          <t>29</t>
        </is>
      </c>
      <c r="D464" s="8" t="inlineStr">
        <is>
          <t>(1) A person who carries on a businl:ss or is in charge of or  manages a business  or</t>
        </is>
      </c>
      <c r="E464" t="inlineStr">
        <is>
          <t>9–10</t>
        </is>
      </c>
      <c r="F464" t="inlineStr">
        <is>
          <t>Other</t>
        </is>
      </c>
      <c r="G464" t="inlineStr">
        <is>
          <t>High</t>
        </is>
      </c>
      <c r="H464" t="inlineStr">
        <is>
          <t>High (explicit)</t>
        </is>
      </c>
      <c r="I464" s="8" t="inlineStr"/>
      <c r="J464" s="8" t="inlineStr">
        <is>
          <t>Personal Information</t>
        </is>
      </c>
      <c r="K464" t="inlineStr">
        <is>
          <t>Businesses and individuals</t>
        </is>
      </c>
      <c r="L464" s="8" t="inlineStr">
        <is>
          <t>Persons must report suspicious transactions or activities to Centre if they suspect money laundering.</t>
        </is>
      </c>
      <c r="M464" s="8" t="inlineStr">
        <is>
          <t>Mandatory reporting of suspicious transactions to Centre.</t>
        </is>
      </c>
      <c r="N464" s="8" t="inlineStr">
        <is>
          <t>[Must]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c r="O464" s="8" t="inlineStr">
        <is>
          <t>29. (1)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c r="P464" s="10" t="inlineStr">
        <is>
          <t>Open PDF</t>
        </is>
      </c>
    </row>
    <row r="465">
      <c r="A465" t="inlineStr">
        <is>
          <t>South Africa</t>
        </is>
      </c>
      <c r="B465" t="inlineStr">
        <is>
          <t>FICA (Financial Intelligence Centre Act, 38 of 2001</t>
        </is>
      </c>
      <c r="C465" t="inlineStr">
        <is>
          <t>30</t>
        </is>
      </c>
      <c r="D465" s="8" t="inlineStr">
        <is>
          <t>(1)  A person intending to convey an amount of cash in  excess of the  prescribed</t>
        </is>
      </c>
      <c r="E465" t="inlineStr">
        <is>
          <t>10–11</t>
        </is>
      </c>
      <c r="F465" t="inlineStr">
        <is>
          <t>Other</t>
        </is>
      </c>
      <c r="G465" t="inlineStr">
        <is>
          <t>High</t>
        </is>
      </c>
      <c r="H465" t="inlineStr">
        <is>
          <t>High (explicit)</t>
        </is>
      </c>
      <c r="I465" s="8" t="inlineStr"/>
      <c r="J465" s="8" t="inlineStr">
        <is>
          <t>Financial Data</t>
        </is>
      </c>
      <c r="K465" t="inlineStr">
        <is>
          <t>Minister</t>
        </is>
      </c>
      <c r="L465" s="8" t="inlineStr">
        <is>
          <t>Persons must report cash conveyances exceeding prescribed amounts to Centre.</t>
        </is>
      </c>
      <c r="M465" s="8" t="inlineStr">
        <is>
          <t>Mandatory reporting of cash movements across borders to Centre.</t>
        </is>
      </c>
      <c r="N465" s="8" t="inlineStr">
        <is>
          <t>[Must] A person intending to convey an amount of cash in excess of the prescribed amount to or from the Republic must, before that person conveys the cash into or out of the Republic, report the prescribed particulars concerning that conveyance to a person authorised by the Minister.
[Must] A person authorised in terms of subsection (1) must without delay send a copy of the report to the Centre.</t>
        </is>
      </c>
      <c r="O465" s="8" t="inlineStr">
        <is>
          <t>30. (1) A person intending to convey an amount of cash in excess of the prescribed amount to or from the Republic must, before that person conveys the cash into or out of the Republic, report the prescribed particulars concerning that conveyance to a person authorised by the Minister. (2) A person authorised in terms of subsection (1) must without delay send a copy of the report to the Centre.</t>
        </is>
      </c>
      <c r="P465" s="10" t="inlineStr">
        <is>
          <t>Open PDF</t>
        </is>
      </c>
    </row>
    <row r="466">
      <c r="A466" t="inlineStr">
        <is>
          <t>South Africa</t>
        </is>
      </c>
      <c r="B466" t="inlineStr">
        <is>
          <t>FICA (Financial Intelligence Centre Act, 38 of 2001</t>
        </is>
      </c>
      <c r="C466" t="inlineStr">
        <is>
          <t>32</t>
        </is>
      </c>
      <c r="D466" s="8" t="inlineStr">
        <is>
          <t>(1) A report  in terns of section 28,29 or 31 to the  Centre and a  report in terms of  15</t>
        </is>
      </c>
      <c r="E466" t="inlineStr">
        <is>
          <t>11</t>
        </is>
      </c>
      <c r="F466" t="inlineStr">
        <is>
          <t>Other</t>
        </is>
      </c>
      <c r="G466" t="inlineStr">
        <is>
          <t>High</t>
        </is>
      </c>
      <c r="H466" t="inlineStr">
        <is>
          <t>High (explicit)</t>
        </is>
      </c>
      <c r="I466" s="8" t="inlineStr"/>
      <c r="J466" s="8" t="inlineStr">
        <is>
          <t>Financial Data</t>
        </is>
      </c>
      <c r="K466" t="inlineStr">
        <is>
          <t>Financial Intelligence Centre</t>
        </is>
      </c>
      <c r="L466" s="8" t="inlineStr">
        <is>
          <t>Reports must be made in prescribed manner and additional information may be requested.</t>
        </is>
      </c>
      <c r="M466" s="8" t="inlineStr">
        <is>
          <t>Reports must be submitted in prescribed format with additional information possible.</t>
        </is>
      </c>
      <c r="N466" s="8" t="inlineStr">
        <is>
          <t>[Must] A report in terms of section 28, 29 or 31 to the Centre and a report in terms of section 30(1) to a person authorised by the Minister must be made in the prescribed manner.
[May]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[Must]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c r="O466" s="8" t="inlineStr">
        <is>
          <t>32. (1) A report in terms of section 28, 29 or 31 to the Centre and a report in terms of section 30(1) to a person authorised by the Minister must be made in the prescribed manner. (2)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(3)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c r="P466" s="10" t="inlineStr">
        <is>
          <t>Open PDF</t>
        </is>
      </c>
    </row>
    <row r="467">
      <c r="A467" t="inlineStr">
        <is>
          <t>South Africa</t>
        </is>
      </c>
      <c r="B467" t="inlineStr">
        <is>
          <t>FICA (Financial Intelligence Centre Act, 38 of 2001</t>
        </is>
      </c>
      <c r="C467" t="inlineStr">
        <is>
          <t>33</t>
        </is>
      </c>
      <c r="D467" s="8" t="inlineStr">
        <is>
          <t>An accountable institution, reporting institution or person required to make a</t>
        </is>
      </c>
      <c r="E467" t="inlineStr">
        <is>
          <t>11</t>
        </is>
      </c>
      <c r="F467" t="inlineStr">
        <is>
          <t>Other</t>
        </is>
      </c>
      <c r="G467" t="inlineStr">
        <is>
          <t>High</t>
        </is>
      </c>
      <c r="H467" t="inlineStr">
        <is>
          <t>High (explicit)</t>
        </is>
      </c>
      <c r="I467" s="8" t="inlineStr"/>
      <c r="J467" s="8" t="inlineStr">
        <is>
          <t>Financial Data</t>
        </is>
      </c>
      <c r="K467" t="inlineStr">
        <is>
          <t>Financial Intelligence Centre</t>
        </is>
      </c>
      <c r="L467" s="8" t="inlineStr">
        <is>
          <t>Transactions may continue after reporting unless Centre directs otherwise.</t>
        </is>
      </c>
      <c r="M467" s="8" t="inlineStr">
        <is>
          <t>Transactions can continue after reporting unless Centre intervenes.</t>
        </is>
      </c>
      <c r="N467" s="8" t="inlineStr">
        <is>
          <t>[May]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c r="O467" s="8" t="inlineStr">
        <is>
          <t>33.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c r="P467" s="10" t="inlineStr">
        <is>
          <t>Open PDF</t>
        </is>
      </c>
    </row>
    <row r="468">
      <c r="A468" t="inlineStr">
        <is>
          <t>South Africa</t>
        </is>
      </c>
      <c r="B468" t="inlineStr">
        <is>
          <t>FICA (Financial Intelligence Centre Act, 38 of 2001</t>
        </is>
      </c>
      <c r="C468" t="inlineStr">
        <is>
          <t>34</t>
        </is>
      </c>
      <c r="D468" s="8" t="inlineStr">
        <is>
          <t>(1) If the  Centre,  after  consulting</t>
        </is>
      </c>
      <c r="E468" t="inlineStr">
        <is>
          <t>11</t>
        </is>
      </c>
      <c r="F468" t="inlineStr">
        <is>
          <t>Other</t>
        </is>
      </c>
      <c r="G468" t="inlineStr">
        <is>
          <t>High</t>
        </is>
      </c>
      <c r="H468" t="inlineStr">
        <is>
          <t>High (explicit)</t>
        </is>
      </c>
      <c r="I468" s="8" t="inlineStr"/>
      <c r="J468" s="8" t="inlineStr">
        <is>
          <t>Financial Data</t>
        </is>
      </c>
      <c r="K468" t="inlineStr">
        <is>
          <t>Financial Intelligence Centre</t>
        </is>
      </c>
      <c r="L468" s="8" t="inlineStr">
        <is>
          <t>Centre may direct non-proceeding with transactions suspected of money laundering.</t>
        </is>
      </c>
      <c r="M468" s="8" t="inlineStr">
        <is>
          <t>Centre can halt transactions suspected of money laundering for up to five days.</t>
        </is>
      </c>
      <c r="N468" s="8" t="inlineStr">
        <is>
          <t>[May]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to make the necessary inquiries concerning the transaction.</t>
        </is>
      </c>
      <c r="O468" s="8" t="inlineStr">
        <is>
          <t>34. (1)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(a) to make the necessary inquiries concerning the transaction; and (b) if the Centre deems it appropriate, to inform and advise an investigating authority or the National Director of Public Prosecutions.</t>
        </is>
      </c>
      <c r="P468" s="10" t="inlineStr">
        <is>
          <t>Open PDF</t>
        </is>
      </c>
    </row>
    <row r="469">
      <c r="A469" t="inlineStr">
        <is>
          <t>South Africa</t>
        </is>
      </c>
      <c r="B469" t="inlineStr">
        <is>
          <t>FICA (Financial Intelligence Centre Act, 38 of 2001</t>
        </is>
      </c>
      <c r="C469" t="inlineStr">
        <is>
          <t>35</t>
        </is>
      </c>
      <c r="D469" s="8" t="inlineStr">
        <is>
          <t>(1) A judge designated by</t>
        </is>
      </c>
      <c r="E469" t="inlineStr">
        <is>
          <t>11–12</t>
        </is>
      </c>
      <c r="F469" t="inlineStr">
        <is>
          <t>Other</t>
        </is>
      </c>
      <c r="G469" t="inlineStr">
        <is>
          <t>High</t>
        </is>
      </c>
      <c r="H469" t="inlineStr">
        <is>
          <t>High (explicit)</t>
        </is>
      </c>
      <c r="I469" s="8" t="inlineStr"/>
      <c r="J469" s="8" t="inlineStr">
        <is>
          <t>Financial Data</t>
        </is>
      </c>
      <c r="K469" t="inlineStr">
        <is>
          <t>Judge</t>
        </is>
      </c>
      <c r="L469" s="8" t="inlineStr">
        <is>
          <t>Judges may order institutions to report transactions suspected of money laundering.</t>
        </is>
      </c>
      <c r="M469" s="8" t="inlineStr">
        <is>
          <t>Judges can order institutions to report transactions for money laundering monitoring.</t>
        </is>
      </c>
      <c r="N469" s="8" t="inlineStr">
        <is>
          <t>[May]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c r="O469" s="8" t="inlineStr">
        <is>
          <t>35. (1)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c r="P469" s="10" t="inlineStr">
        <is>
          <t>Open PDF</t>
        </is>
      </c>
    </row>
    <row r="470">
      <c r="A470" t="inlineStr">
        <is>
          <t>South Africa</t>
        </is>
      </c>
      <c r="B470" t="inlineStr">
        <is>
          <t>FICA (Financial Intelligence Centre Act, 38 of 2001</t>
        </is>
      </c>
      <c r="C470" t="inlineStr">
        <is>
          <t>36</t>
        </is>
      </c>
      <c r="D470" s="8" t="inlineStr">
        <is>
          <t>(1) If a supervisory  body or  the South African Revenue  Service knows  or  suspects</t>
        </is>
      </c>
      <c r="E470" t="inlineStr">
        <is>
          <t>12</t>
        </is>
      </c>
      <c r="F470" t="inlineStr">
        <is>
          <t>Incident Reporting</t>
        </is>
      </c>
      <c r="G470" t="inlineStr">
        <is>
          <t>High</t>
        </is>
      </c>
      <c r="H470" t="inlineStr">
        <is>
          <t>High (explicit)</t>
        </is>
      </c>
      <c r="I470" s="8" t="inlineStr">
        <is>
          <t>Incident Reporting, Breach Notification</t>
        </is>
      </c>
      <c r="J470" s="8" t="inlineStr">
        <is>
          <t>Financial Data</t>
        </is>
      </c>
      <c r="K470" t="inlineStr">
        <is>
          <t>Financial Intelligence Centre (Centre)</t>
        </is>
      </c>
      <c r="L470" s="8" t="inlineStr">
        <is>
          <t>Supervisory bodies or South African Revenue Service must report suspected money laundering activities to Centre with relevant information.</t>
        </is>
      </c>
      <c r="M470" s="8" t="inlineStr">
        <is>
          <t>Requires reporting of suspected money laundering to Centre with supporting records for investigation.</t>
        </is>
      </c>
      <c r="N470" s="8" t="inlineStr">
        <is>
          <t>[Must] If a supervisory body or South African Revenue Service knows or suspects an accountable institution has received proceeds of unlawful activities, must advise Centre and furnish all information and records reasonably required
[Must] If Centre believes supervisory body or South African Revenue Service may have information indicating money laundering, must request confirmation or rebuttal and furnish information if confirmed</t>
        </is>
      </c>
      <c r="O470" s="8" t="inlineStr">
        <is>
          <t>36. (1) If a supervisory body or the South African Revenue Service knows or suspects that an accountable institution... has received or is about to receive the proceeds of unlawful activities... must advise the Centre of that fact and furnish the Centre with all information and any records...</t>
        </is>
      </c>
      <c r="P470" s="10" t="inlineStr">
        <is>
          <t>Open PDF</t>
        </is>
      </c>
    </row>
    <row r="471">
      <c r="A471" t="inlineStr">
        <is>
          <t>South Africa</t>
        </is>
      </c>
      <c r="B471" t="inlineStr">
        <is>
          <t>FICA (Financial Intelligence Centre Act, 38 of 2001</t>
        </is>
      </c>
      <c r="C471" t="inlineStr">
        <is>
          <t>37</t>
        </is>
      </c>
      <c r="D471" s="8" t="inlineStr">
        <is>
          <t>(1) Subject to subsection  (2),  no  duty of secrecy or confidentiality or any other</t>
        </is>
      </c>
      <c r="E471" t="inlineStr">
        <is>
          <t>12–13</t>
        </is>
      </c>
      <c r="F471" t="inlineStr">
        <is>
          <t>Incident Reporting</t>
        </is>
      </c>
      <c r="G471" t="inlineStr">
        <is>
          <t>High</t>
        </is>
      </c>
      <c r="H471" t="inlineStr">
        <is>
          <t>High (explicit)</t>
        </is>
      </c>
      <c r="I471" s="8" t="inlineStr">
        <is>
          <t>Incident Reporting, Breach Notification</t>
        </is>
      </c>
      <c r="J471" s="8" t="inlineStr">
        <is>
          <t>Financial Data</t>
        </is>
      </c>
      <c r="K471" t="inlineStr">
        <is>
          <t>Financial Intelligence Centre (Centre)</t>
        </is>
      </c>
      <c r="L471" s="8" t="inlineStr">
        <is>
          <t>No duty of secrecy affects compliance with reporting obligations to Centre for money laundering investigations.</t>
        </is>
      </c>
      <c r="M471" s="8" t="inlineStr">
        <is>
          <t>Compliance with reporting to Centre is not subject to confidentiality obligations.</t>
        </is>
      </c>
      <c r="N471" s="8" t="inlineStr">
        <is>
          <t>[Must] No duty of secrecy or confidentiality affects compliance by accountable institutions, supervisory bodies, reporting institutions, South African Revenue Service with reporting provisions of this Part</t>
        </is>
      </c>
      <c r="O471" s="8" t="inlineStr">
        <is>
          <t>37. (1) Subject to subsection (2), no duty of secrecy or confidentiality or any other restriction on the disclosure of information... affects compliance by an accountable institution, reporting institution, supervisory body, reporting institution, South African Revenue Service or any other person with a provision of this Part.</t>
        </is>
      </c>
      <c r="P471" s="10" t="inlineStr">
        <is>
          <t>Open PDF</t>
        </is>
      </c>
    </row>
    <row r="472">
      <c r="A472" t="inlineStr">
        <is>
          <t>South Africa</t>
        </is>
      </c>
      <c r="B472" t="inlineStr">
        <is>
          <t>FICA (Financial Intelligence Centre Act, 38 of 2001</t>
        </is>
      </c>
      <c r="C472" t="inlineStr">
        <is>
          <t>38</t>
        </is>
      </c>
      <c r="D472" s="8" t="inlineStr">
        <is>
          <t>(1) No action, whether criminal  or  civil,  lies  against an accountable institution,</t>
        </is>
      </c>
      <c r="E472" t="inlineStr">
        <is>
          <t>13</t>
        </is>
      </c>
      <c r="F472" t="inlineStr">
        <is>
          <t>Incident Reporting</t>
        </is>
      </c>
      <c r="G472" t="inlineStr">
        <is>
          <t>High</t>
        </is>
      </c>
      <c r="H472" t="inlineStr">
        <is>
          <t>High (explicit)</t>
        </is>
      </c>
      <c r="I472" s="8" t="inlineStr">
        <is>
          <t>Incident Reporting, Breach Notification</t>
        </is>
      </c>
      <c r="J472" s="8" t="inlineStr">
        <is>
          <t>Financial Data</t>
        </is>
      </c>
      <c r="K472" t="inlineStr">
        <is>
          <t>Financial Intelligence Centre (Centre)</t>
        </is>
      </c>
      <c r="L472" s="8" t="inlineStr">
        <is>
          <t>No legal action lies against entities complying with reporting obligations to Centre for money laundering investigations.</t>
        </is>
      </c>
      <c r="M472" s="8" t="inlineStr">
        <is>
          <t>Reporting to Centre for money laundering investigations is protected from legal consequences.</t>
        </is>
      </c>
      <c r="N472" s="8" t="inlineStr">
        <is>
          <t>[Must] No action, whether criminal or civil, lies against an accountable institution, reporting institution, supervisory body, South African Revenue Service or any other person complying in good faith with a provision of this Part</t>
        </is>
      </c>
      <c r="O472" s="8" t="inlineStr">
        <is>
          <t>38. (1) No action, whether criminal or civil, lies against an accountable institution, reporting institution, supervisory body, South African Revenue Service or any other person complying in good faith with a provision of this Part...</t>
        </is>
      </c>
      <c r="P472" s="10" t="inlineStr">
        <is>
          <t>Open PDF</t>
        </is>
      </c>
    </row>
    <row r="473">
      <c r="A473" t="inlineStr">
        <is>
          <t>South Africa</t>
        </is>
      </c>
      <c r="B473" t="inlineStr">
        <is>
          <t>FICA (Financial Intelligence Centre Act, 38 of 2001</t>
        </is>
      </c>
      <c r="C473" t="inlineStr">
        <is>
          <t>40</t>
        </is>
      </c>
      <c r="D473" s="8" t="inlineStr">
        <is>
          <t>(1) No person is entitled  to  information held by the  Centre, except-</t>
        </is>
      </c>
      <c r="E473" t="inlineStr">
        <is>
          <t>13–14</t>
        </is>
      </c>
      <c r="F473" t="inlineStr">
        <is>
          <t>Incident Reporting</t>
        </is>
      </c>
      <c r="G473" t="inlineStr">
        <is>
          <t>High</t>
        </is>
      </c>
      <c r="H473" t="inlineStr">
        <is>
          <t>High (explicit)</t>
        </is>
      </c>
      <c r="I473" s="8" t="inlineStr">
        <is>
          <t>Incident Reporting, Breach Notification</t>
        </is>
      </c>
      <c r="J473" s="8" t="inlineStr">
        <is>
          <t>Financial Data</t>
        </is>
      </c>
      <c r="K473" t="inlineStr">
        <is>
          <t>Financial Intelligence Centre (Centre)</t>
        </is>
      </c>
      <c r="L473" s="8" t="inlineStr">
        <is>
          <t>Centre may disclose information to specific entities for money laundering investigations with safeguards.</t>
        </is>
      </c>
      <c r="M473" s="8" t="inlineStr">
        <is>
          <t>Centre may share information with investigating authorities, intelligence services, accountable institutions, and supervisory bodies for money laundering investigations with confidentiality safeguards.</t>
        </is>
      </c>
      <c r="N473" s="8" t="inlineStr">
        <is>
          <t>[Must] No person entitled to information held by Centre except investigating authorities, intelligence services, accountable institutions, supervisory bodies, courts or entities with written agreements</t>
        </is>
      </c>
      <c r="O473" s="8" t="inlineStr">
        <is>
          <t>40. (1) No person is entitled to information held by the Centre, except- (a) an investigating authority inside the Republic... (b) an entity outside the Republic performing similar functions... (c) an accountable institution... (d) a supervisory body... (e) in terms of an order of a court; or (f) in terms of other national legislation.</t>
        </is>
      </c>
      <c r="P473" s="10" t="inlineStr">
        <is>
          <t>Open PDF</t>
        </is>
      </c>
    </row>
    <row r="474">
      <c r="A474" t="inlineStr">
        <is>
          <t>South Africa</t>
        </is>
      </c>
      <c r="B474" t="inlineStr">
        <is>
          <t>FICA (Financial Intelligence Centre Act, 38 of 2001</t>
        </is>
      </c>
      <c r="C474" t="inlineStr">
        <is>
          <t>41</t>
        </is>
      </c>
      <c r="D474" s="8" t="inlineStr">
        <is>
          <t>No person may  disclose confidential information  held by or obtained from the</t>
        </is>
      </c>
      <c r="E474" t="inlineStr">
        <is>
          <t>14</t>
        </is>
      </c>
      <c r="F474" t="inlineStr">
        <is>
          <t>Incident Reporting</t>
        </is>
      </c>
      <c r="G474" t="inlineStr">
        <is>
          <t>High</t>
        </is>
      </c>
      <c r="H474" t="inlineStr">
        <is>
          <t>High (explicit)</t>
        </is>
      </c>
      <c r="I474" s="8" t="inlineStr">
        <is>
          <t>Incident Reporting, Breach Notification</t>
        </is>
      </c>
      <c r="J474" s="8" t="inlineStr">
        <is>
          <t>Financial Data</t>
        </is>
      </c>
      <c r="K474" t="inlineStr">
        <is>
          <t>Financial Intelligence Centre (Centre)</t>
        </is>
      </c>
      <c r="L474" s="8" t="inlineStr">
        <is>
          <t>Confidential information held by Centre may not be disclosed except for specific purposes.</t>
        </is>
      </c>
      <c r="M474" s="8" t="inlineStr">
        <is>
          <t>Centre's confidential information may only be disclosed for specific purposes like legal proceedings, compliance with legislation, or with Centre's permission.</t>
        </is>
      </c>
      <c r="N474" s="8" t="inlineStr">
        <is>
          <t>[Must] No person may disclose confidential information held by or obtained from Centre except within scope of powers, for carrying out provisions of Act, with Centre's permission, for legal proceedings, or in terms of court order</t>
        </is>
      </c>
      <c r="O474" s="8" t="inlineStr">
        <is>
          <t>41. No person may disclose confidential information held by or obtained from the Centre except- (a) within the scope of that person's powers and duties in terms of any legislation; (b) for the purpose of carrying out the provisions of this Act; (c) with the permission of the Centre; (d) for the purpose of legal proceedings... (e) in terms of an order of court.</t>
        </is>
      </c>
      <c r="P474" s="10" t="inlineStr">
        <is>
          <t>Open PDF</t>
        </is>
      </c>
    </row>
    <row r="475">
      <c r="A475" t="inlineStr">
        <is>
          <t>South Africa</t>
        </is>
      </c>
      <c r="B475" t="inlineStr">
        <is>
          <t>FICA (Financial Intelligence Centre Act, 38 of 2001</t>
        </is>
      </c>
      <c r="C475" t="inlineStr">
        <is>
          <t>42</t>
        </is>
      </c>
      <c r="D475" s="8" t="inlineStr">
        <is>
          <t>(1) An accountable institution must formulate and implement internal rules</t>
        </is>
      </c>
      <c r="E475" t="inlineStr">
        <is>
          <t>14–15</t>
        </is>
      </c>
      <c r="F475" t="inlineStr">
        <is>
          <t>Incident Reporting</t>
        </is>
      </c>
      <c r="G475" t="inlineStr">
        <is>
          <t>High</t>
        </is>
      </c>
      <c r="H475" t="inlineStr">
        <is>
          <t>High (explicit)</t>
        </is>
      </c>
      <c r="I475" s="8" t="inlineStr">
        <is>
          <t>Incident Reporting, Breach Notification</t>
        </is>
      </c>
      <c r="J475" s="8" t="inlineStr">
        <is>
          <t>Financial Data</t>
        </is>
      </c>
      <c r="K475" t="inlineStr">
        <is>
          <t>Financial Intelligence Centre (Centre)</t>
        </is>
      </c>
      <c r="L475" s="8" t="inlineStr">
        <is>
          <t>Accountable institutions must create internal rules for identifying persons, record-keeping, and transaction reporting.</t>
        </is>
      </c>
      <c r="M475" s="8" t="inlineStr">
        <is>
          <t>Accountable institutions must implement internal rules for identifying persons, record-keeping, and transaction reporting to comply with money laundering regulations.</t>
        </is>
      </c>
      <c r="N475" s="8" t="inlineStr">
        <is>
          <t>[Must] Accountable institution must formulate and implement internal rules concerning establishment and verification of identity of persons, information to be kept, manner of keeping records, steps to determine reportable transactions</t>
        </is>
      </c>
      <c r="O475" s="8" t="inlineStr">
        <is>
          <t>42. (1) An accountable institution must formulate and implement internal rules concerning- (a) the establishment and verification of the identity of persons whom the institution must identify in terms of Part 1 of this Chapter; (b) the information of which record must be kept in terms of Part 2 of this Chapter; (c) the manner in which and place at which such records must be kept; (d) the steps to be taken to determine when a transaction is reportable to ensure the institution complies with its duties under this Act; and (e) such other matters as may be prescribed.</t>
        </is>
      </c>
      <c r="P475" s="10" t="inlineStr">
        <is>
          <t>Open PDF</t>
        </is>
      </c>
    </row>
    <row r="476">
      <c r="A476" t="inlineStr">
        <is>
          <t>South Africa</t>
        </is>
      </c>
      <c r="B476" t="inlineStr">
        <is>
          <t>FICA (Financial Intelligence Centre Act, 38 of 2001</t>
        </is>
      </c>
      <c r="C476" t="inlineStr">
        <is>
          <t>43</t>
        </is>
      </c>
      <c r="D476" s="8" t="inlineStr">
        <is>
          <t>An accountable institution must-</t>
        </is>
      </c>
      <c r="E476" t="inlineStr">
        <is>
          <t>15</t>
        </is>
      </c>
      <c r="F476" t="inlineStr">
        <is>
          <t>Incident Reporting</t>
        </is>
      </c>
      <c r="G476" t="inlineStr">
        <is>
          <t>High</t>
        </is>
      </c>
      <c r="H476" t="inlineStr">
        <is>
          <t>High (explicit)</t>
        </is>
      </c>
      <c r="I476" s="8" t="inlineStr">
        <is>
          <t>Incident Reporting, Breach Notification</t>
        </is>
      </c>
      <c r="J476" s="8" t="inlineStr">
        <is>
          <t>Financial Data</t>
        </is>
      </c>
      <c r="K476" t="inlineStr">
        <is>
          <t>Financial Intelligence Centre (Centre)</t>
        </is>
      </c>
      <c r="L476" s="8" t="inlineStr">
        <is>
          <t>Accountable institutions must provide training and appoint compliance officers.</t>
        </is>
      </c>
      <c r="M476" s="8" t="inlineStr">
        <is>
          <t>Accountable institutions must train employees and appoint compliance officers to ensure adherence to money laundering regulations.</t>
        </is>
      </c>
      <c r="N476" s="8" t="inlineStr">
        <is>
          <t>[Must] Accountable institution must provide training to employees to enable compliance with provisions of Act and internal rules
[Must] Accountable institution must appoint a person responsible for ensuring compliance with provisions of Act and internal rules</t>
        </is>
      </c>
      <c r="O476" s="8" t="inlineStr">
        <is>
          <t>43. An accountable institution must- (a) provide training to its employees, to enable them to comply with the provisions of this Act and the internal rules applicable to them; (b) appoint a person with the responsibility to ensure compliance by- (i) the employees of the accountable institution with the provisions of this Act and the internal rules applicable to them; (ii) the accountable institution with its obligations under this Act.</t>
        </is>
      </c>
      <c r="P476" s="10" t="inlineStr">
        <is>
          <t>Open PDF</t>
        </is>
      </c>
    </row>
    <row r="477">
      <c r="A477" t="inlineStr">
        <is>
          <t>South Africa</t>
        </is>
      </c>
      <c r="B477" t="inlineStr">
        <is>
          <t>FICA (Financial Intelligence Centre Act, 38 of 2001</t>
        </is>
      </c>
      <c r="C477" t="inlineStr">
        <is>
          <t>44</t>
        </is>
      </c>
      <c r="D477" s="8" t="inlineStr">
        <is>
          <t>If the  Centre in the performance of  it,s functions  has  reasonable  grounds</t>
        </is>
      </c>
      <c r="E477" t="inlineStr">
        <is>
          <t>15</t>
        </is>
      </c>
      <c r="F477" t="inlineStr">
        <is>
          <t>Incident Reporting</t>
        </is>
      </c>
      <c r="G477" t="inlineStr">
        <is>
          <t>High</t>
        </is>
      </c>
      <c r="H477" t="inlineStr">
        <is>
          <t>High (explicit)</t>
        </is>
      </c>
      <c r="I477" s="8" t="inlineStr">
        <is>
          <t>Incident Reporting, Breach Notification</t>
        </is>
      </c>
      <c r="J477" s="8" t="inlineStr">
        <is>
          <t>Financial Data</t>
        </is>
      </c>
      <c r="K477" t="inlineStr">
        <is>
          <t>Financial Intelligence Centre (Centre)</t>
        </is>
      </c>
      <c r="L477" s="8" t="inlineStr">
        <is>
          <t>Centre may refer suspected non-compliance to supervisory bodies or investigating authorities.</t>
        </is>
      </c>
      <c r="M477" s="8" t="inlineStr">
        <is>
          <t>Centre may refer suspected money laundering non-compliance to supervisory bodies or investigating authorities for remedial action.</t>
        </is>
      </c>
      <c r="N477" s="8" t="inlineStr">
        <is>
          <t>[May] If Centre has reasonable grounds to suspect non-compliance, may refer matter to relevant investigating authority or supervisory body</t>
        </is>
      </c>
      <c r="O477" s="8" t="inlineStr">
        <is>
          <t>44. If the Centre in the performance of its functions has reasonable grounds to suspect that an accountable institution... has contravened or failed to comply with any provision of this Act... it may, if it considers it appropriate to do so, refer the matter to- (a) a relevant investigating authority; or (b) an appropriate supervisory body or other public body or authority detected by it...</t>
        </is>
      </c>
      <c r="P477" s="10" t="inlineStr">
        <is>
          <t>Open PDF</t>
        </is>
      </c>
    </row>
    <row r="478">
      <c r="A478" t="inlineStr">
        <is>
          <t>South Africa</t>
        </is>
      </c>
      <c r="B478" t="inlineStr">
        <is>
          <t>FICA (Financial Intelligence Centre Act, 38 of 2001</t>
        </is>
      </c>
      <c r="C478" t="inlineStr">
        <is>
          <t>45</t>
        </is>
      </c>
      <c r="D478" s="8" t="inlineStr">
        <is>
          <t>(1) Each supervisory body is responsible for supervising compliance with the</t>
        </is>
      </c>
      <c r="E478" t="inlineStr">
        <is>
          <t>15</t>
        </is>
      </c>
      <c r="F478" t="inlineStr">
        <is>
          <t>Incident Reporting</t>
        </is>
      </c>
      <c r="G478" t="inlineStr">
        <is>
          <t>High</t>
        </is>
      </c>
      <c r="H478" t="inlineStr">
        <is>
          <t>High (explicit)</t>
        </is>
      </c>
      <c r="I478" s="8" t="inlineStr">
        <is>
          <t>Incident Reporting, Breach Notification</t>
        </is>
      </c>
      <c r="J478" s="8" t="inlineStr">
        <is>
          <t>Financial Data</t>
        </is>
      </c>
      <c r="K478" t="inlineStr">
        <is>
          <t>Financial Intelligence Centre (Centre)</t>
        </is>
      </c>
      <c r="L478" s="8" t="inlineStr">
        <is>
          <t>Supervisory bodies must investigate Centre referrals and remedy suspected non-compliance.</t>
        </is>
      </c>
      <c r="M478" s="8" t="inlineStr">
        <is>
          <t>Supervisory bodies must investigate Centre referrals and take steps to remedy suspected money laundering non-compliance.</t>
        </is>
      </c>
      <c r="N478" s="8" t="inlineStr">
        <is>
          <t>[Must] Each supervisory body is responsible for supervising compliance with provisions of this Chapter by accountable institutions regulated by it</t>
        </is>
      </c>
      <c r="O478" s="8" t="inlineStr">
        <is>
          <t>45. (1) Each supervisory body is responsible for supervising compliance with the provisions of this Chapter by each accountable institution regulated or supervised by it.</t>
        </is>
      </c>
      <c r="P478" s="10" t="inlineStr">
        <is>
          <t>Open PDF</t>
        </is>
      </c>
    </row>
    <row r="479">
      <c r="A479" t="inlineStr">
        <is>
          <t>South Africa</t>
        </is>
      </c>
      <c r="B479" t="inlineStr">
        <is>
          <t>FICA (Financial Intelligence Centre Act, 38 of 2001</t>
        </is>
      </c>
      <c r="C479" t="inlineStr">
        <is>
          <t>46</t>
        </is>
      </c>
      <c r="D479" s="8" t="inlineStr">
        <is>
          <t>(1) An accountable institution  that  performs any act to give effect to a  business</t>
        </is>
      </c>
      <c r="E479" t="inlineStr">
        <is>
          <t>15</t>
        </is>
      </c>
      <c r="F479" t="inlineStr">
        <is>
          <t>Incident Reporting</t>
        </is>
      </c>
      <c r="G479" t="inlineStr">
        <is>
          <t>High</t>
        </is>
      </c>
      <c r="H479" t="inlineStr">
        <is>
          <t>High (explicit)</t>
        </is>
      </c>
      <c r="I479" s="8" t="inlineStr">
        <is>
          <t>Incident Reporting, Breach Notification</t>
        </is>
      </c>
      <c r="J479" s="8" t="inlineStr">
        <is>
          <t>Financial Data</t>
        </is>
      </c>
      <c r="K479" t="inlineStr">
        <is>
          <t>Financial Intelligence Centre (Centre)</t>
        </is>
      </c>
      <c r="L479" s="8" t="inlineStr">
        <is>
          <t>Accountable institutions that perform transactions in contravention of identification requirements are guilty of offences.</t>
        </is>
      </c>
      <c r="M479" s="8" t="inlineStr">
        <is>
          <t>Accountable institutions that fail to identify persons in transactions are subject to offences under this Act.</t>
        </is>
      </c>
      <c r="N479" s="8" t="inlineStr">
        <is>
          <t>[Must] Accountable institution that performs any act to give effect to a business relationship or single transaction in contravention of section 21(1) is guilty of an offence</t>
        </is>
      </c>
      <c r="O479" s="8" t="inlineStr">
        <is>
          <t>46. (1) An accountable institution that performs any act to give effect to a business relationship or single transaction in contravention of section  21(1) is guilty of an offence.</t>
        </is>
      </c>
      <c r="P479" s="10" t="inlineStr">
        <is>
          <t>Open PDF</t>
        </is>
      </c>
    </row>
    <row r="480">
      <c r="A480" t="inlineStr">
        <is>
          <t>South Africa</t>
        </is>
      </c>
      <c r="B480" t="inlineStr">
        <is>
          <t>FICA (Financial Intelligence Centre Act, 38 of 2001</t>
        </is>
      </c>
      <c r="C480" t="inlineStr">
        <is>
          <t>47</t>
        </is>
      </c>
      <c r="D480" s="8" t="inlineStr">
        <is>
          <t>An accountable institution  that  fails  tc+-</t>
        </is>
      </c>
      <c r="E480" t="inlineStr">
        <is>
          <t>15</t>
        </is>
      </c>
      <c r="F480" t="inlineStr">
        <is>
          <t>Incident Reporting</t>
        </is>
      </c>
      <c r="G480" t="inlineStr">
        <is>
          <t>High</t>
        </is>
      </c>
      <c r="H480" t="inlineStr">
        <is>
          <t>High (explicit)</t>
        </is>
      </c>
      <c r="I480" s="8" t="inlineStr">
        <is>
          <t>Incident Reporting, Breach Notification</t>
        </is>
      </c>
      <c r="J480" s="8" t="inlineStr">
        <is>
          <t>Financial Data</t>
        </is>
      </c>
      <c r="K480" t="inlineStr">
        <is>
          <t>Financial Intelligence Centre (Centre)</t>
        </is>
      </c>
      <c r="L480" s="8" t="inlineStr">
        <is>
          <t>Accountable institutions that fail to keep records as required are guilty of offences.</t>
        </is>
      </c>
      <c r="M480" s="8" t="inlineStr">
        <is>
          <t>Accountable institutions that fail to maintain records as required by the Act are subject to offences.</t>
        </is>
      </c>
      <c r="N480" s="8" t="inlineStr">
        <is>
          <t>[Must] Accountable institution that fails to keep record of information in terms of section 22(1); or keep such records in accordance with section 23 or 24(1); or comply with section 24(3) is guilty of an offence</t>
        </is>
      </c>
      <c r="O480" s="8" t="inlineStr">
        <is>
          <t>47. An accountable institution that fails to- (a) keep record of information in terms of section 22(1); or (b) keep such records in accordance with section 23 or section 24(1); or (c) comply with the provisions of section 24(3), is guilty of an offence.</t>
        </is>
      </c>
      <c r="P480" s="10" t="inlineStr">
        <is>
          <t>Open PDF</t>
        </is>
      </c>
    </row>
    <row r="481">
      <c r="A481" t="inlineStr">
        <is>
          <t>South Africa</t>
        </is>
      </c>
      <c r="B481" t="inlineStr">
        <is>
          <t>FICA (Financial Intelligence Centre Act, 38 of 2001</t>
        </is>
      </c>
      <c r="C481" t="inlineStr">
        <is>
          <t>48</t>
        </is>
      </c>
      <c r="D481" s="8" t="inlineStr">
        <is>
          <t>Any person who wilfully tampers with a  record  kept in terms of section  22 or</t>
        </is>
      </c>
      <c r="E481" t="inlineStr">
        <is>
          <t>15–16</t>
        </is>
      </c>
      <c r="F481" t="inlineStr">
        <is>
          <t>Incident Reporting</t>
        </is>
      </c>
      <c r="G481" t="inlineStr">
        <is>
          <t>High</t>
        </is>
      </c>
      <c r="H481" t="inlineStr">
        <is>
          <t>High (explicit)</t>
        </is>
      </c>
      <c r="I481" s="8" t="inlineStr">
        <is>
          <t>Incident Reporting, Breach Notification</t>
        </is>
      </c>
      <c r="J481" s="8" t="inlineStr">
        <is>
          <t>Financial Data</t>
        </is>
      </c>
      <c r="K481" t="inlineStr">
        <is>
          <t>Financial Intelligence Centre (Centre)</t>
        </is>
      </c>
      <c r="L481" s="8" t="inlineStr">
        <is>
          <t>Wilful tampering or destruction of records is an offence.</t>
        </is>
      </c>
      <c r="M481" s="8" t="inlineStr">
        <is>
          <t>Wilful tampering or destruction of records required by the Act is subject to criminal penalties.</t>
        </is>
      </c>
      <c r="N481" s="8" t="inlineStr">
        <is>
          <t>[Must] Any person who wilfully tampers with a record kept in terms of section 22 or section 24(1), or wilfully destroys such a record, otherwise than in accordance with section 23, is guilty of an offence</t>
        </is>
      </c>
      <c r="O481" s="8" t="inlineStr">
        <is>
          <t>48. Any person who wilfully tampers with a record kept in terms of section 22 or section 24(1), or wilfully destroys such a record, otherwise than in accordance with section 23, is guilty of an offence.</t>
        </is>
      </c>
      <c r="P481" s="10" t="inlineStr">
        <is>
          <t>Open PDF</t>
        </is>
      </c>
    </row>
    <row r="482">
      <c r="A482" t="inlineStr">
        <is>
          <t>South Africa</t>
        </is>
      </c>
      <c r="B482" t="inlineStr">
        <is>
          <t>FICA (Financial Intelligence Centre Act, 38 of 2001</t>
        </is>
      </c>
      <c r="C482" t="inlineStr">
        <is>
          <t>49</t>
        </is>
      </c>
      <c r="D482" s="8" t="inlineStr">
        <is>
          <t>An accountable institution that  fails to give  assistance to a  representative of the</t>
        </is>
      </c>
      <c r="E482" t="inlineStr">
        <is>
          <t>16</t>
        </is>
      </c>
      <c r="F482" t="inlineStr">
        <is>
          <t>Incident Reporting</t>
        </is>
      </c>
      <c r="G482" t="inlineStr">
        <is>
          <t>High</t>
        </is>
      </c>
      <c r="H482" t="inlineStr">
        <is>
          <t>High (explicit)</t>
        </is>
      </c>
      <c r="I482" s="8" t="inlineStr">
        <is>
          <t>Incident Reporting, Breach Notification</t>
        </is>
      </c>
      <c r="J482" s="8" t="inlineStr">
        <is>
          <t>Financial Data</t>
        </is>
      </c>
      <c r="K482" t="inlineStr">
        <is>
          <t>Financial Intelligence Centre (Centre)</t>
        </is>
      </c>
      <c r="L482" s="8" t="inlineStr">
        <is>
          <t>Accountable institutions that fail to assist Centre representatives are guilty of offences.</t>
        </is>
      </c>
      <c r="M482" s="8" t="inlineStr">
        <is>
          <t>Accountable institutions that fail to assist Centre representatives with investigations are subject to offences.</t>
        </is>
      </c>
      <c r="N482" s="8" t="inlineStr">
        <is>
          <t>[Must] Accountable institution that fails to give assistance to a representative of the Centre in accordance with section 26(5) is guilty of an offence</t>
        </is>
      </c>
      <c r="O482" s="8" t="inlineStr">
        <is>
          <t>49. An accountable institution that fails to give assistance to a representative of the Centre in accordance with section 26(5), is guilty of an offence.</t>
        </is>
      </c>
      <c r="P482" s="10" t="inlineStr">
        <is>
          <t>Open PDF</t>
        </is>
      </c>
    </row>
    <row r="483">
      <c r="A483" t="inlineStr">
        <is>
          <t>South Africa</t>
        </is>
      </c>
      <c r="B483" t="inlineStr">
        <is>
          <t>FICA (Financial Intelligence Centre Act, 38 of 2001</t>
        </is>
      </c>
      <c r="C483" t="inlineStr">
        <is>
          <t>51</t>
        </is>
      </c>
      <c r="D483" s="8" t="inlineStr">
        <is>
          <t>An accountable institution or reporting  institution that fails, within the  prescribed</t>
        </is>
      </c>
      <c r="E483" t="inlineStr">
        <is>
          <t>16</t>
        </is>
      </c>
      <c r="F483" t="inlineStr">
        <is>
          <t>Incident Reporting</t>
        </is>
      </c>
      <c r="G483" t="inlineStr">
        <is>
          <t>High</t>
        </is>
      </c>
      <c r="H483" t="inlineStr">
        <is>
          <t>High (explicit)</t>
        </is>
      </c>
      <c r="I483" s="8" t="inlineStr">
        <is>
          <t>Incident Reporting, Breach Notification</t>
        </is>
      </c>
      <c r="J483" s="8" t="inlineStr">
        <is>
          <t>Financial Data</t>
        </is>
      </c>
      <c r="K483" t="inlineStr">
        <is>
          <t>Financial Intelligence Centre (Centre)</t>
        </is>
      </c>
      <c r="L483" s="8" t="inlineStr">
        <is>
          <t>Accountable institutions that fail to report cash transactions are guilty of offences.</t>
        </is>
      </c>
      <c r="M483" s="8" t="inlineStr">
        <is>
          <t>Accountable institutions that fail to report cash transactions within prescribed periods are subject to offences.</t>
        </is>
      </c>
      <c r="N483" s="8" t="inlineStr">
        <is>
          <t>[Must] Accountable institution or reporting institution that fails, within the prescribed period, to report to the Centre the prescribed information in respect of a cash transaction in accordance with section 28 is guilty of an offence</t>
        </is>
      </c>
      <c r="O483" s="8" t="inlineStr">
        <is>
          <t>51. An accountable institution or reporting institution that fails, within the prescribed period, to report to the Centre the prescribed information in respect of a cash transaction in accordance with section 28, is guilty of an offence.</t>
        </is>
      </c>
      <c r="P483" s="10" t="inlineStr">
        <is>
          <t>Open PDF</t>
        </is>
      </c>
    </row>
    <row r="484">
      <c r="A484" t="inlineStr">
        <is>
          <t>South Africa</t>
        </is>
      </c>
      <c r="B484" t="inlineStr">
        <is>
          <t>FICA (Financial Intelligence Centre Act, 38 of 2001</t>
        </is>
      </c>
      <c r="C484" t="inlineStr">
        <is>
          <t>52</t>
        </is>
      </c>
      <c r="D484" s="8" t="inlineStr">
        <is>
          <t>(1) Any  person who  fails, within the: prescribed period, to report to the Centre the</t>
        </is>
      </c>
      <c r="E484" t="inlineStr">
        <is>
          <t>16</t>
        </is>
      </c>
      <c r="F484" t="inlineStr">
        <is>
          <t>Incident Reporting</t>
        </is>
      </c>
      <c r="G484" t="inlineStr">
        <is>
          <t>High</t>
        </is>
      </c>
      <c r="H484" t="inlineStr">
        <is>
          <t>High (explicit)</t>
        </is>
      </c>
      <c r="I484" s="8" t="inlineStr">
        <is>
          <t>Incident Reporting, Breach Notification</t>
        </is>
      </c>
      <c r="J484" s="8" t="inlineStr">
        <is>
          <t>Financial Data</t>
        </is>
      </c>
      <c r="K484" t="inlineStr">
        <is>
          <t>Financial Intelligence Centre (Centre)</t>
        </is>
      </c>
      <c r="L484" s="8" t="inlineStr">
        <is>
          <t>Failure to report suspicious transactions is an offence.</t>
        </is>
      </c>
      <c r="M484" s="8" t="inlineStr">
        <is>
          <t>Failure to report suspicious transactions within prescribed periods is subject to criminal penalties.</t>
        </is>
      </c>
      <c r="N484" s="8" t="inlineStr">
        <is>
          <t>[Must] Any person who fails, within the prescribed period, to report to the Centre the prescribed information in respect of a suspicious or unusual transaction or series of transactions or enquiry in accordance with section 29(1) or (2) is guilty of an offence</t>
        </is>
      </c>
      <c r="O484" s="8" t="inlineStr">
        <is>
          <t>52. (1) Any person who fails, within the prescribed period, to report to the Centre the prescribed information in respect of a suspicious or unusual transaction or series of transactions or enquiry in accordance with section 29(1) or (2), is guilty of an offence.</t>
        </is>
      </c>
      <c r="P484" s="10" t="inlineStr">
        <is>
          <t>Open PDF</t>
        </is>
      </c>
    </row>
    <row r="485">
      <c r="A485" t="inlineStr">
        <is>
          <t>South Africa</t>
        </is>
      </c>
      <c r="B485" t="inlineStr">
        <is>
          <t>FICA (Financial Intelligence Centre Act, 38 of 2001</t>
        </is>
      </c>
      <c r="C485" t="inlineStr">
        <is>
          <t>53</t>
        </is>
      </c>
      <c r="D485" s="8" t="inlineStr">
        <is>
          <t>(1) Any  person  referred to  in  section  29(3)  who discloses a  fact or information</t>
        </is>
      </c>
      <c r="E485" t="inlineStr">
        <is>
          <t>16</t>
        </is>
      </c>
      <c r="F485" t="inlineStr">
        <is>
          <t>Incident Reporting</t>
        </is>
      </c>
      <c r="G485" t="inlineStr">
        <is>
          <t>High</t>
        </is>
      </c>
      <c r="H485" t="inlineStr">
        <is>
          <t>High (explicit)</t>
        </is>
      </c>
      <c r="I485" s="8" t="inlineStr">
        <is>
          <t>Incident Reporting, Breach Notification</t>
        </is>
      </c>
      <c r="J485" s="8" t="inlineStr">
        <is>
          <t>Financial Data</t>
        </is>
      </c>
      <c r="K485" t="inlineStr">
        <is>
          <t>Financial Intelligence Centre (Centre)</t>
        </is>
      </c>
      <c r="L485" s="8" t="inlineStr">
        <is>
          <t>Unauthorized disclosure of information to Centre is an offence.</t>
        </is>
      </c>
      <c r="M485" s="8" t="inlineStr">
        <is>
          <t>Unauthorized disclosure of information to Centre is subject to criminal penalties.</t>
        </is>
      </c>
      <c r="N485" s="8" t="inlineStr">
        <is>
          <t>[Must] Any person who discloses a fact or information contemplated in section 29(3) otherwise than in the circumstances or for the purposes authorised in that section is guilty of an offence</t>
        </is>
      </c>
      <c r="O485" s="8" t="inlineStr">
        <is>
          <t>53. (1) Any person referred to in section 29(3) who discloses a fact or information contemplated in that section, otherwise than in the circumstances or for the purposes authorised in that section, is guilty of an offence.</t>
        </is>
      </c>
      <c r="P485" s="10" t="inlineStr">
        <is>
          <t>Open PDF</t>
        </is>
      </c>
    </row>
    <row r="486">
      <c r="A486" t="inlineStr">
        <is>
          <t>South Africa</t>
        </is>
      </c>
      <c r="B486" t="inlineStr">
        <is>
          <t>FICA (Financial Intelligence Centre Act, 38 of 2001</t>
        </is>
      </c>
      <c r="C486" t="inlineStr">
        <is>
          <t>54</t>
        </is>
      </c>
      <c r="D486" s="8" t="inlineStr">
        <is>
          <t>Any  person who wilfully fails  to  report  the conveyance of cash  into  or out of the</t>
        </is>
      </c>
      <c r="E486" t="inlineStr">
        <is>
          <t>16</t>
        </is>
      </c>
      <c r="F486" t="inlineStr">
        <is>
          <t>Incident Reporting</t>
        </is>
      </c>
      <c r="G486" t="inlineStr">
        <is>
          <t>High</t>
        </is>
      </c>
      <c r="H486" t="inlineStr">
        <is>
          <t>High (explicit)</t>
        </is>
      </c>
      <c r="I486" s="8" t="inlineStr">
        <is>
          <t>Incident Reporting, Breach Notification</t>
        </is>
      </c>
      <c r="J486" s="8" t="inlineStr">
        <is>
          <t>Financial Data</t>
        </is>
      </c>
      <c r="K486" t="inlineStr">
        <is>
          <t>Financial Intelligence Centre (Centre)</t>
        </is>
      </c>
      <c r="L486" s="8" t="inlineStr">
        <is>
          <t>Wilful failure to report cash conveyance is an offence.</t>
        </is>
      </c>
      <c r="M486" s="8" t="inlineStr">
        <is>
          <t>Wilful failure to report cash conveyance into or out of Republic is subject to criminal penalties.</t>
        </is>
      </c>
      <c r="N486" s="8" t="inlineStr">
        <is>
          <t>[Must] Any person who wilfully fails to report the conveyance of cash into or out of the Republic in accordance with section 30(1) is guilty of an offence</t>
        </is>
      </c>
      <c r="O486" s="8" t="inlineStr">
        <is>
          <t>54. Any person who wilfully fails to report the conveyance of cash into or out of the Republic in accordance with section 30(1), is guilty of an offence.</t>
        </is>
      </c>
      <c r="P486" s="10" t="inlineStr">
        <is>
          <t>Open PDF</t>
        </is>
      </c>
    </row>
    <row r="487">
      <c r="A487" t="inlineStr">
        <is>
          <t>South Africa</t>
        </is>
      </c>
      <c r="B487" t="inlineStr">
        <is>
          <t>FICA (Financial Intelligence Centre Act, 38 of 2001</t>
        </is>
      </c>
      <c r="C487" t="inlineStr">
        <is>
          <t>55</t>
        </is>
      </c>
      <c r="D487" s="8" t="inlineStr">
        <is>
          <t>A person referred to in rsection 30(2) who fails to send a report regarding the</t>
        </is>
      </c>
      <c r="E487" t="inlineStr">
        <is>
          <t>16</t>
        </is>
      </c>
      <c r="F487" t="inlineStr">
        <is>
          <t>Incident Reporting</t>
        </is>
      </c>
      <c r="G487" t="inlineStr">
        <is>
          <t>High</t>
        </is>
      </c>
      <c r="H487" t="inlineStr">
        <is>
          <t>High (explicit)</t>
        </is>
      </c>
      <c r="I487" s="8" t="inlineStr">
        <is>
          <t>Incident Reporting, Breach Notification</t>
        </is>
      </c>
      <c r="J487" s="8" t="inlineStr">
        <is>
          <t>Financial Data</t>
        </is>
      </c>
      <c r="K487" t="inlineStr">
        <is>
          <t>Financial Intelligence Centre (Centre)</t>
        </is>
      </c>
      <c r="L487" s="8" t="inlineStr">
        <is>
          <t>Failure to send cash conveyance reports is an offence.</t>
        </is>
      </c>
      <c r="M487" s="8" t="inlineStr">
        <is>
          <t>Failure to send cash conveyance reports to Centre is subject to criminal penalties.</t>
        </is>
      </c>
      <c r="N487" s="8" t="inlineStr">
        <is>
          <t>[Must] A person referred to in section 30(2) who fails to send a report regarding the conveyance of cash to the Centre in accordance with that section is guilty of an offence</t>
        </is>
      </c>
      <c r="O487" s="8" t="inlineStr">
        <is>
          <t>55. A person referred to in section 30(2) who fails to send a report regarding the conveyance of cash to the Centre in accordance with that section, is guilty of an offence.</t>
        </is>
      </c>
      <c r="P487" s="10" t="inlineStr">
        <is>
          <t>Open PDF</t>
        </is>
      </c>
    </row>
    <row r="488">
      <c r="A488" t="inlineStr">
        <is>
          <t>South Africa</t>
        </is>
      </c>
      <c r="B488" t="inlineStr">
        <is>
          <t>FICA (Financial Intelligence Centre Act, 38 of 2001</t>
        </is>
      </c>
      <c r="C488" t="inlineStr">
        <is>
          <t>57</t>
        </is>
      </c>
      <c r="D488" s="8" t="inlineStr">
        <is>
          <t>An  accountable institution, reporting, institution or  any other person that fails to</t>
        </is>
      </c>
      <c r="E488" t="inlineStr">
        <is>
          <t>16</t>
        </is>
      </c>
      <c r="F488" t="inlineStr">
        <is>
          <t>Enforcement</t>
        </is>
      </c>
      <c r="G488" t="inlineStr">
        <is>
          <t>High</t>
        </is>
      </c>
      <c r="H488" t="inlineStr">
        <is>
          <t>High (explicit)</t>
        </is>
      </c>
      <c r="I488" s="8" t="inlineStr"/>
      <c r="J488" s="8" t="inlineStr">
        <is>
          <t>Financial Data</t>
        </is>
      </c>
      <c r="K488" t="inlineStr">
        <is>
          <t>Centre</t>
        </is>
      </c>
      <c r="L488" s="8" t="inlineStr">
        <is>
          <t>Accountable institutions failing to comply with Centre's requests are guilty of an offence.</t>
        </is>
      </c>
      <c r="M488" s="8" t="inlineStr">
        <is>
          <t>Offence for non-compliance with Centre's requests; requires adherence to Centre's directives.</t>
        </is>
      </c>
      <c r="N488" s="8" t="inlineStr">
        <is>
          <t>[Must] comply with a request made by Centre or investigating authority acting under authority of an authorised office in terms of section 32(2)</t>
        </is>
      </c>
      <c r="O488" s="8" t="inlineStr">
        <is>
          <t>An accountable institution, reporting, institution or any other person that fails to comply with a request made by Centre or an investigating authority acting under the authority of an authorised office in terms of section 32(2), is guilty of an offence.</t>
        </is>
      </c>
      <c r="P488" s="10" t="inlineStr">
        <is>
          <t>Open PDF</t>
        </is>
      </c>
    </row>
    <row r="489">
      <c r="A489" t="inlineStr">
        <is>
          <t>South Africa</t>
        </is>
      </c>
      <c r="B489" t="inlineStr">
        <is>
          <t>FICA (Financial Intelligence Centre Act, 38 of 2001</t>
        </is>
      </c>
      <c r="C489" t="inlineStr">
        <is>
          <t>58</t>
        </is>
      </c>
      <c r="D489" s="8" t="inlineStr">
        <is>
          <t>An  accountable institution that fails 'to comply  with a  direction by the  Centre in</t>
        </is>
      </c>
      <c r="E489" t="inlineStr">
        <is>
          <t>16</t>
        </is>
      </c>
      <c r="F489" t="inlineStr">
        <is>
          <t>Enforcement</t>
        </is>
      </c>
      <c r="G489" t="inlineStr">
        <is>
          <t>High</t>
        </is>
      </c>
      <c r="H489" t="inlineStr">
        <is>
          <t>High (explicit)</t>
        </is>
      </c>
      <c r="I489" s="8" t="inlineStr"/>
      <c r="J489" s="8" t="inlineStr">
        <is>
          <t>Financial Data</t>
        </is>
      </c>
      <c r="K489" t="inlineStr">
        <is>
          <t>Centre</t>
        </is>
      </c>
      <c r="L489" s="8" t="inlineStr">
        <is>
          <t>Accountable institutions failing to comply with Centre's directions are guilty of an offence.</t>
        </is>
      </c>
      <c r="M489" s="8" t="inlineStr">
        <is>
          <t>Offence for non-compliance with Centre's directions; requires adherence to Centre's directives.</t>
        </is>
      </c>
      <c r="N489" s="8" t="inlineStr">
        <is>
          <t>[Must] comply with a direction by Centre in terms of section 34(1)</t>
        </is>
      </c>
      <c r="O489" s="8" t="inlineStr">
        <is>
          <t>An accountable institution that fails to comply with a direction by Centre in terms of section 34(1), is guilty of an offence.</t>
        </is>
      </c>
      <c r="P489" s="10" t="inlineStr">
        <is>
          <t>Open PDF</t>
        </is>
      </c>
    </row>
    <row r="490">
      <c r="A490" t="inlineStr">
        <is>
          <t>South Africa</t>
        </is>
      </c>
      <c r="B490" t="inlineStr">
        <is>
          <t>FICA (Financial Intelligence Centre Act, 38 of 2001</t>
        </is>
      </c>
      <c r="C490" t="inlineStr">
        <is>
          <t>60</t>
        </is>
      </c>
      <c r="D490" s="8" t="inlineStr">
        <is>
          <t>(1) Any  person who-</t>
        </is>
      </c>
      <c r="E490" t="inlineStr">
        <is>
          <t>16–17</t>
        </is>
      </c>
      <c r="F490" t="inlineStr">
        <is>
          <t>Enforcement</t>
        </is>
      </c>
      <c r="G490" t="inlineStr">
        <is>
          <t>High</t>
        </is>
      </c>
      <c r="H490" t="inlineStr">
        <is>
          <t>High (explicit)</t>
        </is>
      </c>
      <c r="I490" s="8" t="inlineStr"/>
      <c r="J490" s="8" t="inlineStr">
        <is>
          <t>Financial Data</t>
        </is>
      </c>
      <c r="K490" t="inlineStr">
        <is>
          <t>Centre</t>
        </is>
      </c>
      <c r="L490" s="8" t="inlineStr">
        <is>
          <t>Offences for disclosing, tampering with, or misusing Centre's confidential information.</t>
        </is>
      </c>
      <c r="M490" s="8" t="inlineStr">
        <is>
          <t>Offence for disclosing, tampering with, or misusing Centre's confidential information; requires adherence to Centre's information handling rules.</t>
        </is>
      </c>
      <c r="N490" s="8" t="inlineStr">
        <is>
          <t>[Must Not] disclose confidential information held by or obtained from Centre
[Must Not] wilfully destroy or tamper with information kept by Centre
[Must Not] use information obtained from Centre otherwise than in accordance with section 40</t>
        </is>
      </c>
      <c r="O490" s="8" t="inlineStr">
        <is>
          <t>Any person who discloses confidential information held by or obtained from Centre; wilfully destroys or tampers with information kept by Centre; or uses information obtained from Centre otherwise than in accordance with section 40, is guilty of an offence.</t>
        </is>
      </c>
      <c r="P490" s="10" t="inlineStr">
        <is>
          <t>Open PDF</t>
        </is>
      </c>
    </row>
    <row r="491">
      <c r="A491" t="inlineStr">
        <is>
          <t>South Africa</t>
        </is>
      </c>
      <c r="B491" t="inlineStr">
        <is>
          <t>FICA (Financial Intelligence Centre Act, 38 of 2001</t>
        </is>
      </c>
      <c r="C491" t="inlineStr">
        <is>
          <t>62</t>
        </is>
      </c>
      <c r="D491" s="8" t="inlineStr">
        <is>
          <t>An accountable institution that fails to-</t>
        </is>
      </c>
      <c r="E491" t="inlineStr">
        <is>
          <t>17</t>
        </is>
      </c>
      <c r="F491" t="inlineStr">
        <is>
          <t>Enforcement</t>
        </is>
      </c>
      <c r="G491" t="inlineStr">
        <is>
          <t>High</t>
        </is>
      </c>
      <c r="H491" t="inlineStr">
        <is>
          <t>High (explicit)</t>
        </is>
      </c>
      <c r="I491" s="8" t="inlineStr"/>
      <c r="J491" s="8" t="inlineStr">
        <is>
          <t>Financial Data</t>
        </is>
      </c>
      <c r="K491" t="inlineStr">
        <is>
          <t>Centre</t>
        </is>
      </c>
      <c r="L491" s="8" t="inlineStr">
        <is>
          <t>Accountable institutions failing to provide training or appoint compliance officers are guilty of an offence.</t>
        </is>
      </c>
      <c r="M491" s="8" t="inlineStr">
        <is>
          <t>Offence for failing to provide employee training or appoint compliance officers; requires adherence to training and compliance officer requirements.</t>
        </is>
      </c>
      <c r="N491" s="8" t="inlineStr">
        <is>
          <t>[Must] provide training to employees in accordance with section 43(a)
[Must] appoint the person referred to in section 43(b)</t>
        </is>
      </c>
      <c r="O491" s="8" t="inlineStr">
        <is>
          <t>An accountable institution that fails to provide training to its employees in accordance with section 43(a); or appoint the person referred to in section 43(b), is guilty of an offence.</t>
        </is>
      </c>
      <c r="P491" s="10" t="inlineStr">
        <is>
          <t>Open PDF</t>
        </is>
      </c>
    </row>
    <row r="492">
      <c r="A492" t="inlineStr">
        <is>
          <t>South Africa</t>
        </is>
      </c>
      <c r="B492" t="inlineStr">
        <is>
          <t>FICA (Financial Intelligence Centre Act, 38 of 2001</t>
        </is>
      </c>
      <c r="C492" t="inlineStr">
        <is>
          <t>63</t>
        </is>
      </c>
      <c r="D492" s="8" t="inlineStr">
        <is>
          <t>Any  person who obstructs, hinders  or  threatens  an official or  representative of the</t>
        </is>
      </c>
      <c r="E492" t="inlineStr">
        <is>
          <t>17</t>
        </is>
      </c>
      <c r="F492" t="inlineStr">
        <is>
          <t>Enforcement</t>
        </is>
      </c>
      <c r="G492" t="inlineStr">
        <is>
          <t>High</t>
        </is>
      </c>
      <c r="H492" t="inlineStr">
        <is>
          <t>High (explicit)</t>
        </is>
      </c>
      <c r="I492" s="8" t="inlineStr"/>
      <c r="J492" s="8" t="inlineStr">
        <is>
          <t>Financial Data</t>
        </is>
      </c>
      <c r="K492" t="inlineStr">
        <is>
          <t>Centre</t>
        </is>
      </c>
      <c r="L492" s="8" t="inlineStr">
        <is>
          <t>Obstructing Centre officials in performing duties is an offence.</t>
        </is>
      </c>
      <c r="M492" s="8" t="inlineStr">
        <is>
          <t>Offence for obstructing Centre officials; requires non-obstruction of Centre officials' duties.</t>
        </is>
      </c>
      <c r="N492" s="8" t="inlineStr">
        <is>
          <t>[Must Not] obstruct, hinder or threaten Centre officials in performance of duties</t>
        </is>
      </c>
      <c r="O492" s="8" t="inlineStr">
        <is>
          <t>Any person who obstructs, hinders or threatens Centre officials in the performance of their duties or exercise of powers in terms of this Act, is guilty of an offence.</t>
        </is>
      </c>
      <c r="P492" s="10" t="inlineStr">
        <is>
          <t>Open PDF</t>
        </is>
      </c>
    </row>
    <row r="493">
      <c r="A493" t="inlineStr">
        <is>
          <t>South Africa</t>
        </is>
      </c>
      <c r="B493" t="inlineStr">
        <is>
          <t>FICA (Financial Intelligence Centre Act, 38 of 2001</t>
        </is>
      </c>
      <c r="C493" t="inlineStr">
        <is>
          <t>64</t>
        </is>
      </c>
      <c r="D493" s="8" t="inlineStr">
        <is>
          <t>Any  person who  conducts, or causes  to  be  conducted,  two or more transactions</t>
        </is>
      </c>
      <c r="E493" t="inlineStr">
        <is>
          <t>17</t>
        </is>
      </c>
      <c r="F493" t="inlineStr">
        <is>
          <t>Enforcement</t>
        </is>
      </c>
      <c r="G493" t="inlineStr">
        <is>
          <t>High</t>
        </is>
      </c>
      <c r="H493" t="inlineStr">
        <is>
          <t>High (explicit)</t>
        </is>
      </c>
      <c r="I493" s="8" t="inlineStr"/>
      <c r="J493" s="8" t="inlineStr">
        <is>
          <t>Financial Data</t>
        </is>
      </c>
      <c r="K493" t="inlineStr">
        <is>
          <t>Centre</t>
        </is>
      </c>
      <c r="L493" s="8" t="inlineStr">
        <is>
          <t>Conducting transactions to avoid reporting duties is an offence.</t>
        </is>
      </c>
      <c r="M493" s="8" t="inlineStr">
        <is>
          <t>Offence for conducting transactions to avoid reporting duties; requires full reporting of transactions.</t>
        </is>
      </c>
      <c r="N493" s="8" t="inlineStr">
        <is>
          <t>[Must Not] conduct two or more transactions with purpose to avoid reporting duty under Act</t>
        </is>
      </c>
      <c r="O493" s="8" t="inlineStr">
        <is>
          <t>Any person who conducts, or causes to be conducted, two or more transactions with the purpose, in whole or in part, of avoiding giving rise to a reporting duty under this Act, is guilty of an offence.</t>
        </is>
      </c>
      <c r="P493" s="10" t="inlineStr">
        <is>
          <t>Open PDF</t>
        </is>
      </c>
    </row>
    <row r="494">
      <c r="A494" t="inlineStr">
        <is>
          <t>South Africa</t>
        </is>
      </c>
      <c r="B494" t="inlineStr">
        <is>
          <t>FICA (Financial Intelligence Centre Act, 38 of 2001</t>
        </is>
      </c>
      <c r="C494" t="inlineStr">
        <is>
          <t>66</t>
        </is>
      </c>
      <c r="D494" s="8" t="inlineStr">
        <is>
          <t>Any  person who, without  authority ':o do so, wilfully causes  a computer  system</t>
        </is>
      </c>
      <c r="E494" t="inlineStr">
        <is>
          <t>18</t>
        </is>
      </c>
      <c r="F494" t="inlineStr">
        <is>
          <t>Enforcement</t>
        </is>
      </c>
      <c r="G494" t="inlineStr">
        <is>
          <t>High</t>
        </is>
      </c>
      <c r="H494" t="inlineStr">
        <is>
          <t>High (explicit)</t>
        </is>
      </c>
      <c r="I494" s="8" t="inlineStr"/>
      <c r="J494" s="8" t="inlineStr">
        <is>
          <t>Financial Data</t>
        </is>
      </c>
      <c r="K494" t="inlineStr">
        <is>
          <t>Centre</t>
        </is>
      </c>
      <c r="L494" s="8" t="inlineStr">
        <is>
          <t>Unauthorised modification of Centre's computer systems is an offence.</t>
        </is>
      </c>
      <c r="M494" s="8" t="inlineStr">
        <is>
          <t>Offence for unauthorised modification of Centre's computer systems; requires adherence to system integrity.</t>
        </is>
      </c>
      <c r="N494" s="8" t="inlineStr">
        <is>
          <t>[Must Not] without authority to do so, wilfully causes Centre's computer system to be modified, destroyed, erased or operation impaired</t>
        </is>
      </c>
      <c r="O494" s="8" t="inlineStr">
        <is>
          <t>Any person who, without authority to do so, wilfully causes Centre's computer system to be modified, destroyed, erased or operation impaired, is guilty of an offence.</t>
        </is>
      </c>
      <c r="P494" s="10" t="inlineStr">
        <is>
          <t>Open PDF</t>
        </is>
      </c>
    </row>
    <row r="495">
      <c r="A495" t="inlineStr">
        <is>
          <t>South Africa</t>
        </is>
      </c>
      <c r="B495" t="inlineStr">
        <is>
          <t>FICA (Financial Intelligence Centre Act, 38 of 2001</t>
        </is>
      </c>
      <c r="C495" t="inlineStr">
        <is>
          <t>67</t>
        </is>
      </c>
      <c r="D495" s="8" t="inlineStr">
        <is>
          <t>For the purposes of sections 65 and 66-</t>
        </is>
      </c>
      <c r="E495" t="inlineStr">
        <is>
          <t>18</t>
        </is>
      </c>
      <c r="F495" t="inlineStr">
        <is>
          <t>Definitions</t>
        </is>
      </c>
      <c r="G495" t="inlineStr">
        <is>
          <t>Low</t>
        </is>
      </c>
      <c r="H495" t="inlineStr">
        <is>
          <t>High (explicit)</t>
        </is>
      </c>
      <c r="I495" s="8" t="inlineStr"/>
      <c r="J495" s="8" t="inlineStr">
        <is>
          <t>Financial Data</t>
        </is>
      </c>
      <c r="K495" t="inlineStr"/>
      <c r="L495" s="8" t="inlineStr">
        <is>
          <t>Defines key terms for computer systems and data handling.</t>
        </is>
      </c>
      <c r="M495" s="8" t="inlineStr">
        <is>
          <t>Defines terms like 'access', 'application', 'computer system', and 'data' for compliance purposes.</t>
        </is>
      </c>
      <c r="N495" s="8" t="inlineStr"/>
      <c r="O495" s="8" t="inlineStr">
        <is>
          <t>For the purposes of sections 65 and 66: 'access' means rendering application or data in a form that enables a person to take account of it; 'application' means set of instructions for computer system; 'computer system' means electronic data processing device; 'data' means representation of information capable of being processed in a computer system.</t>
        </is>
      </c>
      <c r="P495" s="10" t="inlineStr">
        <is>
          <t>Open PDF</t>
        </is>
      </c>
    </row>
    <row r="496">
      <c r="A496" t="inlineStr">
        <is>
          <t>South Africa</t>
        </is>
      </c>
      <c r="B496" t="inlineStr">
        <is>
          <t>FICA (Financial Intelligence Centre Act, 38 of 2001</t>
        </is>
      </c>
      <c r="C496" t="inlineStr">
        <is>
          <t>68</t>
        </is>
      </c>
      <c r="D496" s="8" t="inlineStr">
        <is>
          <t>(1) A person convicted of an offence mentioned in this Chapter, other than an</t>
        </is>
      </c>
      <c r="E496" t="inlineStr">
        <is>
          <t>18</t>
        </is>
      </c>
      <c r="F496" t="inlineStr">
        <is>
          <t>Enforcement</t>
        </is>
      </c>
      <c r="G496" t="inlineStr">
        <is>
          <t>High</t>
        </is>
      </c>
      <c r="H496" t="inlineStr">
        <is>
          <t>High (explicit)</t>
        </is>
      </c>
      <c r="I496" s="8" t="inlineStr"/>
      <c r="J496" s="8" t="inlineStr">
        <is>
          <t>Financial Data</t>
        </is>
      </c>
      <c r="K496" t="inlineStr">
        <is>
          <t>Centre</t>
        </is>
      </c>
      <c r="L496" s="8" t="inlineStr">
        <is>
          <t>Penalties for offences under this Act, including imprisonment and fines.</t>
        </is>
      </c>
      <c r="M496" s="8" t="inlineStr">
        <is>
          <t>Penalties for non-compliance: imprisonment up to 15 years or fine up to R10 million for most offences; specific penalties for certain offences.</t>
        </is>
      </c>
      <c r="N496" s="8" t="inlineStr">
        <is>
          <t>[Must] liable to imprisonment for a period not exceeding 15 years or fine not exceeding R10,000,000</t>
        </is>
      </c>
      <c r="O496" s="8" t="inlineStr">
        <is>
          <t>A person convicted of an offence mentioned in this Chapter, other than an offence mentioned in subsection (2), is liable to imprisonment for a period not exceeding 15 years or to a fine not exceeding R10,000,000.</t>
        </is>
      </c>
      <c r="P496" s="10" t="inlineStr">
        <is>
          <t>Open PDF</t>
        </is>
      </c>
    </row>
    <row r="497">
      <c r="A497" t="inlineStr">
        <is>
          <t>South Africa</t>
        </is>
      </c>
      <c r="B497" t="inlineStr">
        <is>
          <t>FICA (Financial Intelligence Centre Act, 38 of 2001</t>
        </is>
      </c>
      <c r="C497" t="inlineStr">
        <is>
          <t>69</t>
        </is>
      </c>
      <c r="D497" s="8" t="inlineStr">
        <is>
          <t>If a person who is an employee, director or trustee</t>
        </is>
      </c>
      <c r="E497" t="inlineStr">
        <is>
          <t>18–19</t>
        </is>
      </c>
      <c r="F497" t="inlineStr">
        <is>
          <t>Other</t>
        </is>
      </c>
      <c r="G497" t="inlineStr">
        <is>
          <t>Low</t>
        </is>
      </c>
      <c r="H497" t="inlineStr">
        <is>
          <t>High (explicit)</t>
        </is>
      </c>
      <c r="I497" s="8" t="inlineStr"/>
      <c r="J497" s="8" t="inlineStr">
        <is>
          <t>Financial Data</t>
        </is>
      </c>
      <c r="K497" t="inlineStr">
        <is>
          <t>Centre</t>
        </is>
      </c>
      <c r="L497" s="8" t="inlineStr">
        <is>
          <t>Defences for employees, directors, or trustees of accountable institutions charged with offences.</t>
        </is>
      </c>
      <c r="M497" s="8" t="inlineStr">
        <is>
          <t>Defences for employees/directors/trustees: compliance with internal rules, reporting to responsible person, or reporting to superior.</t>
        </is>
      </c>
      <c r="N497" s="8" t="inlineStr">
        <is>
          <t>[Must] had complied with applicable obligations in internal rules relating to reporting of information
[Must] reported the matter to the person charged with responsibility for compliance
[Must] reported the matter to superior if applicable</t>
        </is>
      </c>
      <c r="O497" s="8" t="inlineStr">
        <is>
          <t>If a person who is an employee, director or trustee of an accountable institution is charged with committing an offence under section 52, that person may raise as a defence the fact that he or she had complied with applicable obligations in internal rules relating to reporting of information; or reported the matter to the person charged with responsibility for compliance; or reported the matter to superior if applicable.</t>
        </is>
      </c>
      <c r="P497" s="10" t="inlineStr">
        <is>
          <t>Open PDF</t>
        </is>
      </c>
    </row>
    <row r="498">
      <c r="A498" t="inlineStr">
        <is>
          <t>South Africa</t>
        </is>
      </c>
      <c r="B498" t="inlineStr">
        <is>
          <t>FICA (Financial Intelligence Centre Act, 38 of 2001</t>
        </is>
      </c>
      <c r="C498" t="inlineStr">
        <is>
          <t>70</t>
        </is>
      </c>
      <c r="D498" s="8" t="inlineStr">
        <is>
          <t>t(1) A  police official or person authorised by the  Minister  to  receive  a  report  under</t>
        </is>
      </c>
      <c r="E498" t="inlineStr">
        <is>
          <t>19–20</t>
        </is>
      </c>
      <c r="F498" t="inlineStr">
        <is>
          <t>Enforcement</t>
        </is>
      </c>
      <c r="G498" t="inlineStr">
        <is>
          <t>High</t>
        </is>
      </c>
      <c r="H498" t="inlineStr">
        <is>
          <t>High (explicit)</t>
        </is>
      </c>
      <c r="I498" s="8" t="inlineStr"/>
      <c r="J498" s="8" t="inlineStr">
        <is>
          <t>Financial Data</t>
        </is>
      </c>
      <c r="K498" t="inlineStr">
        <is>
          <t>Police</t>
        </is>
      </c>
      <c r="L498" s="8" t="inlineStr">
        <is>
          <t>Search, seizure, and forfeiture of cash related to financial intelligence.</t>
        </is>
      </c>
      <c r="M498" s="8" t="inlineStr">
        <is>
          <t>Procedures for searching, seizing, and forfeiting cash suspected of being involved in money laundering.</t>
        </is>
      </c>
      <c r="N498" s="8" t="inlineStr">
        <is>
          <t>[Must] search any person, container or other thing in which cash is suspected to be found
[Must] seize any cash suspected to be involved in money laundering
[Must] return seized cash to person within 90 days unless specific conditions apply</t>
        </is>
      </c>
      <c r="O498" s="8" t="inlineStr">
        <is>
          <t>A police official or person authorised by the Minister to receive a report under section 30(1), who has reasonable grounds to suspect that an offence under section 54 has been or is about to be committed, may search any person, container or other thing in which cash is suspected to be found.</t>
        </is>
      </c>
      <c r="P498" s="10" t="inlineStr">
        <is>
          <t>Open PDF</t>
        </is>
      </c>
    </row>
    <row r="499">
      <c r="A499" t="inlineStr">
        <is>
          <t>South Africa</t>
        </is>
      </c>
      <c r="B499" t="inlineStr">
        <is>
          <t>FICA (Financial Intelligence Centre Act, 38 of 2001</t>
        </is>
      </c>
      <c r="C499" t="inlineStr">
        <is>
          <t>71</t>
        </is>
      </c>
      <c r="D499" s="8" t="inlineStr">
        <is>
          <t>(1) A  regional court has  penal jurisdiction  to  impose any  penalty  mentioned in</t>
        </is>
      </c>
      <c r="E499" t="inlineStr">
        <is>
          <t>20–21</t>
        </is>
      </c>
      <c r="F499" t="inlineStr">
        <is>
          <t>Enforcement</t>
        </is>
      </c>
      <c r="G499" t="inlineStr">
        <is>
          <t>High</t>
        </is>
      </c>
      <c r="H499" t="inlineStr">
        <is>
          <t>High (explicit)</t>
        </is>
      </c>
      <c r="I499" s="8" t="inlineStr"/>
      <c r="J499" s="8" t="inlineStr">
        <is>
          <t>Financial Data</t>
        </is>
      </c>
      <c r="K499" t="inlineStr">
        <is>
          <t>Courts</t>
        </is>
      </c>
      <c r="L499" s="8" t="inlineStr">
        <is>
          <t>Courts have jurisdiction to impose penalties and forfeiture orders.</t>
        </is>
      </c>
      <c r="M499" s="8" t="inlineStr">
        <is>
          <t>Courts have jurisdiction to impose penalties and forfeiture orders even if amounts exceed their jurisdictional limits.</t>
        </is>
      </c>
      <c r="N499"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499" s="8" t="inlineStr">
        <is>
          <t>A regional court has penal jurisdiction to impose any penalty mentioned in section 68(1), even though that penalty may exceed the penal jurisdiction of that court.</t>
        </is>
      </c>
      <c r="P499" s="10" t="inlineStr">
        <is>
          <t>Open PDF</t>
        </is>
      </c>
    </row>
    <row r="500">
      <c r="A500" t="inlineStr">
        <is>
          <t>South Africa</t>
        </is>
      </c>
      <c r="B500" t="inlineStr">
        <is>
          <t>FICA (Financial Intelligence Centre Act, 38 of 2001</t>
        </is>
      </c>
      <c r="C500" t="inlineStr">
        <is>
          <t>71</t>
        </is>
      </c>
      <c r="D500" s="8" t="inlineStr">
        <is>
          <t>(1) The Minister may, after consulting the Council and the Centre, and on</t>
        </is>
      </c>
      <c r="E500" t="inlineStr">
        <is>
          <t>21</t>
        </is>
      </c>
      <c r="F500" t="inlineStr">
        <is>
          <t>Enforcement</t>
        </is>
      </c>
      <c r="G500" t="inlineStr">
        <is>
          <t>High</t>
        </is>
      </c>
      <c r="H500" t="inlineStr">
        <is>
          <t>High (explicit)</t>
        </is>
      </c>
      <c r="I500" s="8" t="inlineStr"/>
      <c r="J500" s="8" t="inlineStr">
        <is>
          <t>Financial Data</t>
        </is>
      </c>
      <c r="K500" t="inlineStr">
        <is>
          <t>Courts</t>
        </is>
      </c>
      <c r="L500" s="8" t="inlineStr">
        <is>
          <t>Courts have jurisdiction to impose penalties and forfeiture orders.</t>
        </is>
      </c>
      <c r="M500" s="8" t="inlineStr">
        <is>
          <t>Courts have jurisdiction to impose penalties and forfeiture orders even if amounts exceed their jurisdictional limits.</t>
        </is>
      </c>
      <c r="N500"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500" s="8" t="inlineStr">
        <is>
          <t>A regional court has penal jurisdiction to impose any penalty mentioned in section 68(1), even though that penalty may exceed the penal jurisdiction of that court.</t>
        </is>
      </c>
      <c r="P500" s="10" t="inlineStr">
        <is>
          <t>Open PDF</t>
        </is>
      </c>
    </row>
    <row r="501">
      <c r="A501" t="inlineStr">
        <is>
          <t>South Africa</t>
        </is>
      </c>
      <c r="B501" t="inlineStr">
        <is>
          <t>FICA (Financial Intelligence Centre Act, 38 of 2001</t>
        </is>
      </c>
      <c r="C501" t="inlineStr">
        <is>
          <t>72</t>
        </is>
      </c>
      <c r="D501" s="8" t="inlineStr">
        <is>
          <t>This Act does not detract from-</t>
        </is>
      </c>
      <c r="E501" t="inlineStr">
        <is>
          <t>21</t>
        </is>
      </c>
      <c r="F501" t="inlineStr">
        <is>
          <t>Exemptions</t>
        </is>
      </c>
      <c r="G501" t="inlineStr">
        <is>
          <t>Low</t>
        </is>
      </c>
      <c r="H501" t="inlineStr">
        <is>
          <t>High (explicit)</t>
        </is>
      </c>
      <c r="I501" s="8" t="inlineStr"/>
      <c r="J501" s="8" t="inlineStr">
        <is>
          <t>Financial Data</t>
        </is>
      </c>
      <c r="K501" t="inlineStr">
        <is>
          <t>Minister</t>
        </is>
      </c>
      <c r="L501" s="8" t="inlineStr">
        <is>
          <t>Amendments to the list of accountable institutions by the Minister.</t>
        </is>
      </c>
      <c r="M501" s="8" t="inlineStr">
        <is>
          <t>Minister may amend list of accountable institutions by Gazette notice after consulting Council and Centre.</t>
        </is>
      </c>
      <c r="N501" s="8" t="inlineStr">
        <is>
          <t>[Must] amend list of accountable institutions in Schedule 1 by notice in Gazette</t>
        </is>
      </c>
      <c r="O501" s="8" t="inlineStr">
        <is>
          <t>The Minister may, by notice in the Gazette, amend the list of accountable institutions in Schedule 1 to add, delete, or make technical changes to the list after consulting Council and Centre.</t>
        </is>
      </c>
      <c r="P501" s="10" t="inlineStr">
        <is>
          <t>Open PDF</t>
        </is>
      </c>
    </row>
    <row r="502">
      <c r="A502" t="inlineStr">
        <is>
          <t>South Africa</t>
        </is>
      </c>
      <c r="B502" t="inlineStr">
        <is>
          <t>FICA (Financial Intelligence Centre Act, 38 of 2001</t>
        </is>
      </c>
      <c r="C502" t="inlineStr">
        <is>
          <t>75</t>
        </is>
      </c>
      <c r="D502" s="8" t="inlineStr">
        <is>
          <t>(1) The Minister may, by notice in the Gazette, amend the list of supervisory</t>
        </is>
      </c>
      <c r="E502" t="inlineStr">
        <is>
          <t>21–22</t>
        </is>
      </c>
      <c r="F502" t="inlineStr">
        <is>
          <t>Other</t>
        </is>
      </c>
      <c r="G502" t="inlineStr">
        <is>
          <t>Unknown</t>
        </is>
      </c>
      <c r="H502" t="inlineStr">
        <is>
          <t>Low</t>
        </is>
      </c>
      <c r="I502" s="8" t="inlineStr"/>
      <c r="J502" s="8" t="inlineStr"/>
      <c r="K502" t="inlineStr"/>
      <c r="L502" s="8" t="inlineStr"/>
      <c r="M502" s="8" t="inlineStr"/>
      <c r="N502" s="8" t="inlineStr"/>
      <c r="O502" s="8" t="inlineStr"/>
      <c r="P502" s="10" t="inlineStr">
        <is>
          <t>Open PDF</t>
        </is>
      </c>
    </row>
    <row r="503">
      <c r="A503" t="inlineStr">
        <is>
          <t>South Africa</t>
        </is>
      </c>
      <c r="B503" t="inlineStr">
        <is>
          <t>FICA (Financial Intelligence Centre Act, 38 of 2001</t>
        </is>
      </c>
      <c r="C503" t="inlineStr">
        <is>
          <t>76</t>
        </is>
      </c>
      <c r="D503" s="8" t="inlineStr">
        <is>
          <t>(1) The Minister may, by notice in the Gazette, amend the list of reporting</t>
        </is>
      </c>
      <c r="E503" t="inlineStr">
        <is>
          <t>22</t>
        </is>
      </c>
      <c r="F503" t="inlineStr">
        <is>
          <t>Other</t>
        </is>
      </c>
      <c r="G503" t="inlineStr">
        <is>
          <t>High</t>
        </is>
      </c>
      <c r="H503" t="inlineStr">
        <is>
          <t>High (explicit)</t>
        </is>
      </c>
      <c r="I503" s="8" t="inlineStr"/>
      <c r="J503" s="8" t="inlineStr"/>
      <c r="K503" t="inlineStr">
        <is>
          <t>Minister</t>
        </is>
      </c>
      <c r="L503" s="8" t="inlineStr">
        <is>
          <t>Minister may amend reporting institutions list via Gazette notice with conditions for additions/deletions and parliamentary approval.</t>
        </is>
      </c>
      <c r="M503" s="8" t="inlineStr"/>
      <c r="N503" s="8" t="inlineStr">
        <is>
          <t>[Must] Minister may amend list of reporting institutions by adding or deleting persons/categories
[Must] Minister must give 30 days' written notice to affected person for single case
[Must] Minister must give 60 days' written notice to category of persons for group cases
[Must] Amendments must be approved by Parliament before Gazette publication</t>
        </is>
      </c>
      <c r="O503" s="8" t="inlineStr">
        <is>
          <t>76. (1) The Minister may, by notice in the Gazette, amend the list of reporting institutions in Schedule 3</t>
        </is>
      </c>
      <c r="P503" s="10" t="inlineStr">
        <is>
          <t>Open PDF</t>
        </is>
      </c>
    </row>
    <row r="504">
      <c r="A504" t="inlineStr">
        <is>
          <t>South Africa</t>
        </is>
      </c>
      <c r="B504" t="inlineStr">
        <is>
          <t>FICA (Financial Intelligence Centre Act, 38 of 2001</t>
        </is>
      </c>
      <c r="C504" t="inlineStr">
        <is>
          <t>77</t>
        </is>
      </c>
      <c r="D504" s="8" t="inlineStr">
        <is>
          <t>(1) The Minister, after consulting  the  Council and the Centre,  may  make,  repeal</t>
        </is>
      </c>
      <c r="E504" t="inlineStr">
        <is>
          <t>22</t>
        </is>
      </c>
      <c r="F504" t="inlineStr">
        <is>
          <t>Other</t>
        </is>
      </c>
      <c r="G504" t="inlineStr">
        <is>
          <t>High</t>
        </is>
      </c>
      <c r="H504" t="inlineStr">
        <is>
          <t>High (explicit)</t>
        </is>
      </c>
      <c r="I504" s="8" t="inlineStr"/>
      <c r="J504" s="8" t="inlineStr"/>
      <c r="K504" t="inlineStr">
        <is>
          <t>Minister</t>
        </is>
      </c>
      <c r="L504" s="8" t="inlineStr">
        <is>
          <t>Minister may make/repeal/amend regulations after consulting Council and Centre, with specific provisions for different institutions and penalties.</t>
        </is>
      </c>
      <c r="M504" s="8" t="inlineStr"/>
      <c r="N504" s="8" t="inlineStr">
        <is>
          <t>[May] Regulations may differ for different institutions or categories
[May] Regulations may be limited to specific institutions or categories
[May] Regulations may prescribe imprisonment up to 6 months or fine up to R100 000 for contraventions
[Must] Regulations must be reviewed by Council within two years of publication
[Must] Regulations must be tabled in Parliament before Gazette publication</t>
        </is>
      </c>
      <c r="O504" s="8" t="inlineStr">
        <is>
          <t>77. (1) The Minister, after consulting the Council and the Centre, may make, repeal and amend regulations concerning any matter</t>
        </is>
      </c>
      <c r="P504" s="10" t="inlineStr">
        <is>
          <t>Open PDF</t>
        </is>
      </c>
    </row>
    <row r="505">
      <c r="A505" t="inlineStr">
        <is>
          <t>South Africa</t>
        </is>
      </c>
      <c r="B505" t="inlineStr">
        <is>
          <t>FICA (Financial Intelligence Centre Act, 38 of 2001</t>
        </is>
      </c>
      <c r="C505" t="inlineStr">
        <is>
          <t>78</t>
        </is>
      </c>
      <c r="D505" s="8" t="inlineStr">
        <is>
          <t>The  Minister, the  Centre or  an employee or representative of the Centre,  or  any</t>
        </is>
      </c>
      <c r="E505" t="inlineStr">
        <is>
          <t>22</t>
        </is>
      </c>
      <c r="F505" t="inlineStr">
        <is>
          <t>Other</t>
        </is>
      </c>
      <c r="G505" t="inlineStr">
        <is>
          <t>Low</t>
        </is>
      </c>
      <c r="H505" t="inlineStr">
        <is>
          <t>High (explicit)</t>
        </is>
      </c>
      <c r="I505" s="8" t="inlineStr"/>
      <c r="J505" s="8" t="inlineStr"/>
      <c r="K505" t="inlineStr"/>
      <c r="L505" s="8" t="inlineStr">
        <is>
          <t>Persons performing functions under the Act are not liable for actions taken in good faith.</t>
        </is>
      </c>
      <c r="M505" s="8" t="inlineStr"/>
      <c r="N505" s="8" t="inlineStr">
        <is>
          <t>[Must Not] Persons performing functions under Act are not liable for actions taken in good faith</t>
        </is>
      </c>
      <c r="O505" s="8" t="inlineStr">
        <is>
          <t>78. The Minister, the Centre or an employee or representative of the Centre, or any other person performing a function or exercising a power in terms of this Act, is not liable for anything done in good faith in terms of or in furthering the objectives of this Act.</t>
        </is>
      </c>
      <c r="P505" s="10" t="inlineStr">
        <is>
          <t>Open PDF</t>
        </is>
      </c>
    </row>
    <row r="506">
      <c r="A506" t="inlineStr">
        <is>
          <t>South Africa</t>
        </is>
      </c>
      <c r="B506" t="inlineStr">
        <is>
          <t>FICA (Financial Intelligence Centre Act, 38 of 2001</t>
        </is>
      </c>
      <c r="C506" t="inlineStr">
        <is>
          <t>80</t>
        </is>
      </c>
      <c r="D506" s="8" t="inlineStr">
        <is>
          <t>The footnotes in this Act have been  inserted only  for  ease of reference to relevant  25</t>
        </is>
      </c>
      <c r="E506" t="inlineStr">
        <is>
          <t>22–23</t>
        </is>
      </c>
      <c r="F506" t="inlineStr">
        <is>
          <t>Other</t>
        </is>
      </c>
      <c r="G506" t="inlineStr">
        <is>
          <t>None</t>
        </is>
      </c>
      <c r="H506" t="inlineStr">
        <is>
          <t>High (explicit)</t>
        </is>
      </c>
      <c r="I506" s="8" t="inlineStr"/>
      <c r="J506" s="8" t="inlineStr"/>
      <c r="K506" t="inlineStr"/>
      <c r="L506" s="8" t="inlineStr">
        <is>
          <t>Footnotes in the Act are for reference only and do not have legal force.</t>
        </is>
      </c>
      <c r="M506" s="8" t="inlineStr"/>
      <c r="N506" s="8" t="inlineStr"/>
      <c r="O506" s="8" t="inlineStr">
        <is>
          <t>80. The footnotes in this Act have been inserted only for ease of reference to relevant provisions of the Prevention Act. They are not part of this Act. They do not have the force of law.</t>
        </is>
      </c>
      <c r="P506" s="10" t="inlineStr">
        <is>
          <t>Open PDF</t>
        </is>
      </c>
    </row>
    <row r="507">
      <c r="A507" t="inlineStr">
        <is>
          <t>South Africa</t>
        </is>
      </c>
      <c r="B507" t="inlineStr">
        <is>
          <t>FICA (Financial Intelligence Centre Act, 38 of 2001</t>
        </is>
      </c>
      <c r="C507" t="inlineStr">
        <is>
          <t>81</t>
        </is>
      </c>
      <c r="D507" s="8" t="inlineStr">
        <is>
          <t>(1) Until the date refened to in section 82(2), the person designated for the</t>
        </is>
      </c>
      <c r="E507" t="inlineStr">
        <is>
          <t>23</t>
        </is>
      </c>
      <c r="F507" t="inlineStr">
        <is>
          <t>Other</t>
        </is>
      </c>
      <c r="G507" t="inlineStr">
        <is>
          <t>Low</t>
        </is>
      </c>
      <c r="H507" t="inlineStr">
        <is>
          <t>High (explicit)</t>
        </is>
      </c>
      <c r="I507" s="8" t="inlineStr"/>
      <c r="J507" s="8" t="inlineStr"/>
      <c r="K507" t="inlineStr"/>
      <c r="L507" s="8" t="inlineStr">
        <is>
          <t>Designated persons continue to hold office until section 82(2) date, with transitional provisions for pending cases.</t>
        </is>
      </c>
      <c r="M507" s="8" t="inlineStr"/>
      <c r="N507" s="8" t="inlineStr">
        <is>
          <t>[Must] Designated persons continue to hold office as if Act had not been passed
[Must] Pending proceedings under Prevention Act must be dealt with as if Act had not been passed</t>
        </is>
      </c>
      <c r="O507" s="8" t="inlineStr">
        <is>
          <t>81. (1) Until the date referred to in section 82(2), the person designated for the purposes of section 7 of the Prevention Act will be deemed to have been duly designated and will continue to hold office as if this Act had not been passed.</t>
        </is>
      </c>
      <c r="P507" s="10" t="inlineStr">
        <is>
          <t>Open PDF</t>
        </is>
      </c>
    </row>
    <row r="508">
      <c r="A508" t="inlineStr">
        <is>
          <t>South Africa</t>
        </is>
      </c>
      <c r="B508" t="inlineStr">
        <is>
          <t>FICA (Financial Intelligence Centre Act, 38 of 2001</t>
        </is>
      </c>
      <c r="C508" t="inlineStr">
        <is>
          <t>82</t>
        </is>
      </c>
      <c r="D508" s="8" t="inlineStr">
        <is>
          <t>(1) This Act is called the Financial Intelligence  Centre  Act, 2001, and  takes effect</t>
        </is>
      </c>
      <c r="E508" t="inlineStr">
        <is>
          <t>23</t>
        </is>
      </c>
      <c r="F508" t="inlineStr">
        <is>
          <t>Other</t>
        </is>
      </c>
      <c r="G508" t="inlineStr">
        <is>
          <t>Low</t>
        </is>
      </c>
      <c r="H508" t="inlineStr">
        <is>
          <t>High (explicit)</t>
        </is>
      </c>
      <c r="I508" s="8" t="inlineStr"/>
      <c r="J508" s="8" t="inlineStr"/>
      <c r="K508" t="inlineStr">
        <is>
          <t>President</t>
        </is>
      </c>
      <c r="L508" s="8" t="inlineStr">
        <is>
          <t>Act takes effect on date fixed by President, with specific transitional provisions for sections.</t>
        </is>
      </c>
      <c r="M508" s="8" t="inlineStr"/>
      <c r="N508" s="8" t="inlineStr">
        <is>
          <t>[Must] Act takes effect on date fixed by President by proclamation
[Must] Section 79 does not take effect before section 29 takes effect
[Must] Section 21(2) takes effect one year after section 21(1) takes effect</t>
        </is>
      </c>
      <c r="O508" s="8" t="inlineStr">
        <is>
          <t>82. (1) This Act is called the Financial Intelligence Centre Act, 2001, and takes effect on a date fixed by the President by proclamation in the Gazette.</t>
        </is>
      </c>
      <c r="P508" s="10" t="inlineStr">
        <is>
          <t>Open PDF</t>
        </is>
      </c>
    </row>
    <row r="509">
      <c r="A509" t="inlineStr">
        <is>
          <t>South Africa</t>
        </is>
      </c>
      <c r="B509" t="inlineStr">
        <is>
          <t>FICA (Financial Intelligence Centre Act, 38 of 2001</t>
        </is>
      </c>
      <c r="C509" t="inlineStr">
        <is>
          <t>161</t>
        </is>
      </c>
      <c r="D509" s="8" t="inlineStr">
        <is>
          <t>An  accountable institution that fails to-</t>
        </is>
      </c>
      <c r="E509" t="inlineStr">
        <is>
          <t>17</t>
        </is>
      </c>
      <c r="F509" t="inlineStr">
        <is>
          <t>Enforcement</t>
        </is>
      </c>
      <c r="G509" t="inlineStr">
        <is>
          <t>High</t>
        </is>
      </c>
      <c r="H509" t="inlineStr">
        <is>
          <t>High (explicit)</t>
        </is>
      </c>
      <c r="I509" s="8" t="inlineStr"/>
      <c r="J509" s="8" t="inlineStr">
        <is>
          <t>Financial Data</t>
        </is>
      </c>
      <c r="K509" t="inlineStr">
        <is>
          <t>Centre</t>
        </is>
      </c>
      <c r="L509" s="8" t="inlineStr">
        <is>
          <t>Accountable institutions failing to implement internal rules are guilty of an offence.</t>
        </is>
      </c>
      <c r="M509" s="8" t="inlineStr">
        <is>
          <t>Offence for failing to formulate and implement internal rules; requires adherence to internal rules for compliance.</t>
        </is>
      </c>
      <c r="N509" s="8" t="inlineStr">
        <is>
          <t>[Must] formulate and implement internal rules in accordance with section 42(1)
[Must] make internal rules available to employees in accordance with section 42(3)
[Must] make a copy of internal rules available to Centre or supervisory body in accordance with section 42(4)</t>
        </is>
      </c>
      <c r="O509" s="8" t="inlineStr">
        <is>
          <t>An accountable institution that fails to formulate and implement internal rules in accordance with section 42(1) and make internal rules available to employees in accordance with section 42(3); or make a copy of internal rules available to Centre or supervisory body in accordance with section 42(4), is guilty of an offence.</t>
        </is>
      </c>
      <c r="P509" s="10" t="inlineStr">
        <is>
          <t>Open PDF</t>
        </is>
      </c>
    </row>
    <row r="510">
      <c r="A510" t="inlineStr">
        <is>
          <t>South Africa</t>
        </is>
      </c>
      <c r="B510" t="inlineStr">
        <is>
          <t>FICA (Financial Intelligence Centre Act, 38 of 2001</t>
        </is>
      </c>
      <c r="C510" t="inlineStr">
        <is>
          <t>391</t>
        </is>
      </c>
      <c r="D510" s="8" t="inlineStr">
        <is>
          <t>A certificate issued by an official  of the  Centre that information specified in the</t>
        </is>
      </c>
      <c r="E510" t="inlineStr">
        <is>
          <t>13</t>
        </is>
      </c>
      <c r="F510" t="inlineStr">
        <is>
          <t>Incident Reporting</t>
        </is>
      </c>
      <c r="G510" t="inlineStr">
        <is>
          <t>High</t>
        </is>
      </c>
      <c r="H510" t="inlineStr">
        <is>
          <t>High (explicit)</t>
        </is>
      </c>
      <c r="I510" s="8" t="inlineStr">
        <is>
          <t>Incident Reporting, Breach Notification</t>
        </is>
      </c>
      <c r="J510" s="8" t="inlineStr">
        <is>
          <t>Financial Data</t>
        </is>
      </c>
      <c r="K510" t="inlineStr">
        <is>
          <t>Financial Intelligence Centre (Centre)</t>
        </is>
      </c>
      <c r="L510" s="8" t="inlineStr">
        <is>
          <t>Certificate from Centre is admissible as evidence in court for reported money laundering transactions.</t>
        </is>
      </c>
      <c r="M510" s="8" t="inlineStr">
        <is>
          <t>Centre's certificates for reported transactions are admissible evidence in legal proceedings.</t>
        </is>
      </c>
      <c r="N510" s="8" t="inlineStr">
        <is>
          <t>[Must] Certificate issued by Centre that information was reported or sent to Centre in terms of sections 28, 29, 30(2) or 31 is admissible as evidence in court</t>
        </is>
      </c>
      <c r="O510" s="8" t="inlineStr">
        <is>
          <t>391. A certificate issued by an official of the Centre that information specified in the certificate was reported or sent to the Centre in terms of section 28, 29, 30(2) or 31 is, subject to section 38(3), on its mere production in a matter before a court admissible as evidence...</t>
        </is>
      </c>
      <c r="P510" s="10" t="inlineStr">
        <is>
          <t>Open PDF</t>
        </is>
      </c>
    </row>
    <row r="511">
      <c r="A511" t="inlineStr">
        <is>
          <t>South Africa</t>
        </is>
      </c>
      <c r="B511" t="inlineStr">
        <is>
          <t>FICA (Financial Intelligence Centre Act, 38 of 2001</t>
        </is>
      </c>
      <c r="C511" t="inlineStr">
        <is>
          <t>615</t>
        </is>
      </c>
      <c r="D511" s="8" t="inlineStr">
        <is>
          <t>(1) Any person  who,  without authority to do so, wilfully  accesses  or causes any 35</t>
        </is>
      </c>
      <c r="E511" t="inlineStr">
        <is>
          <t>17–18</t>
        </is>
      </c>
      <c r="F511" t="inlineStr">
        <is>
          <t>Enforcement</t>
        </is>
      </c>
      <c r="G511" t="inlineStr">
        <is>
          <t>High</t>
        </is>
      </c>
      <c r="H511" t="inlineStr">
        <is>
          <t>High (explicit)</t>
        </is>
      </c>
      <c r="I511" s="8" t="inlineStr"/>
      <c r="J511" s="8" t="inlineStr">
        <is>
          <t>Financial Data</t>
        </is>
      </c>
      <c r="K511" t="inlineStr">
        <is>
          <t>Centre</t>
        </is>
      </c>
      <c r="L511" s="8" t="inlineStr">
        <is>
          <t>Unauthorised access to Centre's computer systems is an offence.</t>
        </is>
      </c>
      <c r="M511" s="8" t="inlineStr">
        <is>
          <t>Offence for unauthorised access to Centre's computer systems; requires adherence to access controls.</t>
        </is>
      </c>
      <c r="N511" s="8" t="inlineStr">
        <is>
          <t>[Must Not] without authority to do so, wilfully accesses or causes any person to access Centre's computer system</t>
        </is>
      </c>
      <c r="O511" s="8" t="inlineStr">
        <is>
          <t>Any person who, without authority to do so, wilfully accesses or causes any other person to access Centre's computer system, is guilty of an offence.</t>
        </is>
      </c>
      <c r="P511" s="10" t="inlineStr">
        <is>
          <t>Open PDF</t>
        </is>
      </c>
    </row>
    <row r="512">
      <c r="A512" t="inlineStr">
        <is>
          <t>South Africa</t>
        </is>
      </c>
      <c r="B512" t="inlineStr">
        <is>
          <t>Financial Advisory and Intermediary Services Act (FAIS) 37 of 2002</t>
        </is>
      </c>
      <c r="C512" t="inlineStr">
        <is>
          <t>1</t>
        </is>
      </c>
      <c r="D512" s="8" t="inlineStr">
        <is>
          <t>(1) In this  Act,  unless the context  indicates otherwise-</t>
        </is>
      </c>
      <c r="E512" t="inlineStr">
        <is>
          <t>4–7</t>
        </is>
      </c>
      <c r="F512" t="inlineStr">
        <is>
          <t>Definitions</t>
        </is>
      </c>
      <c r="G512" t="inlineStr">
        <is>
          <t>High</t>
        </is>
      </c>
      <c r="H512" t="inlineStr">
        <is>
          <t>High (explicit)</t>
        </is>
      </c>
      <c r="I512" s="8" t="inlineStr"/>
      <c r="J512" s="8" t="inlineStr">
        <is>
          <t>Financial Data</t>
        </is>
      </c>
      <c r="K512" t="inlineStr"/>
      <c r="L512" s="8" t="inlineStr">
        <is>
          <t>Defines key terms including 'advice', 'financial product', 'financial services provider', and related concepts for regulatory purposes.</t>
        </is>
      </c>
      <c r="M512" s="8" t="inlineStr"/>
      <c r="N512" s="8" t="inlineStr">
        <is>
          <t>[Must] In this Act, unless the context indicates otherwise</t>
        </is>
      </c>
      <c r="O512" s="8" t="inlineStr">
        <is>
          <t>1. (1) In this Act, unless the context indicates otherwise-</t>
        </is>
      </c>
      <c r="P512" s="10" t="inlineStr">
        <is>
          <t>Open PDF</t>
        </is>
      </c>
    </row>
    <row r="513">
      <c r="A513" t="inlineStr">
        <is>
          <t>South Africa</t>
        </is>
      </c>
      <c r="B513" t="inlineStr">
        <is>
          <t>Financial Advisory and Intermediary Services Act (FAIS) 37 of 2002</t>
        </is>
      </c>
      <c r="C513" t="inlineStr">
        <is>
          <t>1</t>
        </is>
      </c>
      <c r="D513" s="8" t="inlineStr">
        <is>
          <t>The amendment of section 4</t>
        </is>
      </c>
      <c r="E513" t="inlineStr">
        <is>
          <t>30</t>
        </is>
      </c>
      <c r="F513" t="inlineStr">
        <is>
          <t>Other</t>
        </is>
      </c>
      <c r="G513" t="inlineStr">
        <is>
          <t>High</t>
        </is>
      </c>
      <c r="H513" t="inlineStr">
        <is>
          <t>High (explicit)</t>
        </is>
      </c>
      <c r="I513" s="8" t="inlineStr">
        <is>
          <t>Financial Data</t>
        </is>
      </c>
      <c r="J513" s="8" t="inlineStr">
        <is>
          <t>Financial Data</t>
        </is>
      </c>
      <c r="K513" t="inlineStr"/>
      <c r="L513" s="8" t="inlineStr">
        <is>
          <t>Amends section 10 by substituting paragraphs for stock-brokers and financial instrument traders.</t>
        </is>
      </c>
      <c r="M513" s="8" t="inlineStr"/>
      <c r="N513"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513"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c r="P513" s="10" t="inlineStr">
        <is>
          <t>Open PDF</t>
        </is>
      </c>
    </row>
    <row r="514">
      <c r="A514" t="inlineStr">
        <is>
          <t>South Africa</t>
        </is>
      </c>
      <c r="B514" t="inlineStr">
        <is>
          <t>Financial Advisory and Intermediary Services Act (FAIS) 37 of 2002</t>
        </is>
      </c>
      <c r="C514" t="inlineStr">
        <is>
          <t>1</t>
        </is>
      </c>
      <c r="D514" s="8" t="inlineStr">
        <is>
          <t>The  amendment of section 5-</t>
        </is>
      </c>
      <c r="E514" t="inlineStr">
        <is>
          <t>33</t>
        </is>
      </c>
      <c r="F514" t="inlineStr">
        <is>
          <t>Other</t>
        </is>
      </c>
      <c r="G514" t="inlineStr">
        <is>
          <t>High</t>
        </is>
      </c>
      <c r="H514" t="inlineStr">
        <is>
          <t>High (explicit)</t>
        </is>
      </c>
      <c r="I514" s="8" t="inlineStr">
        <is>
          <t>Financial Data</t>
        </is>
      </c>
      <c r="J514" s="8" t="inlineStr">
        <is>
          <t>Financial Data</t>
        </is>
      </c>
      <c r="K514" t="inlineStr"/>
      <c r="L514" s="8" t="inlineStr">
        <is>
          <t>Amends section 10 by substituting paragraphs for stock-brokers and financial instrument traders.</t>
        </is>
      </c>
      <c r="M514" s="8" t="inlineStr"/>
      <c r="N514"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514"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c r="P514" s="10" t="inlineStr">
        <is>
          <t>Open PDF</t>
        </is>
      </c>
    </row>
    <row r="515">
      <c r="A515" t="inlineStr">
        <is>
          <t>South Africa</t>
        </is>
      </c>
      <c r="B515" t="inlineStr">
        <is>
          <t>Financial Advisory and Intermediary Services Act (FAIS) 37 of 2002</t>
        </is>
      </c>
      <c r="C515" t="inlineStr">
        <is>
          <t>1</t>
        </is>
      </c>
      <c r="D515" s="8" t="inlineStr">
        <is>
          <t>The amendment of section 10</t>
        </is>
      </c>
      <c r="E515" t="inlineStr">
        <is>
          <t>37</t>
        </is>
      </c>
      <c r="F515" t="inlineStr">
        <is>
          <t>Other</t>
        </is>
      </c>
      <c r="G515" t="inlineStr">
        <is>
          <t>High</t>
        </is>
      </c>
      <c r="H515" t="inlineStr">
        <is>
          <t>High (explicit)</t>
        </is>
      </c>
      <c r="I515" s="8" t="inlineStr">
        <is>
          <t>Financial Data</t>
        </is>
      </c>
      <c r="J515" s="8" t="inlineStr">
        <is>
          <t>Financial Data</t>
        </is>
      </c>
      <c r="K515" t="inlineStr"/>
      <c r="L515" s="8" t="inlineStr">
        <is>
          <t>Amends section 10 by substituting paragraphs for stock-brokers and financial instrument traders.</t>
        </is>
      </c>
      <c r="M515" s="8" t="inlineStr"/>
      <c r="N515"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515"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c r="P515" s="10" t="inlineStr">
        <is>
          <t>Open PDF</t>
        </is>
      </c>
    </row>
    <row r="516">
      <c r="A516" t="inlineStr">
        <is>
          <t>South Africa</t>
        </is>
      </c>
      <c r="B516" t="inlineStr">
        <is>
          <t>Financial Advisory and Intermediary Services Act (FAIS) 37 of 2002</t>
        </is>
      </c>
      <c r="C516" t="inlineStr">
        <is>
          <t>2</t>
        </is>
      </c>
      <c r="D516" s="8" t="inlineStr">
        <is>
          <t>The executive  officer  and  deputy executive officer of the  Board  are  respectively  the</t>
        </is>
      </c>
      <c r="E516" t="inlineStr">
        <is>
          <t>7–8</t>
        </is>
      </c>
      <c r="F516" t="inlineStr">
        <is>
          <t>Definitions</t>
        </is>
      </c>
      <c r="G516" t="inlineStr">
        <is>
          <t>High</t>
        </is>
      </c>
      <c r="H516" t="inlineStr">
        <is>
          <t>High (explicit)</t>
        </is>
      </c>
      <c r="I516" s="8" t="inlineStr"/>
      <c r="J516" s="8" t="inlineStr"/>
      <c r="K516" t="inlineStr"/>
      <c r="L516" s="8" t="inlineStr">
        <is>
          <t>Designates the registrar and deputy registrar as the executive and deputy executive officers of the Board.</t>
        </is>
      </c>
      <c r="M516" s="8" t="inlineStr"/>
      <c r="N516" s="8" t="inlineStr">
        <is>
          <t>[Must] The executive officer and deputy executive officer of the Board are respectively the registrar and deputy registrar of financial services providers</t>
        </is>
      </c>
      <c r="O516" s="8" t="inlineStr">
        <is>
          <t>2. The executive officer and deputy executive officer of the Board are respectively the registrar and deputy registrar of financial services providers</t>
        </is>
      </c>
      <c r="P516" s="10" t="inlineStr">
        <is>
          <t>Open PDF</t>
        </is>
      </c>
    </row>
    <row r="517">
      <c r="A517" t="inlineStr">
        <is>
          <t>South Africa</t>
        </is>
      </c>
      <c r="B517" t="inlineStr">
        <is>
          <t>Financial Advisory and Intermediary Services Act (FAIS) 37 of 2002</t>
        </is>
      </c>
      <c r="C517" t="inlineStr">
        <is>
          <t>2</t>
        </is>
      </c>
      <c r="D517" s="8" t="inlineStr">
        <is>
          <t>The amendment of section 12</t>
        </is>
      </c>
      <c r="E517" t="inlineStr">
        <is>
          <t>30–31</t>
        </is>
      </c>
      <c r="F517" t="inlineStr">
        <is>
          <t>Other</t>
        </is>
      </c>
      <c r="G517" t="inlineStr">
        <is>
          <t>High</t>
        </is>
      </c>
      <c r="H517" t="inlineStr">
        <is>
          <t>High (explicit)</t>
        </is>
      </c>
      <c r="I517" s="8" t="inlineStr">
        <is>
          <t>Financial Data</t>
        </is>
      </c>
      <c r="J517" s="8" t="inlineStr">
        <is>
          <t>Financial Data</t>
        </is>
      </c>
      <c r="K517" t="inlineStr"/>
      <c r="L517" s="8" t="inlineStr">
        <is>
          <t>Amends section 12 by substituting a paragraph that members must carry on business in accordance with rules and may not effect transactions with persons requiring authorization without verification.</t>
        </is>
      </c>
      <c r="M517" s="8" t="inlineStr"/>
      <c r="N517"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517"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P517" s="10" t="inlineStr">
        <is>
          <t>Open PDF</t>
        </is>
      </c>
    </row>
    <row r="518">
      <c r="A518" t="inlineStr">
        <is>
          <t>South Africa</t>
        </is>
      </c>
      <c r="B518" t="inlineStr">
        <is>
          <t>Financial Advisory and Intermediary Services Act (FAIS) 37 of 2002</t>
        </is>
      </c>
      <c r="C518" t="inlineStr">
        <is>
          <t>2</t>
        </is>
      </c>
      <c r="D518" s="8" t="inlineStr">
        <is>
          <t>The amendment of sectior</t>
        </is>
      </c>
      <c r="E518" t="inlineStr">
        <is>
          <t>33</t>
        </is>
      </c>
      <c r="F518" t="inlineStr">
        <is>
          <t>Other</t>
        </is>
      </c>
      <c r="G518" t="inlineStr">
        <is>
          <t>High</t>
        </is>
      </c>
      <c r="H518" t="inlineStr">
        <is>
          <t>High (explicit)</t>
        </is>
      </c>
      <c r="I518" s="8" t="inlineStr">
        <is>
          <t>Financial Data</t>
        </is>
      </c>
      <c r="J518" s="8" t="inlineStr">
        <is>
          <t>Financial Data</t>
        </is>
      </c>
      <c r="K518" t="inlineStr"/>
      <c r="L518" s="8" t="inlineStr">
        <is>
          <t>Amends section 12 by substituting a paragraph that members must carry on business in accordance with rules and may not effect transactions with persons requiring authorization without verification.</t>
        </is>
      </c>
      <c r="M518" s="8" t="inlineStr"/>
      <c r="N518"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518"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P518" s="10" t="inlineStr">
        <is>
          <t>Open PDF</t>
        </is>
      </c>
    </row>
    <row r="519">
      <c r="A519" t="inlineStr">
        <is>
          <t>South Africa</t>
        </is>
      </c>
      <c r="B519" t="inlineStr">
        <is>
          <t>Financial Advisory and Intermediary Services Act (FAIS) 37 of 2002</t>
        </is>
      </c>
      <c r="C519" t="inlineStr">
        <is>
          <t>3</t>
        </is>
      </c>
      <c r="D519" s="8" t="inlineStr">
        <is>
          <t>The  amendment  of section 211</t>
        </is>
      </c>
      <c r="E519" t="inlineStr">
        <is>
          <t>33–34</t>
        </is>
      </c>
      <c r="F519" t="inlineStr">
        <is>
          <t>Other</t>
        </is>
      </c>
      <c r="G519" t="inlineStr">
        <is>
          <t>Unknown</t>
        </is>
      </c>
      <c r="H519" t="inlineStr">
        <is>
          <t>Low</t>
        </is>
      </c>
      <c r="I519" s="8" t="inlineStr"/>
      <c r="J519" s="8" t="inlineStr"/>
      <c r="K519" t="inlineStr"/>
      <c r="L519" s="8" t="inlineStr"/>
      <c r="M519" s="8" t="inlineStr"/>
      <c r="N519" s="8" t="inlineStr"/>
      <c r="O519" s="8" t="inlineStr"/>
      <c r="P519" s="10" t="inlineStr">
        <is>
          <t>Open PDF</t>
        </is>
      </c>
    </row>
    <row r="520">
      <c r="A520" t="inlineStr">
        <is>
          <t>South Africa</t>
        </is>
      </c>
      <c r="B520" t="inlineStr">
        <is>
          <t>Financial Advisory and Intermediary Services Act (FAIS) 37 of 2002</t>
        </is>
      </c>
      <c r="C520" t="inlineStr">
        <is>
          <t>4</t>
        </is>
      </c>
      <c r="D520" s="8" t="inlineStr">
        <is>
          <t>(1) When anything is required or permitted to be done by the registrar in terms of</t>
        </is>
      </c>
      <c r="E520" t="inlineStr">
        <is>
          <t>8–9</t>
        </is>
      </c>
      <c r="F520" t="inlineStr">
        <is>
          <t>Cross-border Transfer</t>
        </is>
      </c>
      <c r="G520" t="inlineStr">
        <is>
          <t>High</t>
        </is>
      </c>
      <c r="H520" t="inlineStr">
        <is>
          <t>High (explicit)</t>
        </is>
      </c>
      <c r="I520" s="8" t="inlineStr"/>
      <c r="J520" s="8" t="inlineStr"/>
      <c r="K520" t="inlineStr">
        <is>
          <t>Registrar</t>
        </is>
      </c>
      <c r="L520" s="8" t="inlineStr">
        <is>
          <t>Regulates registrar's powers to extend periods, direct information furnishing, and handle misleading publications.</t>
        </is>
      </c>
      <c r="M520" s="8" t="inlineStr"/>
      <c r="N520" s="8" t="inlineStr">
        <is>
          <t>[Must] When anything is required or permitted to be done by the registrar within a particular period, the registrar may extend it for any sufficient cause
[Must] The registrar may direct an authorised financial services provider or representative to furnish specified information or documents
[Must] If any advertisement, brochure or similar document is misleading, the registrar may direct cessation of publication or changes
[Must] If a person is contravening or failing to comply with the Act, the registrar may direct furnishing information, appearing before the registrar, or making arrangements for obligations
[Must] If significant prejudice or damage to clients has occurred, the registrar may apply to a Court for an order restraining business
[Must] If prejudice or damage may have occurred to a client, the registrar may refer the matter to the Office</t>
        </is>
      </c>
      <c r="O520" s="8" t="inlineStr">
        <is>
          <t>4. (1) When anything is required or permitted to be done by the registrar in terms of this Act within a particular period, the registrar may on application or on own initiative before the expiry of that period, extend it for any sufficient cause.</t>
        </is>
      </c>
      <c r="P520" s="10" t="inlineStr">
        <is>
          <t>Open PDF</t>
        </is>
      </c>
    </row>
    <row r="521">
      <c r="A521" t="inlineStr">
        <is>
          <t>South Africa</t>
        </is>
      </c>
      <c r="B521" t="inlineStr">
        <is>
          <t>Financial Advisory and Intermediary Services Act (FAIS) 37 of 2002</t>
        </is>
      </c>
      <c r="C521" t="inlineStr">
        <is>
          <t>4</t>
        </is>
      </c>
      <c r="D521" s="8" t="inlineStr">
        <is>
          <t>The  amendment</t>
        </is>
      </c>
      <c r="E521" t="inlineStr">
        <is>
          <t>31</t>
        </is>
      </c>
      <c r="F521" t="inlineStr">
        <is>
          <t>Other</t>
        </is>
      </c>
      <c r="G521" t="inlineStr">
        <is>
          <t>High</t>
        </is>
      </c>
      <c r="H521" t="inlineStr">
        <is>
          <t>High (explicit)</t>
        </is>
      </c>
      <c r="I521" s="8" t="inlineStr">
        <is>
          <t>Financial Data</t>
        </is>
      </c>
      <c r="J521" s="8" t="inlineStr">
        <is>
          <t>Financial Data</t>
        </is>
      </c>
      <c r="K521" t="inlineStr"/>
      <c r="L521" s="8" t="inlineStr">
        <is>
          <t>Amends section 45 by deleting specific subparagraphs and substituting wording related to financial exchanges and members.</t>
        </is>
      </c>
      <c r="M521" s="8" t="inlineStr"/>
      <c r="N521" s="8" t="inlineStr">
        <is>
          <t>[Must] but who is carrying on the business of a stock exchange or of a member [or of a person requiring approval in terms of section 41 as the case may be]</t>
        </is>
      </c>
      <c r="O521"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c r="P521" s="10" t="inlineStr">
        <is>
          <t>Open PDF</t>
        </is>
      </c>
    </row>
    <row r="522">
      <c r="A522" t="inlineStr">
        <is>
          <t>South Africa</t>
        </is>
      </c>
      <c r="B522" t="inlineStr">
        <is>
          <t>Financial Advisory and Intermediary Services Act (FAIS) 37 of 2002</t>
        </is>
      </c>
      <c r="C522" t="inlineStr">
        <is>
          <t>4</t>
        </is>
      </c>
      <c r="D522" s="8" t="inlineStr">
        <is>
          <t>The amendment of section</t>
        </is>
      </c>
      <c r="E522" t="inlineStr">
        <is>
          <t>34</t>
        </is>
      </c>
      <c r="F522" t="inlineStr">
        <is>
          <t>Other</t>
        </is>
      </c>
      <c r="G522" t="inlineStr">
        <is>
          <t>High</t>
        </is>
      </c>
      <c r="H522" t="inlineStr">
        <is>
          <t>High (explicit)</t>
        </is>
      </c>
      <c r="I522" s="8" t="inlineStr">
        <is>
          <t>Financial Data</t>
        </is>
      </c>
      <c r="J522" s="8" t="inlineStr">
        <is>
          <t>Financial Data</t>
        </is>
      </c>
      <c r="K522" t="inlineStr"/>
      <c r="L522" s="8" t="inlineStr">
        <is>
          <t>Amends section 45 by deleting specific subparagraphs and substituting wording related to financial exchanges and members.</t>
        </is>
      </c>
      <c r="M522" s="8" t="inlineStr"/>
      <c r="N522" s="8" t="inlineStr">
        <is>
          <t>[Must] but who is carrying on the business of a stock exchange or of a member [or of a person requiring approval in terms of section 41 as the case may be]</t>
        </is>
      </c>
      <c r="O522"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c r="P522" s="10" t="inlineStr">
        <is>
          <t>Open PDF</t>
        </is>
      </c>
    </row>
    <row r="523">
      <c r="A523" t="inlineStr">
        <is>
          <t>South Africa</t>
        </is>
      </c>
      <c r="B523" t="inlineStr">
        <is>
          <t>Financial Advisory and Intermediary Services Act (FAIS) 37 of 2002</t>
        </is>
      </c>
      <c r="C523" t="inlineStr">
        <is>
          <t>5</t>
        </is>
      </c>
      <c r="D523" s="8" t="inlineStr">
        <is>
          <t>( 1 ) There is an Advisory Committee  on Financial  Services  Providers which may on</t>
        </is>
      </c>
      <c r="E523" t="inlineStr">
        <is>
          <t>9</t>
        </is>
      </c>
      <c r="F523" t="inlineStr">
        <is>
          <t>Other</t>
        </is>
      </c>
      <c r="G523" t="inlineStr">
        <is>
          <t>Low</t>
        </is>
      </c>
      <c r="H523" t="inlineStr">
        <is>
          <t>High (explicit)</t>
        </is>
      </c>
      <c r="I523" s="8" t="inlineStr"/>
      <c r="J523" s="8" t="inlineStr"/>
      <c r="K523" t="inlineStr">
        <is>
          <t>Minister</t>
        </is>
      </c>
      <c r="L523" s="8" t="inlineStr">
        <is>
          <t>Advisory Committee on Financial Services Providers may investigate and report on matters relating to financial services providers, consisting of chairperson, members including medical schemes representative, product suppliers, providers, and clients. Members appointed by Minister after consultation with Board.</t>
        </is>
      </c>
      <c r="M523" s="8" t="inlineStr"/>
      <c r="N523" s="8" t="inlineStr">
        <is>
          <t>[Must] Advisory Committee may investigate and report on matters relating to financial services providers
[Must] Advisory Committee consists of chairperson and members including medical schemes representative, product suppliers, financial services providers and clients
[Must] Registrar is a member of Advisory Committee without voting power
[Must] Members hold office for period determined by Minister
[Must] Non-state employees must be paid remuneration and allowances
[Must] Advisory Committee may meet or arrange for performance of functions
[Must] Registrar may submit relevant information to Advisory Committee
[Must] Advisory Committee may call assistance to investigate matters
[Must] Registrar responsible for administrative work
[Must] Expenditure must be paid from Board funds with approval</t>
        </is>
      </c>
      <c r="O523" s="8" t="inlineStr">
        <is>
          <t>5. (1) There is an Advisory Committee on Financial Services Providers which may on its own initiative, or must at the request of the Minister or the registrar, investigate and report or advise on any matter relating to financial services providers.</t>
        </is>
      </c>
      <c r="P523" s="10" t="inlineStr">
        <is>
          <t>Open PDF</t>
        </is>
      </c>
    </row>
    <row r="524">
      <c r="A524" t="inlineStr">
        <is>
          <t>South Africa</t>
        </is>
      </c>
      <c r="B524" t="inlineStr">
        <is>
          <t>Financial Advisory and Intermediary Services Act (FAIS) 37 of 2002</t>
        </is>
      </c>
      <c r="C524" t="inlineStr">
        <is>
          <t>6</t>
        </is>
      </c>
      <c r="D524" s="8" t="inlineStr">
        <is>
          <t>( 11 The  Minister may, on  such  conditions as  the Minister may determine (which the</t>
        </is>
      </c>
      <c r="E524" t="inlineStr">
        <is>
          <t>9–10</t>
        </is>
      </c>
      <c r="F524" t="inlineStr">
        <is>
          <t>Other</t>
        </is>
      </c>
      <c r="G524" t="inlineStr">
        <is>
          <t>Low</t>
        </is>
      </c>
      <c r="H524" t="inlineStr">
        <is>
          <t>High (explicit)</t>
        </is>
      </c>
      <c r="I524" s="8" t="inlineStr"/>
      <c r="J524" s="8" t="inlineStr"/>
      <c r="K524" t="inlineStr">
        <is>
          <t>Minister, Board, Registrar</t>
        </is>
      </c>
      <c r="L524" s="8" t="inlineStr">
        <is>
          <t>Minister, Board and registrar may delegate powers to others with conditions, including to National Treasury, other officials, or registrar. Delegations may be amended or withdrawn at any time.</t>
        </is>
      </c>
      <c r="M524" s="8" t="inlineStr"/>
      <c r="N524" s="8" t="inlineStr">
        <is>
          <t>[May] Minister may delegate powers to National Treasury, other officials, or registrar with conditions
[May] Board may delegate powers to chairperson, members, or registrar with conditions
[May] Registrar may delegate powers to other Board members, appointed persons, or recognized bodies
[May] Delegations may be amended or withdrawn at any time</t>
        </is>
      </c>
      <c r="O524" s="8" t="inlineStr">
        <is>
          <t>6. (11) The Minister may, on such conditions as the Minister may determine (which the Minister may at any time thereafter amend or withdraw). delegate any power conferred upon the Minister by this Act, excluding the power to make regulations under section 35.</t>
        </is>
      </c>
      <c r="P524" s="10" t="inlineStr">
        <is>
          <t>Open PDF</t>
        </is>
      </c>
    </row>
    <row r="525">
      <c r="A525" t="inlineStr">
        <is>
          <t>South Africa</t>
        </is>
      </c>
      <c r="B525" t="inlineStr">
        <is>
          <t>Financial Advisory and Intermediary Services Act (FAIS) 37 of 2002</t>
        </is>
      </c>
      <c r="C525" t="inlineStr">
        <is>
          <t>6</t>
        </is>
      </c>
      <c r="D525" s="8" t="inlineStr">
        <is>
          <t>The amendment of section 48</t>
        </is>
      </c>
      <c r="E525" t="inlineStr">
        <is>
          <t>31–32</t>
        </is>
      </c>
      <c r="F525" t="inlineStr">
        <is>
          <t>Other</t>
        </is>
      </c>
      <c r="G525" t="inlineStr">
        <is>
          <t>High</t>
        </is>
      </c>
      <c r="H525" t="inlineStr">
        <is>
          <t>High (explicit)</t>
        </is>
      </c>
      <c r="I525" s="8" t="inlineStr">
        <is>
          <t>Financial Data</t>
        </is>
      </c>
      <c r="J525" s="8" t="inlineStr">
        <is>
          <t>Financial Data</t>
        </is>
      </c>
      <c r="K525" t="inlineStr"/>
      <c r="L525" s="8" t="inlineStr">
        <is>
          <t>Amends section 48 by substituting a paragraph that contravenes specific sections of the Act.</t>
        </is>
      </c>
      <c r="M525" s="8" t="inlineStr"/>
      <c r="N525" s="8" t="inlineStr">
        <is>
          <t>[Must Not] contravenes a provision of section 3(1) or (2), 4(1)[or (2)] or 14</t>
        </is>
      </c>
      <c r="O525" s="8" t="inlineStr">
        <is>
          <t>6. The amendment of section 48 by the substitution for paragraph (a) of subsection (1) of the following paragraph: "(a) contravenes a provision of section 3(1) or (2), 4(1)[or (2)] or 14;".</t>
        </is>
      </c>
      <c r="P525" s="10" t="inlineStr">
        <is>
          <t>Open PDF</t>
        </is>
      </c>
    </row>
    <row r="526">
      <c r="A526" t="inlineStr">
        <is>
          <t>South Africa</t>
        </is>
      </c>
      <c r="B526" t="inlineStr">
        <is>
          <t>Financial Advisory and Intermediary Services Act (FAIS) 37 of 2002</t>
        </is>
      </c>
      <c r="C526" t="inlineStr">
        <is>
          <t>6</t>
        </is>
      </c>
      <c r="D526" s="8" t="inlineStr">
        <is>
          <t>The amendment of section</t>
        </is>
      </c>
      <c r="E526" t="inlineStr">
        <is>
          <t>34–35</t>
        </is>
      </c>
      <c r="F526" t="inlineStr">
        <is>
          <t>Other</t>
        </is>
      </c>
      <c r="G526" t="inlineStr">
        <is>
          <t>High</t>
        </is>
      </c>
      <c r="H526" t="inlineStr">
        <is>
          <t>High (explicit)</t>
        </is>
      </c>
      <c r="I526" s="8" t="inlineStr">
        <is>
          <t>Financial Data</t>
        </is>
      </c>
      <c r="J526" s="8" t="inlineStr">
        <is>
          <t>Financial Data</t>
        </is>
      </c>
      <c r="K526" t="inlineStr"/>
      <c r="L526" s="8" t="inlineStr">
        <is>
          <t>Amends section 48 by substituting a paragraph that contravenes specific sections of the Act.</t>
        </is>
      </c>
      <c r="M526" s="8" t="inlineStr"/>
      <c r="N526" s="8" t="inlineStr">
        <is>
          <t>[Must Not] contravenes a provision of section 3(1) or (2), 4(1)[or (2)] or 14</t>
        </is>
      </c>
      <c r="O526" s="8" t="inlineStr">
        <is>
          <t>6. The amendment of section 48 by the substitution for paragraph (a) of subsection (1) of the following paragraph: "(a) contravenes a provision of section 3(1) or (2), 4(1)[or (2)] or 14;".</t>
        </is>
      </c>
      <c r="P526" s="10" t="inlineStr">
        <is>
          <t>Open PDF</t>
        </is>
      </c>
    </row>
    <row r="527">
      <c r="A527" t="inlineStr">
        <is>
          <t>South Africa</t>
        </is>
      </c>
      <c r="B527" t="inlineStr">
        <is>
          <t>Financial Advisory and Intermediary Services Act (FAIS) 37 of 2002</t>
        </is>
      </c>
      <c r="C527" t="inlineStr">
        <is>
          <t>7</t>
        </is>
      </c>
      <c r="D527" s="8" t="inlineStr">
        <is>
          <t>(1 ) With effect from  a date  determined by the  Minister by notice in the Guzerte. a</t>
        </is>
      </c>
      <c r="E527" t="inlineStr">
        <is>
          <t>10–11</t>
        </is>
      </c>
      <c r="F527" t="inlineStr">
        <is>
          <t>Other</t>
        </is>
      </c>
      <c r="G527" t="inlineStr">
        <is>
          <t>High</t>
        </is>
      </c>
      <c r="H527" t="inlineStr">
        <is>
          <t>High (explicit)</t>
        </is>
      </c>
      <c r="I527" s="8" t="inlineStr"/>
      <c r="J527" s="8" t="inlineStr"/>
      <c r="K527" t="inlineStr"/>
      <c r="L527" s="8" t="inlineStr">
        <is>
          <t>A person may not act as a financial services provider without being issued a licence under section 8. Transactions concluded after the effective date must be between authorized providers and clients.</t>
        </is>
      </c>
      <c r="M527" s="8" t="inlineStr"/>
      <c r="N527" s="8" t="inlineStr">
        <is>
          <t>[Must Not] Person may not act as financial services provider without licence under section 8</t>
        </is>
      </c>
      <c r="O527" s="8" t="inlineStr">
        <is>
          <t>7. (1) With effect from a date determined by the Minister by notice in the Gazette, a person may not act or offer to act as a financial services provider unless such person has been issued with a licence under section 8.</t>
        </is>
      </c>
      <c r="P527" s="10" t="inlineStr">
        <is>
          <t>Open PDF</t>
        </is>
      </c>
    </row>
    <row r="528">
      <c r="A528" t="inlineStr">
        <is>
          <t>South Africa</t>
        </is>
      </c>
      <c r="B528" t="inlineStr">
        <is>
          <t>Financial Advisory and Intermediary Services Act (FAIS) 37 of 2002</t>
        </is>
      </c>
      <c r="C528" t="inlineStr">
        <is>
          <t>7</t>
        </is>
      </c>
      <c r="D528" s="8" t="inlineStr">
        <is>
          <t>The substitution of the follow-</t>
        </is>
      </c>
      <c r="E528" t="inlineStr">
        <is>
          <t>32</t>
        </is>
      </c>
      <c r="F528" t="inlineStr">
        <is>
          <t>Other</t>
        </is>
      </c>
      <c r="G528" t="inlineStr">
        <is>
          <t>High</t>
        </is>
      </c>
      <c r="H528" t="inlineStr">
        <is>
          <t>High (explicit)</t>
        </is>
      </c>
      <c r="I528" s="8" t="inlineStr">
        <is>
          <t>Financial Data</t>
        </is>
      </c>
      <c r="J528" s="8" t="inlineStr">
        <is>
          <t>Financial Data</t>
        </is>
      </c>
      <c r="K528" t="inlineStr"/>
      <c r="L528" s="8" t="inlineStr">
        <is>
          <t>Substitutes the heading and subsection for section 50 to define court powers to declare members, officers, or employees disqualified.</t>
        </is>
      </c>
      <c r="M528" s="8" t="inlineStr"/>
      <c r="N528" s="8" t="inlineStr"/>
      <c r="O528" s="8" t="inlineStr">
        <is>
          <t>7. The substitution of the following heading and subsection for the leading and subsection (1) of section 50: "Powers of court to declare member, officer or employee of member disqualified"</t>
        </is>
      </c>
      <c r="P528" s="10" t="inlineStr">
        <is>
          <t>Open PDF</t>
        </is>
      </c>
    </row>
    <row r="529">
      <c r="A529" t="inlineStr">
        <is>
          <t>South Africa</t>
        </is>
      </c>
      <c r="B529" t="inlineStr">
        <is>
          <t>Financial Advisory and Intermediary Services Act (FAIS) 37 of 2002</t>
        </is>
      </c>
      <c r="C529" t="inlineStr">
        <is>
          <t>8</t>
        </is>
      </c>
      <c r="D529" s="8" t="inlineStr">
        <is>
          <t>(1) An application for an authorisation referred to in section 7( 1). including an</t>
        </is>
      </c>
      <c r="E529" t="inlineStr">
        <is>
          <t>11–13</t>
        </is>
      </c>
      <c r="F529" t="inlineStr">
        <is>
          <t>Other</t>
        </is>
      </c>
      <c r="G529" t="inlineStr">
        <is>
          <t>High</t>
        </is>
      </c>
      <c r="H529" t="inlineStr">
        <is>
          <t>High (explicit)</t>
        </is>
      </c>
      <c r="I529" s="8" t="inlineStr"/>
      <c r="J529" s="8" t="inlineStr"/>
      <c r="K529" t="inlineStr">
        <is>
          <t>Registrar</t>
        </is>
      </c>
      <c r="L529" s="8" t="inlineStr">
        <is>
          <t>Applications for authorization must be submitted to registrar with information to satisfy fit and proper requirements, including personal character, competence, financial soundness. Registrar may impose conditions on licenses.</t>
        </is>
      </c>
      <c r="M529" s="8" t="inlineStr"/>
      <c r="N529" s="8" t="inlineStr">
        <is>
          <t>[Must] Applications for authorization must be submitted to registrar with information to satisfy fit and proper requirements
[May] Registrar may impose conditions on licenses based on applicant facts, service category, and fit and proper requirements</t>
        </is>
      </c>
      <c r="O529" s="8" t="inlineStr">
        <is>
          <t>8. (1) An application for an authorisation referred to in section 7(1), including an application by an applicant not domiciled in the Republic, must be submitted to the registrar in the form and manner determined by the registrar by notice in the Gazette, and be accompanied by information to satisfy the registrar that the applicant complies with the requirements for fit and proper financial services providers or categories of providers.</t>
        </is>
      </c>
      <c r="P529" s="10" t="inlineStr">
        <is>
          <t>Open PDF</t>
        </is>
      </c>
    </row>
    <row r="530">
      <c r="A530" t="inlineStr">
        <is>
          <t>South Africa</t>
        </is>
      </c>
      <c r="B530" t="inlineStr">
        <is>
          <t>Financial Advisory and Intermediary Services Act (FAIS) 37 of 2002</t>
        </is>
      </c>
      <c r="C530" t="inlineStr">
        <is>
          <t>8</t>
        </is>
      </c>
      <c r="D530" s="8" t="inlineStr">
        <is>
          <t>The substitution of the follow.</t>
        </is>
      </c>
      <c r="E530" t="inlineStr">
        <is>
          <t>35–36</t>
        </is>
      </c>
      <c r="F530" t="inlineStr">
        <is>
          <t>Other</t>
        </is>
      </c>
      <c r="G530" t="inlineStr">
        <is>
          <t>High</t>
        </is>
      </c>
      <c r="H530" t="inlineStr">
        <is>
          <t>High (explicit)</t>
        </is>
      </c>
      <c r="I530" s="8" t="inlineStr">
        <is>
          <t>Financial Data</t>
        </is>
      </c>
      <c r="J530" s="8" t="inlineStr">
        <is>
          <t>Financial Data</t>
        </is>
      </c>
      <c r="K530" t="inlineStr"/>
      <c r="L530" s="8" t="inlineStr">
        <is>
          <t>Substitutes the heading and subsection for section 31 to define court powers to declare members, officers, or employees disqualified.</t>
        </is>
      </c>
      <c r="M530" s="8" t="inlineStr"/>
      <c r="N530" s="8" t="inlineStr"/>
      <c r="O530" s="8" t="inlineStr">
        <is>
          <t>8. The substitution of the following heading and subsection for the heading and subsection (1) of section 31: "Power of court to declare member or officer or employee of member disqualified"</t>
        </is>
      </c>
      <c r="P530" s="10" t="inlineStr">
        <is>
          <t>Open PDF</t>
        </is>
      </c>
    </row>
    <row r="531">
      <c r="A531" t="inlineStr">
        <is>
          <t>South Africa</t>
        </is>
      </c>
      <c r="B531" t="inlineStr">
        <is>
          <t>Financial Advisory and Intermediary Services Act (FAIS) 37 of 2002</t>
        </is>
      </c>
      <c r="C531" t="inlineStr">
        <is>
          <t>9</t>
        </is>
      </c>
      <c r="D531" s="8" t="inlineStr">
        <is>
          <t>(1 ) The registrar may, subject to subsection (2), at  any  time  suspend  any  licence if</t>
        </is>
      </c>
      <c r="E531" t="inlineStr">
        <is>
          <t>13</t>
        </is>
      </c>
      <c r="F531" t="inlineStr">
        <is>
          <t>Other</t>
        </is>
      </c>
      <c r="G531" t="inlineStr">
        <is>
          <t>High</t>
        </is>
      </c>
      <c r="H531" t="inlineStr">
        <is>
          <t>High (explicit)</t>
        </is>
      </c>
      <c r="I531" s="8" t="inlineStr"/>
      <c r="J531" s="8" t="inlineStr"/>
      <c r="K531" t="inlineStr">
        <is>
          <t>Registrar</t>
        </is>
      </c>
      <c r="L531" s="8" t="inlineStr">
        <is>
          <t>Registrar may suspend a license if licensee no longer meets requirements, after informing licensee and giving opportunity to respond. Suspension may be provisional or final.</t>
        </is>
      </c>
      <c r="M531" s="8" t="inlineStr"/>
      <c r="N531" s="8" t="inlineStr">
        <is>
          <t>[May] Registrar may suspend license if licensee no longer meets requirements
[Must] Registrar must inform licensee of intention to suspend and grounds
[Must] Registrar must give licensee reasonable opportunity to respond</t>
        </is>
      </c>
      <c r="O531" s="8" t="inlineStr">
        <is>
          <t>9. (1) The registrar may, subject to subsection (2), at any time suspend any licence if satisfied on the basis of available facts and information, that the licensee no longer meets the requirements contemplated in section 8</t>
        </is>
      </c>
      <c r="P531" s="10" t="inlineStr">
        <is>
          <t>Open PDF</t>
        </is>
      </c>
    </row>
    <row r="532">
      <c r="A532" t="inlineStr">
        <is>
          <t>South Africa</t>
        </is>
      </c>
      <c r="B532" t="inlineStr">
        <is>
          <t>Financial Advisory and Intermediary Services Act (FAIS) 37 of 2002</t>
        </is>
      </c>
      <c r="C532" t="inlineStr">
        <is>
          <t>10</t>
        </is>
      </c>
      <c r="D532" s="8" t="inlineStr">
        <is>
          <t>(1 ) The registrar may at any  time  withdraw  any licence  (including the licence of</t>
        </is>
      </c>
      <c r="E532" t="inlineStr">
        <is>
          <t>13–14</t>
        </is>
      </c>
      <c r="F532" t="inlineStr">
        <is>
          <t>Other</t>
        </is>
      </c>
      <c r="G532" t="inlineStr">
        <is>
          <t>High</t>
        </is>
      </c>
      <c r="H532" t="inlineStr">
        <is>
          <t>High (explicit)</t>
        </is>
      </c>
      <c r="I532" s="8" t="inlineStr"/>
      <c r="J532" s="8" t="inlineStr"/>
      <c r="K532" t="inlineStr">
        <is>
          <t>Registrar</t>
        </is>
      </c>
      <c r="L532" s="8" t="inlineStr">
        <is>
          <t>Registrar may withdraw a license if licensee provided false information or failed to comply with the Act in a material manner. Withdrawn licenses are debarred from reapplying for a period specified by registrar.</t>
        </is>
      </c>
      <c r="M532" s="8" t="inlineStr"/>
      <c r="N532" s="8" t="inlineStr">
        <is>
          <t>[May] Registrar may withdraw license if licensee provided false information or failed to comply with Act in material manner
[Must] Person whose license has been withdrawn is debarred from applying for new license for period specified by registrar</t>
        </is>
      </c>
      <c r="O532" s="8" t="inlineStr">
        <is>
          <t>10. (1) The registrar may at any time withdraw any licence (including the licence of a licensee under provisional or final suspension in terms of section 9), if satisfied on the basis of available facts and information that the licensee- (a) did not, when applying for the licence, make a full disclosure of all relevant information to the registrar, or furnished false or misleading information; or (b) has since such issue contravened or failed to comply with any provision of this Act in a material manner.</t>
        </is>
      </c>
      <c r="P532" s="10" t="inlineStr">
        <is>
          <t>Open PDF</t>
        </is>
      </c>
    </row>
    <row r="533">
      <c r="A533" t="inlineStr">
        <is>
          <t>South Africa</t>
        </is>
      </c>
      <c r="B533" t="inlineStr">
        <is>
          <t>Financial Advisory and Intermediary Services Act (FAIS) 37 of 2002</t>
        </is>
      </c>
      <c r="C533" t="inlineStr">
        <is>
          <t>11</t>
        </is>
      </c>
      <c r="D533" s="8" t="inlineStr">
        <is>
          <t>( I ) A  licence lapses--</t>
        </is>
      </c>
      <c r="E533" t="inlineStr">
        <is>
          <t>14</t>
        </is>
      </c>
      <c r="F533" t="inlineStr">
        <is>
          <t>Other</t>
        </is>
      </c>
      <c r="G533" t="inlineStr">
        <is>
          <t>Low</t>
        </is>
      </c>
      <c r="H533" t="inlineStr">
        <is>
          <t>High (explicit)</t>
        </is>
      </c>
      <c r="I533" s="8" t="inlineStr"/>
      <c r="J533" s="8" t="inlineStr"/>
      <c r="K533" t="inlineStr"/>
      <c r="L533" s="8" t="inlineStr">
        <is>
          <t>A license lapses if the licensee becomes permanently incapable of business due to physical/mental disease, serious injury, death, sequestration, dissolution, or voluntary surrender.</t>
        </is>
      </c>
      <c r="M533" s="8" t="inlineStr"/>
      <c r="N533" s="8" t="inlineStr">
        <is>
          <t>[Must] A license lapses where the licensee (natural person) becomes permanently incapable of business due to physical/mental disease, serious injury, death, or sequestration
[Must] A license lapses where the licensee (other person) is finally liquidated or dissolved
[Must] A license lapses where the business becomes dormant
[Must] A license lapses where the licensee voluntarily surrenders the license</t>
        </is>
      </c>
      <c r="O533" s="8" t="inlineStr">
        <is>
          <t>11. (I) A licence lapses-- (la) where the licensee, being a natural person- (i) becomes permanently incapable of carrying on any business due to physical or mental disease or serious injury; (ii) is finally sequestrated; or (iii) dies; (b) where the licensee, being any other person, is finally liquidated or dissolved: (ci where the business of the licensee has become dormant: and (d) in any other case, where the licensee voluntarily and finally surrenders the licence to the registrar.</t>
        </is>
      </c>
      <c r="P533" s="10" t="inlineStr">
        <is>
          <t>Open PDF</t>
        </is>
      </c>
    </row>
    <row r="534">
      <c r="A534" t="inlineStr">
        <is>
          <t>South Africa</t>
        </is>
      </c>
      <c r="B534" t="inlineStr">
        <is>
          <t>Financial Advisory and Intermediary Services Act (FAIS) 37 of 2002</t>
        </is>
      </c>
      <c r="C534" t="inlineStr">
        <is>
          <t>12</t>
        </is>
      </c>
      <c r="D534" s="8" t="inlineStr">
        <is>
          <t>Definitions  and  application</t>
        </is>
      </c>
      <c r="E534" t="inlineStr">
        <is>
          <t>2</t>
        </is>
      </c>
      <c r="F534" t="inlineStr">
        <is>
          <t>Definitions</t>
        </is>
      </c>
      <c r="G534" t="inlineStr">
        <is>
          <t>Low</t>
        </is>
      </c>
      <c r="H534" t="inlineStr">
        <is>
          <t>High (explicit)</t>
        </is>
      </c>
      <c r="I534" s="8" t="inlineStr"/>
      <c r="J534" s="8" t="inlineStr"/>
      <c r="K534" t="inlineStr"/>
      <c r="L534" s="8" t="inlineStr">
        <is>
          <t>Defines terms and applies to the Act's administration and authorization of financial services providers.</t>
        </is>
      </c>
      <c r="M534" s="8" t="inlineStr"/>
      <c r="N534" s="8" t="inlineStr"/>
      <c r="O534" s="8" t="inlineStr">
        <is>
          <t>12. Definitions and application</t>
        </is>
      </c>
      <c r="P534" s="10" t="inlineStr">
        <is>
          <t>Open PDF</t>
        </is>
      </c>
    </row>
    <row r="535">
      <c r="A535" t="inlineStr">
        <is>
          <t>South Africa</t>
        </is>
      </c>
      <c r="B535" t="inlineStr">
        <is>
          <t>Financial Advisory and Intermediary Services Act (FAIS) 37 of 2002</t>
        </is>
      </c>
      <c r="C535" t="inlineStr">
        <is>
          <t>12</t>
        </is>
      </c>
      <c r="D535" s="8" t="inlineStr">
        <is>
          <t>( 1) The registrar may exempt a  product  supplier  who is authorised or approved</t>
        </is>
      </c>
      <c r="E535" t="inlineStr">
        <is>
          <t>14–15</t>
        </is>
      </c>
      <c r="F535" t="inlineStr">
        <is>
          <t>Exemptions</t>
        </is>
      </c>
      <c r="G535" t="inlineStr">
        <is>
          <t>Medium</t>
        </is>
      </c>
      <c r="H535" t="inlineStr">
        <is>
          <t>High (explicit)</t>
        </is>
      </c>
      <c r="I535" s="8" t="inlineStr"/>
      <c r="J535" s="8" t="inlineStr"/>
      <c r="K535" t="inlineStr">
        <is>
          <t>registrar</t>
        </is>
      </c>
      <c r="L535" s="8" t="inlineStr">
        <is>
          <t>Regulator may exempt product suppliers from submitting some or all information required for authorization, provided they apply for exemption and comply with registrar's requirements.</t>
        </is>
      </c>
      <c r="M535" s="8" t="inlineStr"/>
      <c r="N535" s="8" t="inlineStr">
        <is>
          <t>[May] Regulator may exempt product suppliers from submitting some or all information required for authorization</t>
        </is>
      </c>
      <c r="O535" s="8" t="inlineStr">
        <is>
          <t>12. (1) The registrar may exempt a product supplier who is authorised or approved under a particular law to conduct business as a financial institution and who is required to apply for authorisation under section 8, from submitting some or all of the information otherwise required from an applicant: Provided that the product supplier- (a) applies for exemption when submitting the application: and (b) complies with the requirements of the registrar with regard to information still supplementary to, but separate from, the supplier's authorisation or approval under a particular law as a financial institution.</t>
        </is>
      </c>
      <c r="P535" s="10" t="inlineStr">
        <is>
          <t>Open PDF</t>
        </is>
      </c>
    </row>
    <row r="536">
      <c r="A536" t="inlineStr">
        <is>
          <t>South Africa</t>
        </is>
      </c>
      <c r="B536" t="inlineStr">
        <is>
          <t>Financial Advisory and Intermediary Services Act (FAIS) 37 of 2002</t>
        </is>
      </c>
      <c r="C536" t="inlineStr">
        <is>
          <t>14</t>
        </is>
      </c>
      <c r="D536" s="8" t="inlineStr">
        <is>
          <t>(1) An authorised financial services  provider  must ensure that any  representative</t>
        </is>
      </c>
      <c r="E536" t="inlineStr">
        <is>
          <t>15–16</t>
        </is>
      </c>
      <c r="F536" t="inlineStr">
        <is>
          <t>Other</t>
        </is>
      </c>
      <c r="G536" t="inlineStr">
        <is>
          <t>High</t>
        </is>
      </c>
      <c r="H536" t="inlineStr">
        <is>
          <t>High (explicit)</t>
        </is>
      </c>
      <c r="I536" s="8" t="inlineStr"/>
      <c r="J536" s="8" t="inlineStr"/>
      <c r="K536" t="inlineStr">
        <is>
          <t>authorised financial services provider</t>
        </is>
      </c>
      <c r="L536" s="8" t="inlineStr">
        <is>
          <t>Representatives who no longer comply with requirements must be prohibited from rendering services, removed from the register, and any unconcluded business must be properly concluded.</t>
        </is>
      </c>
      <c r="M536" s="8" t="inlineStr">
        <is>
          <t>Requires debarment of representatives who no longer comply with requirements, removal from register, and proper conclusion of unconcluded business.</t>
        </is>
      </c>
      <c r="N536" s="8" t="inlineStr">
        <is>
          <t>[Must] Representatives who no longer comply with requirements must be prohibited from rendering services and have their names removed from the register
[Must] The provider must ensure debarment does not prejudice client interests and properly conclude any unconcluded business</t>
        </is>
      </c>
      <c r="O536" s="8" t="inlineStr">
        <is>
          <t>14. (1) An authorised financial services provider must ensure that any representative of the provider who no longer complies with the requirements referred to in section 13(2)(a) is prohibited by such provider from rendering any new financial service by withdrawing any authority to act on behalf of the provider, and that the representative's name, and the names of the key individuals of the representative, are removed from the register referred to in section 13(3): Provided that any such provider must immediately take steps to ensure that the debarment does not prejudice the interests of clients of the representative, and that any unconcluded business of the representative is properly concluded.</t>
        </is>
      </c>
      <c r="P536" s="10" t="inlineStr">
        <is>
          <t>Open PDF</t>
        </is>
      </c>
    </row>
    <row r="537">
      <c r="A537" t="inlineStr">
        <is>
          <t>South Africa</t>
        </is>
      </c>
      <c r="B537" t="inlineStr">
        <is>
          <t>Financial Advisory and Intermediary Services Act (FAIS) 37 of 2002</t>
        </is>
      </c>
      <c r="C537" t="inlineStr">
        <is>
          <t>15</t>
        </is>
      </c>
      <c r="D537" s="8" t="inlineStr">
        <is>
          <t>(1) (a) The registrar  must, after consultation with the Advisory  Committee and</t>
        </is>
      </c>
      <c r="E537" t="inlineStr">
        <is>
          <t>16</t>
        </is>
      </c>
      <c r="F537" t="inlineStr">
        <is>
          <t>Other</t>
        </is>
      </c>
      <c r="G537" t="inlineStr">
        <is>
          <t>High</t>
        </is>
      </c>
      <c r="H537" t="inlineStr">
        <is>
          <t>High (explicit)</t>
        </is>
      </c>
      <c r="I537" s="8" t="inlineStr"/>
      <c r="J537" s="8" t="inlineStr">
        <is>
          <t>Financial Data</t>
        </is>
      </c>
      <c r="K537" t="inlineStr">
        <is>
          <t>registrar</t>
        </is>
      </c>
      <c r="L537" s="8" t="inlineStr">
        <is>
          <t>Regulator must draft, publish, and enforce codes of conduct for financial services providers and representatives, including specific codes for deposit-related services.</t>
        </is>
      </c>
      <c r="M537" s="8" t="inlineStr">
        <is>
          <t>Requires regulator to draft, publish, and enforce codes of conduct for financial services providers and representatives, including specific codes for deposit-related services.</t>
        </is>
      </c>
      <c r="N537" s="8" t="inlineStr">
        <is>
          <t>[Must] Regulator must draft a code of conduct for authorized financial services providers after consultation with Advisory Committee and industry bodies
[Must] Code of conduct must be published by notice in the Gazette and become binding on all authorized providers and representatives
[May] Different codes of conduct may be drafted for different categories of providers and representatives
[Must] A code of conduct must be drafted for deposit-related services with a term not exceeding 12 months</t>
        </is>
      </c>
      <c r="O537" s="8" t="inlineStr">
        <is>
          <t>15. (1) (a) The registrar must, after consultation with the Advisory Committee and with representative bodies of the financial services industry and client and consumer bodies determined by the Advisory Committee, draft a code of conduct for authorized financial services providers. (b) The code must, after consultation, be published by notice in the Gazette and, on any such publication, become binding on all authorized financial services providers and representatives referred to therein.</t>
        </is>
      </c>
      <c r="P537" s="10" t="inlineStr">
        <is>
          <t>Open PDF</t>
        </is>
      </c>
    </row>
    <row r="538">
      <c r="A538" t="inlineStr">
        <is>
          <t>South Africa</t>
        </is>
      </c>
      <c r="B538" t="inlineStr">
        <is>
          <t>Financial Advisory and Intermediary Services Act (FAIS) 37 of 2002</t>
        </is>
      </c>
      <c r="C538" t="inlineStr">
        <is>
          <t>16</t>
        </is>
      </c>
      <c r="D538" s="8" t="inlineStr">
        <is>
          <t>( 1 ) A code of conduct must  be  drafted  in such a manner as to  ensure that the clients</t>
        </is>
      </c>
      <c r="E538" t="inlineStr">
        <is>
          <t>16–17</t>
        </is>
      </c>
      <c r="F538" t="inlineStr">
        <is>
          <t>Other</t>
        </is>
      </c>
      <c r="G538" t="inlineStr">
        <is>
          <t>High</t>
        </is>
      </c>
      <c r="H538" t="inlineStr">
        <is>
          <t>High (explicit)</t>
        </is>
      </c>
      <c r="I538" s="8" t="inlineStr"/>
      <c r="J538" s="8" t="inlineStr"/>
      <c r="K538" t="inlineStr">
        <is>
          <t>registrar</t>
        </is>
      </c>
      <c r="L538" s="8" t="inlineStr">
        <is>
          <t>Code of conduct must ensure clients can make informed decisions, have their financial needs satisfied, and comply with statutory and common law requirements.</t>
        </is>
      </c>
      <c r="M538" s="8" t="inlineStr">
        <is>
          <t>Code of conduct must ensure clients can make informed decisions, have their financial needs satisfied, and comply with statutory and common law requirements.</t>
        </is>
      </c>
      <c r="N538" s="8" t="inlineStr">
        <is>
          <t>[Must] Code of conduct must ensure clients can make informed decisions, have their reasonable financial needs satisfied, and authorized providers must act honestly and fairly
[Must] Code of conduct must include provisions for adequate disclosures, record-keeping, avoidance of fraudulent advertising, safe-keeping of funds, and professional indemnity insurance</t>
        </is>
      </c>
      <c r="O538" s="8" t="inlineStr">
        <is>
          <t>16. (1) A code of conduct must be drafted in such a manner as to ensure that the clients being rendered financial services will be able to make informed decisions, that their reasonable financial needs regarding financial products will be appropriately and suitably satisfied and that for those purposes authorized financial services providers and their representatives are obliged by the provisions of such code to - (a) act honestly and fairly, and with due skill, care and diligence, in the interests of clients and the integrity of the financial services industry; (b) have and employ effectively the resources, procedures and appropriate technological systems for the proper performance of professional activities; (c) seek from clients appropriate and available information regarding their financial situations, financial product experience and objectives in connection with the financial service required; (d) act with circumspection and treat clients fairly in a situation of conflicting interests; and (e) comply with all applicable statutory or common law requirements applicable to the conduct of business.</t>
        </is>
      </c>
      <c r="P538" s="10" t="inlineStr">
        <is>
          <t>Open PDF</t>
        </is>
      </c>
    </row>
    <row r="539">
      <c r="A539" t="inlineStr">
        <is>
          <t>South Africa</t>
        </is>
      </c>
      <c r="B539" t="inlineStr">
        <is>
          <t>Financial Advisory and Intermediary Services Act (FAIS) 37 of 2002</t>
        </is>
      </c>
      <c r="C539" t="inlineStr">
        <is>
          <t>17</t>
        </is>
      </c>
      <c r="D539" s="8" t="inlineStr">
        <is>
          <t>( I ) (a) Any authorised financial services provider</t>
        </is>
      </c>
      <c r="E539" t="inlineStr">
        <is>
          <t>17</t>
        </is>
      </c>
      <c r="F539" t="inlineStr">
        <is>
          <t>Other</t>
        </is>
      </c>
      <c r="G539" t="inlineStr">
        <is>
          <t>High</t>
        </is>
      </c>
      <c r="H539" t="inlineStr">
        <is>
          <t>High (explicit)</t>
        </is>
      </c>
      <c r="I539" s="8" t="inlineStr"/>
      <c r="J539" s="8" t="inlineStr">
        <is>
          <t>Financial Data</t>
        </is>
      </c>
      <c r="K539" t="inlineStr">
        <is>
          <t>registrar</t>
        </is>
      </c>
      <c r="L539" s="8" t="inlineStr">
        <is>
          <t>Authorized providers must appoint compliance officers to monitor compliance with the Act, submit reports to the registrar, and maintain procedures for compliance.</t>
        </is>
      </c>
      <c r="M539" s="8" t="inlineStr">
        <is>
          <t>Requires appointment of compliance officers to monitor compliance, submit reports to registrar, and maintain procedures for compliance.</t>
        </is>
      </c>
      <c r="N539" s="8" t="inlineStr">
        <is>
          <t>[Must] Authorized providers with more than one key individual or representative must appoint one or more compliance officers to monitor compliance with the Act
[Must] Compliance officers must be approved by the registrar in accordance with criteria and guidelines determined by the Advisory Committee
[Must] Authorized providers must establish and maintain procedures to ensure compliance with the Act
[Must] Compliance officers must submit reports to the registrar in the manner and as determined by the registrar</t>
        </is>
      </c>
      <c r="O539" s="8" t="inlineStr">
        <is>
          <t>17. (1) (a) Any authorized financial services provider with more than one key individual or one or more representatives must, subject to section 35(1)(c), appoint one or more compliance officers to monitor compliance with this Act by the provider and such representative or representatives, particularly in accordance with the procedures contemplated in subsection (3), and to take responsibility for liaison with the registrar. (b) Such person may be a director, member, auditor, trustee, principal officer, public officer or company secretary of any such provider, or any other person with suitable qualifications and experience determined by the registrar by notice in the Gazette, after consultation with the Advisory Committee. (c) The provisions of section 19(5) and (6), relating to an auditor of an authorized financial services provider, apply with the necessary changes to a compliance officer. (2) A compliance officer must be approved by the registrar in accordance with the criteria and guidelines determined by the Advisory Committee. (3) An authorized financial services provider must establish and maintain procedures to be followed by the provider and any representative concerned in order to ensure compliance with this Act. (4) An authorized financial services provider who carries on a business with only one key individual or without any representative must submit reports to the registrar in the manner and as from time to time determined by the registrar by notice in the Gazette for different categories of compliance officers, after consultation with the Advisory Committee.</t>
        </is>
      </c>
      <c r="P539" s="10" t="inlineStr">
        <is>
          <t>Open PDF</t>
        </is>
      </c>
    </row>
    <row r="540">
      <c r="A540" t="inlineStr">
        <is>
          <t>South Africa</t>
        </is>
      </c>
      <c r="B540" t="inlineStr">
        <is>
          <t>Financial Advisory and Intermediary Services Act (FAIS) 37 of 2002</t>
        </is>
      </c>
      <c r="C540" t="inlineStr">
        <is>
          <t>18</t>
        </is>
      </c>
      <c r="D540" s="8" t="inlineStr">
        <is>
          <t>An authorised  financial  services  provider  must,  except to the extent exempted by</t>
        </is>
      </c>
      <c r="E540" t="inlineStr">
        <is>
          <t>17</t>
        </is>
      </c>
      <c r="F540" t="inlineStr">
        <is>
          <t>Record Keeping</t>
        </is>
      </c>
      <c r="G540" t="inlineStr">
        <is>
          <t>High</t>
        </is>
      </c>
      <c r="H540" t="inlineStr">
        <is>
          <t>High (explicit)</t>
        </is>
      </c>
      <c r="I540" s="8" t="inlineStr">
        <is>
          <t>Record Keeping</t>
        </is>
      </c>
      <c r="J540" s="8" t="inlineStr"/>
      <c r="K540" t="inlineStr">
        <is>
          <t>registrar</t>
        </is>
      </c>
      <c r="L540" s="8" t="inlineStr">
        <is>
          <t>Providers must maintain records for five years regarding premature cancellations, complaints, compliance, non-compliance, and representative compliance.</t>
        </is>
      </c>
      <c r="M540" s="8" t="inlineStr">
        <is>
          <t>Requires providers to maintain records for five years regarding premature cancellations, complaints, compliance, non-compliance, and representative compliance.</t>
        </is>
      </c>
      <c r="N540" s="8" t="inlineStr">
        <is>
          <t>[Must] Providers must maintain records for a minimum period of five years regarding known premature cancellations of transactions or financial products by clients
[Must] Providers must maintain records for a minimum period of five years regarding complaints received and whether resolved
[Must] Providers must maintain records for a minimum period of five years regarding continued compliance with requirements
[Must] Providers must maintain records for a minimum period of five years regarding cases of non-compliance with the Act and reasons for non-compliance
[Must] Providers must maintain records for a minimum period of five years regarding continued compliance by representatives with requirements</t>
        </is>
      </c>
      <c r="O540" s="8" t="inlineStr">
        <is>
          <t>18. An authorized financial services provider must, except to the extent exempted by the registrar, maintain records for a minimum period of five years regarding- (a) known premature cancellations of transactions or financial products by clients; (b) complaints received together with an indication whether or not any such complaint has been resolved; (c) the continued compliance with the requirements referred to in section 8; (d) cases of non-compliance with this Act, and the reasons for such non-compliance; and (e) the continued compliance by representatives with the requirements referred to in section 13(1) and (2).</t>
        </is>
      </c>
      <c r="P540" s="10" t="inlineStr">
        <is>
          <t>Open PDF</t>
        </is>
      </c>
    </row>
    <row r="541">
      <c r="A541" t="inlineStr">
        <is>
          <t>South Africa</t>
        </is>
      </c>
      <c r="B541" t="inlineStr">
        <is>
          <t>Financial Advisory and Intermediary Services Act (FAIS) 37 of 2002</t>
        </is>
      </c>
      <c r="C541" t="inlineStr">
        <is>
          <t>19</t>
        </is>
      </c>
      <c r="D541" s="8" t="inlineStr">
        <is>
          <t>( I ) Except to the  extent exempted by the  registrar. an authorised financial services</t>
        </is>
      </c>
      <c r="E541" t="inlineStr">
        <is>
          <t>17–18</t>
        </is>
      </c>
      <c r="F541" t="inlineStr">
        <is>
          <t>Other</t>
        </is>
      </c>
      <c r="G541" t="inlineStr">
        <is>
          <t>High</t>
        </is>
      </c>
      <c r="H541" t="inlineStr">
        <is>
          <t>High (explicit)</t>
        </is>
      </c>
      <c r="I541" s="8" t="inlineStr"/>
      <c r="J541" s="8" t="inlineStr">
        <is>
          <t>Financial Data</t>
        </is>
      </c>
      <c r="K541" t="inlineStr">
        <is>
          <t>registrar</t>
        </is>
      </c>
      <c r="L541" s="8" t="inlineStr">
        <is>
          <t>Providers must maintain full accounting records, prepare audited financial statements, and submit reports to the registrar.</t>
        </is>
      </c>
      <c r="M541" s="8" t="inlineStr">
        <is>
          <t>Requires providers to maintain full accounting records, prepare audited financial statements, and submit reports to the registrar.</t>
        </is>
      </c>
      <c r="N541" s="8" t="inlineStr">
        <is>
          <t>[Must] Providers must maintain full and proper accounting records on a continual basis, brought up to date monthly
[Must] Providers must annually prepare financial statements reflecting the financial position and results of operations
[Must] Financial statements must be audited and reported on by an external auditor approved by the registrar
[Must] Providers must submit to the registrar a report confirming the amount of money and assets held on behalf of clients
[Must] Providers must ensure that money and assets held on behalf of clients are kept separate from the provider's business</t>
        </is>
      </c>
      <c r="O541" s="8" t="inlineStr">
        <is>
          <t>19. (1) Except to the extent exempted by the registrar, an authorized financial services provider must, in respect of the business carried on by the provider as authorized under the provider's licence- (a) maintain full and proper accounting records on a continual basis, brought up to date monthly; and (b) annually prepare, in respect of the relevant financial year of the provider, financial statements reflecting, with suitable particulars, the financial position of the business as at the last day of the financial year in question, and the results of the operations and cash flow information for the period then ended. (2) (a) An authorized financial services provider must cause the statements referred to in subsection (1)(b) to be audited and reported on by an external auditor approved by the registrar, in order to produce- (i) an audited balance sheet, including such notes thereon or documents attached thereto as may be necessary; (ii) an audited income statement, including such notes thereon or documents attached thereto as may be necessary; and (iii) an audited statement of the source and application of funds. (4) The auditor of an authorized financial services provider must report to and inform the registrar in writing of any irregularity or suspected irregularity in the conduct or the affairs of the authorized financial services provider concerned of which the auditor became aware in performing functions as auditor and which, in the opinion of the auditor, is material.</t>
        </is>
      </c>
      <c r="P541" s="10" t="inlineStr">
        <is>
          <t>Open PDF</t>
        </is>
      </c>
    </row>
    <row r="542">
      <c r="A542" t="inlineStr">
        <is>
          <t>South Africa</t>
        </is>
      </c>
      <c r="B542" t="inlineStr">
        <is>
          <t>Financial Advisory and Intermediary Services Act (FAIS) 37 of 2002</t>
        </is>
      </c>
      <c r="C542" t="inlineStr">
        <is>
          <t>20</t>
        </is>
      </c>
      <c r="D542" s="8" t="inlineStr">
        <is>
          <t>(1) There is an office to be known as the</t>
        </is>
      </c>
      <c r="E542" t="inlineStr">
        <is>
          <t>18–19</t>
        </is>
      </c>
      <c r="F542" t="inlineStr">
        <is>
          <t>Other</t>
        </is>
      </c>
      <c r="G542" t="inlineStr">
        <is>
          <t>Medium</t>
        </is>
      </c>
      <c r="H542" t="inlineStr">
        <is>
          <t>High (explicit)</t>
        </is>
      </c>
      <c r="I542" s="8" t="inlineStr"/>
      <c r="J542" s="8" t="inlineStr"/>
      <c r="K542" t="inlineStr">
        <is>
          <t>Board</t>
        </is>
      </c>
      <c r="L542" s="8" t="inlineStr">
        <is>
          <t>Office of the Ombud for Financial Services Providers must consider and dispose of complaints in a procedurally fair, informal, economical and expeditious manner.</t>
        </is>
      </c>
      <c r="M542" s="8" t="inlineStr">
        <is>
          <t>Ombud must consider and dispose of complaints in a procedurally fair, informal, economical and expeditious manner.</t>
        </is>
      </c>
      <c r="N542" s="8" t="inlineStr">
        <is>
          <t>[Must] Ombud must consider and dispose of complaints in a procedurally fair, informal, economical and expeditious manner</t>
        </is>
      </c>
      <c r="O542" s="8" t="inlineStr">
        <is>
          <t>20. (1) There is an office to be known as the Office of the Ombud for Financial Services Providers. (2) The functions of the Office are performed by the Ombud for Financial Services Providers. (3) The objective of the Ombud is to consider and dispose of complaints in a procedurally fair, informal, economical and expeditious manner and by reference to what is equitable in all the circumstances, with due regard to- (a) the contractual arrangement or other legal relationship between the complainant and any other party to the complaint; and (b) the provisions of this Act.</t>
        </is>
      </c>
      <c r="P542" s="10" t="inlineStr">
        <is>
          <t>Open PDF</t>
        </is>
      </c>
    </row>
    <row r="543">
      <c r="A543" t="inlineStr">
        <is>
          <t>South Africa</t>
        </is>
      </c>
      <c r="B543" t="inlineStr">
        <is>
          <t>Financial Advisory and Intermediary Services Act (FAIS) 37 of 2002</t>
        </is>
      </c>
      <c r="C543" t="inlineStr">
        <is>
          <t>21</t>
        </is>
      </c>
      <c r="D543" s="8" t="inlineStr">
        <is>
          <t>(1) The  Board,  after  consultation with  the  Advisory  Committee-</t>
        </is>
      </c>
      <c r="E543" t="inlineStr">
        <is>
          <t>19</t>
        </is>
      </c>
      <c r="F543" t="inlineStr">
        <is>
          <t>Other</t>
        </is>
      </c>
      <c r="G543" t="inlineStr">
        <is>
          <t>Unknown</t>
        </is>
      </c>
      <c r="H543" t="inlineStr">
        <is>
          <t>Low</t>
        </is>
      </c>
      <c r="I543" s="8" t="inlineStr"/>
      <c r="J543" s="8" t="inlineStr"/>
      <c r="K543" t="inlineStr"/>
      <c r="L543" s="8" t="inlineStr"/>
      <c r="M543" s="8" t="inlineStr"/>
      <c r="N543" s="8" t="inlineStr"/>
      <c r="O543" s="8" t="inlineStr"/>
      <c r="P543" s="10" t="inlineStr">
        <is>
          <t>Open PDF</t>
        </is>
      </c>
    </row>
    <row r="544">
      <c r="A544" t="inlineStr">
        <is>
          <t>South Africa</t>
        </is>
      </c>
      <c r="B544" t="inlineStr">
        <is>
          <t>Financial Advisory and Intermediary Services Act (FAIS) 37 of 2002</t>
        </is>
      </c>
      <c r="C544" t="inlineStr">
        <is>
          <t>22</t>
        </is>
      </c>
      <c r="D544" s="8" t="inlineStr">
        <is>
          <t>(1) The  funds of the Office consist of-</t>
        </is>
      </c>
      <c r="E544" t="inlineStr">
        <is>
          <t>19</t>
        </is>
      </c>
      <c r="F544" t="inlineStr">
        <is>
          <t>Other</t>
        </is>
      </c>
      <c r="G544" t="inlineStr">
        <is>
          <t>High</t>
        </is>
      </c>
      <c r="H544" t="inlineStr">
        <is>
          <t>High (explicit)</t>
        </is>
      </c>
      <c r="I544" s="8" t="inlineStr"/>
      <c r="J544" s="8" t="inlineStr"/>
      <c r="K544" t="inlineStr">
        <is>
          <t>Board</t>
        </is>
      </c>
      <c r="L544" s="8" t="inlineStr">
        <is>
          <t>Office funds must be sourced from Board-approved budget and other sources, deposited in a bank registered under Banks Act, 1990, and used for expenses with possible investment.</t>
        </is>
      </c>
      <c r="M544" s="8" t="inlineStr"/>
      <c r="N544" s="8" t="inlineStr">
        <is>
          <t>[Must] funds provided by the Board on the basis of a budget submitted by the Ombud and approved by the latter
[Must] funds accruing to the Office from any other source
[Must] deposit all funds in an account opened with a bank registered under the Banks Act, 1990
[Must] utilise funds for defrayal of expenses incurred in performance of functions
[May] invest funds not required for immediate use</t>
        </is>
      </c>
      <c r="O544" s="8" t="inlineStr">
        <is>
          <t>22. (1) The funds of the Office consist of- (a) funds provided by the Board on the basis of a budget submitted by the Ombud and approved by the latter; and (b) funds accruing to the Office from any other source. (2) The Ombud must deposit all funds in an account opened with a bank registered under the Banks Act, 1990. (3) The Ombud must utilise such funds for the defrayal of expenses incurred in the performance of functions under this Act, and may invest funds which are not required for immediate use.</t>
        </is>
      </c>
      <c r="P544" s="10" t="inlineStr">
        <is>
          <t>Open PDF</t>
        </is>
      </c>
    </row>
    <row r="545">
      <c r="A545" t="inlineStr">
        <is>
          <t>South Africa</t>
        </is>
      </c>
      <c r="B545" t="inlineStr">
        <is>
          <t>Financial Advisory and Intermediary Services Act (FAIS) 37 of 2002</t>
        </is>
      </c>
      <c r="C545" t="inlineStr">
        <is>
          <t>23</t>
        </is>
      </c>
      <c r="D545" s="8" t="inlineStr">
        <is>
          <t>(1) The  Ombud is the  accounting officer in respect of all funds  received  and all</t>
        </is>
      </c>
      <c r="E545" t="inlineStr">
        <is>
          <t>19–20</t>
        </is>
      </c>
      <c r="F545" t="inlineStr">
        <is>
          <t>Other</t>
        </is>
      </c>
      <c r="G545" t="inlineStr">
        <is>
          <t>High</t>
        </is>
      </c>
      <c r="H545" t="inlineStr">
        <is>
          <t>High (explicit)</t>
        </is>
      </c>
      <c r="I545" s="8" t="inlineStr"/>
      <c r="J545" s="8" t="inlineStr"/>
      <c r="K545" t="inlineStr">
        <is>
          <t>Auditor-General</t>
        </is>
      </c>
      <c r="L545" s="8" t="inlineStr">
        <is>
          <t>Ombud must maintain full financial records and prepare annual statements audited by Auditor-General within three months of financial year end.</t>
        </is>
      </c>
      <c r="M545" s="8" t="inlineStr"/>
      <c r="N545" s="8" t="inlineStr">
        <is>
          <t>[Must] keep a full and correct record of all funds received and payments made, and all assets, liabilities and financial transactions
[Must] prepare annual financial statements within three months after financial year end
[Must] have records and financial statements audited by Auditor-General</t>
        </is>
      </c>
      <c r="O545" s="8" t="inlineStr">
        <is>
          <t>23. (1) The Ombud is the accounting officer in respect of all funds received and all payments made in respect of expenses incurred by the Office. (2) The Ombud as accounting officer must- (a) keep a full and correct record of all funds received and payments made and all assets, liabilities and financial transactions of the Office; (b) as soon as is practicable, but not later than three months after the end of every financial year, prepare annual financial statements reflecting, with appropriate particulars, all funds received and payments made during, and all such assets, liabilities and transactions at the end of, the relevant financial year. (3) The records and financial statements mentioned in subsection (2) must be audited by the Auditor-General.</t>
        </is>
      </c>
      <c r="P545" s="10" t="inlineStr">
        <is>
          <t>Open PDF</t>
        </is>
      </c>
    </row>
    <row r="546">
      <c r="A546" t="inlineStr">
        <is>
          <t>South Africa</t>
        </is>
      </c>
      <c r="B546" t="inlineStr">
        <is>
          <t>Financial Advisory and Intermediary Services Act (FAIS) 37 of 2002</t>
        </is>
      </c>
      <c r="C546" t="inlineStr">
        <is>
          <t>24</t>
        </is>
      </c>
      <c r="D546" s="8" t="inlineStr">
        <is>
          <t>The  Ombud may for the performance of functions in the Office and as  a  charge</t>
        </is>
      </c>
      <c r="E546" t="inlineStr">
        <is>
          <t>20</t>
        </is>
      </c>
      <c r="F546" t="inlineStr">
        <is>
          <t>Other</t>
        </is>
      </c>
      <c r="G546" t="inlineStr">
        <is>
          <t>High</t>
        </is>
      </c>
      <c r="H546" t="inlineStr">
        <is>
          <t>High (explicit)</t>
        </is>
      </c>
      <c r="I546" s="8" t="inlineStr"/>
      <c r="J546" s="8" t="inlineStr"/>
      <c r="K546" t="inlineStr"/>
      <c r="L546" s="8" t="inlineStr">
        <is>
          <t>Ombud may hire property, enter agreements, insure, employ staff, and do anything necessary for its functions.</t>
        </is>
      </c>
      <c r="M546" s="8" t="inlineStr"/>
      <c r="N546" s="8" t="inlineStr">
        <is>
          <t>[May] hire, purchase or otherwise acquire property
[May] enter into agreements for performance of specific acts or services
[May] insure the Office against loss, damage, risk or liability
[May] employ persons to assist the Ombud, determine terms of appointment, and delegate administrative functions
[May] obtain professional advice as may reasonably be required
[May] do anything necessary or expedient for achievement of Ombud's objectives</t>
        </is>
      </c>
      <c r="O546" s="8" t="inlineStr">
        <is>
          <t>24. The Ombud may for the performance of functions in the Office and as a charge against or for the benefit of the funds of the Office, as the case may be- (a) hire, purchase or otherwise acquire property, and let, sell or otherwise dispose of property so purchased or acquired; (b) enter into an agreement with any person for the performance of any specific act or function or the rendering of specific services; (c) insure the Office against any loss, damage, risk or liability; (d) employ persons to assist the Ombud, determine their terms of appointment and, subject to such conditions as may be determined by the Ombud, delegate or assign to any such employee, including a deputy ombud, any administrative function vesting in the Ombud in terms of this Part; (e) obtain such professional advice as may reasonably be required: and (f) in general, do anything which is necessary or expedient for the achievement of the objective of the Ombud.</t>
        </is>
      </c>
      <c r="P546" s="10" t="inlineStr">
        <is>
          <t>Open PDF</t>
        </is>
      </c>
    </row>
    <row r="547">
      <c r="A547" t="inlineStr">
        <is>
          <t>South Africa</t>
        </is>
      </c>
      <c r="B547" t="inlineStr">
        <is>
          <t>Financial Advisory and Intermediary Services Act (FAIS) 37 of 2002</t>
        </is>
      </c>
      <c r="C547" t="inlineStr">
        <is>
          <t>25</t>
        </is>
      </c>
      <c r="D547" s="8" t="inlineStr">
        <is>
          <t>(1) The Office may not be disestablished</t>
        </is>
      </c>
      <c r="E547" t="inlineStr">
        <is>
          <t>20</t>
        </is>
      </c>
      <c r="F547" t="inlineStr">
        <is>
          <t>Other</t>
        </is>
      </c>
      <c r="G547" t="inlineStr">
        <is>
          <t>High</t>
        </is>
      </c>
      <c r="H547" t="inlineStr">
        <is>
          <t>High (explicit)</t>
        </is>
      </c>
      <c r="I547" s="8" t="inlineStr"/>
      <c r="J547" s="8" t="inlineStr"/>
      <c r="K547" t="inlineStr">
        <is>
          <t>Parliament</t>
        </is>
      </c>
      <c r="L547" s="8" t="inlineStr">
        <is>
          <t>Office may not be disestablished or liquidated except by an Act of Parliament.</t>
        </is>
      </c>
      <c r="M547" s="8" t="inlineStr"/>
      <c r="N547" s="8" t="inlineStr">
        <is>
          <t>[Must] Office may not be disestablished or liquidated except by an Act of Parliament</t>
        </is>
      </c>
      <c r="O547" s="8" t="inlineStr">
        <is>
          <t>25. (1) The Office may not be disestablished or liquidated except by an Act of Parliament. (2) In the event of any such disestablishment or liquidation, the surplus assets of the Office (if any) accrue to the Board.</t>
        </is>
      </c>
      <c r="P547" s="10" t="inlineStr">
        <is>
          <t>Open PDF</t>
        </is>
      </c>
    </row>
    <row r="548">
      <c r="A548" t="inlineStr">
        <is>
          <t>South Africa</t>
        </is>
      </c>
      <c r="B548" t="inlineStr">
        <is>
          <t>Financial Advisory and Intermediary Services Act (FAIS) 37 of 2002</t>
        </is>
      </c>
      <c r="C548" t="inlineStr">
        <is>
          <t>26</t>
        </is>
      </c>
      <c r="D548" s="8" t="inlineStr">
        <is>
          <t>(1) The  Board may. after  consultation  with  the Advisory Committee.  make rules.</t>
        </is>
      </c>
      <c r="E548" t="inlineStr">
        <is>
          <t>20–21</t>
        </is>
      </c>
      <c r="F548" t="inlineStr">
        <is>
          <t>Other</t>
        </is>
      </c>
      <c r="G548" t="inlineStr">
        <is>
          <t>High</t>
        </is>
      </c>
      <c r="H548" t="inlineStr">
        <is>
          <t>High (explicit)</t>
        </is>
      </c>
      <c r="I548" s="8" t="inlineStr"/>
      <c r="J548" s="8" t="inlineStr"/>
      <c r="K548" t="inlineStr">
        <is>
          <t>Board</t>
        </is>
      </c>
      <c r="L548" s="8" t="inlineStr">
        <is>
          <t>Board may make rules regarding complaints, categories of complainants, complaint types, rights of complainants, and procedures.</t>
        </is>
      </c>
      <c r="M548" s="8" t="inlineStr"/>
      <c r="N548" s="8" t="inlineStr">
        <is>
          <t>[May] Board may make rules including different rules for different categories of complaints
[Must] Board must ensure rules do not detract from Ombud's independence
[Must] Board must publish rules made under subsection (1) in the Gazette</t>
        </is>
      </c>
      <c r="O548" s="8" t="inlineStr">
        <is>
          <t>26. (1) The Board may, after consultation with the Advisory Committee, make rules including different rules in respect of different categories of complaints or investigations by the Ombud, regarding- any matter which is required or permitted under this Act to be regulated by rule; the category of persons qualifying as complainants; the type of complaint justiciable by the Ombud, including a complaint relating to a financial service rendered by a person not authorised as a financial services provider or a person acting on behalf of such first-mentioned person; the rights of complainants in connection with complaints, including the manner of submitting a complaint to the authorised financial services provider or representative concerned; the rights and duties of any such provider or representative on receipt of any complaint, particularly in connection with the furnishing of replies to the complainant; the rights of a complainant to submit a complaint to the Ombud where the complainant is not satisfied with any reply received from the provider or representative concerned; the circumstances under which a complaint may be dismissed without consideration of its merits; the power of the Ombud to fix a time limit for any aspect of the proceedings before the Ombud and to extend a time limit; payment to the Office by the authorised financial services provider or representative involved in any complaint submitted to the Ombud, of case fees in respect of the consideration of the complaint by the Ombud; (c) liaison between the Ombud and the registrar, and administrative duties of those functionaries regarding mutual administrative support, exchange of information and reports, other regular consultations and avoidance of overlapping of their respective functions; and (d) any other administrative or procedural matter necessary or expedient for the better achievement of the objects of this Part, but which is not inconsistent with a provision of this Act. (2) The Board must- (a) ensure that no rule made under subsection (1) detracts from or affects the independence of the Ombud in any material way; (b) publish rules made under subsection (1) in the Gazette.</t>
        </is>
      </c>
      <c r="P548" s="10" t="inlineStr">
        <is>
          <t>Open PDF</t>
        </is>
      </c>
    </row>
    <row r="549">
      <c r="A549" t="inlineStr">
        <is>
          <t>South Africa</t>
        </is>
      </c>
      <c r="B549" t="inlineStr">
        <is>
          <t>Financial Advisory and Intermediary Services Act (FAIS) 37 of 2002</t>
        </is>
      </c>
      <c r="C549" t="inlineStr">
        <is>
          <t>27</t>
        </is>
      </c>
      <c r="D549" s="8" t="inlineStr">
        <is>
          <t>(1 ) On submission of a complaint  to  the Office, the Ombud must-</t>
        </is>
      </c>
      <c r="E549" t="inlineStr">
        <is>
          <t>21–22</t>
        </is>
      </c>
      <c r="F549" t="inlineStr">
        <is>
          <t>Other</t>
        </is>
      </c>
      <c r="G549" t="inlineStr">
        <is>
          <t>High</t>
        </is>
      </c>
      <c r="H549" t="inlineStr">
        <is>
          <t>High (explicit)</t>
        </is>
      </c>
      <c r="I549" s="8" t="inlineStr"/>
      <c r="J549" s="8" t="inlineStr"/>
      <c r="K549" t="inlineStr"/>
      <c r="L549" s="8" t="inlineStr">
        <is>
          <t>Ombud must determine complaint eligibility, suspend prescription, and follow specific procedures for investigations.</t>
        </is>
      </c>
      <c r="M549" s="8" t="inlineStr"/>
      <c r="N549" s="8" t="inlineStr">
        <is>
          <t>[Must] determine whether complaint meets requirements of rules
[Must] official receipt of complaint suspends prescription for three years
[Must] decline to investigate complaints where act/omission occurred more than three years before complaint receipt
[Must] decline to investigate complaints where court proceedings have been instituted
[May] may determine complaint should be dealt with by court or other dispute resolution process
[Must] must not proceed with investigation unless all interested parties have been informed
[Must] must provide opportunity for response to complaint
[May] may follow procedures including mediation and allow legal representation
[Must] must explore reasonable prospect of resolving complaint by conciliation
[May] may make recommendations for conciliation with acceptance or rejection</t>
        </is>
      </c>
      <c r="O549" s="8" t="inlineStr">
        <is>
          <t>27. (1) On submission of a complaint to the Office, the Ombud must- (a) determine whether the requirements of the rules contemplated in section 26(1)(a)(iv) have been complied with; (b) otherwise officially receive the complaint if it qualifies as a complaint. (2) Official receipt of a complaint by the Ombud suspends the running of prescription in terms of the Prescription Act, 1969, for the period after such receipt of the complaint until the complaint has either been withdrawn, or determined by the Ombud or the board of appeal, as the case may be. (3) The following jurisdictional provisions apply to the Ombud in respect of the investigation of complaints: (a) (i) The Ombud must decline to investigate any complaint which relates to an act or omission which occurred on or after the date of commencement of this Act but on a date more than three years before the date of receipt of such complaint by the Office. (ii) Where the complainant was unaware of the occurrence of the act or omission contemplated in subparagraph (i), the period of three years commences from the date of the occurrence of the act or omission. (b) The Ombud must decline to investigate any complaint where court proceedings have been instituted. (4) The Ombud must not proceed with investigation unless all interested parties have been informed. (5) The Ombud must provide opportunity for response to complaint. (6) The Ombud may follow procedures including mediation and allow legal representation. (7) The Omb: must explore reasonable prospect of resolving complaint by conciliation.</t>
        </is>
      </c>
      <c r="P549" s="10" t="inlineStr">
        <is>
          <t>Open PDF</t>
        </is>
      </c>
    </row>
    <row r="550">
      <c r="A550" t="inlineStr">
        <is>
          <t>South Africa</t>
        </is>
      </c>
      <c r="B550" t="inlineStr">
        <is>
          <t>Financial Advisory and Intermediary Services Act (FAIS) 37 of 2002</t>
        </is>
      </c>
      <c r="C550" t="inlineStr">
        <is>
          <t>28</t>
        </is>
      </c>
      <c r="D550" s="8" t="inlineStr">
        <is>
          <t>(1) The Ombud must in any case where a matter has not been settled or a</t>
        </is>
      </c>
      <c r="E550" t="inlineStr">
        <is>
          <t>22–23</t>
        </is>
      </c>
      <c r="F550" t="inlineStr">
        <is>
          <t>Other</t>
        </is>
      </c>
      <c r="G550" t="inlineStr">
        <is>
          <t>High</t>
        </is>
      </c>
      <c r="H550" t="inlineStr">
        <is>
          <t>High (explicit)</t>
        </is>
      </c>
      <c r="I550" s="8" t="inlineStr"/>
      <c r="J550" s="8" t="inlineStr"/>
      <c r="K550" t="inlineStr"/>
      <c r="L550" s="8" t="inlineStr">
        <is>
          <t>Ombud must issue determinations, send copies to registrar and parties, and determinations are treated as court judgments.</t>
        </is>
      </c>
      <c r="M550" s="8" t="inlineStr"/>
      <c r="N550" s="8" t="inlineStr">
        <is>
          <t>[Must] issue determinations with copies sent to registrar and parties
[Must] determinations are treated as civil judgments of a court
[Must] determinations are only appealable to board of appeal</t>
        </is>
      </c>
      <c r="O550" s="8" t="inlineStr">
        <is>
          <t>28. (1) The Ombud must issue determinations with copies sent to the registrar and all parties concerned with the complaint and, if no notice of appeal to the board of appeal has been lodged within the period required therefor, to the clerk or registrar of court which would have had jurisdiction in the matter had it been heard by a Court. (2) Where a notice of appeal has been lodged, the Ombud must send a copy of the final decision of the board of appeal to any such clerk or registrar. (3) A determination or a final decision of the board of appeal is regarded as a civil judgment of a Court, had the matter in question been heard by a Court, and must be so noted by the clerk or registrar, as the case may be, of that court. (4) A determination is only appealable to the board of appeal if the complexity of the matter or the reasonable likelihood that the board of appeal may reach a different conclusion.</t>
        </is>
      </c>
      <c r="P550" s="10" t="inlineStr">
        <is>
          <t>Open PDF</t>
        </is>
      </c>
    </row>
    <row r="551">
      <c r="A551" t="inlineStr">
        <is>
          <t>South Africa</t>
        </is>
      </c>
      <c r="B551" t="inlineStr">
        <is>
          <t>Financial Advisory and Intermediary Services Act (FAIS) 37 of 2002</t>
        </is>
      </c>
      <c r="C551" t="inlineStr">
        <is>
          <t>29</t>
        </is>
      </c>
      <c r="D551" s="8" t="inlineStr">
        <is>
          <t>(1) The  Ombud must keep proper files and  records  in  respect of complaints as well</t>
        </is>
      </c>
      <c r="E551" t="inlineStr">
        <is>
          <t>23</t>
        </is>
      </c>
      <c r="F551" t="inlineStr">
        <is>
          <t>Other</t>
        </is>
      </c>
      <c r="G551" t="inlineStr">
        <is>
          <t>High</t>
        </is>
      </c>
      <c r="H551" t="inlineStr">
        <is>
          <t>High (explicit)</t>
        </is>
      </c>
      <c r="I551" s="8" t="inlineStr"/>
      <c r="J551" s="8" t="inlineStr"/>
      <c r="K551" t="inlineStr"/>
      <c r="L551" s="8" t="inlineStr">
        <is>
          <t>Ombud must keep proper files and records of complaints and determinations, with access for registrar and fee-based public access.</t>
        </is>
      </c>
      <c r="M551" s="8" t="inlineStr"/>
      <c r="N551" s="8" t="inlineStr">
        <is>
          <t>[Must] keep proper files and records of complaints and determinations
[Must] registrar has access to Ombud's files and records for performance of functions
[May] interested persons may obtain copies of records on payment of fee</t>
        </is>
      </c>
      <c r="O551" s="8" t="inlineStr">
        <is>
          <t>29. (1) The Ombud must keep proper files and records in respect of complaints as well as of any determination proceedings conducted in terms of section 28. (2) The registrar has, for the purposes of the performance of the registrar's functions under this or any other law, access to the Ombud's files and records and may without further proof rely on a copy of any record of proceedings signed by the Ombud. (3) Any interested person may, subject to the discretion of the Ombud and applicable rules of confidentiality, obtain a copy of any record on payment of a fee determined by the Ombud.</t>
        </is>
      </c>
      <c r="P551" s="10" t="inlineStr">
        <is>
          <t>Open PDF</t>
        </is>
      </c>
    </row>
    <row r="552">
      <c r="A552" t="inlineStr">
        <is>
          <t>South Africa</t>
        </is>
      </c>
      <c r="B552" t="inlineStr">
        <is>
          <t>Financial Advisory and Intermediary Services Act (FAIS) 37 of 2002</t>
        </is>
      </c>
      <c r="C552" t="inlineStr">
        <is>
          <t>30</t>
        </is>
      </c>
      <c r="D552" s="8" t="inlineStr">
        <is>
          <t>(1) The  Ombud must during every year, within six months after the end of the</t>
        </is>
      </c>
      <c r="E552" t="inlineStr">
        <is>
          <t>23</t>
        </is>
      </c>
      <c r="F552" t="inlineStr">
        <is>
          <t>Other</t>
        </is>
      </c>
      <c r="G552" t="inlineStr">
        <is>
          <t>High</t>
        </is>
      </c>
      <c r="H552" t="inlineStr">
        <is>
          <t>High (explicit)</t>
        </is>
      </c>
      <c r="I552" s="8" t="inlineStr"/>
      <c r="J552" s="8" t="inlineStr"/>
      <c r="K552" t="inlineStr"/>
      <c r="L552" s="8" t="inlineStr">
        <is>
          <t>Ombud must submit annual report to Board and Minister within six months after financial year end.</t>
        </is>
      </c>
      <c r="M552" s="8" t="inlineStr"/>
      <c r="N552" s="8" t="inlineStr">
        <is>
          <t>[Must] submit annual report to Board within six months after financial year end
[Must] submit copy of report to Minister</t>
        </is>
      </c>
      <c r="O552" s="8" t="inlineStr">
        <is>
          <t>30. (1) The Ombud must during every year, within six months after the end of the financial year of the Ombud, submit a report to the Board on the affairs and functions of the Ombud during the financial year in question, including the annual financial statements referred to in section 23(2)(6). (2) The Ombud must at the same time submit a copy of the report to the Minister.</t>
        </is>
      </c>
      <c r="P552" s="10" t="inlineStr">
        <is>
          <t>Open PDF</t>
        </is>
      </c>
    </row>
    <row r="553">
      <c r="A553" t="inlineStr">
        <is>
          <t>South Africa</t>
        </is>
      </c>
      <c r="B553" t="inlineStr">
        <is>
          <t>Financial Advisory and Intermediary Services Act (FAIS) 37 of 2002</t>
        </is>
      </c>
      <c r="C553" t="inlineStr">
        <is>
          <t>30</t>
        </is>
      </c>
      <c r="D553" s="8" t="inlineStr">
        <is>
          <t>A record  purporting to have</t>
        </is>
      </c>
      <c r="E553" t="inlineStr">
        <is>
          <t>35</t>
        </is>
      </c>
      <c r="F553" t="inlineStr">
        <is>
          <t>Other</t>
        </is>
      </c>
      <c r="G553" t="inlineStr">
        <is>
          <t>Unknown</t>
        </is>
      </c>
      <c r="H553" t="inlineStr">
        <is>
          <t>Low</t>
        </is>
      </c>
      <c r="I553" s="8" t="inlineStr"/>
      <c r="J553" s="8" t="inlineStr"/>
      <c r="K553" t="inlineStr"/>
      <c r="L553" s="8" t="inlineStr"/>
      <c r="M553" s="8" t="inlineStr"/>
      <c r="N553" s="8" t="inlineStr"/>
      <c r="O553" s="8" t="inlineStr"/>
      <c r="P553" s="10" t="inlineStr">
        <is>
          <t>Open PDF</t>
        </is>
      </c>
    </row>
    <row r="554">
      <c r="A554" t="inlineStr">
        <is>
          <t>South Africa</t>
        </is>
      </c>
      <c r="B554" t="inlineStr">
        <is>
          <t>Financial Advisory and Intermediary Services Act (FAIS) 37 of 2002</t>
        </is>
      </c>
      <c r="C554" t="inlineStr">
        <is>
          <t>31</t>
        </is>
      </c>
      <c r="D554" s="8" t="inlineStr">
        <is>
          <t>Any person who-</t>
        </is>
      </c>
      <c r="E554" t="inlineStr">
        <is>
          <t>23</t>
        </is>
      </c>
      <c r="F554" t="inlineStr">
        <is>
          <t>Other</t>
        </is>
      </c>
      <c r="G554" t="inlineStr">
        <is>
          <t>High</t>
        </is>
      </c>
      <c r="H554" t="inlineStr">
        <is>
          <t>High (explicit)</t>
        </is>
      </c>
      <c r="I554" s="8" t="inlineStr"/>
      <c r="J554" s="8" t="inlineStr"/>
      <c r="K554" t="inlineStr"/>
      <c r="L554" s="8" t="inlineStr">
        <is>
          <t>Contempt of court or interference with Ombud proceedings is an offence punishable by fine or imprisonment.</t>
        </is>
      </c>
      <c r="M554" s="8" t="inlineStr"/>
      <c r="N554" s="8" t="inlineStr">
        <is>
          <t>[Guilty of offence] commit acts in respect of Ombud or investigations that would constitute contempt of court
[Guilty of offence] anticipate Ombud determination to influence it
[Guilty of offence] wilfully interrupt Ombud proceedings</t>
        </is>
      </c>
      <c r="O554" s="8" t="inlineStr">
        <is>
          <t>31. Any person who- (a) commits any act in respect of the Ombud or an investigation by the Ombud which, if committed in respect of a court of law, would have constituted contempt of court, is guilty of an offence and liable on conviction to any penalty which may be imposed on a conviction of contempt of court; or (b) anticipates a determination of the Ombud in any manner calculated to influence the determination, or wilfully interrupts any proceedings conducted by the Ombud, is guilty of an offence and liable on conviction to a fine or to imprisonment for a period not exceeding one year.</t>
        </is>
      </c>
      <c r="P554" s="10" t="inlineStr">
        <is>
          <t>Open PDF</t>
        </is>
      </c>
    </row>
    <row r="555">
      <c r="A555" t="inlineStr">
        <is>
          <t>South Africa</t>
        </is>
      </c>
      <c r="B555" t="inlineStr">
        <is>
          <t>Financial Advisory and Intermediary Services Act (FAIS) 37 of 2002</t>
        </is>
      </c>
      <c r="C555" t="inlineStr">
        <is>
          <t>31</t>
        </is>
      </c>
      <c r="D555" s="8" t="inlineStr">
        <is>
          <t>(1) If a court-</t>
        </is>
      </c>
      <c r="E555" t="inlineStr">
        <is>
          <t>36–37</t>
        </is>
      </c>
      <c r="F555" t="inlineStr">
        <is>
          <t>Other</t>
        </is>
      </c>
      <c r="G555" t="inlineStr">
        <is>
          <t>High</t>
        </is>
      </c>
      <c r="H555" t="inlineStr">
        <is>
          <t>High (explicit)</t>
        </is>
      </c>
      <c r="I555" s="8" t="inlineStr">
        <is>
          <t>Financial Data</t>
        </is>
      </c>
      <c r="J555" s="8" t="inlineStr">
        <is>
          <t>Financial Data</t>
        </is>
      </c>
      <c r="K555" t="inlineStr"/>
      <c r="L555" s="8" t="inlineStr">
        <is>
          <t>Courts may declare members, officers, or employees disqualified for dishonest conduct in financial services.</t>
        </is>
      </c>
      <c r="M555" s="8" t="inlineStr"/>
      <c r="N555" s="8" t="inlineStr">
        <is>
          <t>[Must] the court may declare that member, officer or employee of a member [or person] to be disqualified for an indefinite period or for a period specified by the court, from carrying on the business of a member or from being an officer or employee of a member</t>
        </is>
      </c>
      <c r="O555" s="8" t="inlineStr">
        <is>
          <t>31. (1) If a court convicts a member or officer or employee of a member [or a person approved in terms of section 51 of an offence under this Act or of an offence of which any dishonest act or omission is an element; or finds, in proceedings to which a member or officer or employee of a member [or a person approved in terms of section 51 or such person's officer or employee] is a party or in which such member's, officer's or employee's [or person's] conduct is called in question, that such member, officer or employee [or person] has been guilty of dishonest conduct, the court may (in addition, in a case referred to in paragraph (a) to any sentence it may impose) declare that member, officer or employee of a member [or person] to be disqualified for an indefinite period or for a period specified by the court, from carrying on the business of a member or from being an officer or employee of a member.</t>
        </is>
      </c>
      <c r="P555" s="10" t="inlineStr">
        <is>
          <t>Open PDF</t>
        </is>
      </c>
    </row>
    <row r="556">
      <c r="A556" t="inlineStr">
        <is>
          <t>South Africa</t>
        </is>
      </c>
      <c r="B556" t="inlineStr">
        <is>
          <t>Financial Advisory and Intermediary Services Act (FAIS) 37 of 2002</t>
        </is>
      </c>
      <c r="C556" t="inlineStr">
        <is>
          <t>32</t>
        </is>
      </c>
      <c r="D556" s="8" t="inlineStr">
        <is>
          <t>CHAPTER VI</t>
        </is>
      </c>
      <c r="E556" t="inlineStr">
        <is>
          <t>3</t>
        </is>
      </c>
      <c r="F556" t="inlineStr">
        <is>
          <t>Cross-border Transfer</t>
        </is>
      </c>
      <c r="G556" t="inlineStr">
        <is>
          <t>High</t>
        </is>
      </c>
      <c r="H556" t="inlineStr">
        <is>
          <t>Medium (minor interpretation)</t>
        </is>
      </c>
      <c r="I556" s="8" t="inlineStr"/>
      <c r="J556" s="8" t="inlineStr"/>
      <c r="K556" t="inlineStr">
        <is>
          <t>Ombud for Financial Services Providers</t>
        </is>
      </c>
      <c r="L556" s="8" t="inlineStr">
        <is>
          <t>Outlines enforcement mechanisms including ombud office, funding, accountability, and penalties for financial services providers.</t>
        </is>
      </c>
      <c r="M556" s="8" t="inlineStr"/>
      <c r="N556" s="8" t="inlineStr">
        <is>
          <t>[Must] Appointment of Ombud and deputy ombuds
[Must] Funding of Office
[Must] Accountability
[Must] General administrative powers of Ombud
[Must] Disestablishment and liquidation of Office
[Must] Powers of Board
[Must] Receipt of complaints, prescription, jurisdiction and investigation
[Must] Determinations by Ombud
[Must] Record-keeping
[Must] Report of Ombud
[Must] Penalties</t>
        </is>
      </c>
      <c r="O556" s="8" t="inlineStr">
        <is>
          <t>32. CHAPTER VI ENFORCEMENT</t>
        </is>
      </c>
      <c r="P556" s="10" t="inlineStr">
        <is>
          <t>Open PDF</t>
        </is>
      </c>
    </row>
    <row r="557">
      <c r="A557" t="inlineStr">
        <is>
          <t>South Africa</t>
        </is>
      </c>
      <c r="B557" t="inlineStr">
        <is>
          <t>Financial Advisory and Intermediary Services Act (FAIS) 37 of 2002</t>
        </is>
      </c>
      <c r="C557" t="inlineStr">
        <is>
          <t>32</t>
        </is>
      </c>
      <c r="D557" s="8" t="inlineStr">
        <is>
          <t>The registrar may take any steps  conducive  to client  education and the promotion</t>
        </is>
      </c>
      <c r="E557" t="inlineStr">
        <is>
          <t>23</t>
        </is>
      </c>
      <c r="F557" t="inlineStr">
        <is>
          <t>Other</t>
        </is>
      </c>
      <c r="G557" t="inlineStr">
        <is>
          <t>High</t>
        </is>
      </c>
      <c r="H557" t="inlineStr">
        <is>
          <t>High (explicit)</t>
        </is>
      </c>
      <c r="I557" s="8" t="inlineStr"/>
      <c r="J557" s="8" t="inlineStr"/>
      <c r="K557" t="inlineStr">
        <is>
          <t>Registrar</t>
        </is>
      </c>
      <c r="L557" s="8" t="inlineStr">
        <is>
          <t>Registrar may take steps to promote client education and awareness of Ombud and enforcement measures.</t>
        </is>
      </c>
      <c r="M557" s="8" t="inlineStr"/>
      <c r="N557" s="8" t="inlineStr">
        <is>
          <t>[May] take steps conducive to client education and promotion of awareness of Ombud and enforcement measures</t>
        </is>
      </c>
      <c r="O557" s="8" t="inlineStr">
        <is>
          <t>32. The registrar may take any steps conducive to client education and the promotion of awareness of the nature and availability of the Ombud and other enforcement measures established by or in terms of this Act, including arrangements with the Ombud, representative bodies of the financial services industry, client and consumer bodies, or product suppliers and authorised financial services providers and their representatives to assist in the disclosure of information to the general public on matters dealt with in this Act.</t>
        </is>
      </c>
      <c r="P557" s="10" t="inlineStr">
        <is>
          <t>Open PDF</t>
        </is>
      </c>
    </row>
    <row r="558">
      <c r="A558" t="inlineStr">
        <is>
          <t>South Africa</t>
        </is>
      </c>
      <c r="B558" t="inlineStr">
        <is>
          <t>Financial Advisory and Intermediary Services Act (FAIS) 37 of 2002</t>
        </is>
      </c>
      <c r="C558" t="inlineStr">
        <is>
          <t>33</t>
        </is>
      </c>
      <c r="D558" s="8" t="inlineStr">
        <is>
          <t>(1) The registrar may, when satisfied on the  basis</t>
        </is>
      </c>
      <c r="E558" t="inlineStr">
        <is>
          <t>23–24</t>
        </is>
      </c>
      <c r="F558" t="inlineStr">
        <is>
          <t>Enforcement</t>
        </is>
      </c>
      <c r="G558" t="inlineStr">
        <is>
          <t>High</t>
        </is>
      </c>
      <c r="H558" t="inlineStr">
        <is>
          <t>High (explicit)</t>
        </is>
      </c>
      <c r="I558" s="8" t="inlineStr"/>
      <c r="J558" s="8" t="inlineStr">
        <is>
          <t>Financial Data</t>
        </is>
      </c>
      <c r="K558" t="inlineStr">
        <is>
          <t>Registrar</t>
        </is>
      </c>
      <c r="L558" s="8" t="inlineStr">
        <is>
          <t>Registrar may apply to court for restraining order and remedial steps if person contravenes or fails to comply with Act provisions.</t>
        </is>
      </c>
      <c r="M558" s="8" t="inlineStr">
        <is>
          <t>Registrar can seek court order to restrain contraventions and require remedial actions for affected clients.</t>
        </is>
      </c>
      <c r="N558" s="8" t="inlineStr">
        <is>
          <t>[Must] Registrar may apply to court for restraining order if person contravenes or fails to comply with Act provisions
[Must] Registrar may require remedial steps to rectify consequences of contraventions</t>
        </is>
      </c>
      <c r="O558" s="8" t="inlineStr">
        <is>
          <t>33. (1) The registrar may, when satisfied on the basis of available facts and information that a person has contravened or not complied with any provision of this Act, or is likely so to contravene or not to comply, apply to a Court for an order restraining such person from continuing to commit any such act or omission or from committing it in future, and requiring the person to take such remedial steps as the Court deems necessary to rectify the consequences of the act or omission.</t>
        </is>
      </c>
      <c r="P558" s="10" t="inlineStr">
        <is>
          <t>Open PDF</t>
        </is>
      </c>
    </row>
    <row r="559">
      <c r="A559" t="inlineStr">
        <is>
          <t>South Africa</t>
        </is>
      </c>
      <c r="B559" t="inlineStr">
        <is>
          <t>Financial Advisory and Intermediary Services Act (FAIS) 37 of 2002</t>
        </is>
      </c>
      <c r="C559" t="inlineStr">
        <is>
          <t>34</t>
        </is>
      </c>
      <c r="D559" s="8" t="inlineStr">
        <is>
          <t>( I ) Subject to subsections (2) and (3), the  registrar may. after consultation with the</t>
        </is>
      </c>
      <c r="E559" t="inlineStr">
        <is>
          <t>24–25</t>
        </is>
      </c>
      <c r="F559" t="inlineStr">
        <is>
          <t>Enforcement</t>
        </is>
      </c>
      <c r="G559" t="inlineStr">
        <is>
          <t>High</t>
        </is>
      </c>
      <c r="H559" t="inlineStr">
        <is>
          <t>High (explicit)</t>
        </is>
      </c>
      <c r="I559" s="8" t="inlineStr"/>
      <c r="J559" s="8" t="inlineStr"/>
      <c r="K559" t="inlineStr">
        <is>
          <t>Registrar</t>
        </is>
      </c>
      <c r="L559" s="8" t="inlineStr">
        <is>
          <t>Registrar may declare business practices undesirable after consultation with Advisory Committee, subject to specific criteria.</t>
        </is>
      </c>
      <c r="M559" s="8" t="inlineStr">
        <is>
          <t>Registrar can declare business practices undesirable if they harm clients or public, with publication requirements.</t>
        </is>
      </c>
      <c r="N559" s="8" t="inlineStr">
        <is>
          <t>[Must] Registrar may declare business practice undesirable after consultation with Advisory Committee
[Must] Declaration must not harm client relations or unfairly affect clients
[Must] Registrar must publish intention to make declaration with reasons and invite written representations</t>
        </is>
      </c>
      <c r="O559" s="8" t="inlineStr">
        <is>
          <t>34. (1) Subject to subsections (2) and (3), the registrar may, after consultation with the Advisory Committee, by notice in the Gazette declare a particular business practice to be undesirable for all or a category of authorised financial services providers.</t>
        </is>
      </c>
      <c r="P559" s="10" t="inlineStr">
        <is>
          <t>Open PDF</t>
        </is>
      </c>
    </row>
    <row r="560">
      <c r="A560" t="inlineStr">
        <is>
          <t>South Africa</t>
        </is>
      </c>
      <c r="B560" t="inlineStr">
        <is>
          <t>Financial Advisory and Intermediary Services Act (FAIS) 37 of 2002</t>
        </is>
      </c>
      <c r="C560" t="inlineStr">
        <is>
          <t>35</t>
        </is>
      </c>
      <c r="D560" s="8" t="inlineStr">
        <is>
          <t>(1 ) The Minister may by notice in the Gazerre, after  consultation  with the registrar 10</t>
        </is>
      </c>
      <c r="E560" t="inlineStr">
        <is>
          <t>25</t>
        </is>
      </c>
      <c r="F560" t="inlineStr">
        <is>
          <t>Other</t>
        </is>
      </c>
      <c r="G560" t="inlineStr">
        <is>
          <t>High</t>
        </is>
      </c>
      <c r="H560" t="inlineStr">
        <is>
          <t>High (explicit)</t>
        </is>
      </c>
      <c r="I560" s="8" t="inlineStr"/>
      <c r="J560" s="8" t="inlineStr"/>
      <c r="K560" t="inlineStr">
        <is>
          <t>Minister</t>
        </is>
      </c>
      <c r="L560" s="8" t="inlineStr">
        <is>
          <t>Minister may make regulations for financial services providers, including prohibitions on unauthorized marketing and advertising.</t>
        </is>
      </c>
      <c r="M560" s="8" t="inlineStr">
        <is>
          <t>Regulations can prohibit unauthorized marketing, advertising, and use of titles indicating authorization.</t>
        </is>
      </c>
      <c r="N560" s="8" t="inlineStr">
        <is>
          <t>[Must] Minister may make regulations for financial services providers
[Must] Regulations may prohibit unauthorized marketing and advertising</t>
        </is>
      </c>
      <c r="O560" s="8" t="inlineStr">
        <is>
          <t>35. (1) The Minister may by notice in the Gazette, after consultation with the registrar and the Advisory Committee, make regulations relating to any matter which is required or permitted to be prescribed under this Act.</t>
        </is>
      </c>
      <c r="P560" s="10" t="inlineStr">
        <is>
          <t>Open PDF</t>
        </is>
      </c>
    </row>
    <row r="561">
      <c r="A561" t="inlineStr">
        <is>
          <t>South Africa</t>
        </is>
      </c>
      <c r="B561" t="inlineStr">
        <is>
          <t>Financial Advisory and Intermediary Services Act (FAIS) 37 of 2002</t>
        </is>
      </c>
      <c r="C561" t="inlineStr">
        <is>
          <t>35</t>
        </is>
      </c>
      <c r="D561" s="8" t="inlineStr">
        <is>
          <t>( 1 ) The  plovisions of this Act do not apply to the rendering of financial services</t>
        </is>
      </c>
      <c r="E561" t="inlineStr">
        <is>
          <t>28–29</t>
        </is>
      </c>
      <c r="F561" t="inlineStr">
        <is>
          <t>Exemptions</t>
        </is>
      </c>
      <c r="G561" t="inlineStr">
        <is>
          <t>High</t>
        </is>
      </c>
      <c r="H561" t="inlineStr">
        <is>
          <t>High (explicit)</t>
        </is>
      </c>
      <c r="I561" s="8" t="inlineStr"/>
      <c r="J561" s="8" t="inlineStr">
        <is>
          <t>Financial Data</t>
        </is>
      </c>
      <c r="K561" t="inlineStr"/>
      <c r="L561" s="8" t="inlineStr">
        <is>
          <t>This Act does not apply to financial services provided by certain entities including authorized users, clearing houses, central securities depositories, managers, executors, administrators, trustees, liquidators, and minors under specific conditions.</t>
        </is>
      </c>
      <c r="M561" s="8" t="inlineStr">
        <is>
          <t>Exemptions for specific entities from applying the Act to financial services, relevant for DTIA scope determination.</t>
        </is>
      </c>
      <c r="N561" s="8" t="inlineStr">
        <is>
          <t>[Must Not] The provisions of this Act do not apply to the rendering of financial services</t>
        </is>
      </c>
      <c r="O561" s="8" t="inlineStr">
        <is>
          <t>35. (1) The provisions of this Act do not apply to the rendering of financial services</t>
        </is>
      </c>
      <c r="P561" s="10" t="inlineStr">
        <is>
          <t>Open PDF</t>
        </is>
      </c>
    </row>
    <row r="562">
      <c r="A562" t="inlineStr">
        <is>
          <t>South Africa</t>
        </is>
      </c>
      <c r="B562" t="inlineStr">
        <is>
          <t>Financial Advisory and Intermediary Services Act (FAIS) 37 of 2002</t>
        </is>
      </c>
      <c r="C562" t="inlineStr">
        <is>
          <t>36</t>
        </is>
      </c>
      <c r="D562" s="8" t="inlineStr">
        <is>
          <t>Any person w h o -</t>
        </is>
      </c>
      <c r="E562" t="inlineStr">
        <is>
          <t>25</t>
        </is>
      </c>
      <c r="F562" t="inlineStr">
        <is>
          <t>Other</t>
        </is>
      </c>
      <c r="G562" t="inlineStr">
        <is>
          <t>High</t>
        </is>
      </c>
      <c r="H562" t="inlineStr">
        <is>
          <t>High (explicit)</t>
        </is>
      </c>
      <c r="I562" s="8" t="inlineStr"/>
      <c r="J562" s="8" t="inlineStr"/>
      <c r="K562" t="inlineStr"/>
      <c r="L562" s="8" t="inlineStr">
        <is>
          <t>Offence for making misleading statements or concealing material facts in financial services applications.</t>
        </is>
      </c>
      <c r="M562" s="8" t="inlineStr">
        <is>
          <t>False statements in financial services applications constitute offences with penalties.</t>
        </is>
      </c>
      <c r="N562" s="8" t="inlineStr">
        <is>
          <t>[Must] Person guilty of offence if they make misleading, false or deceptive statements or conceal material facts in applications</t>
        </is>
      </c>
      <c r="O562" s="8" t="inlineStr">
        <is>
          <t>36. Any person who (a) contravenes or fails to comply with a provision of section 7(1), 8(8), 13(1), 14(1), 18, 19(2) or 34(4) or (6): or (b) in any application in terms of this Act, deliberately makes a misleading, false or deceptive statement, or conceals any material fact, is guilty of an offence and is on conviction liable to a fine not exceeding R1 000 000 or to imprisonment for a period not exceeding 10 years, or to both such fine and such imprisonment.</t>
        </is>
      </c>
      <c r="P562" s="10" t="inlineStr">
        <is>
          <t>Open PDF</t>
        </is>
      </c>
    </row>
    <row r="563">
      <c r="A563" t="inlineStr">
        <is>
          <t>South Africa</t>
        </is>
      </c>
      <c r="B563" t="inlineStr">
        <is>
          <t>Financial Advisory and Intermediary Services Act (FAIS) 37 of 2002</t>
        </is>
      </c>
      <c r="C563" t="inlineStr">
        <is>
          <t>37</t>
        </is>
      </c>
      <c r="D563" s="8" t="inlineStr">
        <is>
          <t>(1) In the consideration of the quantum of any  penalty  under  section 36, the  Court</t>
        </is>
      </c>
      <c r="E563" t="inlineStr">
        <is>
          <t>25–26</t>
        </is>
      </c>
      <c r="F563" t="inlineStr">
        <is>
          <t>Enforcement</t>
        </is>
      </c>
      <c r="G563" t="inlineStr">
        <is>
          <t>High</t>
        </is>
      </c>
      <c r="H563" t="inlineStr">
        <is>
          <t>High (explicit)</t>
        </is>
      </c>
      <c r="I563" s="8" t="inlineStr"/>
      <c r="J563" s="8" t="inlineStr">
        <is>
          <t>Financial Data</t>
        </is>
      </c>
      <c r="K563" t="inlineStr">
        <is>
          <t>Court</t>
        </is>
      </c>
      <c r="L563" s="8" t="inlineStr">
        <is>
          <t>Court must consider penalties from section 36 when determining penalty amounts under section 36.</t>
        </is>
      </c>
      <c r="M563" s="8" t="inlineStr">
        <is>
          <t>Court must consider penalties from section 36 when determining penalty amounts under section 36.</t>
        </is>
      </c>
      <c r="N563" s="8" t="inlineStr">
        <is>
          <t>[Must] Court must consider any award made under section 33 when determining penalty quantum under section 36</t>
        </is>
      </c>
      <c r="O563" s="8" t="inlineStr">
        <is>
          <t>37. (1) In the consideration of the quantum of any penalty under section 36, the Court must take into consideration any award made or to be made under section 33, from the same cause.</t>
        </is>
      </c>
      <c r="P563" s="10" t="inlineStr">
        <is>
          <t>Open PDF</t>
        </is>
      </c>
    </row>
    <row r="564">
      <c r="A564" t="inlineStr">
        <is>
          <t>South Africa</t>
        </is>
      </c>
      <c r="B564" t="inlineStr">
        <is>
          <t>Financial Advisory and Intermediary Services Act (FAIS) 37 of 2002</t>
        </is>
      </c>
      <c r="C564" t="inlineStr">
        <is>
          <t>38</t>
        </is>
      </c>
      <c r="D564" s="8" t="inlineStr">
        <is>
          <t>N o -</t>
        </is>
      </c>
      <c r="E564" t="inlineStr">
        <is>
          <t>26</t>
        </is>
      </c>
      <c r="F564" t="inlineStr">
        <is>
          <t>Enforcement</t>
        </is>
      </c>
      <c r="G564" t="inlineStr">
        <is>
          <t>High</t>
        </is>
      </c>
      <c r="H564" t="inlineStr">
        <is>
          <t>High (explicit)</t>
        </is>
      </c>
      <c r="I564" s="8" t="inlineStr"/>
      <c r="J564" s="8" t="inlineStr"/>
      <c r="K564" t="inlineStr">
        <is>
          <t>Registrar</t>
        </is>
      </c>
      <c r="L564" s="8" t="inlineStr">
        <is>
          <t>Voluntary business closures must be approved by registrar to ensure client liabilities are met.</t>
        </is>
      </c>
      <c r="M564" s="8" t="inlineStr">
        <is>
          <t>Business closures must be approved by registrar to ensure client liabilities are met.</t>
        </is>
      </c>
      <c r="N564" s="8" t="inlineStr">
        <is>
          <t>[Must] Voluntary business closures must be approved by registrar to ensure client liabilities are met</t>
        </is>
      </c>
      <c r="O564" s="8" t="inlineStr">
        <is>
          <t>38. No application for the acceptance of the voluntary surrender of the estate in terms of section 3 of the Insolvency Act, 1936, of; special resolution relating to the winding-up, as contemplated in section 349 of the Companies Act, 1973, and registered in terms of that Act, of; written resolution relating to the winding-up, as contemplated in section 67 of the Close Corporations Act, 1984, and registered in terms of that section, of; or voluntary closure of business by any authorised financial services provider, or representative of such provider, and no special resolution in terms of the constitution of such a provider or representative which is not a company, to close its business, have legal force unless a copy or notice thereof has been lodged with the registrar and the registrar has declared that arrangements satisfactory to the registrar have been made to meet all liabilities under transactions entered into with clients prior to sequestration, winding-up or closure.</t>
        </is>
      </c>
      <c r="P564" s="10" t="inlineStr">
        <is>
          <t>Open PDF</t>
        </is>
      </c>
    </row>
    <row r="565">
      <c r="A565" t="inlineStr">
        <is>
          <t>South Africa</t>
        </is>
      </c>
      <c r="B565" t="inlineStr">
        <is>
          <t>Financial Advisory and Intermediary Services Act (FAIS) 37 of 2002</t>
        </is>
      </c>
      <c r="C565" t="inlineStr">
        <is>
          <t>39</t>
        </is>
      </c>
      <c r="D565" s="8" t="inlineStr">
        <is>
          <t>Any person who  feels aggrieved by any  decision  by the registrar or the Ombud</t>
        </is>
      </c>
      <c r="E565" t="inlineStr">
        <is>
          <t>26</t>
        </is>
      </c>
      <c r="F565" t="inlineStr">
        <is>
          <t>Enforcement</t>
        </is>
      </c>
      <c r="G565" t="inlineStr">
        <is>
          <t>High</t>
        </is>
      </c>
      <c r="H565" t="inlineStr">
        <is>
          <t>High (explicit)</t>
        </is>
      </c>
      <c r="I565" s="8" t="inlineStr"/>
      <c r="J565" s="8" t="inlineStr"/>
      <c r="K565" t="inlineStr">
        <is>
          <t>Financial Services Board</t>
        </is>
      </c>
      <c r="L565" s="8" t="inlineStr">
        <is>
          <t>Appeal rights for decisions affecting clients by registrar or Ombud.</t>
        </is>
      </c>
      <c r="M565" s="8" t="inlineStr">
        <is>
          <t>Clients can appeal decisions by registrar or Ombud to Financial Services Board Board.</t>
        </is>
      </c>
      <c r="N565" s="8" t="inlineStr">
        <is>
          <t>[Must] Person aggrieved by registrar or Ombud decision may appeal to Financial Services Board Board</t>
        </is>
      </c>
      <c r="O565" s="8" t="inlineStr">
        <is>
          <t>39. Any person who feels aggrieved by any decision by the registrar or the Ombud under this Act which affects that person, may appeal to the board of appeal established by section 26(1) of the Financial Services Board Act, in respect of which section 26 applies with the necessary changes.</t>
        </is>
      </c>
      <c r="P565" s="10" t="inlineStr">
        <is>
          <t>Open PDF</t>
        </is>
      </c>
    </row>
    <row r="566">
      <c r="A566" t="inlineStr">
        <is>
          <t>South Africa</t>
        </is>
      </c>
      <c r="B566" t="inlineStr">
        <is>
          <t>Financial Advisory and Intermediary Services Act (FAIS) 37 of 2002</t>
        </is>
      </c>
      <c r="C566" t="inlineStr">
        <is>
          <t>40</t>
        </is>
      </c>
      <c r="D566" s="8" t="inlineStr">
        <is>
          <t>No provision of this Act, and no act performed under or in terms of any such</t>
        </is>
      </c>
      <c r="E566" t="inlineStr">
        <is>
          <t>26</t>
        </is>
      </c>
      <c r="F566" t="inlineStr">
        <is>
          <t>Enforcement</t>
        </is>
      </c>
      <c r="G566" t="inlineStr">
        <is>
          <t>High</t>
        </is>
      </c>
      <c r="H566" t="inlineStr">
        <is>
          <t>High (explicit)</t>
        </is>
      </c>
      <c r="I566" s="8" t="inlineStr"/>
      <c r="J566" s="8" t="inlineStr"/>
      <c r="K566" t="inlineStr"/>
      <c r="L566" s="8" t="inlineStr">
        <is>
          <t>Client rights to legal redress unaffected by this Act.</t>
        </is>
      </c>
      <c r="M566" s="8" t="inlineStr">
        <is>
          <t>Client legal redress rights remain unaffected by this Act.</t>
        </is>
      </c>
      <c r="N566" s="8" t="inlineStr">
        <is>
          <t>[Must] No provision of this Act affects client rights to seek legal redress</t>
        </is>
      </c>
      <c r="O566" s="8" t="inlineStr">
        <is>
          <t>40. No provision of this Act, and no act performed under or in terms of any such provision, may be construed as affecting any right of a client, or other affected person, to seek appropriate legal redress in terms of common law or any other statutory law, and whether relating to civil or criminal matters, in respect of the rendering of any financial service by an authorised financial services provider, or representative of such provider, or any act of a person who is not an authorised financial services provider or a representative of such a provider.</t>
        </is>
      </c>
      <c r="P566" s="10" t="inlineStr">
        <is>
          <t>Open PDF</t>
        </is>
      </c>
    </row>
    <row r="567">
      <c r="A567" t="inlineStr">
        <is>
          <t>South Africa</t>
        </is>
      </c>
      <c r="B567" t="inlineStr">
        <is>
          <t>Financial Advisory and Intermediary Services Act (FAIS) 37 of 2002</t>
        </is>
      </c>
      <c r="C567" t="inlineStr">
        <is>
          <t>41</t>
        </is>
      </c>
      <c r="D567" s="8" t="inlineStr">
        <is>
          <t>(1) (a) The Minister  must, after  consultation  with  the registrar, by notice in the</t>
        </is>
      </c>
      <c r="E567" t="inlineStr">
        <is>
          <t>26–27</t>
        </is>
      </c>
      <c r="F567" t="inlineStr">
        <is>
          <t>Other</t>
        </is>
      </c>
      <c r="G567" t="inlineStr">
        <is>
          <t>High</t>
        </is>
      </c>
      <c r="H567" t="inlineStr">
        <is>
          <t>High (explicit)</t>
        </is>
      </c>
      <c r="I567" s="8" t="inlineStr"/>
      <c r="J567" s="8" t="inlineStr">
        <is>
          <t>Financial Data</t>
        </is>
      </c>
      <c r="K567" t="inlineStr">
        <is>
          <t>Minister</t>
        </is>
      </c>
      <c r="L567" s="8" t="inlineStr">
        <is>
          <t>Minister must determine fees for registrar decisions and penalties for non-compliance.</t>
        </is>
      </c>
      <c r="M567" s="8" t="inlineStr">
        <is>
          <t>Fees for registrar decisions must be determined by Minister, with penalties for non-compliance.</t>
        </is>
      </c>
      <c r="N567" s="8" t="inlineStr">
        <is>
          <t>[Must] Minister must determine fees payable to registrar by persons seeking decisions
[Must] Penalties for non-furnished returns may be imposed by registrar</t>
        </is>
      </c>
      <c r="O567" s="8" t="inlineStr">
        <is>
          <t>41. (1) (a) The Minister must, after consultation with the registrar, by notice in the Gazette, determine the fees payable to the registrar by any person, or category of persons, seeking a decision or the performance of any other act by the registrar under this Act and referred to in section 3(1).</t>
        </is>
      </c>
      <c r="P567" s="10" t="inlineStr">
        <is>
          <t>Open PDF</t>
        </is>
      </c>
    </row>
    <row r="568">
      <c r="A568" t="inlineStr">
        <is>
          <t>South Africa</t>
        </is>
      </c>
      <c r="B568" t="inlineStr">
        <is>
          <t>Financial Advisory and Intermediary Services Act (FAIS) 37 of 2002</t>
        </is>
      </c>
      <c r="C568" t="inlineStr">
        <is>
          <t>42</t>
        </is>
      </c>
      <c r="D568" s="8" t="inlineStr">
        <is>
          <t>The registrar may disclose information obtained</t>
        </is>
      </c>
      <c r="E568" t="inlineStr">
        <is>
          <t>27</t>
        </is>
      </c>
      <c r="F568" t="inlineStr">
        <is>
          <t>Data Sharing</t>
        </is>
      </c>
      <c r="G568" t="inlineStr">
        <is>
          <t>High</t>
        </is>
      </c>
      <c r="H568" t="inlineStr">
        <is>
          <t>High (explicit)</t>
        </is>
      </c>
      <c r="I568" s="8" t="inlineStr">
        <is>
          <t>Data Sharing</t>
        </is>
      </c>
      <c r="J568" s="8" t="inlineStr"/>
      <c r="K568" t="inlineStr">
        <is>
          <t>Registrar</t>
        </is>
      </c>
      <c r="L568" s="8" t="inlineStr">
        <is>
          <t>Registrar may disclose information to authorities for public interest, with confidentiality conditions.</t>
        </is>
      </c>
      <c r="M568" s="8" t="inlineStr">
        <is>
          <t>Registrar may share client information with regulators and authorities for public interest, with confidentiality conditions.</t>
        </is>
      </c>
      <c r="N568" s="8" t="inlineStr">
        <is>
          <t>[Must] Registrar may disclose information to departments of state or financial regulators for public interest</t>
        </is>
      </c>
      <c r="O568" s="8" t="inlineStr">
        <is>
          <t>42. The registrar may disclose information obtained in the course of performing functions in terms of this Act, unless such disclosure will not be in the public interest, but subject to any guidelines issued by the Board to the registrar.</t>
        </is>
      </c>
      <c r="P568" s="10" t="inlineStr">
        <is>
          <t>Open PDF</t>
        </is>
      </c>
    </row>
    <row r="569">
      <c r="A569" t="inlineStr">
        <is>
          <t>South Africa</t>
        </is>
      </c>
      <c r="B569" t="inlineStr">
        <is>
          <t>Financial Advisory and Intermediary Services Act (FAIS) 37 of 2002</t>
        </is>
      </c>
      <c r="C569" t="inlineStr">
        <is>
          <t>43</t>
        </is>
      </c>
      <c r="D569" s="8" t="inlineStr">
        <is>
          <t>The Minister. the  Board or a member  thereof, any  officer or  employee assisting the</t>
        </is>
      </c>
      <c r="E569" t="inlineStr">
        <is>
          <t>27</t>
        </is>
      </c>
      <c r="F569" t="inlineStr">
        <is>
          <t>Other</t>
        </is>
      </c>
      <c r="G569" t="inlineStr">
        <is>
          <t>High</t>
        </is>
      </c>
      <c r="H569" t="inlineStr">
        <is>
          <t>High (explicit)</t>
        </is>
      </c>
      <c r="I569" s="8" t="inlineStr"/>
      <c r="J569" s="8" t="inlineStr">
        <is>
          <t>Financial Data</t>
        </is>
      </c>
      <c r="K569" t="inlineStr">
        <is>
          <t>Minister</t>
        </is>
      </c>
      <c r="L569" s="8" t="inlineStr">
        <is>
          <t>Minister, Board, and employees not liable for losses from lawful actions under this Act.</t>
        </is>
      </c>
      <c r="M569" s="8" t="inlineStr">
        <is>
          <t>Regulators not liable for losses from lawful actions under this Act.</t>
        </is>
      </c>
      <c r="N569" s="8" t="inlineStr">
        <is>
          <t>[Must] Minister, Board, and employees not liable for losses from lawful actions under this Act</t>
        </is>
      </c>
      <c r="O569" s="8" t="inlineStr">
        <is>
          <t>43. The Minister, the Board or a member thereof, any officer or employee assisting the Board, the registrar, the Advisory Committee or any member thereof, the Ombud and any employee in the Office of the Ombud, or other body or person performing any function in terms of this Act, is not liable for any loss sustained by or damage caused to any person as a result of anything done or omitted by any of them in the bona fide exercise of any power or carrying out of any duty or performance of any function under or in terms of a provision of this Act.</t>
        </is>
      </c>
      <c r="P569" s="10" t="inlineStr">
        <is>
          <t>Open PDF</t>
        </is>
      </c>
    </row>
    <row r="570">
      <c r="A570" t="inlineStr">
        <is>
          <t>South Africa</t>
        </is>
      </c>
      <c r="B570" t="inlineStr">
        <is>
          <t>Financial Advisory and Intermediary Services Act (FAIS) 37 of 2002</t>
        </is>
      </c>
      <c r="C570" t="inlineStr">
        <is>
          <t>44</t>
        </is>
      </c>
      <c r="D570" s="8" t="inlineStr">
        <is>
          <t>(1 ) The registrar  may on or after  the commencement of this  Act, but prior to the</t>
        </is>
      </c>
      <c r="E570" t="inlineStr">
        <is>
          <t>27–28</t>
        </is>
      </c>
      <c r="F570" t="inlineStr">
        <is>
          <t>Exemptions</t>
        </is>
      </c>
      <c r="G570" t="inlineStr">
        <is>
          <t>High</t>
        </is>
      </c>
      <c r="H570" t="inlineStr">
        <is>
          <t>High (explicit)</t>
        </is>
      </c>
      <c r="I570" s="8" t="inlineStr"/>
      <c r="J570" s="8" t="inlineStr"/>
      <c r="K570" t="inlineStr">
        <is>
          <t>Registrar</t>
        </is>
      </c>
      <c r="L570" s="8" t="inlineStr">
        <is>
          <t>Registrar may exempt persons from provisions if they are already regulated or won't cause hardship.</t>
        </is>
      </c>
      <c r="M570" s="8" t="inlineStr">
        <is>
          <t>Registrar may exempt persons from provisions if they are already regulated or won't cause hardship.</t>
        </is>
      </c>
      <c r="N570" s="8" t="inlineStr">
        <is>
          <t>[Must] Registrar may exempt persons from provisions if they are already partially or wholly regulated by other law
[Must] Exemptions must not cause financial or other hardship to clients</t>
        </is>
      </c>
      <c r="O570" s="8" t="inlineStr">
        <is>
          <t>44. (1) The registrar may on or after the commencement of this Act, but prior to the date determined by the Minister in terms of section 7(1), exempt any person or category of persons from the provisions of that section if the registrar is satisfied that- (a) the rendering of any financial service by the applicant is already partially or wholly regulated by any other law; or (b) the application of the said section to the applicant will cause the applicant or clients of the applicant financial or other hardship or prejudice; and (c) the granting of the exemption will not- (i) conflict with the public interest; (ii) prejudice the interests of clients; and (iii) frustrate the achievement of the objects of this Act.</t>
        </is>
      </c>
      <c r="P570" s="10" t="inlineStr">
        <is>
          <t>Open PDF</t>
        </is>
      </c>
    </row>
    <row r="571">
      <c r="A571" t="inlineStr">
        <is>
          <t>South Africa</t>
        </is>
      </c>
      <c r="B571" t="inlineStr">
        <is>
          <t>Financial Advisory and Intermediary Services Act (FAIS) 37 of 2002</t>
        </is>
      </c>
      <c r="C571" t="inlineStr">
        <is>
          <t>46</t>
        </is>
      </c>
      <c r="D571" s="8" t="inlineStr">
        <is>
          <t>This Act is called the Financial Advisory and Intermediary Services Act, 2002, 45</t>
        </is>
      </c>
      <c r="E571" t="inlineStr">
        <is>
          <t>29–30</t>
        </is>
      </c>
      <c r="F571" t="inlineStr">
        <is>
          <t>Other</t>
        </is>
      </c>
      <c r="G571" t="inlineStr">
        <is>
          <t>None</t>
        </is>
      </c>
      <c r="H571" t="inlineStr">
        <is>
          <t>High (explicit)</t>
        </is>
      </c>
      <c r="I571" s="8" t="inlineStr"/>
      <c r="J571" s="8" t="inlineStr"/>
      <c r="K571" t="inlineStr"/>
      <c r="L571" s="8" t="inlineStr">
        <is>
          <t>This Act is called the Financial Advisory and Intermediary Services Act, 2002 and comes into operation on a date fixed by the President by proclamation in the Gazette.</t>
        </is>
      </c>
      <c r="M571" s="8" t="inlineStr"/>
      <c r="N571" s="8" t="inlineStr"/>
      <c r="O571" s="8" t="inlineStr">
        <is>
          <t>46. This Act is called the Financial Advisory and Intermediary Services Act, 2002, 45 and comes into operation on a date fixed by the President by proclamation in the Gazette.</t>
        </is>
      </c>
      <c r="P571" s="10" t="inlineStr">
        <is>
          <t>Open PDF</t>
        </is>
      </c>
    </row>
    <row r="572">
      <c r="A572" t="inlineStr">
        <is>
          <t>South Africa</t>
        </is>
      </c>
      <c r="B572" t="inlineStr">
        <is>
          <t>Financial Advisory and Intermediary Services Act (FAIS) 37 of 2002</t>
        </is>
      </c>
      <c r="C572" t="inlineStr">
        <is>
          <t>50</t>
        </is>
      </c>
      <c r="D572" s="8" t="inlineStr">
        <is>
          <t>(1) If a court-</t>
        </is>
      </c>
      <c r="E572" t="inlineStr">
        <is>
          <t>32–33</t>
        </is>
      </c>
      <c r="F572" t="inlineStr">
        <is>
          <t>Other</t>
        </is>
      </c>
      <c r="G572" t="inlineStr">
        <is>
          <t>High</t>
        </is>
      </c>
      <c r="H572" t="inlineStr">
        <is>
          <t>High (explicit)</t>
        </is>
      </c>
      <c r="I572" s="8" t="inlineStr">
        <is>
          <t>Financial Data</t>
        </is>
      </c>
      <c r="J572" s="8" t="inlineStr">
        <is>
          <t>Financial Data</t>
        </is>
      </c>
      <c r="K572" t="inlineStr"/>
      <c r="L572" s="8" t="inlineStr">
        <is>
          <t>Courts may declare members, officers, or employees disqualified for dishonest conduct in financial services.</t>
        </is>
      </c>
      <c r="M572" s="8" t="inlineStr"/>
      <c r="N572" s="8" t="inlineStr">
        <is>
          <t>[Must] the court may declare that member, officer or employee of a member [person or such person's officer or employee] to be disqualified for an indefinite period or for a period specified by the court, from carrying on the business of a member or from being an officer or employee of a member</t>
        </is>
      </c>
      <c r="O572" s="8" t="inlineStr">
        <is>
          <t>50. (1) If a court convicts a member or an officer or employee of a member [or a person approved in terms of section 41 under this Act or of an offence of which any dishonest act or omission is an element; or finds, in proceedings to which a member or an officer or employee of a member [a person approved in terms of section 41 or such person's officer or employee] is a party or in which [his] such member's, officer's or employee's conduct is called in question, that such member, officer or employee has been guilty of dishonest conduct, the court may (in addition, in a case referred to in paragraph (a), to any sentence it may impose) declare that member, officer or employee of a member [person or such person's officer or employee] to be disqualified for an indefinite period or for a period specified by the court, from carrying on the business of a member or from being an officer or employee of a  member.</t>
        </is>
      </c>
      <c r="P572" s="10" t="inlineStr">
        <is>
          <t>Open PDF</t>
        </is>
      </c>
    </row>
    <row r="573">
      <c r="A573" t="inlineStr">
        <is>
          <t>South Africa</t>
        </is>
      </c>
      <c r="B573" t="inlineStr">
        <is>
          <t>Financial Advisory and Intermediary Services Act (FAIS) 37 of 2002</t>
        </is>
      </c>
      <c r="C573" t="inlineStr">
        <is>
          <t>1993</t>
        </is>
      </c>
      <c r="D573" s="8" t="inlineStr">
        <is>
          <t>to the extent that such application is regulated in the code of conduct  contemplated</t>
        </is>
      </c>
      <c r="E573" t="inlineStr">
        <is>
          <t>7</t>
        </is>
      </c>
      <c r="F573" t="inlineStr">
        <is>
          <t>Cross-border Transfer</t>
        </is>
      </c>
      <c r="G573" t="inlineStr">
        <is>
          <t>Low</t>
        </is>
      </c>
      <c r="H573" t="inlineStr">
        <is>
          <t>High (explicit)</t>
        </is>
      </c>
      <c r="I573" s="8" t="inlineStr"/>
      <c r="J573" s="8" t="inlineStr"/>
      <c r="K573" t="inlineStr"/>
      <c r="L573" s="8" t="inlineStr">
        <is>
          <t>Applies the Act to natural persons acting within official duties of the State unless otherwise determined by the Minister.</t>
        </is>
      </c>
      <c r="M573" s="8" t="inlineStr"/>
      <c r="N573" s="8" t="inlineStr">
        <is>
          <t>[Must] to the extent that such application is regulated in the code of conduct</t>
        </is>
      </c>
      <c r="O573" s="8" t="inlineStr">
        <is>
          <t>1993. to the extent that such application is regulated in the code of conduct contemplated in section 15(2)(b).</t>
        </is>
      </c>
      <c r="P573" s="10" t="inlineStr">
        <is>
          <t>Open PDF</t>
        </is>
      </c>
    </row>
    <row r="574">
      <c r="A574" t="inlineStr">
        <is>
          <t>South Africa</t>
        </is>
      </c>
      <c r="B574" t="inlineStr">
        <is>
          <t>Joint Standard 1 of 2023 - IT Governance and Risk Management</t>
        </is>
      </c>
      <c r="C574" t="inlineStr">
        <is>
          <t>3</t>
        </is>
      </c>
      <c r="D574" s="8" t="inlineStr">
        <is>
          <t>Definitions and interpretation</t>
        </is>
      </c>
      <c r="E574" t="inlineStr">
        <is>
          <t>3–5</t>
        </is>
      </c>
      <c r="F574" t="inlineStr">
        <is>
          <t>Definitions</t>
        </is>
      </c>
      <c r="G574" t="inlineStr">
        <is>
          <t>Low</t>
        </is>
      </c>
      <c r="H574" t="inlineStr">
        <is>
          <t>High (explicit)</t>
        </is>
      </c>
      <c r="I574" s="8" t="inlineStr"/>
      <c r="J574" s="8" t="inlineStr"/>
      <c r="K574" t="inlineStr"/>
      <c r="L574" s="8" t="inlineStr">
        <is>
          <t>Defines key terms including financial institutions, Authorities, fit and proper, and IT-related concepts for the Joint Standard.</t>
        </is>
      </c>
      <c r="M574" s="8" t="inlineStr"/>
      <c r="N574" s="8" t="inlineStr"/>
      <c r="O574" s="8" t="inlineStr">
        <is>
          <t>3. Definitions and interpretation</t>
        </is>
      </c>
      <c r="P574" s="10" t="inlineStr">
        <is>
          <t>Open PDF</t>
        </is>
      </c>
    </row>
    <row r="575">
      <c r="A575" t="inlineStr">
        <is>
          <t>South Africa</t>
        </is>
      </c>
      <c r="B575" t="inlineStr">
        <is>
          <t>Joint Standard 1 of 2023 - IT Governance and Risk Management</t>
        </is>
      </c>
      <c r="C575" t="inlineStr">
        <is>
          <t>4</t>
        </is>
      </c>
      <c r="D575" s="8" t="inlineStr">
        <is>
          <t>Application</t>
        </is>
      </c>
      <c r="E575" t="inlineStr">
        <is>
          <t>5</t>
        </is>
      </c>
      <c r="F575" t="inlineStr">
        <is>
          <t>Processing</t>
        </is>
      </c>
      <c r="G575" t="inlineStr">
        <is>
          <t>High</t>
        </is>
      </c>
      <c r="H575" t="inlineStr">
        <is>
          <t>High (explicit)</t>
        </is>
      </c>
      <c r="I575" s="8" t="inlineStr"/>
      <c r="J575" s="8" t="inlineStr">
        <is>
          <t>Financial Data</t>
        </is>
      </c>
      <c r="K575" t="inlineStr"/>
      <c r="L575" s="8" t="inlineStr">
        <is>
          <t>Specifies that financial institutions must mitigate IT risks for all related entities, including foreign branches and subsidiaries, and align requirements with their risk profile.</t>
        </is>
      </c>
      <c r="M575" s="8" t="inlineStr">
        <is>
          <t>Financial institutions must address IT risks for all local and foreign entities under their control, including subsidiaries, to ensure compliance with the Joint Standard.</t>
        </is>
      </c>
      <c r="N575" s="8" t="inlineStr">
        <is>
          <t>[Must] A financial institution that is a bank, or a controlling company must ensure that any risks relating to IT risk from juristic persons and branches structured under the bank or the controlling company (both local and foreign), including all relevant subsidiaries approved in terms of section 52 of the Banks Act, 1990, are catered for and mitigated in the application of the requirements of this Joint Standard.
[Must] A financial institution that is an insurer or a controlling company of an insurance group must ensure that any risks relating to IT from juristic persons structured under the insurer or the controlling company (both local and foreign) and from the insurance group designated under section 10 of the Insurance Act, 2017 are catered for and mitigated in the application of the requirements of this Joint Standard.</t>
        </is>
      </c>
      <c r="O575" s="8" t="inlineStr">
        <is>
          <t>4.1 This Joint Standard applies to financial institutions as defined.</t>
        </is>
      </c>
      <c r="P575" s="10" t="inlineStr">
        <is>
          <t>Open PDF</t>
        </is>
      </c>
    </row>
    <row r="576">
      <c r="A576" t="inlineStr">
        <is>
          <t>South Africa</t>
        </is>
      </c>
      <c r="B576" t="inlineStr">
        <is>
          <t>Joint Standard 1 of 2023 - IT Governance and Risk Management</t>
        </is>
      </c>
      <c r="C576" t="inlineStr">
        <is>
          <t>5</t>
        </is>
      </c>
      <c r="D576" s="8" t="inlineStr">
        <is>
          <t>Roles and responsibilities</t>
        </is>
      </c>
      <c r="E576" t="inlineStr">
        <is>
          <t>5–6</t>
        </is>
      </c>
      <c r="F576" t="inlineStr">
        <is>
          <t>Governance</t>
        </is>
      </c>
      <c r="G576" t="inlineStr">
        <is>
          <t>High</t>
        </is>
      </c>
      <c r="H576" t="inlineStr">
        <is>
          <t>High (explicit)</t>
        </is>
      </c>
      <c r="I576" s="8" t="inlineStr"/>
      <c r="J576" s="8" t="inlineStr">
        <is>
          <t>Financial Data</t>
        </is>
      </c>
      <c r="K576" t="inlineStr"/>
      <c r="L576" s="8" t="inlineStr">
        <is>
          <t>Governing body is ultimately responsible for IT compliance, must establish a sound IT risk management framework, and define roles and responsibilities.</t>
        </is>
      </c>
      <c r="M576" s="8" t="inlineStr">
        <is>
          <t>Governing body must ensure IT risk management framework and define roles for IT risk oversight.</t>
        </is>
      </c>
      <c r="N576" s="8" t="inlineStr">
        <is>
          <t>[Must] The governing body is ultimately responsible for ensuring that the financial institution complies with the requirements as set out in this Joint Standard.
[Must] The governing body must ensure, together with senior management, that a sound and robust IT risk management framework and IT strategy is established and maintained.
[Must] The governing body must clearly define the roles and responsibilities of all management, execution, oversight and control functions as well as committees established for the purpose of exercising oversight of IT risks.</t>
        </is>
      </c>
      <c r="O576" s="8" t="inlineStr">
        <is>
          <t>5.1 The governing body is ultimately responsible for ensuring that the financial institution complies with the requirements as set out in this Joint Standard.</t>
        </is>
      </c>
      <c r="P576" s="10" t="inlineStr">
        <is>
          <t>Open PDF</t>
        </is>
      </c>
    </row>
    <row r="577">
      <c r="A577" t="inlineStr">
        <is>
          <t>South Africa</t>
        </is>
      </c>
      <c r="B577" t="inlineStr">
        <is>
          <t>Joint Standard 1 of 2023 - IT Governance and Risk Management</t>
        </is>
      </c>
      <c r="C577" t="inlineStr">
        <is>
          <t>6</t>
        </is>
      </c>
      <c r="D577" s="8" t="inlineStr">
        <is>
          <t>IT strategy</t>
        </is>
      </c>
      <c r="E577" t="inlineStr">
        <is>
          <t>6</t>
        </is>
      </c>
      <c r="F577" t="inlineStr">
        <is>
          <t>Other</t>
        </is>
      </c>
      <c r="G577" t="inlineStr">
        <is>
          <t>High</t>
        </is>
      </c>
      <c r="H577" t="inlineStr">
        <is>
          <t>High (explicit)</t>
        </is>
      </c>
      <c r="I577" s="8" t="inlineStr"/>
      <c r="J577" s="8" t="inlineStr">
        <is>
          <t>Financial Data</t>
        </is>
      </c>
      <c r="K577" t="inlineStr"/>
      <c r="L577" s="8" t="inlineStr">
        <is>
          <t>Financial institutions must have IT strategy approved by governing body, aligned with business strategy, and reviewed annually.</t>
        </is>
      </c>
      <c r="M577" s="8" t="inlineStr">
        <is>
          <t>IT strategy must be approved by governing body, aligned with business strategy, and reviewed at least annually.</t>
        </is>
      </c>
      <c r="N577" s="8" t="inlineStr">
        <is>
          <t>[Must] A financial institution must ensure that its IT strategy is approved by the governing body and aligned with its overall business strategy.
[Must] The IT strategy of a financial institution must be reviewed regularly, but at least annually, in consideration of market, industry, technology and other relevant developments.</t>
        </is>
      </c>
      <c r="O577" s="8" t="inlineStr">
        <is>
          <t>6.1 A financial institution must ensure that its IT strategy is approved by the governing body and aligned with its overall business strategy.</t>
        </is>
      </c>
      <c r="P577" s="10" t="inlineStr">
        <is>
          <t>Open PDF</t>
        </is>
      </c>
    </row>
    <row r="578">
      <c r="A578" t="inlineStr">
        <is>
          <t>South Africa</t>
        </is>
      </c>
      <c r="B578" t="inlineStr">
        <is>
          <t>Joint Standard 1 of 2023 - IT Governance and Risk Management</t>
        </is>
      </c>
      <c r="C578" t="inlineStr">
        <is>
          <t>7</t>
        </is>
      </c>
      <c r="D578" s="8" t="inlineStr">
        <is>
          <t>IT risk management framework</t>
        </is>
      </c>
      <c r="E578" t="inlineStr">
        <is>
          <t>6–8</t>
        </is>
      </c>
      <c r="F578" t="inlineStr">
        <is>
          <t>Other</t>
        </is>
      </c>
      <c r="G578" t="inlineStr">
        <is>
          <t>High</t>
        </is>
      </c>
      <c r="H578" t="inlineStr">
        <is>
          <t>High (explicit)</t>
        </is>
      </c>
      <c r="I578" s="8" t="inlineStr"/>
      <c r="J578" s="8" t="inlineStr">
        <is>
          <t>Financial Data</t>
        </is>
      </c>
      <c r="K578" t="inlineStr"/>
      <c r="L578" s="8" t="inlineStr">
        <is>
          <t>Financial institutions must establish an IT risk management framework approved by governing body, incorporating policies, risk identification, and monitoring processes.</t>
        </is>
      </c>
      <c r="M578" s="8" t="inlineStr">
        <is>
          <t>Financial institutions must establish an IT risk management framework that includes risk identification, assessment, and monitoring processes.</t>
        </is>
      </c>
      <c r="N578" s="8" t="inlineStr">
        <is>
          <t>[Must] A financial institution must establish an IT risk management framework to manage IT risks in a systematic and consistent manner.
[Must] The IT risk management framework of a financial institution must be approved by the governing body and reviewed regularly, but at least annually.
[Must] The IT risk management framework of a financial institution must, at a minimum, incorporate policies, standards and procedures in managing IT risks and safeguarding IT assets.
[Must] The IT risk management framework must include identification and prioritisation of IT assets.
[Must] The IT risk management framework must include identification and assessment of impact and likelihood of current and emerging threats, risks and vulnerabilities.
[Must] The IT risk management framework must include implementation of appropriate practices and controls to manage risks.
[Must] The IT risk management framework must include periodic updates and monitoring of risk assessments.
[Must] The IT risk management framework must include people management measures for staff, service providers and contractors.</t>
        </is>
      </c>
      <c r="O578" s="8" t="inlineStr">
        <is>
          <t>7.1 A financial institution must establish an IT risk management framework to manage IT risks in a systematic and consistent manner.</t>
        </is>
      </c>
      <c r="P578" s="10" t="inlineStr">
        <is>
          <t>Open PDF</t>
        </is>
      </c>
    </row>
    <row r="579">
      <c r="A579" t="inlineStr">
        <is>
          <t>South Africa</t>
        </is>
      </c>
      <c r="B579" t="inlineStr">
        <is>
          <t>Joint Standard 1 of 2023 - IT Governance and Risk Management</t>
        </is>
      </c>
      <c r="C579" t="inlineStr">
        <is>
          <t>8</t>
        </is>
      </c>
      <c r="D579" s="8" t="inlineStr">
        <is>
          <t>Oversight of IT risk management</t>
        </is>
      </c>
      <c r="E579" t="inlineStr">
        <is>
          <t>8</t>
        </is>
      </c>
      <c r="F579" t="inlineStr">
        <is>
          <t>Other</t>
        </is>
      </c>
      <c r="G579" t="inlineStr">
        <is>
          <t>High</t>
        </is>
      </c>
      <c r="H579" t="inlineStr">
        <is>
          <t>High (explicit)</t>
        </is>
      </c>
      <c r="I579" s="8" t="inlineStr"/>
      <c r="J579" s="8" t="inlineStr">
        <is>
          <t>Financial Data</t>
        </is>
      </c>
      <c r="K579" t="inlineStr"/>
      <c r="L579" s="8" t="inlineStr">
        <is>
          <t>Oversight of IT risk management must be incorporated into governance structures and reporting lines to the governing body.</t>
        </is>
      </c>
      <c r="M579" s="8" t="inlineStr">
        <is>
          <t>Oversight of IT risk management must be part of governance structures with reporting lines to the governing body.</t>
        </is>
      </c>
      <c r="N579" s="8" t="inlineStr">
        <is>
          <t>[Must] Oversight of IT risk management must be incorporated into the governance and risk management structures, processes and procedures of a financial institution, including provisions relating to reporting lines to the governing body.</t>
        </is>
      </c>
      <c r="O579" s="8" t="inlineStr">
        <is>
          <t>8.1 Oversight of IT risk management must be incorporated into the governance and risk management structures, processes and procedures of a financial institution, including provisions relating to reporting lines to the governing body.</t>
        </is>
      </c>
      <c r="P579" s="10" t="inlineStr">
        <is>
          <t>Open PDF</t>
        </is>
      </c>
    </row>
    <row r="580">
      <c r="A580" t="inlineStr">
        <is>
          <t>South Africa</t>
        </is>
      </c>
      <c r="B580" t="inlineStr">
        <is>
          <t>Joint Standard 1 of 2023 - IT Governance and Risk Management</t>
        </is>
      </c>
      <c r="C580" t="inlineStr">
        <is>
          <t>9</t>
        </is>
      </c>
      <c r="D580" s="8" t="inlineStr">
        <is>
          <t>IT operations</t>
        </is>
      </c>
      <c r="E580" t="inlineStr">
        <is>
          <t>8–9</t>
        </is>
      </c>
      <c r="F580" t="inlineStr">
        <is>
          <t>Other</t>
        </is>
      </c>
      <c r="G580" t="inlineStr">
        <is>
          <t>High</t>
        </is>
      </c>
      <c r="H580" t="inlineStr">
        <is>
          <t>High (explicit)</t>
        </is>
      </c>
      <c r="I580" s="8" t="inlineStr"/>
      <c r="J580" s="8" t="inlineStr">
        <is>
          <t>Financial Data</t>
        </is>
      </c>
      <c r="K580" t="inlineStr"/>
      <c r="L580" s="8" t="inlineStr">
        <is>
          <t>Financial institutions must implement robust IT service management policies, change management, incident handling, and backup procedures.</t>
        </is>
      </c>
      <c r="M580" s="8" t="inlineStr">
        <is>
          <t>Financial institutions must implement IT service management policies, change management, incident handling, and backup procedures.</t>
        </is>
      </c>
      <c r="N580" s="8" t="inlineStr">
        <is>
          <t>[Must]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
[Must] The IT service management framework must comprise a governance structure for change management, software release management, incident and problem management as well as capacity management.
[Must] A financial institution must manage its IT operations based on documented and implemented policies, processes and procedures.
[Must] A financial institution must maintain efficiency of its IT operations, including, but not limited to the need to consider how to minimise potential incidents arising from the execution of manual tasks.
[Must] A financial institution must implement appropriate logging and monitoring procedures for critical IT operations to allow the detection, analysis and correction of incidents.
[Must] A financial institution must store the configuration of the IT assets and the links and interdependencies between the different IT assets, to enable an appropriate configuration management process.
[Must] A financial institution must implement performance, capacity planning and monitoring processes to prevent, detect and respond to important performance issues of IT systems and IT capacity shortages in a timely manner.
[Must] A financial institution must define and implement IT system backup and restoration procedures to ensure recovery of IT systems as required.
[Must] A financial institution must establish and implement an effective IT change management process to ensure that all changes to IT systems are recorded, tested, assessed, approved, implemented and verified in a controlled manner.
[Must] A financial institution must establish and implement a problem and incident management process to identify, track (including timing), log, categorise and classify incidents according to priority, based on business criticality.</t>
        </is>
      </c>
      <c r="O580" s="8" t="inlineStr">
        <is>
          <t>9.1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is>
      </c>
      <c r="P580" s="10" t="inlineStr">
        <is>
          <t>Open PDF</t>
        </is>
      </c>
    </row>
    <row r="581">
      <c r="A581" t="inlineStr">
        <is>
          <t>South Africa</t>
        </is>
      </c>
      <c r="B581" t="inlineStr">
        <is>
          <t>Joint Standard 1 of 2023 - IT Governance and Risk Management</t>
        </is>
      </c>
      <c r="C581" t="inlineStr">
        <is>
          <t>10</t>
        </is>
      </c>
      <c r="D581" s="8" t="inlineStr">
        <is>
          <t>Handling of sensitive or confidential information</t>
        </is>
      </c>
      <c r="E581" t="inlineStr">
        <is>
          <t>9–10</t>
        </is>
      </c>
      <c r="F581" t="inlineStr">
        <is>
          <t>Other</t>
        </is>
      </c>
      <c r="G581" t="inlineStr">
        <is>
          <t>High</t>
        </is>
      </c>
      <c r="H581" t="inlineStr">
        <is>
          <t>High (explicit)</t>
        </is>
      </c>
      <c r="I581" s="8" t="inlineStr"/>
      <c r="J581" s="8" t="inlineStr">
        <is>
          <t>Financial Data</t>
        </is>
      </c>
      <c r="K581" t="inlineStr"/>
      <c r="L581" s="8" t="inlineStr">
        <is>
          <t>Financial institutions must protect sensitive information, implement access controls, and ensure data accuracy and compliance with legislation.</t>
        </is>
      </c>
      <c r="M581" s="8" t="inlineStr">
        <is>
          <t>Financial institutions must protect sensitive information, implement access controls, and ensure data accuracy and compliance with legislation.</t>
        </is>
      </c>
      <c r="N581" s="8" t="inlineStr">
        <is>
          <t>[Must] A financial institution must define, document and implement appropriate measures to protect sensitive or confidential information such as customer personal account and transaction data.
[Must] A financial institution must define, document and implement procedures for logical access control (identity and access management).
[Must] A financial institution must implement appropriate measures to address risks of data theft, data loss and data leakage from endpoint devices, customer service locations and call centres.
[Must] A financial institution must ensure that information processed, stored or transmitted between itself and its customers is accurate, reliable and complete.
[Must] A financial institution must conduct independent reviews to assess compliance with the measures implemented.
[Must] A financial institution must ensure that all personal information is processed in accordance with the requirements of all applicable legislation, including the Protection of Personal Information Act, 2013.</t>
        </is>
      </c>
      <c r="O581" s="8" t="inlineStr">
        <is>
          <t>10.1 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is>
      </c>
      <c r="P581" s="10" t="inlineStr">
        <is>
          <t>Open PDF</t>
        </is>
      </c>
    </row>
    <row r="582">
      <c r="A582" t="inlineStr">
        <is>
          <t>South Africa</t>
        </is>
      </c>
      <c r="B582" t="inlineStr">
        <is>
          <t>Joint Standard 1 of 2023 - IT Governance and Risk Management</t>
        </is>
      </c>
      <c r="C582" t="inlineStr">
        <is>
          <t>11</t>
        </is>
      </c>
      <c r="D582" s="8" t="inlineStr">
        <is>
          <t>Risks associated with financial products and financial services</t>
        </is>
      </c>
      <c r="E582" t="inlineStr">
        <is>
          <t>10</t>
        </is>
      </c>
      <c r="F582" t="inlineStr">
        <is>
          <t>Financial Data</t>
        </is>
      </c>
      <c r="G582" t="inlineStr">
        <is>
          <t>High</t>
        </is>
      </c>
      <c r="H582" t="inlineStr">
        <is>
          <t>High (explicit)</t>
        </is>
      </c>
      <c r="I582" s="8" t="inlineStr">
        <is>
          <t>Security</t>
        </is>
      </c>
      <c r="J582" s="8" t="inlineStr">
        <is>
          <t>Financial Data</t>
        </is>
      </c>
      <c r="K582" t="inlineStr">
        <is>
          <t>Financial institutions</t>
        </is>
      </c>
      <c r="L582" s="8" t="inlineStr">
        <is>
          <t>Financial institutions must identify IT risks for financial products/services and implement security controls, system availability, and recovery capabilities proportional to risk exposure.</t>
        </is>
      </c>
      <c r="M582" s="8" t="inlineStr">
        <is>
          <t>Requires financial institutions to assess IT risks for financial products/services and implement proportional security controls, system availability, and recovery capabilities.</t>
        </is>
      </c>
      <c r="N582" s="8" t="inlineStr">
        <is>
          <t>[Must] 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c r="O582" s="8" t="inlineStr">
        <is>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c r="P582" s="10" t="inlineStr">
        <is>
          <t>Open PDF</t>
        </is>
      </c>
    </row>
    <row r="583">
      <c r="A583" t="inlineStr">
        <is>
          <t>South Africa</t>
        </is>
      </c>
      <c r="B583" t="inlineStr">
        <is>
          <t>Joint Standard 1 of 2023 - IT Governance and Risk Management</t>
        </is>
      </c>
      <c r="C583" t="inlineStr">
        <is>
          <t>12</t>
        </is>
      </c>
      <c r="D583" s="8" t="inlineStr">
        <is>
          <t>IT programme and/or project management</t>
        </is>
      </c>
      <c r="E583" t="inlineStr">
        <is>
          <t>10–11</t>
        </is>
      </c>
      <c r="F583" t="inlineStr">
        <is>
          <t>Financial Data</t>
        </is>
      </c>
      <c r="G583" t="inlineStr">
        <is>
          <t>High</t>
        </is>
      </c>
      <c r="H583" t="inlineStr">
        <is>
          <t>High (explicit)</t>
        </is>
      </c>
      <c r="I583" s="8" t="inlineStr"/>
      <c r="J583" s="8" t="inlineStr">
        <is>
          <t>Financial Data</t>
        </is>
      </c>
      <c r="K583" t="inlineStr"/>
      <c r="L583" s="8" t="inlineStr">
        <is>
          <t>Financial institutions must develop IT programme/project management frameworks with governance, risk management, and change control processes, ensuring security requirements are independent and approved.</t>
        </is>
      </c>
      <c r="M583" s="8" t="inlineStr">
        <is>
          <t>Requires financial institutions to establish IT programme/project management frameworks with governance, risk assessment, and change control, ensuring security requirements are independent and approved.</t>
        </is>
      </c>
      <c r="N583" s="8" t="inlineStr">
        <is>
          <t>[Must] 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
[Must] A financial institution must establish and implement an IT programme and project management policies, procedures and processes that includes, as a minimum - IT programme and project objectives; roles and responsibilities, including governance and decision-making structures; IT programme and project risk assessment; IT programme and project plan, timeframe and steps; key milestones; and change management requirements.
[Must] A financial institution must ensure that its IT programme and project management policy confirms that IT security requirements are analysed and approved by a function that is independent from the development function.
[Must] A financial institution must identify, monitor and mitigate risks deriving from its portfolio of IT programmes and projects, considering risks that may result from interdependencies between different IT programmes and projects and from dependencies of multiple programmes and projects utilising the same resources and/or expertise.
[Must] A financial institution must ensure that before any acquisition or development of IT systems takes place, the functional and non-functional requirements (including information security requirements) are clearly defined and approved by the relevant governance structure.
[Must] A financial institution must follow its methodology for testing and approval of IT systems prior to implementation into the production environment. This methodology must consider the criticality of business processes and assets. The testing must ensure that new IT systems perform as intended. It must also use test environments that adequately reflect the production environment.
[Must] A financial institution must implement controls in the IT environment to ensure adequate segregation of duties between the pre-production environment that is a mirror of the production environment to mitigate the impact of risks introduced to the production systems.
[Must] A financial institution must implement appropriate measures to protect the integrity of the source codes of IT systems that are developed in-house. In addition, a financial institution must document the development, implementation, operation and/or configuration of the IT systems comprehensively to reduce any unnecessary dependency on subject matter experts.
[Must] A financial institution must ensure that the documentation of the IT system contains, where applicable, user documentation, technical system documentation and operating procedures.
[Must] A financial institution must ensure that processes for acquisition and development of IT systems applied by the department(s) responsible for IT must also apply to IT systems acquired by business functions outside the IT department, using a risk-based approach.
[Must] A financial institution must maintain a register of the critical applications, business functions and processes.</t>
        </is>
      </c>
      <c r="O583" s="8" t="inlineStr">
        <is>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is>
      </c>
      <c r="P583" s="10" t="inlineStr">
        <is>
          <t>Open PDF</t>
        </is>
      </c>
    </row>
    <row r="584">
      <c r="A584" t="inlineStr">
        <is>
          <t>South Africa</t>
        </is>
      </c>
      <c r="B584" t="inlineStr">
        <is>
          <t>Joint Standard 1 of 2023 - IT Governance and Risk Management</t>
        </is>
      </c>
      <c r="C584" t="inlineStr">
        <is>
          <t>13</t>
        </is>
      </c>
      <c r="D584" s="8" t="inlineStr">
        <is>
          <t>IT resilience and business continuity</t>
        </is>
      </c>
      <c r="E584" t="inlineStr">
        <is>
          <t>11–13</t>
        </is>
      </c>
      <c r="F584" t="inlineStr">
        <is>
          <t>Financial Data</t>
        </is>
      </c>
      <c r="G584" t="inlineStr">
        <is>
          <t>High</t>
        </is>
      </c>
      <c r="H584" t="inlineStr">
        <is>
          <t>High (explicit)</t>
        </is>
      </c>
      <c r="I584" s="8" t="inlineStr"/>
      <c r="J584" s="8" t="inlineStr">
        <is>
          <t>Financial Data</t>
        </is>
      </c>
      <c r="K584" t="inlineStr"/>
      <c r="L584" s="8" t="inlineStr">
        <is>
          <t>Financial institutions must define recovery priorities, establish disaster recovery sites, implement IT resilience plans, and conduct business impact assessments for critical business functions.</t>
        </is>
      </c>
      <c r="M584" s="8" t="inlineStr">
        <is>
          <t>Requires financial institutions to define recovery priorities, establish disaster recovery sites, implement IT resilience plans, and conduct business impact assessments for critical business functions.</t>
        </is>
      </c>
      <c r="N584" s="8" t="inlineStr">
        <is>
          <t>[Must] A financial institution must define system recovery and business resumption priorities and establish specific Service Level Objectives including RTOs and RPOs for critical services and business processes.
[Must] A financial institution must identify and establish a disaster recovery site(s) that is geographically separate from the primary site to enable the recovery of critical systems and continuation of business operations, should a disruption occur at the primary site.
[Must] A financial institution must establish a sound IT resilience management process to maximise its abilities to provide services on an ongoing basis and to limit losses in the event of severe business disruption in line with any existing requirements issued in terms of a financial sector law and applicable to financial institutions.
[Must] A financial institution must conduct a business impact assessment by analysing its exposure to severe business disruptions and assessing its potential impacts (including on confidentiality, integrity and availability), quantitatively and qualitatively, using internal and/or external data and scenario analysis.
[Must] A business impact assessment referred to in paragraph 13.2 above must also consider the criticality of the identified and classified business functions, supporting processes, third parties and IT assets, and their interdependencies.
[Must] A financial institution must develop a sound IT resilience plan.
[Must] The IT resilience plan must specifically consider risks that could adversely impact IT systems and services.
[Must] The IT resilience plan must support the objective to protect and, if necessary, re-establish the confidentiality, integrity and availability of its business functions, supporting processes and IT assets.
[Must] The IT resilience plan must support critical business functions, business processes, IT assets and its interdependencies (including those provided by third parties, where applicable).
[Must] The IT resilience plan must cater for processes to enable the return to a state of normality in the event of severe business disruption.
[Must] The IT resilience plan must be aligned to the business impact assessment referred to in paragraph 13.2 above, for example, with redundancy of certain critical components to prevent disruptions caused by events impacting those components.
[Must] The IT resilience plan must be tested regularly, but at least annually. Various scenarios, including total shutdown or incapacitation of the primary site as well as component failure at the individual system or application cluster level, must be covered in IT resilience tests.
[Must] The IT resilience plan must be reviewed regularly, but at least annually. The review must be based on, amongst others, testing results, current threat intelligence and lessons learnt from previous events.
[Must] To achieve data centre resilience, a financial institution must assess the redundancy and fault tolerance in areas such as electrical power, air conditioning, fire suppression and data communications, to the extent applicable.
[Must] A financial institution must define, document and implement physical security measures to protect its premises, data centres and sensitive areas from unauthorised access and from environmental hazards.
[Must] A financial institution must test the recovery dependencies between systems. Bilateral or multilateral recovery testing must be conducted where networks and systems are linked to specific service providers, where applicable.</t>
        </is>
      </c>
      <c r="O584" s="8" t="inlineStr">
        <is>
          <t>A financial institution must define system recovery and business resumption priorities and establish specific Service Level Objectives including RTOs and RPOs for critical services and business processes.</t>
        </is>
      </c>
      <c r="P584" s="10" t="inlineStr">
        <is>
          <t>Open PDF</t>
        </is>
      </c>
    </row>
    <row r="585">
      <c r="A585" t="inlineStr">
        <is>
          <t>South Africa</t>
        </is>
      </c>
      <c r="B585" t="inlineStr">
        <is>
          <t>Joint Standard 1 of 2023 - IT Governance and Risk Management</t>
        </is>
      </c>
      <c r="C585" t="inlineStr">
        <is>
          <t>14</t>
        </is>
      </c>
      <c r="D585" s="8" t="inlineStr">
        <is>
          <t>IT assurance</t>
        </is>
      </c>
      <c r="E585" t="inlineStr">
        <is>
          <t>13</t>
        </is>
      </c>
      <c r="F585" t="inlineStr">
        <is>
          <t>Financial Data</t>
        </is>
      </c>
      <c r="G585" t="inlineStr">
        <is>
          <t>High</t>
        </is>
      </c>
      <c r="H585" t="inlineStr">
        <is>
          <t>High (explicit)</t>
        </is>
      </c>
      <c r="I585" s="8" t="inlineStr"/>
      <c r="J585" s="8" t="inlineStr">
        <is>
          <t>Financial Data</t>
        </is>
      </c>
      <c r="K585" t="inlineStr"/>
      <c r="L585" s="8" t="inlineStr">
        <is>
          <t>Financial institutions must establish independent IT assurance functions to review compliance with IT policies and procedures and external requirements.</t>
        </is>
      </c>
      <c r="M585" s="8" t="inlineStr">
        <is>
          <t>Requires financial institutions to establish independent IT assurance functions to review compliance with IT policies and procedures and external requirements.</t>
        </is>
      </c>
      <c r="N585" s="8" t="inlineStr">
        <is>
          <t>[Must] 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
[Must] A financial institution must through the control functions or an external assurance provider - establish an organisational structure and reporting lines for IT assurance within the control functions, where appropriate, in a way that preserves the independence and objectivity of the control functions.
[Must] A financial institution must through the control functions or an external assurance provider - determine whether changes in the existing operational environment influence the existing IT controls or require the adoption of additional measures to mitigate the risks involved. These changes must be in accordance with the financial institution's formal change management process.
[Must] A financial institution must through the control functions or an external assurance provider - maintain an IT assurance plan to examine and evaluate the adequacy and effectiveness of the financial institution's IT systems, internal control mechanisms and governance arrangements.</t>
        </is>
      </c>
      <c r="O585" s="8" t="inlineStr">
        <is>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is>
      </c>
      <c r="P585" s="10" t="inlineStr">
        <is>
          <t>Open PDF</t>
        </is>
      </c>
    </row>
    <row r="586">
      <c r="A586" t="inlineStr">
        <is>
          <t>South Africa</t>
        </is>
      </c>
      <c r="B586" t="inlineStr">
        <is>
          <t>Joint Standard 1 of 2023 - IT Governance and Risk Management</t>
        </is>
      </c>
      <c r="C586" t="inlineStr">
        <is>
          <t>15</t>
        </is>
      </c>
      <c r="D586" s="8" t="inlineStr">
        <is>
          <t>Notification and reporting requirements</t>
        </is>
      </c>
      <c r="E586" t="inlineStr">
        <is>
          <t>13</t>
        </is>
      </c>
      <c r="F586" t="inlineStr">
        <is>
          <t>Financial Data</t>
        </is>
      </c>
      <c r="G586" t="inlineStr">
        <is>
          <t>High</t>
        </is>
      </c>
      <c r="H586" t="inlineStr">
        <is>
          <t>High (explicit)</t>
        </is>
      </c>
      <c r="I586" s="8" t="inlineStr">
        <is>
          <t>Incident Reporting</t>
        </is>
      </c>
      <c r="J586" s="8" t="inlineStr">
        <is>
          <t>Financial Data</t>
        </is>
      </c>
      <c r="K586" t="inlineStr"/>
      <c r="L586" s="8" t="inlineStr">
        <is>
          <t>Financial institutions must notify the responsible authority of material IT incidents within a determined timeframe after classification.</t>
        </is>
      </c>
      <c r="M586" s="8" t="inlineStr">
        <is>
          <t>Requires financial institutions to notify the responsible authority of material IT incidents within a determined timeframe after classification.</t>
        </is>
      </c>
      <c r="N586" s="8" t="inlineStr">
        <is>
          <t>[Must]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c r="O586" s="8" t="inlineStr">
        <is>
          <t>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c r="P586" s="10" t="inlineStr">
        <is>
          <t>Open PDF</t>
        </is>
      </c>
    </row>
    <row r="587">
      <c r="A587" t="inlineStr">
        <is>
          <t>South Africa</t>
        </is>
      </c>
      <c r="B587" t="inlineStr">
        <is>
          <t>Joint Standard 1 of 2023 - IT Governance and Risk Management</t>
        </is>
      </c>
      <c r="C587" t="inlineStr">
        <is>
          <t>16</t>
        </is>
      </c>
      <c r="D587" s="8" t="inlineStr">
        <is>
          <t>Short-title</t>
        </is>
      </c>
      <c r="E587" t="inlineStr">
        <is>
          <t>13</t>
        </is>
      </c>
      <c r="F587" t="inlineStr">
        <is>
          <t>Other</t>
        </is>
      </c>
      <c r="G587" t="inlineStr">
        <is>
          <t>None</t>
        </is>
      </c>
      <c r="H587" t="inlineStr">
        <is>
          <t>High (explicit)</t>
        </is>
      </c>
      <c r="I587" s="8" t="inlineStr"/>
      <c r="J587" s="8" t="inlineStr"/>
      <c r="K587" t="inlineStr"/>
      <c r="L587" s="8" t="inlineStr">
        <is>
          <t>Joint Standard is titled 'IT Governance and Risk Management for Financial Institutions, 2023'.</t>
        </is>
      </c>
      <c r="M587" s="8" t="inlineStr"/>
      <c r="N587" s="8" t="inlineStr"/>
      <c r="O587" s="8" t="inlineStr">
        <is>
          <t>This Joint Standard is called ‘IT Governance and Risk Management for Financial Institutions, 2.023'.</t>
        </is>
      </c>
      <c r="P587" s="10" t="inlineStr">
        <is>
          <t>Open PDF</t>
        </is>
      </c>
    </row>
    <row r="588">
      <c r="A588" t="inlineStr">
        <is>
          <t>South Africa</t>
        </is>
      </c>
      <c r="B588" t="inlineStr">
        <is>
          <t>Joint Standard 2 of 2024  Cybersecurity &amp; Cyber resilience Requirements</t>
        </is>
      </c>
      <c r="C588" t="inlineStr">
        <is>
          <t>2</t>
        </is>
      </c>
      <c r="D588" s="8" t="inlineStr">
        <is>
          <t>Definitions and interpretation</t>
        </is>
      </c>
      <c r="E588" t="inlineStr">
        <is>
          <t>3–6</t>
        </is>
      </c>
      <c r="F588" t="inlineStr">
        <is>
          <t>Definitions</t>
        </is>
      </c>
      <c r="G588" t="inlineStr">
        <is>
          <t>Medium</t>
        </is>
      </c>
      <c r="H588" t="inlineStr">
        <is>
          <t>High (explicit)</t>
        </is>
      </c>
      <c r="I588" s="8" t="inlineStr">
        <is>
          <t>Definitions</t>
        </is>
      </c>
      <c r="J588" s="8" t="inlineStr">
        <is>
          <t>Personal Information</t>
        </is>
      </c>
      <c r="K588" t="inlineStr"/>
      <c r="L588" s="8" t="inlineStr">
        <is>
          <t>Defines key terms including financial institutions, cyber incident, cybersecurity, and related concepts for the Joint Standard.</t>
        </is>
      </c>
      <c r="M588" s="8" t="inlineStr"/>
      <c r="N588" s="8" t="inlineStr"/>
      <c r="O588" s="8" t="inlineStr">
        <is>
          <t>Definitions and interpretation</t>
        </is>
      </c>
      <c r="P588" s="10" t="inlineStr">
        <is>
          <t>Open PDF</t>
        </is>
      </c>
    </row>
    <row r="589">
      <c r="A589" t="inlineStr">
        <is>
          <t>South Africa</t>
        </is>
      </c>
      <c r="B589" t="inlineStr">
        <is>
          <t>Joint Standard 2 of 2024  Cybersecurity &amp; Cyber resilience Requirements</t>
        </is>
      </c>
      <c r="C589" t="inlineStr">
        <is>
          <t>3</t>
        </is>
      </c>
      <c r="D589" s="8" t="inlineStr">
        <is>
          <t>Application</t>
        </is>
      </c>
      <c r="E589" t="inlineStr">
        <is>
          <t>6–7</t>
        </is>
      </c>
      <c r="F589" t="inlineStr">
        <is>
          <t>Application</t>
        </is>
      </c>
      <c r="G589" t="inlineStr">
        <is>
          <t>High</t>
        </is>
      </c>
      <c r="H589" t="inlineStr">
        <is>
          <t>High (explicit)</t>
        </is>
      </c>
      <c r="I589" s="8" t="inlineStr">
        <is>
          <t>Application</t>
        </is>
      </c>
      <c r="J589" s="8" t="inlineStr">
        <is>
          <t>Financial Data</t>
        </is>
      </c>
      <c r="K589" t="inlineStr"/>
      <c r="L589" s="8" t="inlineStr">
        <is>
          <t>Specifies which financial institutions must comply with the Joint Standard and ensures risks from juristic persons and branches are mitigated.</t>
        </is>
      </c>
      <c r="M589" s="8" t="inlineStr">
        <is>
          <t>Financial institutions must address cybersecurity risks from local and foreign juristic persons and branches.</t>
        </is>
      </c>
      <c r="N589" s="8" t="inlineStr">
        <is>
          <t>[Must]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
[Must] A financial institution that is an insurer or the controlling company of an insurance group must ensure that any risks relating to cybersecurity and cyber resilience from juristic persons (both local and foreign) structured under the insurer or the insurance group designated under section 10 of the Insurance Act, 2017, are catered for and mitigated in the application of the requirements of this Joint Standard.</t>
        </is>
      </c>
      <c r="O589" s="8" t="inlineStr">
        <is>
          <t>3.2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t>
        </is>
      </c>
      <c r="P589" s="10" t="inlineStr">
        <is>
          <t>Open PDF</t>
        </is>
      </c>
    </row>
    <row r="590">
      <c r="A590" t="inlineStr">
        <is>
          <t>South Africa</t>
        </is>
      </c>
      <c r="B590" t="inlineStr">
        <is>
          <t>Joint Standard 2 of 2024  Cybersecurity &amp; Cyber resilience Requirements</t>
        </is>
      </c>
      <c r="C590" t="inlineStr">
        <is>
          <t>4</t>
        </is>
      </c>
      <c r="D590" s="8" t="inlineStr">
        <is>
          <t>Roles and responsibilities</t>
        </is>
      </c>
      <c r="E590" t="inlineStr">
        <is>
          <t>7</t>
        </is>
      </c>
      <c r="F590" t="inlineStr">
        <is>
          <t>Governance</t>
        </is>
      </c>
      <c r="G590" t="inlineStr">
        <is>
          <t>High</t>
        </is>
      </c>
      <c r="H590" t="inlineStr">
        <is>
          <t>High (explicit)</t>
        </is>
      </c>
      <c r="I590" s="8" t="inlineStr">
        <is>
          <t>Governance</t>
        </is>
      </c>
      <c r="J590" s="8" t="inlineStr">
        <is>
          <t>Financial Data</t>
        </is>
      </c>
      <c r="K590" t="inlineStr"/>
      <c r="L590" s="8" t="inlineStr">
        <is>
          <t>Assigns responsibility for cybersecurity strategy and framework to the governing body and senior management.</t>
        </is>
      </c>
      <c r="M590" s="8" t="inlineStr">
        <is>
          <t>Governing body must ensure cybersecurity strategy and framework is established and maintained with senior management.</t>
        </is>
      </c>
      <c r="N590" s="8" t="inlineStr">
        <is>
          <t>[Must] The governing body is ultimately responsible for ensuring that the financial institution complies with the requirements set out in this Joint Standard.
[Must] The governing body must together with senior management, ensure that a sound and robust cybersecurity strategy and framework is established, implemented and maintained.
[Must] The governing body must require management to co-operate with other stakeholders, as relevant and appropriate, in order to enable financial sector cyber resilience.
[Must] The governing body must ensure that roles and responsibilities for security are clearly defined in the contract or Service Level Agreement with third-party service providers.</t>
        </is>
      </c>
      <c r="O590" s="8" t="inlineStr">
        <is>
          <t>4.1 The governing body is ultimately responsible for – ensuring that the financial institution complies with the requirements set out in this Joint Standard; and the oversight of cyber risk management, but may delegate primary oversight activities to an existing or new committee.</t>
        </is>
      </c>
      <c r="P590" s="10" t="inlineStr">
        <is>
          <t>Open PDF</t>
        </is>
      </c>
    </row>
    <row r="591">
      <c r="A591" t="inlineStr">
        <is>
          <t>South Africa</t>
        </is>
      </c>
      <c r="B591" t="inlineStr">
        <is>
          <t>Joint Standard 2 of 2024  Cybersecurity &amp; Cyber resilience Requirements</t>
        </is>
      </c>
      <c r="C591" t="inlineStr">
        <is>
          <t>5</t>
        </is>
      </c>
      <c r="D591" s="8" t="inlineStr">
        <is>
          <t>Governance</t>
        </is>
      </c>
      <c r="E591" t="inlineStr">
        <is>
          <t>7–8</t>
        </is>
      </c>
      <c r="F591" t="inlineStr">
        <is>
          <t>Governance</t>
        </is>
      </c>
      <c r="G591" t="inlineStr">
        <is>
          <t>High</t>
        </is>
      </c>
      <c r="H591" t="inlineStr">
        <is>
          <t>High (explicit)</t>
        </is>
      </c>
      <c r="I591" s="8" t="inlineStr">
        <is>
          <t>Governance</t>
        </is>
      </c>
      <c r="J591" s="8" t="inlineStr">
        <is>
          <t>Financial Data</t>
        </is>
      </c>
      <c r="K591" t="inlineStr"/>
      <c r="L591" s="8" t="inlineStr">
        <is>
          <t>Requires clear roles, responsibilities, and independent oversight for cyber risk management within governance structures.</t>
        </is>
      </c>
      <c r="M591" s="8" t="inlineStr">
        <is>
          <t>Financial institutions must define roles, ensure cyber risk management is integrated into governance, and establish a dedicated function with direct reporting to the governing body.</t>
        </is>
      </c>
      <c r="N591" s="8" t="inlineStr">
        <is>
          <t>[Must] clearly define the roles and responsibilities of all management functions (including lines of defence) as well as committees established for the purposes of exercising oversight of cyber risks
[Must] ensure cyber risk management is incorporated into the governance and risk management structures, processes and procedures of a financial institution. Direct reporting line to the governing body should be established in terms of the governance framework; ensure that a function(s) responsible for cyber and information security is established with adequate resources and appropriate authority
[Must] ensure that the oversight of the function(s) referred to in subparagraph 5.1.3 above, including control functions, has access to the governing body and is structured in a manner that ensures adequate segregation of duties and avoids any potential conflicts of interest</t>
        </is>
      </c>
      <c r="O591" s="8" t="inlineStr">
        <is>
          <t>5.1.1 clearly define the roles and responsibilities of all management functions (including lines of defence) as well as committees established for the purposes of exercising oversight of cyber risks</t>
        </is>
      </c>
      <c r="P591" s="10" t="inlineStr">
        <is>
          <t>Open PDF</t>
        </is>
      </c>
    </row>
    <row r="592">
      <c r="A592" t="inlineStr">
        <is>
          <t>South Africa</t>
        </is>
      </c>
      <c r="B592" t="inlineStr">
        <is>
          <t>Joint Standard 2 of 2024  Cybersecurity &amp; Cyber resilience Requirements</t>
        </is>
      </c>
      <c r="C592" t="inlineStr">
        <is>
          <t>6</t>
        </is>
      </c>
      <c r="D592" s="8" t="inlineStr">
        <is>
          <t>Cybersecurity strategy and framework</t>
        </is>
      </c>
      <c r="E592" t="inlineStr">
        <is>
          <t>8</t>
        </is>
      </c>
      <c r="F592" t="inlineStr">
        <is>
          <t>Cybersecurity strategy and framework</t>
        </is>
      </c>
      <c r="G592" t="inlineStr">
        <is>
          <t>High</t>
        </is>
      </c>
      <c r="H592" t="inlineStr">
        <is>
          <t>High (explicit)</t>
        </is>
      </c>
      <c r="I592" s="8" t="inlineStr">
        <is>
          <t>Cybersecurity strategy and framework</t>
        </is>
      </c>
      <c r="J592" s="8" t="inlineStr">
        <is>
          <t>Financial Data</t>
        </is>
      </c>
      <c r="K592" t="inlineStr"/>
      <c r="L592" s="8" t="inlineStr">
        <is>
          <t>Requires financial institutions to establish, maintain, and review cybersecurity strategies and frameworks aligned with business objectives.</t>
        </is>
      </c>
      <c r="M592" s="8" t="inlineStr">
        <is>
          <t>Financial institutions must establish and maintain a cybersecurity strategy approved by the governing body, review it annually, and align it with enterprise risk management.</t>
        </is>
      </c>
      <c r="N592" s="8" t="inlineStr">
        <is>
          <t>[Must] establish and maintain a cybersecurity strategy that is approved by the governing body and aligned with its overall business strategy
[Must] review the cybersecurity strategy regularly, but at least annually, to address changes in the cyber threat landscape, allocate resources, identify and remediate gaps, and incorporate lessons learnt
[Must] establish a cybersecurity framework to manage cyber risks
[Must] align its cybersecurity framework with its enterprise risk management framework
[Must] establish cybersecurity policies, standards, processes and procedures that are informed by industry standards and best practices to manage cyber risks and safeguard IT systems and information assets, taking into consideration the evolving technology and cyber threat landscape
[Must] define and reassess regularly business risk tolerance relative to cybersecurity and ensure that it is consistent with the business strategy and risk appetite
[Must] establish metrics to track and manage cybersecurity risks and to inform related reporting from both a technical and business context</t>
        </is>
      </c>
      <c r="O592" s="8" t="inlineStr">
        <is>
          <t>6.1.1 establish and maintain a cybersecurity strategy that is approved by the governing body and aligned with its overall business strategy</t>
        </is>
      </c>
      <c r="P592" s="10" t="inlineStr">
        <is>
          <t>Open PDF</t>
        </is>
      </c>
    </row>
    <row r="593">
      <c r="A593" t="inlineStr">
        <is>
          <t>South Africa</t>
        </is>
      </c>
      <c r="B593" t="inlineStr">
        <is>
          <t>Joint Standard 2 of 2024  Cybersecurity &amp; Cyber resilience Requirements</t>
        </is>
      </c>
      <c r="C593" t="inlineStr">
        <is>
          <t>7</t>
        </is>
      </c>
      <c r="D593" s="8" t="inlineStr">
        <is>
          <t>Cybersecurity and cyber resilience fundamentals</t>
        </is>
      </c>
      <c r="E593" t="inlineStr">
        <is>
          <t>8–15</t>
        </is>
      </c>
      <c r="F593" t="inlineStr">
        <is>
          <t>Security</t>
        </is>
      </c>
      <c r="G593" t="inlineStr">
        <is>
          <t>High</t>
        </is>
      </c>
      <c r="H593" t="inlineStr">
        <is>
          <t>High (explicit)</t>
        </is>
      </c>
      <c r="I593" s="8" t="inlineStr">
        <is>
          <t>Learning and Evolving</t>
        </is>
      </c>
      <c r="J593" s="8" t="inlineStr">
        <is>
          <t>Financial Data</t>
        </is>
      </c>
      <c r="K593" t="inlineStr">
        <is>
          <t>Financial institutions</t>
        </is>
      </c>
      <c r="L593" s="8" t="inlineStr">
        <is>
          <t>Financial institutions must implement adaptive cyber resilience capabilities that evolve with cyber threats.</t>
        </is>
      </c>
      <c r="M593" s="8" t="inlineStr">
        <is>
          <t>Requires continuous learning and adaptation to cyber threats through incident lessons and technological developments.</t>
        </is>
      </c>
      <c r="N593" s="8" t="inlineStr">
        <is>
          <t>[Must] implement adaptive cyber resilience capability that learns and evolves with dynamic nature of cyber risks
[Must] systematically identify and distil key lessons from cyber incidents to advance resilience capabilities
[Must] actively monitor technological developments and keep abreast of new cyber risk management processes
[Must] ensure cyber risk management practices go beyond reactive controls to include proactive protection</t>
        </is>
      </c>
      <c r="O593" s="8" t="inlineStr">
        <is>
          <t>Implement an adaptive cyber resilience capability that learns and evolves with the dynamic nature of cyber risks</t>
        </is>
      </c>
      <c r="P593" s="10" t="inlineStr">
        <is>
          <t>Open PDF</t>
        </is>
      </c>
    </row>
    <row r="594">
      <c r="A594" t="inlineStr">
        <is>
          <t>South Africa</t>
        </is>
      </c>
      <c r="B594" t="inlineStr">
        <is>
          <t>Joint Standard 2 of 2024  Cybersecurity &amp; Cyber resilience Requirements</t>
        </is>
      </c>
      <c r="C594" t="inlineStr">
        <is>
          <t>8</t>
        </is>
      </c>
      <c r="D594" s="8" t="inlineStr">
        <is>
          <t>Cybersecurity hygiene practices</t>
        </is>
      </c>
      <c r="E594" t="inlineStr">
        <is>
          <t>15–17</t>
        </is>
      </c>
      <c r="F594" t="inlineStr">
        <is>
          <t>Security</t>
        </is>
      </c>
      <c r="G594" t="inlineStr">
        <is>
          <t>High</t>
        </is>
      </c>
      <c r="H594" t="inlineStr">
        <is>
          <t>High (explicit)</t>
        </is>
      </c>
      <c r="I594" s="8" t="inlineStr">
        <is>
          <t>Access Control, User Access Management, Segregation of Duties, Least Privilege</t>
        </is>
      </c>
      <c r="J594" s="8" t="inlineStr">
        <is>
          <t>Personal Information</t>
        </is>
      </c>
      <c r="K594" t="inlineStr">
        <is>
          <t>Authorities</t>
        </is>
      </c>
      <c r="L594" s="8" t="inlineStr">
        <is>
          <t>Financial institutions must implement access control policies, regular reviews, user access management, segregation of duties, least privilege, periodic access reviews, and similar security practices for IT systems and information assets.</t>
        </is>
      </c>
      <c r="M594" s="8" t="inlineStr">
        <is>
          <t>Requires access control policies, regular reviews, user access management, segregation of duties, least privilege, and periodic access reviews for IT systems and information assets.</t>
        </is>
      </c>
      <c r="N594" s="8" t="inlineStr">
        <is>
          <t>[Must] establish a security access control policy and a process to enforce strong password security controls for users' access to IT systems and information assets
[Must] ensure that the security access control policy is reviewed regularly
[Must] establish a user access management process to provision, change and revoke access rights to IT systems and information assets
[Must] apply the principles of ‘segregation of duties' and ‘least privilege' when granting user access to IT systems and information assets
[Must] ensure appropriate parties perform periodic user access reviews to verify the appropriateness of privileges granted to users
[Must] subject third-party service providers and contractors with access to financial institution's IT systems to the same monitoring and access restrictions as employees</t>
        </is>
      </c>
      <c r="O594" s="8" t="inlineStr">
        <is>
          <t>Cybersecurity hygiene practices 8.1 (a) establish a security access control policy and a process to enforce strong password security controls for users' access to IT systems and information assets</t>
        </is>
      </c>
      <c r="P594" s="10" t="inlineStr">
        <is>
          <t>Open PDF</t>
        </is>
      </c>
    </row>
    <row r="595">
      <c r="A595" t="inlineStr">
        <is>
          <t>South Africa</t>
        </is>
      </c>
      <c r="B595" t="inlineStr">
        <is>
          <t>Joint Standard 2 of 2024  Cybersecurity &amp; Cyber resilience Requirements</t>
        </is>
      </c>
      <c r="C595" t="inlineStr">
        <is>
          <t>9</t>
        </is>
      </c>
      <c r="D595" s="8" t="inlineStr">
        <is>
          <t>Notifications and regulatory reporting</t>
        </is>
      </c>
      <c r="E595" t="inlineStr">
        <is>
          <t>17</t>
        </is>
      </c>
      <c r="F595" t="inlineStr">
        <is>
          <t>Incident Reporting</t>
        </is>
      </c>
      <c r="G595" t="inlineStr">
        <is>
          <t>High</t>
        </is>
      </c>
      <c r="H595" t="inlineStr">
        <is>
          <t>High (explicit)</t>
        </is>
      </c>
      <c r="I595" s="8" t="inlineStr">
        <is>
          <t>Incident Reporting, Breach Notification</t>
        </is>
      </c>
      <c r="J595" s="8" t="inlineStr">
        <is>
          <t>Personal Information</t>
        </is>
      </c>
      <c r="K595" t="inlineStr">
        <is>
          <t>Authorities</t>
        </is>
      </c>
      <c r="L595" s="8" t="inlineStr">
        <is>
          <t>Financial institutions must notify the responsible authority of material cyber incidents or information security compromises within specified timeframes.</t>
        </is>
      </c>
      <c r="M595" s="8" t="inlineStr">
        <is>
          <t>Requires financial institutions to notify the responsible authority of material cyber incidents or information security compromises.</t>
        </is>
      </c>
      <c r="N595" s="8" t="inlineStr">
        <is>
          <t>[Must] A financial institution must notify the responsible authority in the form and manner determined by the Authorities after classifying the following as a material incident – cyber incidents; or information security compromise
[Must] A financial institution must report such information related to the requirements in this Joint Standard to the Authorities as may be determined by the Authorities</t>
        </is>
      </c>
      <c r="O595" s="8" t="inlineStr">
        <is>
          <t>Notifications and regulatory reporting 9.1 A financial institution must notify the responsible authority in the form and manner determined by the Authorities, after classifying the following as a material incident – cyber incidents; or information security compromise.</t>
        </is>
      </c>
      <c r="P595" s="10" t="inlineStr">
        <is>
          <t>Open PDF</t>
        </is>
      </c>
    </row>
    <row r="596">
      <c r="A596" t="inlineStr">
        <is>
          <t>South Africa</t>
        </is>
      </c>
      <c r="B596" t="inlineStr">
        <is>
          <t>Joint Standard 2 of 2024  Cybersecurity &amp; Cyber resilience Requirements</t>
        </is>
      </c>
      <c r="C596" t="inlineStr">
        <is>
          <t>10</t>
        </is>
      </c>
      <c r="D596" s="8" t="inlineStr">
        <is>
          <t>Short title and commencement</t>
        </is>
      </c>
      <c r="E596" t="inlineStr">
        <is>
          <t>17</t>
        </is>
      </c>
      <c r="F596" t="inlineStr">
        <is>
          <t>Other</t>
        </is>
      </c>
      <c r="G596" t="inlineStr">
        <is>
          <t>None</t>
        </is>
      </c>
      <c r="H596" t="inlineStr">
        <is>
          <t>High (explicit)</t>
        </is>
      </c>
      <c r="I596" s="8" t="inlineStr"/>
      <c r="J596" s="8" t="inlineStr"/>
      <c r="K596" t="inlineStr">
        <is>
          <t>Authorities</t>
        </is>
      </c>
      <c r="L596" s="8" t="inlineStr">
        <is>
          <t>This Joint Standard is titled 'Cybersecurity and Cyber Resilience Requirements for Financial Institutions, 2024' and comes into effect on a date to be determined by the Authorities.</t>
        </is>
      </c>
      <c r="M596" s="8" t="inlineStr"/>
      <c r="N596" s="8" t="inlineStr"/>
      <c r="O596" s="8" t="inlineStr">
        <is>
          <t>Short title and commencement 10.1 This Joint Standard is called Cybersecurity and Cyber Resilience Requirements for Financial Institutions, 2024 and comes into effect on the date indicated in paragraph 10.2 below.</t>
        </is>
      </c>
      <c r="P596" s="10" t="inlineStr">
        <is>
          <t>Open PDF</t>
        </is>
      </c>
    </row>
    <row r="597">
      <c r="A597" t="inlineStr">
        <is>
          <t>South Africa</t>
        </is>
      </c>
      <c r="B597" t="inlineStr">
        <is>
          <t>PA Directive</t>
        </is>
      </c>
      <c r="C597" t="inlineStr">
        <is>
          <t>1</t>
        </is>
      </c>
      <c r="D597" s="8" t="inlineStr"/>
      <c r="E597" t="inlineStr">
        <is>
          <t>1–2</t>
        </is>
      </c>
      <c r="F597" t="inlineStr">
        <is>
          <t>Cloud Services</t>
        </is>
      </c>
      <c r="G597" t="inlineStr">
        <is>
          <t>High</t>
        </is>
      </c>
      <c r="H597" t="inlineStr">
        <is>
          <t>High (explicit)</t>
        </is>
      </c>
      <c r="I597" s="8" t="inlineStr">
        <is>
          <t>Cloud Services</t>
        </is>
      </c>
      <c r="J597" s="8" t="inlineStr">
        <is>
          <t>Personal Information</t>
        </is>
      </c>
      <c r="K597" t="inlineStr">
        <is>
          <t>Prudential Authority (PA)</t>
        </is>
      </c>
      <c r="L597" s="8" t="inlineStr">
        <is>
          <t>This section clarifies the Prudential Authority's (PA) regulatory stance on cloud computing and data offshoring by banks. It acknowledges that some banks already offshore data through parent organizations and are increasingly adopting cloud computing. The section defines cloud computing as a model for on-demand access to shared computing resources with minimal management effort.</t>
        </is>
      </c>
      <c r="M597" s="8" t="inlineStr">
        <is>
          <t>This section establishes the regulatory context for cloud computing and data offshoring, which directly impacts DTIA requirements for cloud services and cross-border data storage arrangements.</t>
        </is>
      </c>
      <c r="N597" s="8" t="inlineStr">
        <is>
          <t>[Definition]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O597" s="8" t="inlineStr">
        <is>
          <t>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P597" s="10" t="inlineStr">
        <is>
          <t>Open PDF</t>
        </is>
      </c>
    </row>
    <row r="598">
      <c r="A598" t="inlineStr">
        <is>
          <t>South Africa</t>
        </is>
      </c>
      <c r="B598" t="inlineStr">
        <is>
          <t>PA Directive</t>
        </is>
      </c>
      <c r="C598" t="inlineStr">
        <is>
          <t>2</t>
        </is>
      </c>
      <c r="D598" s="8" t="inlineStr"/>
      <c r="E598" t="inlineStr">
        <is>
          <t>2–4</t>
        </is>
      </c>
      <c r="F598" t="inlineStr">
        <is>
          <t>Cloud Services</t>
        </is>
      </c>
      <c r="G598" t="inlineStr">
        <is>
          <t>High</t>
        </is>
      </c>
      <c r="H598" t="inlineStr">
        <is>
          <t>High (explicit)</t>
        </is>
      </c>
      <c r="I598" s="8" t="inlineStr">
        <is>
          <t>Cloud Services</t>
        </is>
      </c>
      <c r="J598" s="8" t="inlineStr">
        <is>
          <t>Personal Information</t>
        </is>
      </c>
      <c r="K598" t="inlineStr">
        <is>
          <t>Prudential Authority (PA)</t>
        </is>
      </c>
      <c r="L598" s="8" t="inlineStr">
        <is>
          <t>This section mandates that banks must implement a risk-based approach for cloud computing and data offshoring, aligning with their risk appetite and operational scale. Banks must have a data strategy, governance framework, and clear policies for cloud use or data offshoring. They must assess risks before implementation, ensure compliance with local and foreign regulations, and maintain confidentiality, integrity, and availability of data.</t>
        </is>
      </c>
      <c r="M598" s="8" t="inlineStr">
        <is>
          <t>Banks must establish risk-based controls for cloud and offshoring activities, ensuring data security, regulatory compliance, and continuity of operations across borders.</t>
        </is>
      </c>
      <c r="N598" s="8" t="inlineStr">
        <is>
          <t>[Must] Banks must have in place a formally defined and board approved data strategy and data governance framework.
[Must] Banks that use cloud computing and/or offshore their data must have a clearly defined policy for such activities, which is aligned with its business strategy and linked to its risk appetite.
[Must] Oversight of cloud computing and/or the offshoring of data must be incorporated into the governance structures, processes and procedures within the bank.
[Must] Banks must ensure that their risk and control frameworks, including the application thereof, are designed and operating effectively in order to manage the risks associated with the use of cloud computing and/or the offshoring of data.
[Must] Prior to undertaking a particular cloud computing and/or data offshoring initiative, the bank must assess whether the risk involved is within its risk appetite.
[Must] All strategic investments by the bank, including the use of cloud computing and/or the offshoring of data, must be subjected to appropriate due diligence.
[Must] Banks must take all reasonable measures to ensure the confidentiality, integrity and availability of its data, information technology (IT) applications or systems.
[Must] Banks that use cloud computing and/or offshore their data must ensure that they remain compliant with applicable legislation and regulations, both locally as well as in any country where the cloud services and/or data are hosted.
[Must Not] The use of cloud computing and/or the offshoring of data must not in any way infringe on the bank's supervisors or prevent any regulatory mandated access to information, nor must it impact on its regulators' ability to fulfil their duties.
[Must] Banks must have contingency plans to continue with operations and meet their core obligations, such as regulatory, statutory or otherwise, despite any cloud computing and/or offshoring of data arrangements which may be in place.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[Must Not] Any cloud computing and/or offshoring of data arrangements must not impact on banks' ability to conduct forensic audits or investigations.
[Must] All cloud computing and/or offshoring of data arrangements must be contained in a documented, legally binding agreement.</t>
        </is>
      </c>
      <c r="O598" s="8" t="inlineStr">
        <is>
          <t>Banks must have in place a formally defined and board approved data strategy and data governance framework.</t>
        </is>
      </c>
      <c r="P598" s="10" t="inlineStr">
        <is>
          <t>Open PDF</t>
        </is>
      </c>
    </row>
    <row r="599">
      <c r="A599" t="inlineStr">
        <is>
          <t>South Africa</t>
        </is>
      </c>
      <c r="B599" t="inlineStr">
        <is>
          <t>PA Directive</t>
        </is>
      </c>
      <c r="C599" t="inlineStr">
        <is>
          <t>3</t>
        </is>
      </c>
      <c r="D599" s="8" t="inlineStr"/>
      <c r="E599" t="inlineStr">
        <is>
          <t>4</t>
        </is>
      </c>
      <c r="F599" t="inlineStr">
        <is>
          <t>Other</t>
        </is>
      </c>
      <c r="G599" t="inlineStr">
        <is>
          <t>Low</t>
        </is>
      </c>
      <c r="H599" t="inlineStr">
        <is>
          <t>High (explicit)</t>
        </is>
      </c>
      <c r="I599" s="8" t="inlineStr">
        <is>
          <t>Record Keeping</t>
        </is>
      </c>
      <c r="J599" s="8" t="inlineStr">
        <is>
          <t>Personal Information</t>
        </is>
      </c>
      <c r="K599" t="inlineStr">
        <is>
          <t>Prudential Authority (PA)</t>
        </is>
      </c>
      <c r="L599" s="8" t="inlineStr">
        <is>
          <t>This section requires banks to provide copies of the directive to their independent auditors and return an acknowledgement of receipt signed by the chief executive officer and auditors to the Prudential Authority. It serves as a procedural step for compliance with the directive.</t>
        </is>
      </c>
      <c r="M599" s="8" t="inlineStr"/>
      <c r="N599" s="8" t="inlineStr">
        <is>
          <t>[Notification]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t>
        </is>
      </c>
      <c r="O599" s="8" t="inlineStr">
        <is>
          <t>Kindly ensure that a copy of this directive is made available to your institution's independent auditors.</t>
        </is>
      </c>
      <c r="P599" s="10" t="inlineStr">
        <is>
          <t>Open PDF</t>
        </is>
      </c>
    </row>
    <row r="600">
      <c r="A600" t="inlineStr">
        <is>
          <t>South Africa</t>
        </is>
      </c>
      <c r="B600" t="inlineStr">
        <is>
          <t>POPIA_Regulations_-_Dec_2018</t>
        </is>
      </c>
      <c r="C600" t="inlineStr">
        <is>
          <t>1</t>
        </is>
      </c>
      <c r="D600" s="8" t="inlineStr">
        <is>
          <t>In these Regulations, any word or expression to which a meaning has been assigned in</t>
        </is>
      </c>
      <c r="E600" t="inlineStr">
        <is>
          <t>1–2</t>
        </is>
      </c>
      <c r="F600" t="inlineStr">
        <is>
          <t>Definitions</t>
        </is>
      </c>
      <c r="G600" t="inlineStr">
        <is>
          <t>None</t>
        </is>
      </c>
      <c r="H600" t="inlineStr">
        <is>
          <t>High (explicit)</t>
        </is>
      </c>
      <c r="I600" s="8" t="inlineStr"/>
      <c r="J600" s="8" t="inlineStr">
        <is>
          <t>Personal Information</t>
        </is>
      </c>
      <c r="K600" t="inlineStr"/>
      <c r="L600" s="8" t="inlineStr">
        <is>
          <t>Defines key terms including 'data message', 'form(s)', 'signature', 'submit', 'the Act', and 'writing' based on Electronic Communications and Transactions Act, 2002.</t>
        </is>
      </c>
      <c r="M600" s="8" t="inlineStr"/>
      <c r="N600" s="8" t="inlineStr">
        <is>
          <t>[Definition] data message includes a data message as defined in section 1 of the Electronic Communications and Transactions Act, 2002
[Definition] form(s) means a form referred to in the annexures to these Regulations or any form which is substantially similar to that form
[Definition] signature includes an electronic signature as defined in section 1 of the Electronic Communications and Transactions Act, 2002
[Definition] submit means submit by data message, electronic communication, registered post, electronic mail, facsimile, or personal delivery
[Definition] the Act means the Protection of Personal Information Act, 2013
[Definition] writing includes writing as referred to in section 12 of the Electronic Communications and Transactions Act, 2002</t>
        </is>
      </c>
      <c r="O600" s="8" t="inlineStr">
        <is>
          <t>In these Regulations, any word or expression to which a meaning has been assigned in the Act has the meaning so assigned and, unless the context otherwise indicates: "data message" includes a data message as defined in section 1 of the Electronic Communications and Transactions Act, 2002; "form(s)" as referred to in these Regulations, means a form referred to in the annexures to these Regulations or any form which is substantially similar to that form; "signature" includes an electronic signature as defined in section 1 of the Electronic Communications and Transactions Act, 2002; "submit" means submit by (a) data message; (b) electronic communication; (c) registered post; (d) electronic mail; (e) facsimile; and (f) personal delivery; "the Act" means the Protection of Personal Information Act, 2013; and "writing" includes writing as referred to in section 12 of the Electronic Communications and Transactions Act, 2002.</t>
        </is>
      </c>
      <c r="P600" s="10" t="inlineStr">
        <is>
          <t>Open PDF</t>
        </is>
      </c>
    </row>
    <row r="601">
      <c r="A601" t="inlineStr">
        <is>
          <t>South Africa</t>
        </is>
      </c>
      <c r="B601" t="inlineStr">
        <is>
          <t>POPIA_Regulations_-_Dec_2018</t>
        </is>
      </c>
      <c r="C601" t="inlineStr">
        <is>
          <t>1</t>
        </is>
      </c>
      <c r="D601" s="8" t="inlineStr">
        <is>
          <t>CONTACT DETAILS</t>
        </is>
      </c>
      <c r="E601" t="inlineStr">
        <is>
          <t>29</t>
        </is>
      </c>
      <c r="F601" t="inlineStr">
        <is>
          <t>Other</t>
        </is>
      </c>
      <c r="G601" t="inlineStr">
        <is>
          <t>Unknown</t>
        </is>
      </c>
      <c r="H601" t="inlineStr">
        <is>
          <t>Low</t>
        </is>
      </c>
      <c r="I601" s="8" t="inlineStr"/>
      <c r="J601" s="8" t="inlineStr"/>
      <c r="K601" t="inlineStr"/>
      <c r="L601" s="8" t="inlineStr"/>
      <c r="M601" s="8" t="inlineStr"/>
      <c r="N601" s="8" t="inlineStr"/>
      <c r="O601" s="8" t="inlineStr"/>
      <c r="P601" s="10" t="inlineStr">
        <is>
          <t>Open PDF</t>
        </is>
      </c>
    </row>
    <row r="602">
      <c r="A602" t="inlineStr">
        <is>
          <t>South Africa</t>
        </is>
      </c>
      <c r="B602" t="inlineStr">
        <is>
          <t>POPIA_Regulations_-_Dec_2018</t>
        </is>
      </c>
      <c r="C602" t="inlineStr">
        <is>
          <t>1</t>
        </is>
      </c>
      <c r="D602" s="8" t="inlineStr">
        <is>
          <t>NOTICE OF A DECISION ON AN ASSESSMENT</t>
        </is>
      </c>
      <c r="E602" t="inlineStr">
        <is>
          <t>30–31</t>
        </is>
      </c>
      <c r="F602" t="inlineStr">
        <is>
          <t>Other</t>
        </is>
      </c>
      <c r="G602" t="inlineStr">
        <is>
          <t>Low</t>
        </is>
      </c>
      <c r="H602" t="inlineStr">
        <is>
          <t>High (explicit)</t>
        </is>
      </c>
      <c r="I602" s="8" t="inlineStr"/>
      <c r="J602" s="8" t="inlineStr"/>
      <c r="K602" t="inlineStr">
        <is>
          <t>Information Regulator</t>
        </is>
      </c>
      <c r="L602" s="8" t="inlineStr">
        <is>
          <t>Regulator decides to conduct assessment of information processing compliance with POPIA.</t>
        </is>
      </c>
      <c r="M602" s="8" t="inlineStr">
        <is>
          <t>Regulator conducts assessment of information processing compliance with POPIA.</t>
        </is>
      </c>
      <c r="N602" s="8" t="inlineStr">
        <is>
          <t>[Must] Regulator has decided to conduct an assessment in terms of section 89(1) of the Protection of Personal Information Act 4 of 2013</t>
        </is>
      </c>
      <c r="O602" s="8" t="inlineStr">
        <is>
          <t>The Regulator has decided to conduct an assessment in terms of section 89(1) of the Protection of Personal Information Act 4 of 2013.</t>
        </is>
      </c>
      <c r="P602" s="10" t="inlineStr">
        <is>
          <t>Open PDF</t>
        </is>
      </c>
    </row>
    <row r="603">
      <c r="A603" t="inlineStr">
        <is>
          <t>South Africa</t>
        </is>
      </c>
      <c r="B603" t="inlineStr">
        <is>
          <t>POPIA_Regulations_-_Dec_2018</t>
        </is>
      </c>
      <c r="C603" t="inlineStr">
        <is>
          <t>1</t>
        </is>
      </c>
      <c r="D603" s="8" t="inlineStr">
        <is>
          <t>In hierdie Regulasie het enige woord of uitdrukking waaraan ‟n betekenis ingevolge die</t>
        </is>
      </c>
      <c r="E603" t="inlineStr">
        <is>
          <t>45–46</t>
        </is>
      </c>
      <c r="F603" t="inlineStr">
        <is>
          <t>Other</t>
        </is>
      </c>
      <c r="G603" t="inlineStr">
        <is>
          <t>Low</t>
        </is>
      </c>
      <c r="H603" t="inlineStr">
        <is>
          <t>High (explicit)</t>
        </is>
      </c>
      <c r="I603" s="8" t="inlineStr"/>
      <c r="J603" s="8" t="inlineStr"/>
      <c r="K603" t="inlineStr">
        <is>
          <t>Information Regulator</t>
        </is>
      </c>
      <c r="L603" s="8" t="inlineStr">
        <is>
          <t>Regulator decides to conduct assessment of information processing compliance with POPIA.</t>
        </is>
      </c>
      <c r="M603" s="8" t="inlineStr">
        <is>
          <t>Regulator conducts assessment of information processing compliance with POPIA.</t>
        </is>
      </c>
      <c r="N603" s="8" t="inlineStr">
        <is>
          <t>[Must] Regulator has decided to conduct an assessment in terms of section 89(1) of the Protection of Personal Information Act 4 of 2013</t>
        </is>
      </c>
      <c r="O603" s="8" t="inlineStr">
        <is>
          <t>The Regulator has decided to conduct an assessment in terms of section 89(1) of the Protection of Personal Information Act 4 of 2013.</t>
        </is>
      </c>
      <c r="P603" s="10" t="inlineStr">
        <is>
          <t>Open PDF</t>
        </is>
      </c>
    </row>
    <row r="604">
      <c r="A604" t="inlineStr">
        <is>
          <t>South Africa</t>
        </is>
      </c>
      <c r="B604" t="inlineStr">
        <is>
          <t>POPIA_Regulations_-_Dec_2018</t>
        </is>
      </c>
      <c r="C604" t="inlineStr">
        <is>
          <t>1</t>
        </is>
      </c>
      <c r="D604" s="8" t="inlineStr">
        <is>
          <t>KONTAKBESONDERHEDE</t>
        </is>
      </c>
      <c r="E604" t="inlineStr">
        <is>
          <t>73</t>
        </is>
      </c>
      <c r="F604" t="inlineStr">
        <is>
          <t>Other</t>
        </is>
      </c>
      <c r="G604" t="inlineStr">
        <is>
          <t>None</t>
        </is>
      </c>
      <c r="H604" t="inlineStr">
        <is>
          <t>High (explicit)</t>
        </is>
      </c>
      <c r="I604" s="8" t="inlineStr"/>
      <c r="J604" s="8" t="inlineStr">
        <is>
          <t>Personal Information</t>
        </is>
      </c>
      <c r="K604" t="inlineStr">
        <is>
          <t>Regulator</t>
        </is>
      </c>
      <c r="L604" s="8" t="inlineStr">
        <is>
          <t>Notification of the audit decision.</t>
        </is>
      </c>
      <c r="M604" s="8" t="inlineStr">
        <is>
          <t>Notification of the audit decision.</t>
        </is>
      </c>
      <c r="N604" s="8" t="inlineStr">
        <is>
          <t>[Must] The regulator has decided to conduct an audit.</t>
        </is>
      </c>
      <c r="O604" s="8" t="inlineStr">
        <is>
          <t>1. KENNISGEWING VAN 'N BESLUIT OOR 'N OUDIT Die Reguleerder het besluit om 'n oudit te doen ingevolge artikel 89(1) van die Wet op Beskerming van Persoonlike Inligting, 2:2013.</t>
        </is>
      </c>
      <c r="P604" s="10" t="inlineStr">
        <is>
          <t>Open PDF</t>
        </is>
      </c>
    </row>
    <row r="605">
      <c r="A605" t="inlineStr">
        <is>
          <t>South Africa</t>
        </is>
      </c>
      <c r="B605" t="inlineStr">
        <is>
          <t>POPIA_Regulations_-_Dec_2018</t>
        </is>
      </c>
      <c r="C605" t="inlineStr">
        <is>
          <t>1</t>
        </is>
      </c>
      <c r="D605" s="8" t="inlineStr">
        <is>
          <t>KENNISGEWING VAN 'N BESLUIT OOR 'N OUDIT</t>
        </is>
      </c>
      <c r="E605" t="inlineStr">
        <is>
          <t>74–75</t>
        </is>
      </c>
      <c r="F605" t="inlineStr">
        <is>
          <t>Other</t>
        </is>
      </c>
      <c r="G605" t="inlineStr">
        <is>
          <t>None</t>
        </is>
      </c>
      <c r="H605" t="inlineStr">
        <is>
          <t>High (explicit)</t>
        </is>
      </c>
      <c r="I605" s="8" t="inlineStr"/>
      <c r="J605" s="8" t="inlineStr">
        <is>
          <t>Personal Information</t>
        </is>
      </c>
      <c r="K605" t="inlineStr">
        <is>
          <t>Regulator</t>
        </is>
      </c>
      <c r="L605" s="8" t="inlineStr">
        <is>
          <t>Notification of the audit decision.</t>
        </is>
      </c>
      <c r="M605" s="8" t="inlineStr">
        <is>
          <t>Notification of the audit decision.</t>
        </is>
      </c>
      <c r="N605" s="8" t="inlineStr">
        <is>
          <t>[Must] The regulator has decided to conduct an audit.</t>
        </is>
      </c>
      <c r="O605" s="8" t="inlineStr">
        <is>
          <t>1. KENNISGEWING VAN 'N BESLUIT OOR 'N OUDIT Die Reguleerder het besluit om 'n oudit te doen ingevolge artikel 89(1) van die Wet op Beskerming van Persoonlike Inligting, 2:2013.</t>
        </is>
      </c>
      <c r="P605" s="10" t="inlineStr">
        <is>
          <t>Open PDF</t>
        </is>
      </c>
    </row>
    <row r="606">
      <c r="A606" t="inlineStr">
        <is>
          <t>South Africa</t>
        </is>
      </c>
      <c r="B606" t="inlineStr">
        <is>
          <t>POPIA_Regulations_-_Dec_2018</t>
        </is>
      </c>
      <c r="C606" t="inlineStr">
        <is>
          <t>2</t>
        </is>
      </c>
      <c r="D606" s="8" t="inlineStr">
        <is>
          <t>(1) A data subject who wishes to object to the processing of personal information</t>
        </is>
      </c>
      <c r="E606" t="inlineStr">
        <is>
          <t>2</t>
        </is>
      </c>
      <c r="F606" t="inlineStr">
        <is>
          <t>Data Subject Rights</t>
        </is>
      </c>
      <c r="G606" t="inlineStr">
        <is>
          <t>None</t>
        </is>
      </c>
      <c r="H606" t="inlineStr">
        <is>
          <t>High (explicit)</t>
        </is>
      </c>
      <c r="I606" s="8" t="inlineStr"/>
      <c r="J606" s="8" t="inlineStr">
        <is>
          <t>Personal Information</t>
        </is>
      </c>
      <c r="K606" t="inlineStr"/>
      <c r="L606" s="8" t="inlineStr">
        <is>
          <t>Data subjects must submit objections to processing on Form 1 to responsible parties for lawful processing under section 11(3)(a) of the Act.</t>
        </is>
      </c>
      <c r="M606" s="8" t="inlineStr">
        <is>
          <t>Data subjects can object to processing via Form 1; responsible parties must provide reasonable assistance free of charge.</t>
        </is>
      </c>
      <c r="N606" s="8" t="inlineStr">
        <is>
          <t>[Must] A data subject who wishes to object to the processing of personal information in terms of section 11(3)(a) of the Act, must submit the objection to the responsible party on Form 1
[Must] The responsible party, or a designated person, must render such reasonable assistance as is necessary, free of charge, to enable the data subject to make an objection on Form 1</t>
        </is>
      </c>
      <c r="O606" s="8" t="inlineStr">
        <is>
          <t>(1) A data subject who wishes to object to the processing of personal information in terms of section 11(3)(a) of the Act, must submit the objection to the responsible party on Form 1. (2) The responsible party, or a designated person, must render such reasonable assistance as is necessary, free of charge, to enable the data subject to make an objection on Form 1.</t>
        </is>
      </c>
      <c r="P606" s="10" t="inlineStr">
        <is>
          <t>Open PDF</t>
        </is>
      </c>
    </row>
    <row r="607">
      <c r="A607" t="inlineStr">
        <is>
          <t>South Africa</t>
        </is>
      </c>
      <c r="B607" t="inlineStr">
        <is>
          <t>POPIA_Regulations_-_Dec_2018</t>
        </is>
      </c>
      <c r="C607" t="inlineStr">
        <is>
          <t>2</t>
        </is>
      </c>
      <c r="D607" s="8" t="inlineStr">
        <is>
          <t>INFORMATION PROCESSING TO BE ASSESSED</t>
        </is>
      </c>
      <c r="E607" t="inlineStr">
        <is>
          <t>29</t>
        </is>
      </c>
      <c r="F607" t="inlineStr">
        <is>
          <t>Other</t>
        </is>
      </c>
      <c r="G607" t="inlineStr">
        <is>
          <t>Unknown</t>
        </is>
      </c>
      <c r="H607" t="inlineStr">
        <is>
          <t>Low</t>
        </is>
      </c>
      <c r="I607" s="8" t="inlineStr"/>
      <c r="J607" s="8" t="inlineStr"/>
      <c r="K607" t="inlineStr"/>
      <c r="L607" s="8" t="inlineStr"/>
      <c r="M607" s="8" t="inlineStr"/>
      <c r="N607" s="8" t="inlineStr"/>
      <c r="O607" s="8" t="inlineStr"/>
      <c r="P607" s="10" t="inlineStr">
        <is>
          <t>Open PDF</t>
        </is>
      </c>
    </row>
    <row r="608">
      <c r="A608" t="inlineStr">
        <is>
          <t>South Africa</t>
        </is>
      </c>
      <c r="B608" t="inlineStr">
        <is>
          <t>POPIA_Regulations_-_Dec_2018</t>
        </is>
      </c>
      <c r="C608" t="inlineStr">
        <is>
          <t>2</t>
        </is>
      </c>
      <c r="D608" s="8" t="inlineStr">
        <is>
          <t>INFORMATION PROCESSING TO BE ASSESSED</t>
        </is>
      </c>
      <c r="E608" t="inlineStr">
        <is>
          <t>31</t>
        </is>
      </c>
      <c r="F608" t="inlineStr">
        <is>
          <t>Other</t>
        </is>
      </c>
      <c r="G608" t="inlineStr">
        <is>
          <t>Low</t>
        </is>
      </c>
      <c r="H608" t="inlineStr">
        <is>
          <t>High (explicit)</t>
        </is>
      </c>
      <c r="I608" s="8" t="inlineStr"/>
      <c r="J608" s="8" t="inlineStr"/>
      <c r="K608" t="inlineStr"/>
      <c r="L608" s="8" t="inlineStr">
        <is>
          <t>Information processing to be assessed is specified.</t>
        </is>
      </c>
      <c r="M608" s="8" t="inlineStr">
        <is>
          <t>Information processing to be assessed is specified for compliance with POPIA.</t>
        </is>
      </c>
      <c r="N608" s="8" t="inlineStr">
        <is>
          <t>[Must] Information processing to be assessed is specified</t>
        </is>
      </c>
      <c r="O608" s="8" t="inlineStr">
        <is>
          <t>2. INFORMATION PROCESSING TO BE ASSESSED</t>
        </is>
      </c>
      <c r="P608" s="10" t="inlineStr">
        <is>
          <t>Open PDF</t>
        </is>
      </c>
    </row>
    <row r="609">
      <c r="A609" t="inlineStr">
        <is>
          <t>South Africa</t>
        </is>
      </c>
      <c r="B609" t="inlineStr">
        <is>
          <t>POPIA_Regulations_-_Dec_2018</t>
        </is>
      </c>
      <c r="C609" t="inlineStr">
        <is>
          <t>2</t>
        </is>
      </c>
      <c r="D609" s="8" t="inlineStr">
        <is>
          <t>(1)</t>
        </is>
      </c>
      <c r="E609" t="inlineStr">
        <is>
          <t>46</t>
        </is>
      </c>
      <c r="F609" t="inlineStr">
        <is>
          <t>Data Subject Rights</t>
        </is>
      </c>
      <c r="G609" t="inlineStr">
        <is>
          <t>Low</t>
        </is>
      </c>
      <c r="H609" t="inlineStr">
        <is>
          <t>High (explicit)</t>
        </is>
      </c>
      <c r="I609" s="8" t="inlineStr"/>
      <c r="J609" s="8" t="inlineStr">
        <is>
          <t>Personal Information</t>
        </is>
      </c>
      <c r="K609" t="inlineStr">
        <is>
          <t>Responsible party</t>
        </is>
      </c>
      <c r="L609" s="8" t="inlineStr">
        <is>
          <t>Data subjects must submit a complaint form to the responsible party for data processing under Article 11(3)(a) of the Act.</t>
        </is>
      </c>
      <c r="M609" s="8" t="inlineStr">
        <is>
          <t>Data subjects can request correction or deletion of personal information via Form 1; responsible parties must provide reasonable assistance at no cost.</t>
        </is>
      </c>
      <c r="N609" s="8" t="inlineStr">
        <is>
          <t>[Must] Data subject must submit Form 1 to responsible party for data processing under Article 11(3)(a) of the Act
[Must] Responsible party must provide reasonable assistance at no cost for data subject to complete Form 1</t>
        </is>
      </c>
      <c r="O609" s="8" t="inlineStr">
        <is>
          <t>„n Datasubjek wat beswaar wil aanteken teen die verwerking van persoonlike inligting ingevolge artikel 11(3)(a) van die Wet, moet die beswaar op Vorm 1 aan die verantwoordelike party voorlê. Die verantwoordelike party, of ‟n aangewese persoon, moet waar nodig redelike bystand lewer, kosteloos, om die datasubjek in staat te stel om ‟n beswaar op Vorm 1 te maak.</t>
        </is>
      </c>
      <c r="P609" s="10" t="inlineStr">
        <is>
          <t>Open PDF</t>
        </is>
      </c>
    </row>
    <row r="610">
      <c r="A610" t="inlineStr">
        <is>
          <t>South Africa</t>
        </is>
      </c>
      <c r="B610" t="inlineStr">
        <is>
          <t>POPIA_Regulations_-_Dec_2018</t>
        </is>
      </c>
      <c r="C610" t="inlineStr">
        <is>
          <t>2</t>
        </is>
      </c>
      <c r="D610" s="8" t="inlineStr">
        <is>
          <t>INLIGTINGSVERWERKING WAT GEOUDITEER MOET WORD</t>
        </is>
      </c>
      <c r="E610" t="inlineStr">
        <is>
          <t>73</t>
        </is>
      </c>
      <c r="F610" t="inlineStr">
        <is>
          <t>Other</t>
        </is>
      </c>
      <c r="G610" t="inlineStr">
        <is>
          <t>None</t>
        </is>
      </c>
      <c r="H610" t="inlineStr">
        <is>
          <t>High (explicit)</t>
        </is>
      </c>
      <c r="I610" s="8" t="inlineStr"/>
      <c r="J610" s="8" t="inlineStr">
        <is>
          <t>Personal Information</t>
        </is>
      </c>
      <c r="K610" t="inlineStr"/>
      <c r="L610" s="8" t="inlineStr">
        <is>
          <t>Information processing that must be audited.</t>
        </is>
      </c>
      <c r="M610" s="8" t="inlineStr">
        <is>
          <t>Information processing that must be audited.</t>
        </is>
      </c>
      <c r="N610" s="8" t="inlineStr">
        <is>
          <t>[Must] Specify information processing that must be audited.</t>
        </is>
      </c>
      <c r="O610" s="8" t="inlineStr">
        <is>
          <t>2. INLIGTINGSVERWERKING WAT GEOUDITEER MOET WORD</t>
        </is>
      </c>
      <c r="P610" s="10" t="inlineStr">
        <is>
          <t>Open PDF</t>
        </is>
      </c>
    </row>
    <row r="611">
      <c r="A611" t="inlineStr">
        <is>
          <t>South Africa</t>
        </is>
      </c>
      <c r="B611" t="inlineStr">
        <is>
          <t>POPIA_Regulations_-_Dec_2018</t>
        </is>
      </c>
      <c r="C611" t="inlineStr">
        <is>
          <t>2</t>
        </is>
      </c>
      <c r="D611" s="8" t="inlineStr">
        <is>
          <t>INLIGTINGSVERWERKING WAT GEOUDIT MOET WORD</t>
        </is>
      </c>
      <c r="E611" t="inlineStr">
        <is>
          <t>75</t>
        </is>
      </c>
      <c r="F611" t="inlineStr">
        <is>
          <t>Other</t>
        </is>
      </c>
      <c r="G611" t="inlineStr">
        <is>
          <t>None</t>
        </is>
      </c>
      <c r="H611" t="inlineStr">
        <is>
          <t>High (explicit)</t>
        </is>
      </c>
      <c r="I611" s="8" t="inlineStr"/>
      <c r="J611" s="8" t="inlineStr">
        <is>
          <t>Personal Information</t>
        </is>
      </c>
      <c r="K611" t="inlineStr"/>
      <c r="L611" s="8" t="inlineStr">
        <is>
          <t>Information processing that must be audited.</t>
        </is>
      </c>
      <c r="M611" s="8" t="inlineStr">
        <is>
          <t>Information processing that must be audited.</t>
        </is>
      </c>
      <c r="N611" s="8" t="inlineStr">
        <is>
          <t>[Must] Specify information processing that must be audited.</t>
        </is>
      </c>
      <c r="O611" s="8" t="inlineStr">
        <is>
          <t>2. INLIGTINGSVERWERKING WAT GEOUDITEER MOET WORD</t>
        </is>
      </c>
      <c r="P611" s="10" t="inlineStr">
        <is>
          <t>Open PDF</t>
        </is>
      </c>
    </row>
    <row r="612">
      <c r="A612" t="inlineStr">
        <is>
          <t>South Africa</t>
        </is>
      </c>
      <c r="B612" t="inlineStr">
        <is>
          <t>POPIA_Regulations_-_Dec_2018</t>
        </is>
      </c>
      <c r="C612" t="inlineStr">
        <is>
          <t>3</t>
        </is>
      </c>
      <c r="D612" s="8" t="inlineStr">
        <is>
          <t>(1) A data subject who wishes to request a correction or deletion of personal</t>
        </is>
      </c>
      <c r="E612" t="inlineStr">
        <is>
          <t>2–3</t>
        </is>
      </c>
      <c r="F612" t="inlineStr">
        <is>
          <t>Data Subject Rights</t>
        </is>
      </c>
      <c r="G612" t="inlineStr">
        <is>
          <t>None</t>
        </is>
      </c>
      <c r="H612" t="inlineStr">
        <is>
          <t>High (explicit)</t>
        </is>
      </c>
      <c r="I612" s="8" t="inlineStr"/>
      <c r="J612" s="8" t="inlineStr">
        <is>
          <t>Personal Information</t>
        </is>
      </c>
      <c r="K612" t="inlineStr"/>
      <c r="L612" s="8" t="inlineStr">
        <is>
          <t>Data subjects must submit requests for correction or deletion of personal information on Form 2 to responsible parties for lawful processing under section 24(1) of the Act.</t>
        </is>
      </c>
      <c r="M612" s="8" t="inlineStr">
        <is>
          <t>Data subjects can request correction/deletion via Form 2; responsible parties must provide reasonable assistance free of charge.</t>
        </is>
      </c>
      <c r="N612"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612"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c r="P612" s="10" t="inlineStr">
        <is>
          <t>Open PDF</t>
        </is>
      </c>
    </row>
    <row r="613">
      <c r="A613" t="inlineStr">
        <is>
          <t>South Africa</t>
        </is>
      </c>
      <c r="B613" t="inlineStr">
        <is>
          <t>POPIA_Regulations_-_Dec_2018</t>
        </is>
      </c>
      <c r="C613" t="inlineStr">
        <is>
          <t>3</t>
        </is>
      </c>
      <c r="D613" s="8" t="inlineStr">
        <is>
          <t>Complete as is applicable.</t>
        </is>
      </c>
      <c r="E613" t="inlineStr">
        <is>
          <t>9–11</t>
        </is>
      </c>
      <c r="F613" t="inlineStr">
        <is>
          <t>Data Subject Rights</t>
        </is>
      </c>
      <c r="G613" t="inlineStr">
        <is>
          <t>None</t>
        </is>
      </c>
      <c r="H613" t="inlineStr">
        <is>
          <t>High (explicit)</t>
        </is>
      </c>
      <c r="I613" s="8" t="inlineStr"/>
      <c r="J613" s="8" t="inlineStr">
        <is>
          <t>Personal Information</t>
        </is>
      </c>
      <c r="K613" t="inlineStr"/>
      <c r="L613" s="8" t="inlineStr">
        <is>
          <t>Data subjects must submit requests for correction or deletion of personal information on Form 2 to responsible parties for lawful processing under section 24(1) of the Act.</t>
        </is>
      </c>
      <c r="M613" s="8" t="inlineStr">
        <is>
          <t>Data subjects can request correction/deletion via Form 2; responsible parties must provide reasonable assistance free of charge.</t>
        </is>
      </c>
      <c r="N613"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613"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c r="P613" s="10" t="inlineStr">
        <is>
          <t>Open PDF</t>
        </is>
      </c>
    </row>
    <row r="614">
      <c r="A614" t="inlineStr">
        <is>
          <t>South Africa</t>
        </is>
      </c>
      <c r="B614" t="inlineStr">
        <is>
          <t>POPIA_Regulations_-_Dec_2018</t>
        </is>
      </c>
      <c r="C614" t="inlineStr">
        <is>
          <t>3</t>
        </is>
      </c>
      <c r="D614" s="8" t="inlineStr">
        <is>
          <t>Complete as is applicable.</t>
        </is>
      </c>
      <c r="E614" t="inlineStr">
        <is>
          <t>11–17</t>
        </is>
      </c>
      <c r="F614" t="inlineStr">
        <is>
          <t>Data Subject Rights</t>
        </is>
      </c>
      <c r="G614" t="inlineStr">
        <is>
          <t>Low</t>
        </is>
      </c>
      <c r="H614" t="inlineStr">
        <is>
          <t>High (explicit)</t>
        </is>
      </c>
      <c r="I614" s="8" t="inlineStr"/>
      <c r="J614" s="8" t="inlineStr">
        <is>
          <t>Personal Information</t>
        </is>
      </c>
      <c r="K614" t="inlineStr"/>
      <c r="L614" s="8" t="inlineStr">
        <is>
          <t>Provides form for requests to assess compliance with personal information processing.</t>
        </is>
      </c>
      <c r="M614" s="8" t="inlineStr">
        <is>
          <t>Allows entities to request assessments of compliance with personal information processing activities.</t>
        </is>
      </c>
      <c r="N614" s="8" t="inlineStr">
        <is>
          <t>[Must] Provide details of requester, responsible party, and information processing to be assessed</t>
        </is>
      </c>
      <c r="O614" s="8" t="inlineStr">
        <is>
          <t>REQUEST FOR AN ASSESSMENT SECTION 89(1) OF THE PROTECTION OF PERSONAL INFORMATION ACT 4 OF 2013</t>
        </is>
      </c>
      <c r="P614" s="10" t="inlineStr">
        <is>
          <t>Open PDF</t>
        </is>
      </c>
    </row>
    <row r="615">
      <c r="A615" t="inlineStr">
        <is>
          <t>South Africa</t>
        </is>
      </c>
      <c r="B615" t="inlineStr">
        <is>
          <t>POPIA_Regulations_-_Dec_2018</t>
        </is>
      </c>
      <c r="C615" t="inlineStr">
        <is>
          <t>3</t>
        </is>
      </c>
      <c r="D615" s="8" t="inlineStr">
        <is>
          <t>Complete as is applicable.</t>
        </is>
      </c>
      <c r="E615" t="inlineStr">
        <is>
          <t>17–29</t>
        </is>
      </c>
      <c r="F615" t="inlineStr">
        <is>
          <t>Data Subject Rights</t>
        </is>
      </c>
      <c r="G615" t="inlineStr">
        <is>
          <t>Low</t>
        </is>
      </c>
      <c r="H615" t="inlineStr">
        <is>
          <t>High (explicit)</t>
        </is>
      </c>
      <c r="I615" s="8" t="inlineStr"/>
      <c r="J615" s="8" t="inlineStr">
        <is>
          <t>Personal Information</t>
        </is>
      </c>
      <c r="K615" t="inlineStr"/>
      <c r="L615" s="8" t="inlineStr">
        <is>
          <t>Provides form for requests to assess compliance with personal information processing.</t>
        </is>
      </c>
      <c r="M615" s="8" t="inlineStr">
        <is>
          <t>Allows entities to request assessments of compliance with personal information processing activities.</t>
        </is>
      </c>
      <c r="N615" s="8" t="inlineStr">
        <is>
          <t>[Must] Provide details of requester, responsible party, and information processing to be assessed</t>
        </is>
      </c>
      <c r="O615" s="8" t="inlineStr">
        <is>
          <t>REQUEST FOR AN ASSESSMENT SECTION 89(1) OF THE PROTECTION OF PERSONAL INFORMATION ACT 4 OF 2013</t>
        </is>
      </c>
      <c r="P615" s="10" t="inlineStr">
        <is>
          <t>Open PDF</t>
        </is>
      </c>
    </row>
    <row r="616">
      <c r="A616" t="inlineStr">
        <is>
          <t>South Africa</t>
        </is>
      </c>
      <c r="B616" t="inlineStr">
        <is>
          <t>POPIA_Regulations_-_Dec_2018</t>
        </is>
      </c>
      <c r="C616" t="inlineStr">
        <is>
          <t>3</t>
        </is>
      </c>
      <c r="D616" s="8" t="inlineStr">
        <is>
          <t>PERSONS AFFECTED BY THE RELEVANT INFORMATION PROCESSING PRACTICE/S</t>
        </is>
      </c>
      <c r="E616" t="inlineStr">
        <is>
          <t>29</t>
        </is>
      </c>
      <c r="F616" t="inlineStr">
        <is>
          <t>Data Subject Rights</t>
        </is>
      </c>
      <c r="G616" t="inlineStr">
        <is>
          <t>Low</t>
        </is>
      </c>
      <c r="H616" t="inlineStr">
        <is>
          <t>High (explicit)</t>
        </is>
      </c>
      <c r="I616" s="8" t="inlineStr"/>
      <c r="J616" s="8" t="inlineStr">
        <is>
          <t>Personal Information</t>
        </is>
      </c>
      <c r="K616" t="inlineStr"/>
      <c r="L616" s="8" t="inlineStr">
        <is>
          <t>Provides form for requests to assess compliance with personal information processing.</t>
        </is>
      </c>
      <c r="M616" s="8" t="inlineStr">
        <is>
          <t>Allows entities to request assessments of compliance with personal information processing activities.</t>
        </is>
      </c>
      <c r="N616" s="8" t="inlineStr">
        <is>
          <t>[Must] Provide details of requester, responsible party, and information processing to be assessed</t>
        </is>
      </c>
      <c r="O616" s="8" t="inlineStr">
        <is>
          <t>REQUEST FOR AN ASSESSMENT SECTION 89(1) OF THE PROTECTION OF PERSONAL INFORMATION ACT 4 OF 2013</t>
        </is>
      </c>
      <c r="P616" s="10" t="inlineStr">
        <is>
          <t>Open PDF</t>
        </is>
      </c>
    </row>
    <row r="617">
      <c r="A617" t="inlineStr">
        <is>
          <t>South Africa</t>
        </is>
      </c>
      <c r="B617" t="inlineStr">
        <is>
          <t>POPIA_Regulations_-_Dec_2018</t>
        </is>
      </c>
      <c r="C617" t="inlineStr">
        <is>
          <t>3</t>
        </is>
      </c>
      <c r="D617" s="8" t="inlineStr">
        <is>
          <t>PERSONS AFFECTED BY THE RELEVANT INFORMATION PROCESSING PRACTICE/S</t>
        </is>
      </c>
      <c r="E617" t="inlineStr">
        <is>
          <t>31</t>
        </is>
      </c>
      <c r="F617" t="inlineStr">
        <is>
          <t>Other</t>
        </is>
      </c>
      <c r="G617" t="inlineStr">
        <is>
          <t>Low</t>
        </is>
      </c>
      <c r="H617" t="inlineStr">
        <is>
          <t>High (explicit)</t>
        </is>
      </c>
      <c r="I617" s="8" t="inlineStr"/>
      <c r="J617" s="8" t="inlineStr"/>
      <c r="K617" t="inlineStr"/>
      <c r="L617" s="8" t="inlineStr">
        <is>
          <t>Persons affected by relevant information processing practice/s are specified.</t>
        </is>
      </c>
      <c r="M617" s="8" t="inlineStr">
        <is>
          <t>Persons affected by relevant information processing practice/s are specified for compliance with POPIA.</t>
        </is>
      </c>
      <c r="N617" s="8" t="inlineStr">
        <is>
          <t>[Must] Persons affected by relevant information processing practice/s are specified</t>
        </is>
      </c>
      <c r="O617" s="8" t="inlineStr">
        <is>
          <t>3. PERSONS AFFECTED BY THE RELEVANT INFORMATION PROCESSING PRACTICE/S</t>
        </is>
      </c>
      <c r="P617" s="10" t="inlineStr">
        <is>
          <t>Open PDF</t>
        </is>
      </c>
    </row>
    <row r="618">
      <c r="A618" t="inlineStr">
        <is>
          <t>South Africa</t>
        </is>
      </c>
      <c r="B618" t="inlineStr">
        <is>
          <t>POPIA_Regulations_-_Dec_2018</t>
        </is>
      </c>
      <c r="C618" t="inlineStr">
        <is>
          <t>3</t>
        </is>
      </c>
      <c r="D618" s="8" t="inlineStr">
        <is>
          <t>(1)</t>
        </is>
      </c>
      <c r="E618" t="inlineStr">
        <is>
          <t>46–47</t>
        </is>
      </c>
      <c r="F618" t="inlineStr">
        <is>
          <t>Data Subject Rights</t>
        </is>
      </c>
      <c r="G618" t="inlineStr">
        <is>
          <t>Low</t>
        </is>
      </c>
      <c r="H618" t="inlineStr">
        <is>
          <t>High (explicit)</t>
        </is>
      </c>
      <c r="I618" s="8" t="inlineStr"/>
      <c r="J618" s="8" t="inlineStr">
        <is>
          <t>Personal Information</t>
        </is>
      </c>
      <c r="K618" t="inlineStr">
        <is>
          <t>Responsible party</t>
        </is>
      </c>
      <c r="L618" s="8" t="inlineStr">
        <is>
          <t>Data subjects must submit a request form to the responsible party for correction or deletion of personal information under Article 24(1) of the Act.</t>
        </is>
      </c>
      <c r="M618" s="8" t="inlineStr">
        <is>
          <t>Data subjects can request correction or deletion of personal information via Form 2; responsible parties must provide reasonable assistance at no cost.</t>
        </is>
      </c>
      <c r="N618" s="8" t="inlineStr">
        <is>
          <t>[Must] Data subject must submit Form 2 to responsible party for correction or deletion of personal information under Article 24(1) of the Act
[Must] Responsible party must provide reasonable assistance at no cost for data subject to complete Form 2</t>
        </is>
      </c>
      <c r="O618"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c r="P618" s="10" t="inlineStr">
        <is>
          <t>Open PDF</t>
        </is>
      </c>
    </row>
    <row r="619">
      <c r="A619" t="inlineStr">
        <is>
          <t>South Africa</t>
        </is>
      </c>
      <c r="B619" t="inlineStr">
        <is>
          <t>POPIA_Regulations_-_Dec_2018</t>
        </is>
      </c>
      <c r="C619" t="inlineStr">
        <is>
          <t>3</t>
        </is>
      </c>
      <c r="D619" s="8" t="inlineStr">
        <is>
          <t>Vul in waar van toepassing.</t>
        </is>
      </c>
      <c r="E619" t="inlineStr">
        <is>
          <t>53–55</t>
        </is>
      </c>
      <c r="F619" t="inlineStr">
        <is>
          <t>Data Subject Rights</t>
        </is>
      </c>
      <c r="G619" t="inlineStr">
        <is>
          <t>Low</t>
        </is>
      </c>
      <c r="H619" t="inlineStr">
        <is>
          <t>High (explicit)</t>
        </is>
      </c>
      <c r="I619" s="8" t="inlineStr"/>
      <c r="J619" s="8" t="inlineStr">
        <is>
          <t>Personal Information</t>
        </is>
      </c>
      <c r="K619" t="inlineStr">
        <is>
          <t>Responsible party</t>
        </is>
      </c>
      <c r="L619" s="8" t="inlineStr">
        <is>
          <t>Data subjects must submit a request form to the responsible party for correction or deletion of personal information under Article 24(1) of the Act.</t>
        </is>
      </c>
      <c r="M619" s="8" t="inlineStr">
        <is>
          <t>Data subjects can request correction or deletion of personal information via Form 2; responsible parties must provide reasonable assistance at no cost.</t>
        </is>
      </c>
      <c r="N619" s="8" t="inlineStr">
        <is>
          <t>[Must] Data subject must submit Form 2 to responsible party for correction or deletion of personal information under Article 24(1) of the Act
[Must] Responsible party must provide reasonable assistance at no cost for data subject to complete Form 2</t>
        </is>
      </c>
      <c r="O619"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c r="P619" s="10" t="inlineStr">
        <is>
          <t>Open PDF</t>
        </is>
      </c>
    </row>
    <row r="620">
      <c r="A620" t="inlineStr">
        <is>
          <t>South Africa</t>
        </is>
      </c>
      <c r="B620" t="inlineStr">
        <is>
          <t>POPIA_Regulations_-_Dec_2018</t>
        </is>
      </c>
      <c r="C620" t="inlineStr">
        <is>
          <t>3</t>
        </is>
      </c>
      <c r="D620" s="8" t="inlineStr">
        <is>
          <t>Vul in waar van toepassing.</t>
        </is>
      </c>
      <c r="E620" t="inlineStr">
        <is>
          <t>55–61</t>
        </is>
      </c>
      <c r="F620" t="inlineStr">
        <is>
          <t>Data Subject Rights</t>
        </is>
      </c>
      <c r="G620" t="inlineStr">
        <is>
          <t>Low</t>
        </is>
      </c>
      <c r="H620" t="inlineStr">
        <is>
          <t>High (explicit)</t>
        </is>
      </c>
      <c r="I620" s="8" t="inlineStr"/>
      <c r="J620" s="8" t="inlineStr">
        <is>
          <t>Personal Information</t>
        </is>
      </c>
      <c r="K620" t="inlineStr">
        <is>
          <t>Responsible party</t>
        </is>
      </c>
      <c r="L620" s="8" t="inlineStr">
        <is>
          <t>Data subjects must submit a request form to the responsible party for correction or deletion of personal information under Article 24(1) of the Act.</t>
        </is>
      </c>
      <c r="M620" s="8" t="inlineStr">
        <is>
          <t>Data subjects can request correction or deletion of personal information via Form 2; responsible parties must provide reasonable assistance at no cost.</t>
        </is>
      </c>
      <c r="N620" s="8" t="inlineStr">
        <is>
          <t>[Must] Data subject must submit Form 2 to responsible party for correction or deletion of personal information under Article 24(1) of the Act
[Must] Responsible party must provide reasonable assistance at no cost for data subject to complete Form 2</t>
        </is>
      </c>
      <c r="O620"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c r="P620" s="10" t="inlineStr">
        <is>
          <t>Open PDF</t>
        </is>
      </c>
    </row>
    <row r="621">
      <c r="A621" t="inlineStr">
        <is>
          <t>South Africa</t>
        </is>
      </c>
      <c r="B621" t="inlineStr">
        <is>
          <t>POPIA_Regulations_-_Dec_2018</t>
        </is>
      </c>
      <c r="C621" t="inlineStr">
        <is>
          <t>3</t>
        </is>
      </c>
      <c r="D621" s="8" t="inlineStr">
        <is>
          <t>Vul in waar van toepassing.</t>
        </is>
      </c>
      <c r="E621" t="inlineStr">
        <is>
          <t>61–73</t>
        </is>
      </c>
      <c r="F621" t="inlineStr">
        <is>
          <t>Other</t>
        </is>
      </c>
      <c r="G621" t="inlineStr">
        <is>
          <t>None</t>
        </is>
      </c>
      <c r="H621" t="inlineStr">
        <is>
          <t>High (explicit)</t>
        </is>
      </c>
      <c r="I621" s="8" t="inlineStr"/>
      <c r="J621" s="8" t="inlineStr">
        <is>
          <t>Personal Information</t>
        </is>
      </c>
      <c r="K621" t="inlineStr"/>
      <c r="L621" s="8" t="inlineStr">
        <is>
          <t>Persons affected by the information processing practice.</t>
        </is>
      </c>
      <c r="M621" s="8" t="inlineStr">
        <is>
          <t>Persons affected by the information processing practice.</t>
        </is>
      </c>
      <c r="N621" s="8" t="inlineStr">
        <is>
          <t>[Must] Identify persons affected by the information processing practice.</t>
        </is>
      </c>
      <c r="O621" s="8" t="inlineStr">
        <is>
          <t>3. PERSONE GERAAK DEUR DIE TERSAAKLIKE INLIGTINGSVERWERKINGSPRAKTYK(E)</t>
        </is>
      </c>
      <c r="P621" s="10" t="inlineStr">
        <is>
          <t>Open PDF</t>
        </is>
      </c>
    </row>
    <row r="622">
      <c r="A622" t="inlineStr">
        <is>
          <t>South Africa</t>
        </is>
      </c>
      <c r="B622" t="inlineStr">
        <is>
          <t>POPIA_Regulations_-_Dec_2018</t>
        </is>
      </c>
      <c r="C622" t="inlineStr">
        <is>
          <t>3</t>
        </is>
      </c>
      <c r="D622" s="8" t="inlineStr">
        <is>
          <t>PERSONE GERAAK DEUR DIE TERSAAKLIKE INLIGTINGSVERWERKINGSPRAKTYK(E)</t>
        </is>
      </c>
      <c r="E622" t="inlineStr">
        <is>
          <t>73</t>
        </is>
      </c>
      <c r="F622" t="inlineStr">
        <is>
          <t>Other</t>
        </is>
      </c>
      <c r="G622" t="inlineStr">
        <is>
          <t>None</t>
        </is>
      </c>
      <c r="H622" t="inlineStr">
        <is>
          <t>High (explicit)</t>
        </is>
      </c>
      <c r="I622" s="8" t="inlineStr"/>
      <c r="J622" s="8" t="inlineStr">
        <is>
          <t>Personal Information</t>
        </is>
      </c>
      <c r="K622" t="inlineStr"/>
      <c r="L622" s="8" t="inlineStr">
        <is>
          <t>Persons affected by the information processing practice.</t>
        </is>
      </c>
      <c r="M622" s="8" t="inlineStr">
        <is>
          <t>Persons affected by the information processing practice.</t>
        </is>
      </c>
      <c r="N622" s="8" t="inlineStr">
        <is>
          <t>[Must] Identify persons affected by the information processing practice.</t>
        </is>
      </c>
      <c r="O622" s="8" t="inlineStr">
        <is>
          <t>3. PERSONE GERAAK DEUR DIE TERSAAKLIKE INLIGTINGSVERWERKINGSPRAKTYK(E)</t>
        </is>
      </c>
      <c r="P622" s="10" t="inlineStr">
        <is>
          <t>Open PDF</t>
        </is>
      </c>
    </row>
    <row r="623">
      <c r="A623" t="inlineStr">
        <is>
          <t>South Africa</t>
        </is>
      </c>
      <c r="B623" t="inlineStr">
        <is>
          <t>POPIA_Regulations_-_Dec_2018</t>
        </is>
      </c>
      <c r="C623" t="inlineStr">
        <is>
          <t>3</t>
        </is>
      </c>
      <c r="D623" s="8" t="inlineStr">
        <is>
          <t>PERSONE GERAAK DEUR DIE TERSAAKLIKE INLIGTINGSVERWERKINGSPRAKTYK(E)</t>
        </is>
      </c>
      <c r="E623" t="inlineStr">
        <is>
          <t>75</t>
        </is>
      </c>
      <c r="F623" t="inlineStr">
        <is>
          <t>Other</t>
        </is>
      </c>
      <c r="G623" t="inlineStr">
        <is>
          <t>None</t>
        </is>
      </c>
      <c r="H623" t="inlineStr">
        <is>
          <t>High (explicit)</t>
        </is>
      </c>
      <c r="I623" s="8" t="inlineStr"/>
      <c r="J623" s="8" t="inlineStr">
        <is>
          <t>Personal Information</t>
        </is>
      </c>
      <c r="K623" t="inlineStr"/>
      <c r="L623" s="8" t="inlineStr">
        <is>
          <t>Persons affected by the information processing practice.</t>
        </is>
      </c>
      <c r="M623" s="8" t="inlineStr">
        <is>
          <t>Persons affected by the information processing practice.</t>
        </is>
      </c>
      <c r="N623" s="8" t="inlineStr">
        <is>
          <t>[Must] Identify persons affected by the information processing practice.</t>
        </is>
      </c>
      <c r="O623" s="8" t="inlineStr">
        <is>
          <t>3. PERSONE GERAAK DEUR DIE TERSAAKLIKE INLIGTINGSVERWERKINGSPRAKTYK(E)</t>
        </is>
      </c>
      <c r="P623" s="10" t="inlineStr">
        <is>
          <t>Open PDF</t>
        </is>
      </c>
    </row>
    <row r="624">
      <c r="A624" t="inlineStr">
        <is>
          <t>South Africa</t>
        </is>
      </c>
      <c r="B624" t="inlineStr">
        <is>
          <t>POPIA_Regulations_-_Dec_2018</t>
        </is>
      </c>
      <c r="C624" t="inlineStr">
        <is>
          <t>4</t>
        </is>
      </c>
      <c r="D624" s="8" t="inlineStr">
        <is>
          <t>(1) An information officer must, in addition to the responsibilities referred to in</t>
        </is>
      </c>
      <c r="E624" t="inlineStr">
        <is>
          <t>3</t>
        </is>
      </c>
      <c r="F624" t="inlineStr">
        <is>
          <t>Governance</t>
        </is>
      </c>
      <c r="G624" t="inlineStr">
        <is>
          <t>None</t>
        </is>
      </c>
      <c r="H624" t="inlineStr">
        <is>
          <t>High (explicit)</t>
        </is>
      </c>
      <c r="I624" s="8" t="inlineStr">
        <is>
          <t>Governance, Record Keeping</t>
        </is>
      </c>
      <c r="J624" s="8" t="inlineStr">
        <is>
          <t>Personal Information</t>
        </is>
      </c>
      <c r="K624" t="inlineStr"/>
      <c r="L624" s="8" t="inlineStr">
        <is>
          <t>Information officers must develop compliance frameworks, conduct impact assessments, maintain manuals, and ensure internal awareness sessions for the Act.</t>
        </is>
      </c>
      <c r="M624" s="8" t="inlineStr">
        <is>
          <t>Information officers must implement compliance frameworks, conduct impact assessments, maintain manuals, and conduct awareness sessions.</t>
        </is>
      </c>
      <c r="N624" s="8" t="inlineStr">
        <is>
          <t>[Must] An information officer must, in addition to the responsibilities referred to in section 55(1) of the Act, ensure that a compliance framework is developed, implemented, monitored and maintained
[Must] An information officer must, in addition to the responsibilities referred to in section 55(1) of the Act, ensure that a personal information impact assessment is done to ensure that adequate measures and standards exist in order to comply with the conditions for the lawful processing of personal information
[Must] An information officer must, in addition to the responsibilities referred to in section 55(1) of the Act, ensure that a manual is developed, monitored, maintained and made available as prescribed in sections 14 and 51 of the Promotion of Access to Information Act, 2000
[Must] An information officer must, in addition to the responsibilities referred to in section 55(1) of the Act, ensure that internal measures are developed together with adequate systems to process requests for information or access thereto
[Must] An information officer must, in addition to the responsibilities referred to in section 55(1) of the Act, ensure that internal awareness sessions are conducted regarding the provisions of the Act, regulations made in terms of the Act, codes of conduct, or information obtained from the Regulator
[Must] The information officer shall upon request by any person, provide copies of the manual to that person upon the payment of a fee to be determined by the Regulator from time to time</t>
        </is>
      </c>
      <c r="O624" s="8" t="inlineStr">
        <is>
          <t>An information officer must, in addition to the responsibilities referred to in section 55(1) of the Act, ensure that- (a) a compliance framework is developed, implemented, monitored and maintained (b) a personal information impact assessment is done to ensure that adequate measures and standards exist in order to comply with the conditions for the lawful processing of personal information; (c) a manual is developed, monitored, maintained and made available as prescribed in sections 14 and 51 of the Promotion of Access to Information Act, 2000; (d) internal measures are developed together with adequate systems to process requests for information or access thereto; and (e) internal awareness sessions are conducted regarding the provisions of the Act, regulations made in terms of the Act, codes of conduct, or information obtained from the Regulator.</t>
        </is>
      </c>
      <c r="P624" s="10" t="inlineStr">
        <is>
          <t>Open PDF</t>
        </is>
      </c>
    </row>
    <row r="625">
      <c r="A625" t="inlineStr">
        <is>
          <t>South Africa</t>
        </is>
      </c>
      <c r="B625" t="inlineStr">
        <is>
          <t>POPIA_Regulations_-_Dec_2018</t>
        </is>
      </c>
      <c r="C625" t="inlineStr">
        <is>
          <t>4</t>
        </is>
      </c>
      <c r="D625" s="8" t="inlineStr">
        <is>
          <t>THE REASON WHY AN ASSESSMENT IS REQUESTED</t>
        </is>
      </c>
      <c r="E625" t="inlineStr">
        <is>
          <t>29–30</t>
        </is>
      </c>
      <c r="F625" t="inlineStr">
        <is>
          <t>Other</t>
        </is>
      </c>
      <c r="G625" t="inlineStr">
        <is>
          <t>Unknown</t>
        </is>
      </c>
      <c r="H625" t="inlineStr">
        <is>
          <t>Low</t>
        </is>
      </c>
      <c r="I625" s="8" t="inlineStr"/>
      <c r="J625" s="8" t="inlineStr"/>
      <c r="K625" t="inlineStr"/>
      <c r="L625" s="8" t="inlineStr"/>
      <c r="M625" s="8" t="inlineStr"/>
      <c r="N625" s="8" t="inlineStr"/>
      <c r="O625" s="8" t="inlineStr"/>
      <c r="P625" s="10" t="inlineStr">
        <is>
          <t>Open PDF</t>
        </is>
      </c>
    </row>
    <row r="626">
      <c r="A626" t="inlineStr">
        <is>
          <t>South Africa</t>
        </is>
      </c>
      <c r="B626" t="inlineStr">
        <is>
          <t>POPIA_Regulations_-_Dec_2018</t>
        </is>
      </c>
      <c r="C626" t="inlineStr">
        <is>
          <t>4</t>
        </is>
      </c>
      <c r="D626" s="8" t="inlineStr">
        <is>
          <t>THE REASON WHY AN ASSESSMENT IS TO BE CONDUCTED/ NOT TO BE CONDUCTED</t>
        </is>
      </c>
      <c r="E626" t="inlineStr">
        <is>
          <t>31</t>
        </is>
      </c>
      <c r="F626" t="inlineStr">
        <is>
          <t>Other</t>
        </is>
      </c>
      <c r="G626" t="inlineStr">
        <is>
          <t>Low</t>
        </is>
      </c>
      <c r="H626" t="inlineStr">
        <is>
          <t>High (explicit)</t>
        </is>
      </c>
      <c r="I626" s="8" t="inlineStr"/>
      <c r="J626" s="8" t="inlineStr"/>
      <c r="K626" t="inlineStr"/>
      <c r="L626" s="8" t="inlineStr">
        <is>
          <t>Reason for conducting or not conducting assessment is specified.</t>
        </is>
      </c>
      <c r="M626" s="8" t="inlineStr">
        <is>
          <t>Reason for conducting or not conducting assessment is specified for compliance with POPIA.</t>
        </is>
      </c>
      <c r="N626" s="8" t="inlineStr">
        <is>
          <t>[Must] Reason why an assessment is to be conducted/not to be conducted is specified</t>
        </is>
      </c>
      <c r="O626" s="8" t="inlineStr">
        <is>
          <t>4. THE REASON WHY AN ASSESSMENT IS TO BE CONDUCTED/NOT TO BE CONDUCTED</t>
        </is>
      </c>
      <c r="P626" s="10" t="inlineStr">
        <is>
          <t>Open PDF</t>
        </is>
      </c>
    </row>
    <row r="627">
      <c r="A627" t="inlineStr">
        <is>
          <t>South Africa</t>
        </is>
      </c>
      <c r="B627" t="inlineStr">
        <is>
          <t>POPIA_Regulations_-_Dec_2018</t>
        </is>
      </c>
      <c r="C627" t="inlineStr">
        <is>
          <t>4</t>
        </is>
      </c>
      <c r="D627" s="8" t="inlineStr">
        <is>
          <t>(1)</t>
        </is>
      </c>
      <c r="E627" t="inlineStr">
        <is>
          <t>47</t>
        </is>
      </c>
      <c r="F627" t="inlineStr">
        <is>
          <t>Governance</t>
        </is>
      </c>
      <c r="G627" t="inlineStr">
        <is>
          <t>Low</t>
        </is>
      </c>
      <c r="H627" t="inlineStr">
        <is>
          <t>High (explicit)</t>
        </is>
      </c>
      <c r="I627" s="8" t="inlineStr">
        <is>
          <t>Governance</t>
        </is>
      </c>
      <c r="J627" s="8" t="inlineStr">
        <is>
          <t>Personal Information</t>
        </is>
      </c>
      <c r="K627" t="inlineStr">
        <is>
          <t>Information officer</t>
        </is>
      </c>
      <c r="L627" s="8" t="inlineStr">
        <is>
          <t>Information officers must develop, implement, monitor and maintain a compliance framework.</t>
        </is>
      </c>
      <c r="M627" s="8" t="inlineStr">
        <is>
          <t>Information officers must establish a compliance framework, conduct impact assessments, develop guidelines, and hold awareness sessions.</t>
        </is>
      </c>
      <c r="N627" s="8" t="inlineStr">
        <is>
          <t>[Must] Information officer must develop, implement, monitor and maintain a compliance framework
[Must] Information officer must conduct personal information impact assessments
[Must] Information officer must develop, monitor, maintain and provide guidelines as per the Access to Information Act
[Must] Information officer must develop internal policies and systems for information requests
[Must] Information officer must hold internal awareness sessions on the Act, regulations, codes of conduct, and regulatory information</t>
        </is>
      </c>
      <c r="O627" s="8" t="inlineStr">
        <is>
          <t>„n Inligtingsbeampte moet, bykomend tot die verantwoordelikhede in artikel 55(1) van die Wet beoog, verseker dat- (a) ‟n voldoeningsraamwerk ontwikkel, geïmplementeer, gemonitor en onderhou word; (b) ‟n persoonlike inligtingsimpakassessering gedoen word om te verseker dat voldoende maatreëls en standaarde bestaan ten einde te voldoen aan die voorwaardes vir die wettige verwerking van persoonlike inligting; (c) ‟n handleiding ontwikkel, gemonitor, onderhou en beskikbaar gestel word soos in artikels 14 en 51 van die Wet op Bevordering van Toegang tot Inligting, 2000 (Wet van 2000), voorgeskryf; (d) interne maatreëls ontwikkel word saam met voldoende stelsels om versoeke om inligting of toegang daartoe te verwerk; en (e) interne bewustheidsessies oor die bepalings van die Wet, regulasies ingevolge die Wet uitgevaardig, gedragskode, of inligting van die Reguleerder verkry, gehou word.</t>
        </is>
      </c>
      <c r="P627" s="10" t="inlineStr">
        <is>
          <t>Open PDF</t>
        </is>
      </c>
    </row>
    <row r="628">
      <c r="A628" t="inlineStr">
        <is>
          <t>South Africa</t>
        </is>
      </c>
      <c r="B628" t="inlineStr">
        <is>
          <t>POPIA_Regulations_-_Dec_2018</t>
        </is>
      </c>
      <c r="C628" t="inlineStr">
        <is>
          <t>4</t>
        </is>
      </c>
      <c r="D628" s="8" t="inlineStr">
        <is>
          <t>DIE REDE VIR DIE VERSOEK OM 'N OUDIT</t>
        </is>
      </c>
      <c r="E628" t="inlineStr">
        <is>
          <t>73–74</t>
        </is>
      </c>
      <c r="F628" t="inlineStr">
        <is>
          <t>Other</t>
        </is>
      </c>
      <c r="G628" t="inlineStr">
        <is>
          <t>None</t>
        </is>
      </c>
      <c r="H628" t="inlineStr">
        <is>
          <t>High (explicit)</t>
        </is>
      </c>
      <c r="I628" s="8" t="inlineStr"/>
      <c r="J628" s="8" t="inlineStr">
        <is>
          <t>Personal Information</t>
        </is>
      </c>
      <c r="K628" t="inlineStr"/>
      <c r="L628" s="8" t="inlineStr">
        <is>
          <t>Reasons for the request for an audit.</t>
        </is>
      </c>
      <c r="M628" s="8" t="inlineStr">
        <is>
          <t>Reasons for the request for an audit.</t>
        </is>
      </c>
      <c r="N628" s="8" t="inlineStr">
        <is>
          <t>[Must] State reasons for the request for an audit.</t>
        </is>
      </c>
      <c r="O628" s="8" t="inlineStr">
        <is>
          <t>4. DIE REDE VIR DIE VERSOEK OM 'N OUDIT</t>
        </is>
      </c>
      <c r="P628" s="10" t="inlineStr">
        <is>
          <t>Open PDF</t>
        </is>
      </c>
    </row>
    <row r="629">
      <c r="A629" t="inlineStr">
        <is>
          <t>South Africa</t>
        </is>
      </c>
      <c r="B629" t="inlineStr">
        <is>
          <t>POPIA_Regulations_-_Dec_2018</t>
        </is>
      </c>
      <c r="C629" t="inlineStr">
        <is>
          <t>4</t>
        </is>
      </c>
      <c r="D629" s="8" t="inlineStr">
        <is>
          <t>WAAROM 'N OUDIT GEDOEN GAAN WORD/NIE GEDOEN GAAN WORD NIE</t>
        </is>
      </c>
      <c r="E629" t="inlineStr">
        <is>
          <t>75</t>
        </is>
      </c>
      <c r="F629" t="inlineStr">
        <is>
          <t>Other</t>
        </is>
      </c>
      <c r="G629" t="inlineStr">
        <is>
          <t>None</t>
        </is>
      </c>
      <c r="H629" t="inlineStr">
        <is>
          <t>High (explicit)</t>
        </is>
      </c>
      <c r="I629" s="8" t="inlineStr"/>
      <c r="J629" s="8" t="inlineStr">
        <is>
          <t>Personal Information</t>
        </is>
      </c>
      <c r="K629" t="inlineStr"/>
      <c r="L629" s="8" t="inlineStr">
        <is>
          <t>Reasons for the request for an audit.</t>
        </is>
      </c>
      <c r="M629" s="8" t="inlineStr">
        <is>
          <t>Reasons for the request for an audit.</t>
        </is>
      </c>
      <c r="N629" s="8" t="inlineStr">
        <is>
          <t>[Must] State reasons for the request for an audit.</t>
        </is>
      </c>
      <c r="O629" s="8" t="inlineStr">
        <is>
          <t>4. DIE REDE VIR DIE VERSOEK OM 'N OUDIT</t>
        </is>
      </c>
      <c r="P629" s="10" t="inlineStr">
        <is>
          <t>Open PDF</t>
        </is>
      </c>
    </row>
    <row r="630">
      <c r="A630" t="inlineStr">
        <is>
          <t>South Africa</t>
        </is>
      </c>
      <c r="B630" t="inlineStr">
        <is>
          <t>POPIA_Regulations_-_Dec_2018</t>
        </is>
      </c>
      <c r="C630" t="inlineStr">
        <is>
          <t>5</t>
        </is>
      </c>
      <c r="D630" s="8" t="inlineStr">
        <is>
          <t>A private or public body which is sufficiently representative of any class of</t>
        </is>
      </c>
      <c r="E630" t="inlineStr">
        <is>
          <t>3–4</t>
        </is>
      </c>
      <c r="F630" t="inlineStr">
        <is>
          <t>Other</t>
        </is>
      </c>
      <c r="G630" t="inlineStr">
        <is>
          <t>None</t>
        </is>
      </c>
      <c r="H630" t="inlineStr">
        <is>
          <t>High (explicit)</t>
        </is>
      </c>
      <c r="I630" s="8" t="inlineStr"/>
      <c r="J630" s="8" t="inlineStr">
        <is>
          <t>Personal Information</t>
        </is>
      </c>
      <c r="K630" t="inlineStr"/>
      <c r="L630" s="8" t="inlineStr">
        <is>
          <t>Private or public bodies can apply for codes of conduct to the Regulator on Form 3 for industry-specific standards.</t>
        </is>
      </c>
      <c r="M630" s="8" t="inlineStr">
        <is>
          <t>Bodies can apply for codes of conduct via Form 3; Regulator may issue codes of conduct.</t>
        </is>
      </c>
      <c r="N630" s="8" t="inlineStr">
        <is>
          <t>[Must] 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c r="O630" s="8" t="inlineStr">
        <is>
          <t>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c r="P630" s="10" t="inlineStr">
        <is>
          <t>Open PDF</t>
        </is>
      </c>
    </row>
    <row r="631">
      <c r="A631" t="inlineStr">
        <is>
          <t>South Africa</t>
        </is>
      </c>
      <c r="B631" t="inlineStr">
        <is>
          <t>POPIA_Regulations_-_Dec_2018</t>
        </is>
      </c>
      <c r="C631" t="inlineStr">
        <is>
          <t>5</t>
        </is>
      </c>
      <c r="D631" s="8" t="inlineStr">
        <is>
          <t>SPECIFIC ASPECTS OF THE PROCESSING OF INFORMATION THAT THE ASSESSMENT</t>
        </is>
      </c>
      <c r="E631" t="inlineStr">
        <is>
          <t>30</t>
        </is>
      </c>
      <c r="F631" t="inlineStr">
        <is>
          <t>Other</t>
        </is>
      </c>
      <c r="G631" t="inlineStr">
        <is>
          <t>Unknown</t>
        </is>
      </c>
      <c r="H631" t="inlineStr">
        <is>
          <t>Low</t>
        </is>
      </c>
      <c r="I631" s="8" t="inlineStr"/>
      <c r="J631" s="8" t="inlineStr"/>
      <c r="K631" t="inlineStr"/>
      <c r="L631" s="8" t="inlineStr"/>
      <c r="M631" s="8" t="inlineStr"/>
      <c r="N631" s="8" t="inlineStr"/>
      <c r="O631" s="8" t="inlineStr"/>
      <c r="P631" s="10" t="inlineStr">
        <is>
          <t>Open PDF</t>
        </is>
      </c>
    </row>
    <row r="632">
      <c r="A632" t="inlineStr">
        <is>
          <t>South Africa</t>
        </is>
      </c>
      <c r="B632" t="inlineStr">
        <is>
          <t>POPIA_Regulations_-_Dec_2018</t>
        </is>
      </c>
      <c r="C632" t="inlineStr">
        <is>
          <t>5</t>
        </is>
      </c>
      <c r="D632" s="8" t="inlineStr">
        <is>
          <t>SPECIFIC ASPECTS OF THE PROCESSING OF INFORMATION THAT THE ASSESSMENT</t>
        </is>
      </c>
      <c r="E632" t="inlineStr">
        <is>
          <t>31–45</t>
        </is>
      </c>
      <c r="F632" t="inlineStr">
        <is>
          <t>Other</t>
        </is>
      </c>
      <c r="G632" t="inlineStr">
        <is>
          <t>Low</t>
        </is>
      </c>
      <c r="H632" t="inlineStr">
        <is>
          <t>High (explicit)</t>
        </is>
      </c>
      <c r="I632" s="8" t="inlineStr"/>
      <c r="J632" s="8" t="inlineStr"/>
      <c r="K632" t="inlineStr"/>
      <c r="L632" s="8" t="inlineStr">
        <is>
          <t>Specific aspects of processing that assessment should address are specified.</t>
        </is>
      </c>
      <c r="M632" s="8" t="inlineStr">
        <is>
          <t>Specific aspects of processing that assessment should address are specified for compliance with POPIA.</t>
        </is>
      </c>
      <c r="N632" s="8" t="inlineStr">
        <is>
          <t>[Must] Specific aspects of processing of information that the assessment should address are specified</t>
        </is>
      </c>
      <c r="O632" s="8" t="inlineStr">
        <is>
          <t>5. SPECIFIC ASPECTS OF THE PROCESSING OF INFORMATION THAT THE ASSESSMENT SHOULD ADDRESS</t>
        </is>
      </c>
      <c r="P632" s="10" t="inlineStr">
        <is>
          <t>Open PDF</t>
        </is>
      </c>
    </row>
    <row r="633">
      <c r="A633" t="inlineStr">
        <is>
          <t>South Africa</t>
        </is>
      </c>
      <c r="B633" t="inlineStr">
        <is>
          <t>POPIA_Regulations_-_Dec_2018</t>
        </is>
      </c>
      <c r="C633" t="inlineStr">
        <is>
          <t>5</t>
        </is>
      </c>
      <c r="D633" s="8" t="inlineStr">
        <is>
          <t>‟n Privaat of openbare liggaam wat voldoende verteenwoordigend van enige klas</t>
        </is>
      </c>
      <c r="E633" t="inlineStr">
        <is>
          <t>47–48</t>
        </is>
      </c>
      <c r="F633" t="inlineStr">
        <is>
          <t>Data Subject Rights</t>
        </is>
      </c>
      <c r="G633" t="inlineStr">
        <is>
          <t>Low</t>
        </is>
      </c>
      <c r="H633" t="inlineStr">
        <is>
          <t>High (explicit)</t>
        </is>
      </c>
      <c r="I633" s="8" t="inlineStr"/>
      <c r="J633" s="8" t="inlineStr">
        <is>
          <t>Personal Information</t>
        </is>
      </c>
      <c r="K633" t="inlineStr">
        <is>
          <t>Regulator</t>
        </is>
      </c>
      <c r="L633" s="8" t="inlineStr">
        <is>
          <t>Organizations must submit a request form to the regulator for the issuance of a code of conduct under Article 61(1)(b) of the Act.</t>
        </is>
      </c>
      <c r="M633" s="8" t="inlineStr">
        <is>
          <t>Organizations can request a code of conduct via Form 3; regulator must process the request.</t>
        </is>
      </c>
      <c r="N633" s="8" t="inlineStr">
        <is>
          <t>[Must] Organization must submit Form 3 to regulator for code of conduct under Article 61(1)(b) of the Act</t>
        </is>
      </c>
      <c r="O633" s="8" t="inlineStr">
        <is>
          <t>„n Privaat of openbare liggaam wat voldoende verteenwoordigend van enige klas van liggame, of van enige nywerheid, professie of ambag is wat om die uitreiking van ‟n gedragskode ingevolge artikel 61(1)(b) van die Wet wil aansoek doen, moet ‟n aansoek op Vorm 3 aan die Reguleerder voorlê.</t>
        </is>
      </c>
      <c r="P633" s="10" t="inlineStr">
        <is>
          <t>Open PDF</t>
        </is>
      </c>
    </row>
    <row r="634">
      <c r="A634" t="inlineStr">
        <is>
          <t>South Africa</t>
        </is>
      </c>
      <c r="B634" t="inlineStr">
        <is>
          <t>POPIA_Regulations_-_Dec_2018</t>
        </is>
      </c>
      <c r="C634" t="inlineStr">
        <is>
          <t>5</t>
        </is>
      </c>
      <c r="D634" s="8" t="inlineStr">
        <is>
          <t>SPESIFIEKE ASPEKTE VAN DIE VERWERKING VAN INLIGTING WAAROP DIE OUDIT MOET</t>
        </is>
      </c>
      <c r="E634" t="inlineStr">
        <is>
          <t>74</t>
        </is>
      </c>
      <c r="F634" t="inlineStr">
        <is>
          <t>Other</t>
        </is>
      </c>
      <c r="G634" t="inlineStr">
        <is>
          <t>None</t>
        </is>
      </c>
      <c r="H634" t="inlineStr">
        <is>
          <t>High (explicit)</t>
        </is>
      </c>
      <c r="I634" s="8" t="inlineStr"/>
      <c r="J634" s="8" t="inlineStr">
        <is>
          <t>Personal Information</t>
        </is>
      </c>
      <c r="K634" t="inlineStr"/>
      <c r="L634" s="8" t="inlineStr">
        <is>
          <t>Specific aspects of information processing that the audit must cover.</t>
        </is>
      </c>
      <c r="M634" s="8" t="inlineStr">
        <is>
          <t>Specific aspects of information processing that the audit must cover.</t>
        </is>
      </c>
      <c r="N634" s="8" t="inlineStr">
        <is>
          <t>[Must] Specify specific aspects of information processing that the audit must cover.</t>
        </is>
      </c>
      <c r="O634" s="8" t="inlineStr">
        <is>
          <t>5. SPESIFIEKE ASPEKTE VAN DIE VERWERKING VAN INLIGTING WAAROP DIE OUDIT MOET INGAAN</t>
        </is>
      </c>
      <c r="P634" s="10" t="inlineStr">
        <is>
          <t>Open PDF</t>
        </is>
      </c>
    </row>
    <row r="635">
      <c r="A635" t="inlineStr">
        <is>
          <t>South Africa</t>
        </is>
      </c>
      <c r="B635" t="inlineStr">
        <is>
          <t>POPIA_Regulations_-_Dec_2018</t>
        </is>
      </c>
      <c r="C635" t="inlineStr">
        <is>
          <t>5</t>
        </is>
      </c>
      <c r="D635" s="8" t="inlineStr">
        <is>
          <t>SPESIFIEKE ASPEKTE VAN DIE VERWERKING VAN INLIGTING WAAROP DIE OUDIT MOET</t>
        </is>
      </c>
      <c r="E635" t="inlineStr">
        <is>
          <t>75–89</t>
        </is>
      </c>
      <c r="F635" t="inlineStr">
        <is>
          <t>Other</t>
        </is>
      </c>
      <c r="G635" t="inlineStr">
        <is>
          <t>None</t>
        </is>
      </c>
      <c r="H635" t="inlineStr">
        <is>
          <t>High (explicit)</t>
        </is>
      </c>
      <c r="I635" s="8" t="inlineStr"/>
      <c r="J635" s="8" t="inlineStr"/>
      <c r="K635" t="inlineStr"/>
      <c r="L635" s="8" t="inlineStr">
        <is>
          <t>Section 5 outlines specific aspects of information processing that the auditor must review.</t>
        </is>
      </c>
      <c r="M635" s="8" t="inlineStr"/>
      <c r="N635" s="8" t="inlineStr"/>
      <c r="O635" s="8" t="inlineStr">
        <is>
          <t>5. SPESIFIEKE ASPEKTE VAN DIE VERWERKING VAN INLIGTING WAAROP DIE OUDIT MOET INGAAN</t>
        </is>
      </c>
      <c r="P635" s="10" t="inlineStr">
        <is>
          <t>Open PDF</t>
        </is>
      </c>
    </row>
    <row r="636">
      <c r="A636" t="inlineStr">
        <is>
          <t>South Africa</t>
        </is>
      </c>
      <c r="B636" t="inlineStr">
        <is>
          <t>POPIA_Regulations_-_Dec_2018</t>
        </is>
      </c>
      <c r="C636" t="inlineStr">
        <is>
          <t>6</t>
        </is>
      </c>
      <c r="D636" s="8" t="inlineStr">
        <is>
          <t>A responsible party who wishes to process personal information of a data subject</t>
        </is>
      </c>
      <c r="E636" t="inlineStr">
        <is>
          <t>4</t>
        </is>
      </c>
      <c r="F636" t="inlineStr">
        <is>
          <t>Consent</t>
        </is>
      </c>
      <c r="G636" t="inlineStr">
        <is>
          <t>None</t>
        </is>
      </c>
      <c r="H636" t="inlineStr">
        <is>
          <t>High (explicit)</t>
        </is>
      </c>
      <c r="I636" s="8" t="inlineStr">
        <is>
          <t>Consent</t>
        </is>
      </c>
      <c r="J636" s="8" t="inlineStr">
        <is>
          <t>Personal Information</t>
        </is>
      </c>
      <c r="K636" t="inlineStr"/>
      <c r="L636" s="8" t="inlineStr">
        <is>
          <t>Responsible parties must obtain written consent for direct marketing via electronic communication using Form 4.</t>
        </is>
      </c>
      <c r="M636" s="8" t="inlineStr">
        <is>
          <t>Responsible parties must obtain written consent for direct marketing via Form 4.</t>
        </is>
      </c>
      <c r="N636" s="8" t="inlineStr">
        <is>
          <t>[Must] A responsible party who wishes to process personal information of a data subject for the purpose of direct marketing by electronic communication must in terms of section 69(2) of the Act submit a request for written consent to that data subject on Form 4</t>
        </is>
      </c>
      <c r="O636" s="8" t="inlineStr">
        <is>
          <t>A responsible party who wishes to process personal information of a data subject for the purpose of direct marketing by electronic communication must in terms of section 69(2) of the Act submit a request for written consent to that data subject on Form 4.</t>
        </is>
      </c>
      <c r="P636" s="10" t="inlineStr">
        <is>
          <t>Open PDF</t>
        </is>
      </c>
    </row>
    <row r="637">
      <c r="A637" t="inlineStr">
        <is>
          <t>South Africa</t>
        </is>
      </c>
      <c r="B637" t="inlineStr">
        <is>
          <t>POPIA_Regulations_-_Dec_2018</t>
        </is>
      </c>
      <c r="C637" t="inlineStr">
        <is>
          <t>6</t>
        </is>
      </c>
      <c r="D637" s="8" t="inlineStr">
        <is>
          <t>PERIOD</t>
        </is>
      </c>
      <c r="E637" t="inlineStr">
        <is>
          <t>30</t>
        </is>
      </c>
      <c r="F637" t="inlineStr">
        <is>
          <t>Other</t>
        </is>
      </c>
      <c r="G637" t="inlineStr">
        <is>
          <t>Unknown</t>
        </is>
      </c>
      <c r="H637" t="inlineStr">
        <is>
          <t>Low</t>
        </is>
      </c>
      <c r="I637" s="8" t="inlineStr"/>
      <c r="J637" s="8" t="inlineStr"/>
      <c r="K637" t="inlineStr"/>
      <c r="L637" s="8" t="inlineStr"/>
      <c r="M637" s="8" t="inlineStr"/>
      <c r="N637" s="8" t="inlineStr"/>
      <c r="O637" s="8" t="inlineStr"/>
      <c r="P637" s="10" t="inlineStr">
        <is>
          <t>Open PDF</t>
        </is>
      </c>
    </row>
    <row r="638">
      <c r="A638" t="inlineStr">
        <is>
          <t>South Africa</t>
        </is>
      </c>
      <c r="B638" t="inlineStr">
        <is>
          <t>POPIA_Regulations_-_Dec_2018</t>
        </is>
      </c>
      <c r="C638" t="inlineStr">
        <is>
          <t>6</t>
        </is>
      </c>
      <c r="D638" s="8" t="inlineStr">
        <is>
          <t>„n Verantwoordelike party wat die persoonlike inligting van ‟n datasubjek wil</t>
        </is>
      </c>
      <c r="E638" t="inlineStr">
        <is>
          <t>48</t>
        </is>
      </c>
      <c r="F638" t="inlineStr">
        <is>
          <t>Data Subject Rights</t>
        </is>
      </c>
      <c r="G638" t="inlineStr">
        <is>
          <t>Low</t>
        </is>
      </c>
      <c r="H638" t="inlineStr">
        <is>
          <t>High (explicit)</t>
        </is>
      </c>
      <c r="I638" s="8" t="inlineStr">
        <is>
          <t>Consent</t>
        </is>
      </c>
      <c r="J638" s="8" t="inlineStr">
        <is>
          <t>Personal Information</t>
        </is>
      </c>
      <c r="K638" t="inlineStr">
        <is>
          <t>Responsible party</t>
        </is>
      </c>
      <c r="L638" s="8" t="inlineStr">
        <is>
          <t>Responsible parties must obtain written consent from data subjects for direct marketing via electronic communication under Article 69(2) of the Act.</t>
        </is>
      </c>
      <c r="M638" s="8" t="inlineStr">
        <is>
          <t>Responsible parties must obtain written consent for direct marketing via Form 4; data subjects must provide consent for electronic communication.</t>
        </is>
      </c>
      <c r="N638" s="8" t="inlineStr">
        <is>
          <t>[Must] Responsible party must obtain written consent from data subject for direct marketing via electronic communication under Article 69(2) of the Act</t>
        </is>
      </c>
      <c r="O638" s="8" t="inlineStr">
        <is>
          <t>„n Verantwoordelike party wat die persoonlike inligting van ‟n datasubjek wil verwerk met die oog op regstreekse bemarking deur elektroniese kommunikasie moet ingevolge artikel 69(2) van die Wet ‟n versoek om skriftelike toestemming op Vorm 4 aan daardie datasubjek voorlê.</t>
        </is>
      </c>
      <c r="P638" s="10" t="inlineStr">
        <is>
          <t>Open PDF</t>
        </is>
      </c>
    </row>
    <row r="639">
      <c r="A639" t="inlineStr">
        <is>
          <t>South Africa</t>
        </is>
      </c>
      <c r="B639" t="inlineStr">
        <is>
          <t>POPIA_Regulations_-_Dec_2018</t>
        </is>
      </c>
      <c r="C639" t="inlineStr">
        <is>
          <t>6</t>
        </is>
      </c>
      <c r="D639" s="8" t="inlineStr">
        <is>
          <t>TYDPERK</t>
        </is>
      </c>
      <c r="E639" t="inlineStr">
        <is>
          <t>74</t>
        </is>
      </c>
      <c r="F639" t="inlineStr">
        <is>
          <t>Other</t>
        </is>
      </c>
      <c r="G639" t="inlineStr">
        <is>
          <t>None</t>
        </is>
      </c>
      <c r="H639" t="inlineStr">
        <is>
          <t>High (explicit)</t>
        </is>
      </c>
      <c r="I639" s="8" t="inlineStr"/>
      <c r="J639" s="8" t="inlineStr">
        <is>
          <t>Personal Information</t>
        </is>
      </c>
      <c r="K639" t="inlineStr"/>
      <c r="L639" s="8" t="inlineStr">
        <is>
          <t>Time period for the audit request.</t>
        </is>
      </c>
      <c r="M639" s="8" t="inlineStr">
        <is>
          <t>Time period for the audit request.</t>
        </is>
      </c>
      <c r="N639" s="8" t="inlineStr">
        <is>
          <t>[Must] State the date when the audit request became known.
[Must] Explain the reason for the delay in requesting the audit (if any).</t>
        </is>
      </c>
      <c r="O639" s="8" t="inlineStr">
        <is>
          <t>6. TYDPERK Ek het die eerste keer op die ......... dag van .......... 20..... daarvan bewus geword dat die verwerking van inligting geoudit moet word</t>
        </is>
      </c>
      <c r="P639" s="10" t="inlineStr">
        <is>
          <t>Open PDF</t>
        </is>
      </c>
    </row>
    <row r="640">
      <c r="A640" t="inlineStr">
        <is>
          <t>South Africa</t>
        </is>
      </c>
      <c r="B640" t="inlineStr">
        <is>
          <t>POPIA_Regulations_-_Dec_2018</t>
        </is>
      </c>
      <c r="C640" t="inlineStr">
        <is>
          <t>7</t>
        </is>
      </c>
      <c r="D640" s="8" t="inlineStr">
        <is>
          <t>(1)</t>
        </is>
      </c>
      <c r="E640" t="inlineStr">
        <is>
          <t>4</t>
        </is>
      </c>
      <c r="F640" t="inlineStr">
        <is>
          <t>Incident Reporting</t>
        </is>
      </c>
      <c r="G640" t="inlineStr">
        <is>
          <t>None</t>
        </is>
      </c>
      <c r="H640" t="inlineStr">
        <is>
          <t>High (explicit)</t>
        </is>
      </c>
      <c r="I640" s="8" t="inlineStr">
        <is>
          <t>Incident Reporting</t>
        </is>
      </c>
      <c r="J640" s="8" t="inlineStr">
        <is>
          <t>Personal Information</t>
        </is>
      </c>
      <c r="K640" t="inlineStr"/>
      <c r="L640" s="8" t="inlineStr">
        <is>
          <t>Complaints must be submitted to the Regulator on Form 5 for investigation under section 74 of the Act.</t>
        </is>
      </c>
      <c r="M640" s="8" t="inlineStr">
        <is>
          <t>Complaints must be submitted to the Regulator on Form 5; Regulator handles complaints via Form 5.</t>
        </is>
      </c>
      <c r="N640"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640"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c r="P640" s="10" t="inlineStr">
        <is>
          <t>Open PDF</t>
        </is>
      </c>
    </row>
    <row r="641">
      <c r="A641" t="inlineStr">
        <is>
          <t>South Africa</t>
        </is>
      </c>
      <c r="B641" t="inlineStr">
        <is>
          <t>POPIA_Regulations_-_Dec_2018</t>
        </is>
      </c>
      <c r="C641" t="inlineStr">
        <is>
          <t>7</t>
        </is>
      </c>
      <c r="D641" s="8" t="inlineStr">
        <is>
          <t>DATA SUBJECT PARTICIPATION:</t>
        </is>
      </c>
      <c r="E641" t="inlineStr">
        <is>
          <t>30</t>
        </is>
      </c>
      <c r="F641" t="inlineStr">
        <is>
          <t>Data Subject Rights</t>
        </is>
      </c>
      <c r="G641" t="inlineStr">
        <is>
          <t>Low</t>
        </is>
      </c>
      <c r="H641" t="inlineStr">
        <is>
          <t>High (explicit)</t>
        </is>
      </c>
      <c r="I641" s="8" t="inlineStr"/>
      <c r="J641" s="8" t="inlineStr">
        <is>
          <t>Personal Information</t>
        </is>
      </c>
      <c r="K641" t="inlineStr"/>
      <c r="L641" s="8" t="inlineStr">
        <is>
          <t>Data subject has right to access and correct personal information held by responsible party as per POPIA sections 23 and 24.</t>
        </is>
      </c>
      <c r="M641" s="8" t="inlineStr">
        <is>
          <t>Data subject rights require access and correction of personal information under POPIA sections 23 and 24.</t>
        </is>
      </c>
      <c r="N641" s="8" t="inlineStr">
        <is>
          <t>[Must] Data subject has right to access personal information held by responsible party in terms of section 23 of POPIA
[Must] Data subject has right to request correction of personal information held by responsible party in terms of section 24 of POPIA</t>
        </is>
      </c>
      <c r="O641" s="8" t="inlineStr">
        <is>
          <t>Does the requester: Have the right to access personal information held by the responsible party in terms of section 23 of the Protection of Personal Information Act 4 of 2013: Yes/No/Not applicable. Have to right to request the responsible party to correct personal information in terms of section 24 of the Protection of Personal Information Act 4 of 2013: Yes/No/Not applicable.</t>
        </is>
      </c>
      <c r="P641" s="10" t="inlineStr">
        <is>
          <t>Open PDF</t>
        </is>
      </c>
    </row>
    <row r="642">
      <c r="A642" t="inlineStr">
        <is>
          <t>South Africa</t>
        </is>
      </c>
      <c r="B642" t="inlineStr">
        <is>
          <t>POPIA_Regulations_-_Dec_2018</t>
        </is>
      </c>
      <c r="C642" t="inlineStr">
        <is>
          <t>7</t>
        </is>
      </c>
      <c r="D642" s="8" t="inlineStr">
        <is>
          <t>(1)</t>
        </is>
      </c>
      <c r="E642" t="inlineStr">
        <is>
          <t>48</t>
        </is>
      </c>
      <c r="F642" t="inlineStr">
        <is>
          <t>Other</t>
        </is>
      </c>
      <c r="G642" t="inlineStr">
        <is>
          <t>Low</t>
        </is>
      </c>
      <c r="H642" t="inlineStr">
        <is>
          <t>High (explicit)</t>
        </is>
      </c>
      <c r="I642" s="8" t="inlineStr"/>
      <c r="J642" s="8" t="inlineStr">
        <is>
          <t>Personal Information</t>
        </is>
      </c>
      <c r="K642" t="inlineStr">
        <is>
          <t>Regulator</t>
        </is>
      </c>
      <c r="L642" s="8" t="inlineStr">
        <is>
          <t>Complaints must be submitted to the regulator in the form of Form 5.</t>
        </is>
      </c>
      <c r="M642" s="8" t="inlineStr">
        <is>
          <t>Complaints must be filed with the regulator using Form 5; regulator must process complaints.</t>
        </is>
      </c>
      <c r="N642" s="8" t="inlineStr">
        <is>
          <t>[Must] Complainant must submit complaint to regulator on Form 5</t>
        </is>
      </c>
      <c r="O642" s="8" t="inlineStr">
        <is>
          <t>Enigiemand wat ‟n klagte in artikel 74(1) van die Wet bedoel, wil voorlê, moet sodanige klagte op Deel I van Vorm 5 aan die Reguleerder voorlê.</t>
        </is>
      </c>
      <c r="P642" s="10" t="inlineStr">
        <is>
          <t>Open PDF</t>
        </is>
      </c>
    </row>
    <row r="643">
      <c r="A643" t="inlineStr">
        <is>
          <t>South Africa</t>
        </is>
      </c>
      <c r="B643" t="inlineStr">
        <is>
          <t>POPIA_Regulations_-_Dec_2018</t>
        </is>
      </c>
      <c r="C643" t="inlineStr">
        <is>
          <t>7</t>
        </is>
      </c>
      <c r="D643" s="8" t="inlineStr">
        <is>
          <t>DATASUBJEK DEELNAME:</t>
        </is>
      </c>
      <c r="E643" t="inlineStr">
        <is>
          <t>74</t>
        </is>
      </c>
      <c r="F643" t="inlineStr">
        <is>
          <t>Other</t>
        </is>
      </c>
      <c r="G643" t="inlineStr">
        <is>
          <t>None</t>
        </is>
      </c>
      <c r="H643" t="inlineStr">
        <is>
          <t>High (explicit)</t>
        </is>
      </c>
      <c r="I643" s="8" t="inlineStr">
        <is>
          <t>Data Sharing, Data Storage</t>
        </is>
      </c>
      <c r="J643" s="8" t="inlineStr">
        <is>
          <t>Personal Information</t>
        </is>
      </c>
      <c r="K643" t="inlineStr"/>
      <c r="L643" s="8" t="inlineStr">
        <is>
          <t>Data subject's participation in the audit request.</t>
        </is>
      </c>
      <c r="M643" s="8" t="inlineStr">
        <is>
          <t>Data subject's participation in the audit request.</t>
        </is>
      </c>
      <c r="N643" s="8" t="inlineStr">
        <is>
          <t>[Must] Indicate whether the data subject has the right to access personal information.
[Must] Indicate whether the data subject has the right to correct personal information.</t>
        </is>
      </c>
      <c r="O643" s="8" t="inlineStr">
        <is>
          <t>7. DATASUBJEK DEELNAME: Het die versoeker: Die reg op toegang tot die persoonlike inligting wat die verantwoordelike party ingevolge artikel 23 van die Wet op Beskerming van Persoonlike Inligting, 2013, hou</t>
        </is>
      </c>
      <c r="P643" s="10" t="inlineStr">
        <is>
          <t>Open PDF</t>
        </is>
      </c>
    </row>
    <row r="644">
      <c r="A644" t="inlineStr">
        <is>
          <t>South Africa</t>
        </is>
      </c>
      <c r="B644" t="inlineStr">
        <is>
          <t>POPIA_Regulations_-_Dec_2018</t>
        </is>
      </c>
      <c r="C644" t="inlineStr">
        <is>
          <t>8</t>
        </is>
      </c>
      <c r="D644" s="8" t="inlineStr">
        <is>
          <t>(1)</t>
        </is>
      </c>
      <c r="E644" t="inlineStr">
        <is>
          <t>4–5</t>
        </is>
      </c>
      <c r="F644" t="inlineStr">
        <is>
          <t>Incident Reporting</t>
        </is>
      </c>
      <c r="G644" t="inlineStr">
        <is>
          <t>None</t>
        </is>
      </c>
      <c r="H644" t="inlineStr">
        <is>
          <t>High (explicit)</t>
        </is>
      </c>
      <c r="I644" s="8" t="inlineStr">
        <is>
          <t>Incident Reporting</t>
        </is>
      </c>
      <c r="J644" s="8" t="inlineStr">
        <is>
          <t>Personal Information</t>
        </is>
      </c>
      <c r="K644" t="inlineStr"/>
      <c r="L644" s="8" t="inlineStr">
        <is>
          <t>Regulator must inform data subjects and responsible parties of conciliation meetings and issues during complaint investigations.</t>
        </is>
      </c>
      <c r="M644" s="8" t="inlineStr">
        <is>
          <t>Regulator must inform data subjects and responsible parties of conciliation meetings and issues during investigations.</t>
        </is>
      </c>
      <c r="N644" s="8" t="inlineStr">
        <is>
          <t>[Must] 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[May] The Regulator may consolidate separate complaints, which are alleged to relate to the same interference with the protection of personal information by the same responsible party, in order to deal with the complaints in the same conciliation proceedings
[Must] The Regulator must ensure that all persons entitled to attend the conciliation meeting are notified within a reasonable time, of the date, time and place of the meeting
[May] The Regulator may request all the relevant documentation relating to the complaint from the data subject and the responsible party
[May] The Regulator may confer with the parties in person, by electronic communication means, or by any other means as is deemed appropriate
[Must] Where a conciliation meeting fails to take place, the Regulator must arrange for an alternative date and notify the persons entitled to attend the conciliation meeting accordingly
[Must] The Regulator must issue a conciliation certificate on Form 7 within a reasonable time after the date of the conclusion of the conciliation meeting
[Must] If the complaint is not resolved, or either or both of the parties did not attend a conciliation meeting, the Regulator must proceed with the complaint as provided for in terms of section 76 of the Act</t>
        </is>
      </c>
      <c r="O644" s="8" t="inlineStr">
        <is>
          <t>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The Regulator- (a) may consolidate separate complaints, which are alleged to relate to the same interference with the protection of personal information by the same responsible party, in order to deal with the complaints in the same conciliation proceedings; (b) must ensure that all persons entitled to attend the conciliation meeting are notified within a reasonable time, of the date, time and place of the meeting; (c) may request all the relevant documentation relating to the complaint from the data subject and the responsible party; and (d) may confer with the parties in person, by electronic communication means, or by any other means as is deemed appropriate. Where a conciliation meeting fails to take place, the Regulator must arrange for an alternative date and notify the persons entitled to attend the conciliation meeting accordingly. The Regulator must issue a conciliation certificate on Form 7 within a reasonable time after the date of the conclusion of the conciliation meeting. If the complaint is not resolved, or either or both of the parties did not attend a conciliation meeting, the Regulator must proceed with the complaint as provided for in terms of section 76 of the Act.</t>
        </is>
      </c>
      <c r="P644" s="10" t="inlineStr">
        <is>
          <t>Open PDF</t>
        </is>
      </c>
    </row>
    <row r="645">
      <c r="A645" t="inlineStr">
        <is>
          <t>South Africa</t>
        </is>
      </c>
      <c r="B645" t="inlineStr">
        <is>
          <t>POPIA_Regulations_-_Dec_2018</t>
        </is>
      </c>
      <c r="C645" t="inlineStr">
        <is>
          <t>8</t>
        </is>
      </c>
      <c r="D645" s="8" t="inlineStr">
        <is>
          <t>(1)</t>
        </is>
      </c>
      <c r="E645" t="inlineStr">
        <is>
          <t>48–49</t>
        </is>
      </c>
      <c r="F645" t="inlineStr">
        <is>
          <t>Other</t>
        </is>
      </c>
      <c r="G645" t="inlineStr">
        <is>
          <t>Low</t>
        </is>
      </c>
      <c r="H645" t="inlineStr">
        <is>
          <t>High (explicit)</t>
        </is>
      </c>
      <c r="I645" s="8" t="inlineStr"/>
      <c r="J645" s="8" t="inlineStr">
        <is>
          <t>Personal Information</t>
        </is>
      </c>
      <c r="K645" t="inlineStr">
        <is>
          <t>Regulator</t>
        </is>
      </c>
      <c r="L645" s="8" t="inlineStr">
        <is>
          <t>Regulator may act as mediator during complaint investigations.</t>
        </is>
      </c>
      <c r="M645" s="8" t="inlineStr">
        <is>
          <t>Regulator may act as mediator during complaint investigations; must inform parties of mediation proceedings.</t>
        </is>
      </c>
      <c r="N645" s="8" t="inlineStr">
        <is>
          <t>[May] Regulator may act as mediator during complaint investigations
[Must] Regulator must inform data subject and responsible party of mediation proceedings</t>
        </is>
      </c>
      <c r="O645" s="8" t="inlineStr">
        <is>
          <t>Indien die Reguleerder tydens die ondersoek van ‟n klagte besluit om ingevolge artikel 76(1)(b) van die Wet as ‟n konsiliator op te tree, en ‟n konsiliasievergadering saamroep, moet die Reguleerder, so gou as prakties moontlik, die datasubjek en die geïmpliseerde verantwoordelike party op Vorm 6 oor die volgende in kennis stel: (a) die Reguleerder se besluit om as ‟n konsiliator in die aangeleentheid op te tree; en (b) die datum, tyd en plek van die konsiliasievergadering.</t>
        </is>
      </c>
      <c r="P645" s="10" t="inlineStr">
        <is>
          <t>Open PDF</t>
        </is>
      </c>
    </row>
    <row r="646">
      <c r="A646" t="inlineStr">
        <is>
          <t>South Africa</t>
        </is>
      </c>
      <c r="B646" t="inlineStr">
        <is>
          <t>POPIA_Regulations_-_Dec_2018</t>
        </is>
      </c>
      <c r="C646" t="inlineStr">
        <is>
          <t>9</t>
        </is>
      </c>
      <c r="D646" s="8" t="inlineStr">
        <is>
          <t>(1) If the Regulator intends to investigate any matter contemplated in Chapter 10</t>
        </is>
      </c>
      <c r="E646" t="inlineStr">
        <is>
          <t>5–6</t>
        </is>
      </c>
      <c r="F646" t="inlineStr">
        <is>
          <t>Incident Reporting</t>
        </is>
      </c>
      <c r="G646" t="inlineStr">
        <is>
          <t>None</t>
        </is>
      </c>
      <c r="H646" t="inlineStr">
        <is>
          <t>High (explicit)</t>
        </is>
      </c>
      <c r="I646" s="8" t="inlineStr">
        <is>
          <t>Incident Reporting</t>
        </is>
      </c>
      <c r="J646" s="8" t="inlineStr">
        <is>
          <t>Personal Information</t>
        </is>
      </c>
      <c r="K646" t="inlineStr"/>
      <c r="L646" s="8" t="inlineStr">
        <is>
          <t>Regulator must handle complaints through Form 5 for investigation under section 74 of the Act.</t>
        </is>
      </c>
      <c r="M646" s="8" t="inlineStr">
        <is>
          <t>Complaints must be submitted to the Regulator on Form 5; Regulator handles complaints via Form 5.</t>
        </is>
      </c>
      <c r="N646"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646"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c r="P646" s="10" t="inlineStr">
        <is>
          <t>Open PDF</t>
        </is>
      </c>
    </row>
    <row r="647">
      <c r="A647" t="inlineStr">
        <is>
          <t>South Africa</t>
        </is>
      </c>
      <c r="B647" t="inlineStr">
        <is>
          <t>POPIA_Regulations_-_Dec_2018</t>
        </is>
      </c>
      <c r="C647" t="inlineStr">
        <is>
          <t>9</t>
        </is>
      </c>
      <c r="D647" s="8" t="inlineStr">
        <is>
          <t>(1)</t>
        </is>
      </c>
      <c r="E647" t="inlineStr">
        <is>
          <t>49–50</t>
        </is>
      </c>
      <c r="F647" t="inlineStr">
        <is>
          <t>Other</t>
        </is>
      </c>
      <c r="G647" t="inlineStr">
        <is>
          <t>Low</t>
        </is>
      </c>
      <c r="H647" t="inlineStr">
        <is>
          <t>High (explicit)</t>
        </is>
      </c>
      <c r="I647" s="8" t="inlineStr"/>
      <c r="J647" s="8" t="inlineStr">
        <is>
          <t>Personal Information</t>
        </is>
      </c>
      <c r="K647" t="inlineStr">
        <is>
          <t>Regulator</t>
        </is>
      </c>
      <c r="L647" s="8" t="inlineStr">
        <is>
          <t>Regulator must notify parties before conducting investigations.</t>
        </is>
      </c>
      <c r="M647" s="8" t="inlineStr">
        <is>
          <t>Regulator must notify parties before conducting investigations; parties must respond to notifications.</t>
        </is>
      </c>
      <c r="N647" s="8" t="inlineStr">
        <is>
          <t>[Must] Regulator must notify parties before conducting investigations
[Must] Regulator must inform responsible party of complaint or investigation subject</t>
        </is>
      </c>
      <c r="O647" s="8" t="inlineStr">
        <is>
          <t>Indien die Reguleerder voornemens is om enige aangeleentheid beoog in Hoofstuk 10 van die Wet beoog, te ondersoek, moet die Reguleerder ingevolge artikel 79 van die Wet die partye op wie die ondersoek betrekking het, op Deel I van Vorm 8 verwittig van sodanige voorneme voordat die ondersoek gedoen word.</t>
        </is>
      </c>
      <c r="P647" s="10" t="inlineStr">
        <is>
          <t>Open PDF</t>
        </is>
      </c>
    </row>
    <row r="648">
      <c r="A648" t="inlineStr">
        <is>
          <t>South Africa</t>
        </is>
      </c>
      <c r="B648" t="inlineStr">
        <is>
          <t>POPIA_Regulations_-_Dec_2018</t>
        </is>
      </c>
      <c r="C648" t="inlineStr">
        <is>
          <t>10</t>
        </is>
      </c>
      <c r="D648" s="8" t="inlineStr">
        <is>
          <t>(1) If it appears from a complaint or any written reply to the complaint under</t>
        </is>
      </c>
      <c r="E648" t="inlineStr">
        <is>
          <t>6</t>
        </is>
      </c>
      <c r="F648" t="inlineStr">
        <is>
          <t>Incident Reporting</t>
        </is>
      </c>
      <c r="G648" t="inlineStr">
        <is>
          <t>None</t>
        </is>
      </c>
      <c r="H648" t="inlineStr">
        <is>
          <t>High (explicit)</t>
        </is>
      </c>
      <c r="I648" s="8" t="inlineStr">
        <is>
          <t>Incident Reporting</t>
        </is>
      </c>
      <c r="J648" s="8" t="inlineStr">
        <is>
          <t>Personal Information</t>
        </is>
      </c>
      <c r="K648" t="inlineStr"/>
      <c r="L648" s="8" t="inlineStr">
        <is>
          <t>Regulator must issue conciliation certificates on Form 7 after conciliation meetings.</t>
        </is>
      </c>
      <c r="M648" s="8" t="inlineStr">
        <is>
          <t>Regulator must issue conciliation certificates on Form 7 after conciliation meetings.</t>
        </is>
      </c>
      <c r="N648" s="8" t="inlineStr">
        <is>
          <t>[Must] The Regulator must issue a conciliation certificate on Form 7 within a reasonable time after the date of the conclusion of the conciliation meeting</t>
        </is>
      </c>
      <c r="O648" s="8" t="inlineStr">
        <is>
          <t>The Regulator must issue a conciliation certificate on Form 7 within a reasonable time after the date of the conclusion of the conciliation meeting.</t>
        </is>
      </c>
      <c r="P648" s="10" t="inlineStr">
        <is>
          <t>Open PDF</t>
        </is>
      </c>
    </row>
    <row r="649">
      <c r="A649" t="inlineStr">
        <is>
          <t>South Africa</t>
        </is>
      </c>
      <c r="B649" t="inlineStr">
        <is>
          <t>POPIA_Regulations_-_Dec_2018</t>
        </is>
      </c>
      <c r="C649" t="inlineStr">
        <is>
          <t>10</t>
        </is>
      </c>
      <c r="D649" s="8" t="inlineStr">
        <is>
          <t>(1)</t>
        </is>
      </c>
      <c r="E649" t="inlineStr">
        <is>
          <t>50–51</t>
        </is>
      </c>
      <c r="F649" t="inlineStr">
        <is>
          <t>Other</t>
        </is>
      </c>
      <c r="G649" t="inlineStr">
        <is>
          <t>Low</t>
        </is>
      </c>
      <c r="H649" t="inlineStr">
        <is>
          <t>High (explicit)</t>
        </is>
      </c>
      <c r="I649" s="8" t="inlineStr"/>
      <c r="J649" s="8" t="inlineStr">
        <is>
          <t>Personal Information</t>
        </is>
      </c>
      <c r="K649" t="inlineStr">
        <is>
          <t>Regulator</t>
        </is>
      </c>
      <c r="L649" s="8" t="inlineStr">
        <is>
          <t>Regulator may facilitate settlements between parties during complaint investigations.</t>
        </is>
      </c>
      <c r="M649" s="8" t="inlineStr">
        <is>
          <t>Regulator may facilitate settlements between parties; must issue settlement certificates.</t>
        </is>
      </c>
      <c r="N649" s="8" t="inlineStr">
        <is>
          <t>[May] Regulator may facilitate settlements between parties
[Must] Regulator must issue settlement certificate on Form 10</t>
        </is>
      </c>
      <c r="O649" s="8" t="inlineStr">
        <is>
          <t>Indien dit uit ‟n klagte of enige skriftelike antwoord op die klagte kragtens artikel 79(b)(ii) van die Wet of tydens ‟n konsiliasievergadering, voorkom dat dit moontlik kan wees om ‟n skikking tussen die partye en indien gepas, bevredigende versekerings soos beoog in artikel 80 van die Wet, te verkry, kan die Reguleerder persoonlik oorleg pleeg met die partye, per elektroniese kommunikasiemiddele, of per enige ander middele soos gepas geag word om te poog om ‟n skikking te verkry en indien van toepassing, bevredigende versekerings soos beoog in artikel 80 van die Wet.</t>
        </is>
      </c>
      <c r="P649" s="10" t="inlineStr">
        <is>
          <t>Open PDF</t>
        </is>
      </c>
    </row>
    <row r="650">
      <c r="A650" t="inlineStr">
        <is>
          <t>South Africa</t>
        </is>
      </c>
      <c r="B650" t="inlineStr">
        <is>
          <t>POPIA_Regulations_-_Dec_2018</t>
        </is>
      </c>
      <c r="C650" t="inlineStr">
        <is>
          <t>11</t>
        </is>
      </c>
      <c r="D650" s="8" t="inlineStr">
        <is>
          <t>(1)</t>
        </is>
      </c>
      <c r="E650" t="inlineStr">
        <is>
          <t>6–7</t>
        </is>
      </c>
      <c r="F650" t="inlineStr">
        <is>
          <t>Incident Reporting</t>
        </is>
      </c>
      <c r="G650" t="inlineStr">
        <is>
          <t>None</t>
        </is>
      </c>
      <c r="H650" t="inlineStr">
        <is>
          <t>High (explicit)</t>
        </is>
      </c>
      <c r="I650" s="8" t="inlineStr">
        <is>
          <t>Incident Reporting</t>
        </is>
      </c>
      <c r="J650" s="8" t="inlineStr">
        <is>
          <t>Personal Information</t>
        </is>
      </c>
      <c r="K650" t="inlineStr"/>
      <c r="L650" s="8" t="inlineStr">
        <is>
          <t>Regulator must handle complaints through Form 5 for investigation under section 74 of the Act.</t>
        </is>
      </c>
      <c r="M650" s="8" t="inlineStr">
        <is>
          <t>Complaints must be submitted to the Regulator on Form 5; Regulator handles complaints via Form 5.</t>
        </is>
      </c>
      <c r="N650"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650"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c r="P650" s="10" t="inlineStr">
        <is>
          <t>Open PDF</t>
        </is>
      </c>
    </row>
    <row r="651">
      <c r="A651" t="inlineStr">
        <is>
          <t>South Africa</t>
        </is>
      </c>
      <c r="B651" t="inlineStr">
        <is>
          <t>POPIA_Regulations_-_Dec_2018</t>
        </is>
      </c>
      <c r="C651" t="inlineStr">
        <is>
          <t>11</t>
        </is>
      </c>
      <c r="D651" s="8" t="inlineStr">
        <is>
          <t>(1)</t>
        </is>
      </c>
      <c r="E651" t="inlineStr">
        <is>
          <t>51</t>
        </is>
      </c>
      <c r="F651" t="inlineStr">
        <is>
          <t>Other</t>
        </is>
      </c>
      <c r="G651" t="inlineStr">
        <is>
          <t>Low</t>
        </is>
      </c>
      <c r="H651" t="inlineStr">
        <is>
          <t>High (explicit)</t>
        </is>
      </c>
      <c r="I651" s="8" t="inlineStr"/>
      <c r="J651" s="8" t="inlineStr">
        <is>
          <t>Personal Information</t>
        </is>
      </c>
      <c r="K651" t="inlineStr">
        <is>
          <t>Regulator</t>
        </is>
      </c>
      <c r="L651" s="8" t="inlineStr">
        <is>
          <t>Regulator must conduct audits and notify parties of audit findings.</t>
        </is>
      </c>
      <c r="M651" s="8" t="inlineStr">
        <is>
          <t>Regulator must conduct audits; must notify parties of audit findings.</t>
        </is>
      </c>
      <c r="N651" s="8" t="inlineStr">
        <is>
          <t>[Must] Regulator must conduct audits
Regulator must notify parties of audit findings</t>
        </is>
      </c>
      <c r="O651" s="8" t="inlineStr">
        <is>
          <t>„n Versoek om ‟n oudit ingevolge artikel 89(1) van die Wet moet op Deel 1 van Vorm 11 aan die Reguleerder voorgelê word.</t>
        </is>
      </c>
      <c r="P651" s="10" t="inlineStr">
        <is>
          <t>Open PDF</t>
        </is>
      </c>
    </row>
    <row r="652">
      <c r="A652" t="inlineStr">
        <is>
          <t>South Africa</t>
        </is>
      </c>
      <c r="B652" t="inlineStr">
        <is>
          <t>POPIA_Regulations_-_Dec_2018</t>
        </is>
      </c>
      <c r="C652" t="inlineStr">
        <is>
          <t>12</t>
        </is>
      </c>
      <c r="D652" s="8" t="inlineStr">
        <is>
          <t>(1)</t>
        </is>
      </c>
      <c r="E652" t="inlineStr">
        <is>
          <t>7–8</t>
        </is>
      </c>
      <c r="F652" t="inlineStr">
        <is>
          <t>Incident Reporting</t>
        </is>
      </c>
      <c r="G652" t="inlineStr">
        <is>
          <t>None</t>
        </is>
      </c>
      <c r="H652" t="inlineStr">
        <is>
          <t>High (explicit)</t>
        </is>
      </c>
      <c r="I652" s="8" t="inlineStr">
        <is>
          <t>Incident Reporting</t>
        </is>
      </c>
      <c r="J652" s="8" t="inlineStr">
        <is>
          <t>Personal Information</t>
        </is>
      </c>
      <c r="K652" t="inlineStr"/>
      <c r="L652" s="8" t="inlineStr">
        <is>
          <t>Regulator must handle complaints through Form 5 for investigation under section 74 of the Act.</t>
        </is>
      </c>
      <c r="M652" s="8" t="inlineStr">
        <is>
          <t>Complaints must be submitted to the Regulator on Form 5; Regulator handles complaints via Form 5.</t>
        </is>
      </c>
      <c r="N652"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652"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c r="P652" s="10" t="inlineStr">
        <is>
          <t>Open PDF</t>
        </is>
      </c>
    </row>
    <row r="653">
      <c r="A653" t="inlineStr">
        <is>
          <t>South Africa</t>
        </is>
      </c>
      <c r="B653" t="inlineStr">
        <is>
          <t>POPIA_Regulations_-_Dec_2018</t>
        </is>
      </c>
      <c r="C653" t="inlineStr">
        <is>
          <t>12</t>
        </is>
      </c>
      <c r="D653" s="8" t="inlineStr">
        <is>
          <t>(1)</t>
        </is>
      </c>
      <c r="E653" t="inlineStr">
        <is>
          <t>51–52</t>
        </is>
      </c>
      <c r="F653" t="inlineStr">
        <is>
          <t>Other</t>
        </is>
      </c>
      <c r="G653" t="inlineStr">
        <is>
          <t>Low</t>
        </is>
      </c>
      <c r="H653" t="inlineStr">
        <is>
          <t>High (explicit)</t>
        </is>
      </c>
      <c r="I653" s="8" t="inlineStr"/>
      <c r="J653" s="8" t="inlineStr">
        <is>
          <t>Personal Information</t>
        </is>
      </c>
      <c r="K653" t="inlineStr">
        <is>
          <t>Regulator</t>
        </is>
      </c>
      <c r="L653" s="8" t="inlineStr">
        <is>
          <t>Regulator must inform parties of developments during investigations.</t>
        </is>
      </c>
      <c r="M653" s="8" t="inlineStr">
        <is>
          <t>Regulator must inform parties of developments during investigations; must notify parties of investigation outcomes.</t>
        </is>
      </c>
      <c r="N653" s="8" t="inlineStr">
        <is>
          <t>[Must] Regulator must inform parties of developments during investigations
[Must] Regulator must notify parties of investigation outcomes</t>
        </is>
      </c>
      <c r="O653" s="8" t="inlineStr">
        <is>
          <t>Deur die loop van ‟n ondersoek moet die Reguleerder binne ‟n redelike tyd vanaf die datum waarop ‟n besluit geneem of stap gedoen word- (a) die klaer, die datasubjek (indien nie die klaer nie) en die verantwoordelike party ingelig hou van die ontwikkelings in die ondersoek; en (b) die klaer, datasubjek (indien nie klaer nie) en die verantwoordelike party verwittig van die uitslag van die ondersoek.</t>
        </is>
      </c>
      <c r="P653" s="10" t="inlineStr">
        <is>
          <t>Open PDF</t>
        </is>
      </c>
    </row>
    <row r="654">
      <c r="A654" t="inlineStr">
        <is>
          <t>South Africa</t>
        </is>
      </c>
      <c r="B654" t="inlineStr">
        <is>
          <t>POPIA_Regulations_-_Dec_2018</t>
        </is>
      </c>
      <c r="C654" t="inlineStr">
        <is>
          <t>13</t>
        </is>
      </c>
      <c r="D654" s="8" t="inlineStr">
        <is>
          <t>These Regulations shall be called the Regulations relating to the Protection of</t>
        </is>
      </c>
      <c r="E654" t="inlineStr">
        <is>
          <t>8–9</t>
        </is>
      </c>
      <c r="F654" t="inlineStr">
        <is>
          <t>Other</t>
        </is>
      </c>
      <c r="G654" t="inlineStr">
        <is>
          <t>Unknown</t>
        </is>
      </c>
      <c r="H654" t="inlineStr">
        <is>
          <t>Low</t>
        </is>
      </c>
      <c r="I654" s="8" t="inlineStr"/>
      <c r="J654" s="8" t="inlineStr"/>
      <c r="K654" t="inlineStr"/>
      <c r="L654" s="8" t="inlineStr"/>
      <c r="M654" s="8" t="inlineStr"/>
      <c r="N654" s="8" t="inlineStr"/>
      <c r="O654" s="8" t="inlineStr"/>
      <c r="P654" s="10" t="inlineStr">
        <is>
          <t>Open PDF</t>
        </is>
      </c>
    </row>
    <row r="655">
      <c r="A655" t="inlineStr">
        <is>
          <t>South Africa</t>
        </is>
      </c>
      <c r="B655" t="inlineStr">
        <is>
          <t>POPIA_Regulations_-_Dec_2018</t>
        </is>
      </c>
      <c r="C655" t="inlineStr">
        <is>
          <t>13</t>
        </is>
      </c>
      <c r="D655" s="8" t="inlineStr">
        <is>
          <t>Hierdie Regulasies heet die Regulasies op die Beskerming van Persoonlike Inligting</t>
        </is>
      </c>
      <c r="E655" t="inlineStr">
        <is>
          <t>52–53</t>
        </is>
      </c>
      <c r="F655" t="inlineStr">
        <is>
          <t>Other</t>
        </is>
      </c>
      <c r="G655" t="inlineStr">
        <is>
          <t>Low</t>
        </is>
      </c>
      <c r="H655" t="inlineStr">
        <is>
          <t>High (explicit)</t>
        </is>
      </c>
      <c r="I655" s="8" t="inlineStr"/>
      <c r="J655" s="8" t="inlineStr">
        <is>
          <t>Personal Information</t>
        </is>
      </c>
      <c r="K655" t="inlineStr"/>
      <c r="L655" s="8" t="inlineStr">
        <is>
          <t>Regulations are titled 'Regulations on the Protection of Personal Information' and come into effect upon publication.</t>
        </is>
      </c>
      <c r="M655" s="8" t="inlineStr">
        <is>
          <t>Regulations are titled 'Regulations on the Protection of Personal Information' and come into effect upon publication.</t>
        </is>
      </c>
      <c r="N655" s="8" t="inlineStr"/>
      <c r="O655" s="8" t="inlineStr">
        <is>
          <t>Hierdie Regulasies heet die Regulasies op die Beskerming van Persoonlike Inligting en tree in werking op ‟n datum deur die Reguleerder by proklamasie in die Staatskoerant vasgestel.</t>
        </is>
      </c>
      <c r="P655" s="10" t="inlineStr">
        <is>
          <t>Open PDF</t>
        </is>
      </c>
    </row>
    <row r="656">
      <c r="A656" t="inlineStr">
        <is>
          <t>South Africa</t>
        </is>
      </c>
      <c r="B656" t="inlineStr">
        <is>
          <t>South Africa National Cybersecurity Policy Framework (NCPF) 2015</t>
        </is>
      </c>
      <c r="C656" t="inlineStr">
        <is>
          <t>1</t>
        </is>
      </c>
      <c r="D656" s="8" t="inlineStr">
        <is>
          <t>1 . Introduction</t>
        </is>
      </c>
      <c r="E656" t="inlineStr">
        <is>
          <t>10–12</t>
        </is>
      </c>
      <c r="F656" t="inlineStr">
        <is>
          <t>Other</t>
        </is>
      </c>
      <c r="G656" t="inlineStr">
        <is>
          <t>Low</t>
        </is>
      </c>
      <c r="H656" t="inlineStr">
        <is>
          <t>High (explicit)</t>
        </is>
      </c>
      <c r="I656" s="8" t="inlineStr"/>
      <c r="J656" s="8" t="inlineStr"/>
      <c r="K656" t="inlineStr"/>
      <c r="L656" s="8" t="inlineStr">
        <is>
          <t>Introduces South Africa's National Cybersecurity Policy Framework (NCPF) as part of government's outcome-based priorities to enhance safety through cybersecurity measures, recognizing cyber threats' personal, national, and international dimensions.</t>
        </is>
      </c>
      <c r="M656" s="8" t="inlineStr"/>
      <c r="N656" s="8" t="inlineStr"/>
      <c r="O656" s="8" t="inlineStr">
        <is>
          <t>1.1 A number of strategic interventions and tactical interventions have been successfully implemented over the past few years and other interventions are in the process of being implemented within the Justice, Crime Prevention and Security (JCPS) Cluster in the fight against crime with the objective of making South Africa Safe.</t>
        </is>
      </c>
      <c r="P656" s="10" t="inlineStr">
        <is>
          <t>Open PDF</t>
        </is>
      </c>
    </row>
    <row r="657">
      <c r="A657" t="inlineStr">
        <is>
          <t>South Africa</t>
        </is>
      </c>
      <c r="B657" t="inlineStr">
        <is>
          <t>South Africa National Cybersecurity Policy Framework (NCPF) 2015</t>
        </is>
      </c>
      <c r="C657" t="inlineStr">
        <is>
          <t>2</t>
        </is>
      </c>
      <c r="D657" s="8" t="inlineStr">
        <is>
          <t>have the potential to impact on our national security and economy.</t>
        </is>
      </c>
      <c r="E657" t="inlineStr">
        <is>
          <t>12–14</t>
        </is>
      </c>
      <c r="F657" t="inlineStr">
        <is>
          <t>Other</t>
        </is>
      </c>
      <c r="G657" t="inlineStr">
        <is>
          <t>Low</t>
        </is>
      </c>
      <c r="H657" t="inlineStr">
        <is>
          <t>High (explicit)</t>
        </is>
      </c>
      <c r="I657" s="8" t="inlineStr"/>
      <c r="J657" s="8" t="inlineStr"/>
      <c r="K657" t="inlineStr"/>
      <c r="L657" s="8" t="inlineStr">
        <is>
          <t>Highlights South Africa's vulnerability to cybercrime, noting phishing and e-crime incidents targeting the country, with the banking sector being especially vulnerable.</t>
        </is>
      </c>
      <c r="M657" s="8" t="inlineStr"/>
      <c r="N657" s="8" t="inlineStr"/>
      <c r="O657" s="8" t="inlineStr">
        <is>
          <t>2.4 Statistics in 2011 indicate that South Africa was in the top three countries that are targeted for phishing purposes, the other countries are the USA and the UK.</t>
        </is>
      </c>
      <c r="P657" s="10" t="inlineStr">
        <is>
          <t>Open PDF</t>
        </is>
      </c>
    </row>
    <row r="658">
      <c r="A658" t="inlineStr">
        <is>
          <t>South Africa</t>
        </is>
      </c>
      <c r="B658" t="inlineStr">
        <is>
          <t>South Africa National Cybersecurity Policy Framework (NCPF) 2015</t>
        </is>
      </c>
      <c r="C658" t="inlineStr">
        <is>
          <t>3</t>
        </is>
      </c>
      <c r="D658" s="8" t="inlineStr">
        <is>
          <t>freedom of expression.</t>
        </is>
      </c>
      <c r="E658" t="inlineStr">
        <is>
          <t>14–15</t>
        </is>
      </c>
      <c r="F658" t="inlineStr">
        <is>
          <t>Other</t>
        </is>
      </c>
      <c r="G658" t="inlineStr">
        <is>
          <t>Low</t>
        </is>
      </c>
      <c r="H658" t="inlineStr">
        <is>
          <t>High (explicit)</t>
        </is>
      </c>
      <c r="I658" s="8" t="inlineStr"/>
      <c r="J658" s="8" t="inlineStr"/>
      <c r="K658" t="inlineStr"/>
      <c r="L658" s="8" t="inlineStr">
        <is>
          <t>Outlines the purpose of the NCPF to create a secure cyberspace that protects critical information infrastructure while strengthening shared human values and understanding of cybersecurity.</t>
        </is>
      </c>
      <c r="M658" s="8" t="inlineStr"/>
      <c r="N658" s="8" t="inlineStr"/>
      <c r="O658" s="8" t="inlineStr">
        <is>
          <t>3.1 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is>
      </c>
      <c r="P658" s="10" t="inlineStr">
        <is>
          <t>Open PDF</t>
        </is>
      </c>
    </row>
    <row r="659">
      <c r="A659" t="inlineStr">
        <is>
          <t>South Africa</t>
        </is>
      </c>
      <c r="B659" t="inlineStr">
        <is>
          <t>South Africa National Cybersecurity Policy Framework (NCPF) 2015</t>
        </is>
      </c>
      <c r="C659" t="inlineStr">
        <is>
          <t>4</t>
        </is>
      </c>
      <c r="D659" s="8" t="inlineStr">
        <is>
          <t>Key Objectives of the NCPF</t>
        </is>
      </c>
      <c r="E659" t="inlineStr">
        <is>
          <t>15</t>
        </is>
      </c>
      <c r="F659" t="inlineStr">
        <is>
          <t>Other</t>
        </is>
      </c>
      <c r="G659" t="inlineStr">
        <is>
          <t>Low</t>
        </is>
      </c>
      <c r="H659" t="inlineStr">
        <is>
          <t>High (explicit)</t>
        </is>
      </c>
      <c r="I659" s="8" t="inlineStr"/>
      <c r="J659" s="8" t="inlineStr"/>
      <c r="K659" t="inlineStr"/>
      <c r="L659" s="8" t="inlineStr">
        <is>
          <t>Sets strategic priorities for the NCPF, including centralizing cybersecurity coordination, fostering public-private cooperation, promoting international collaboration, and developing cybersecurity skills.</t>
        </is>
      </c>
      <c r="M659" s="8" t="inlineStr"/>
      <c r="N659" s="8" t="inlineStr"/>
      <c r="O659" s="8" t="inlineStr">
        <is>
          <t>4.1 The NCPF articulates the overall aim and objectives of the South African Government and sets out strategic priorities that will be pursued to achieve these objectives.</t>
        </is>
      </c>
      <c r="P659" s="10" t="inlineStr">
        <is>
          <t>Open PDF</t>
        </is>
      </c>
    </row>
    <row r="660">
      <c r="A660" t="inlineStr">
        <is>
          <t>South Africa</t>
        </is>
      </c>
      <c r="B660" t="inlineStr">
        <is>
          <t>South Africa National Cybersecurity Policy Framework (NCPF) 2015</t>
        </is>
      </c>
      <c r="C660" t="inlineStr">
        <is>
          <t>5</t>
        </is>
      </c>
      <c r="D660" s="8" t="inlineStr">
        <is>
          <t>Capacity to Respond to Cybersecurity Imperatives</t>
        </is>
      </c>
      <c r="E660" t="inlineStr">
        <is>
          <t>15–18</t>
        </is>
      </c>
      <c r="F660" t="inlineStr">
        <is>
          <t>Other</t>
        </is>
      </c>
      <c r="G660" t="inlineStr">
        <is>
          <t>Low</t>
        </is>
      </c>
      <c r="H660" t="inlineStr">
        <is>
          <t>High (explicit)</t>
        </is>
      </c>
      <c r="I660" s="8" t="inlineStr"/>
      <c r="J660" s="8" t="inlineStr"/>
      <c r="K660" t="inlineStr"/>
      <c r="L660" s="8" t="inlineStr">
        <is>
          <t>Establishes a Cybersecurity Response Committee to oversee implementation, coordinate cybersecurity activities, and ensure protection of national critical information infrastructure.</t>
        </is>
      </c>
      <c r="M660" s="8" t="inlineStr"/>
      <c r="N660" s="8" t="inlineStr"/>
      <c r="O660" s="8" t="inlineStr">
        <is>
          <t>5.2 A dedicated JCPS Committee will be established within the JCPS Cluster to coordinate Cybersecurity activities, drive the implementation of the NCPF and manage the implementation of Output 8.</t>
        </is>
      </c>
      <c r="P660" s="10" t="inlineStr">
        <is>
          <t>Open PDF</t>
        </is>
      </c>
    </row>
    <row r="661">
      <c r="A661" t="inlineStr">
        <is>
          <t>South Africa</t>
        </is>
      </c>
      <c r="B661" t="inlineStr">
        <is>
          <t>South Africa National Cybersecurity Policy Framework (NCPF) 2015</t>
        </is>
      </c>
      <c r="C661" t="inlineStr">
        <is>
          <t>6</t>
        </is>
      </c>
      <c r="D661" s="8" t="inlineStr"/>
      <c r="E661" t="inlineStr">
        <is>
          <t>18–19</t>
        </is>
      </c>
      <c r="F661" t="inlineStr">
        <is>
          <t>Other</t>
        </is>
      </c>
      <c r="G661" t="inlineStr">
        <is>
          <t>Low</t>
        </is>
      </c>
      <c r="H661" t="inlineStr">
        <is>
          <t>High (explicit)</t>
        </is>
      </c>
      <c r="I661" s="8" t="inlineStr"/>
      <c r="J661" s="8" t="inlineStr"/>
      <c r="K661" t="inlineStr">
        <is>
          <t>Department of Telecommunications and Postal Services (DOC)</t>
        </is>
      </c>
      <c r="L661" s="8" t="inlineStr">
        <is>
          <t>Establishes Cybersecurity Hub within DOC to coordinate consultation between public sector, private sector, and civil society on cybersecurity matters.</t>
        </is>
      </c>
      <c r="M661" s="8" t="inlineStr"/>
      <c r="N661" s="8" t="inlineStr">
        <is>
          <t>[Must] Coordinate general Cybersecurity activities, in consultation with JCPS CRC as well as including identifying stakeholders and developing public-private relationships and collaborating with any sector CSIRTs that may be established
[Must] Disseminate relevant information to other sector CSIRTs, vendors, technology experts on Cybersecurity developments
[Must] Provide best practice guidance on ICT security for Government, business and civil society
[Must] Initiate Cybersecurity awareness campaigns
[Must] Promote compliance with standards, procedures and policy developed by the JCPS Cybersecurity Response Committee regarding Cybersecurity matters with a bearing on national security
[Must] Encourage and facilitate the development of appropriate additional sector CSIRTs</t>
        </is>
      </c>
      <c r="O661" s="8" t="inlineStr">
        <is>
          <t>The Cybersecurity Hub will be operated within the DOC in accordance with national security guidelines and standards issued by the JCPS Cybersecurity Response Committee.</t>
        </is>
      </c>
      <c r="P661" s="10" t="inlineStr">
        <is>
          <t>Open PDF</t>
        </is>
      </c>
    </row>
    <row r="662">
      <c r="A662" t="inlineStr">
        <is>
          <t>South Africa</t>
        </is>
      </c>
      <c r="B662" t="inlineStr">
        <is>
          <t>South Africa National Cybersecurity Policy Framework (NCPF) 2015</t>
        </is>
      </c>
      <c r="C662" t="inlineStr">
        <is>
          <t>7</t>
        </is>
      </c>
      <c r="D662" s="8" t="inlineStr">
        <is>
          <t>Verification of Information Security Products and Systems</t>
        </is>
      </c>
      <c r="E662" t="inlineStr">
        <is>
          <t>19–20</t>
        </is>
      </c>
      <c r="F662" t="inlineStr">
        <is>
          <t>Other</t>
        </is>
      </c>
      <c r="G662" t="inlineStr">
        <is>
          <t>Low</t>
        </is>
      </c>
      <c r="H662" t="inlineStr">
        <is>
          <t>High (explicit)</t>
        </is>
      </c>
      <c r="I662" s="8" t="inlineStr"/>
      <c r="J662" s="8" t="inlineStr"/>
      <c r="K662" t="inlineStr"/>
      <c r="L662" s="8" t="inlineStr">
        <is>
          <t>Promotes development of National Information Security Verification Framework for assessing and certifying products/systems impacting national security.</t>
        </is>
      </c>
      <c r="M662" s="8" t="inlineStr"/>
      <c r="N662" s="8" t="inlineStr">
        <is>
          <t>[Must] Facilitating effective partnerships between the Republic of South Africa and countries with established capacity to perform information security assessments and certifications
[Must] Facilitating effective partnerships between the Government of South Africa, the private sector, academic and research institutions to ensure capacity for information security assessments and certifications within the borders of the Republic
[Must] Developing National regulations for verification of products and systems with applications in Information Security
[Must] Facilitating effective partnerships among government institutions to ensure solutions are implemented in accordance with certification conditions and legislation
[Must] Establishing a body that will centrally coordinate the required national verification functions</t>
        </is>
      </c>
      <c r="O662" s="8" t="inlineStr">
        <is>
          <t>The NCPF therefore promotes the facilitation by the JCPS Cybersecurity Response Committee and the National Cybersecurity Hub of the development of a National Information Security Verification Framework</t>
        </is>
      </c>
      <c r="P662" s="10" t="inlineStr">
        <is>
          <t>Open PDF</t>
        </is>
      </c>
    </row>
    <row r="663">
      <c r="A663" t="inlineStr">
        <is>
          <t>South Africa</t>
        </is>
      </c>
      <c r="B663" t="inlineStr">
        <is>
          <t>South Africa National Cybersecurity Policy Framework (NCPF) 2015</t>
        </is>
      </c>
      <c r="C663" t="inlineStr">
        <is>
          <t>8</t>
        </is>
      </c>
      <c r="D663" s="8" t="inlineStr">
        <is>
          <t>NCII Protection</t>
        </is>
      </c>
      <c r="E663" t="inlineStr">
        <is>
          <t>20–21</t>
        </is>
      </c>
      <c r="F663" t="inlineStr">
        <is>
          <t>Other</t>
        </is>
      </c>
      <c r="G663" t="inlineStr">
        <is>
          <t>High</t>
        </is>
      </c>
      <c r="H663" t="inlineStr">
        <is>
          <t>High (explicit)</t>
        </is>
      </c>
      <c r="I663" s="8" t="inlineStr"/>
      <c r="J663" s="8" t="inlineStr"/>
      <c r="K663" t="inlineStr"/>
      <c r="L663" s="8" t="inlineStr">
        <is>
          <t>Requires identification and protection of National Critical Information Infrastructure (NCII) through regulations and business-government partnerships.</t>
        </is>
      </c>
      <c r="M663" s="8" t="inlineStr"/>
      <c r="N663" s="8" t="inlineStr">
        <is>
          <t>[Must] Developing National Critical Information Infrastructure regulations, relating, inter alia, to: Information Classification and Information Security Policy and Procedures
[Must] Third Party Access to NCII
[Must] Access to and authentication on NCII
[Must] Storage and archiving of critical databases
[Must] Incident management and business continuity
[Must] Physical and technical protection of all NCII</t>
        </is>
      </c>
      <c r="O663" s="8" t="inlineStr">
        <is>
          <t>The NCPF therefore seeks to ensure that appropriate steps are taken to ascertain that all National Critical Information Infrastructure (NCII) are identified and properly protected from a variety of threats.</t>
        </is>
      </c>
      <c r="P663" s="10" t="inlineStr">
        <is>
          <t>Open PDF</t>
        </is>
      </c>
    </row>
    <row r="664">
      <c r="A664" t="inlineStr">
        <is>
          <t>South Africa</t>
        </is>
      </c>
      <c r="B664" t="inlineStr">
        <is>
          <t>South Africa National Cybersecurity Policy Framework (NCPF) 2015</t>
        </is>
      </c>
      <c r="C664" t="inlineStr">
        <is>
          <t>9</t>
        </is>
      </c>
      <c r="D664" s="8" t="inlineStr">
        <is>
          <t>Cryptography</t>
        </is>
      </c>
      <c r="E664" t="inlineStr">
        <is>
          <t>21</t>
        </is>
      </c>
      <c r="F664" t="inlineStr">
        <is>
          <t>Other</t>
        </is>
      </c>
      <c r="G664" t="inlineStr">
        <is>
          <t>Low</t>
        </is>
      </c>
      <c r="H664" t="inlineStr">
        <is>
          <t>High (explicit)</t>
        </is>
      </c>
      <c r="I664" s="8" t="inlineStr"/>
      <c r="J664" s="8" t="inlineStr"/>
      <c r="K664" t="inlineStr"/>
      <c r="L664" s="8" t="inlineStr">
        <is>
          <t>Recognizes need to review existing cryptography legislation and develop an integrated regulatory framework.</t>
        </is>
      </c>
      <c r="M664" s="8" t="inlineStr"/>
      <c r="N664" s="8" t="inlineStr">
        <is>
          <t>[Must] Review the existing legislation and regulations thereof
[Must] Develop an integrated regulatory framework for Cryptography for the country</t>
        </is>
      </c>
      <c r="O664" s="8" t="inlineStr">
        <is>
          <t>The NCPF recognises that there is a need to: Review the existing legislation and regulations thereof; and Develop an integrated regulatory framework for Cryptography for the country.</t>
        </is>
      </c>
      <c r="P664" s="10" t="inlineStr">
        <is>
          <t>Open PDF</t>
        </is>
      </c>
    </row>
    <row r="665">
      <c r="A665" t="inlineStr">
        <is>
          <t>South Africa</t>
        </is>
      </c>
      <c r="B665" t="inlineStr">
        <is>
          <t>South Africa National Cybersecurity Policy Framework (NCPF) 2015</t>
        </is>
      </c>
      <c r="C665" t="inlineStr">
        <is>
          <t>10</t>
        </is>
      </c>
      <c r="D665" s="8" t="inlineStr"/>
      <c r="E665" t="inlineStr">
        <is>
          <t>21–23</t>
        </is>
      </c>
      <c r="F665" t="inlineStr">
        <is>
          <t>Other</t>
        </is>
      </c>
      <c r="G665" t="inlineStr">
        <is>
          <t>High</t>
        </is>
      </c>
      <c r="H665" t="inlineStr">
        <is>
          <t>High (explicit)</t>
        </is>
      </c>
      <c r="I665" s="8" t="inlineStr"/>
      <c r="J665" s="8" t="inlineStr"/>
      <c r="K665" t="inlineStr"/>
      <c r="L665" s="8" t="inlineStr">
        <is>
          <t>Promotes development of integrated National E-identity and PKI strategy for secure e-government services.</t>
        </is>
      </c>
      <c r="M665" s="8" t="inlineStr"/>
      <c r="N665" s="8" t="inlineStr">
        <is>
          <t>[Must] Promote the development of an integrated National E-identity and PKI strategy</t>
        </is>
      </c>
      <c r="O665" s="8" t="inlineStr">
        <is>
          <t>The NCPF seeks to address the fragmented approach by promoting the development of an integrated National E-identity and PKI strategy.</t>
        </is>
      </c>
      <c r="P665" s="10" t="inlineStr">
        <is>
          <t>Open PDF</t>
        </is>
      </c>
    </row>
    <row r="666">
      <c r="A666" t="inlineStr">
        <is>
          <t>South Africa</t>
        </is>
      </c>
      <c r="B666" t="inlineStr">
        <is>
          <t>South Africa National Cybersecurity Policy Framework (NCPF) 2015</t>
        </is>
      </c>
      <c r="C666" t="inlineStr">
        <is>
          <t>11</t>
        </is>
      </c>
      <c r="D666" s="8" t="inlineStr">
        <is>
          <t>1 1 . Promote and Strengthen Local and International Cooperation</t>
        </is>
      </c>
      <c r="E666" t="inlineStr">
        <is>
          <t>23–30</t>
        </is>
      </c>
      <c r="F666" t="inlineStr">
        <is>
          <t>Other</t>
        </is>
      </c>
      <c r="G666" t="inlineStr">
        <is>
          <t>Low</t>
        </is>
      </c>
      <c r="H666" t="inlineStr">
        <is>
          <t>High (explicit)</t>
        </is>
      </c>
      <c r="I666"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666" s="8" t="inlineStr">
        <is>
          <t>Personal Information, Financial Data, Customer Data, Employee Data, Health Data, Children's Data, Biometric Data, Special Personal Information</t>
        </is>
      </c>
      <c r="K666" t="inlineStr"/>
      <c r="L666" s="8" t="inlineStr">
        <is>
          <t>Promotes public-private-civil sector collaboration to enhance cybersecurity through joint knowledge, threat understanding, and trusted forums.</t>
        </is>
      </c>
      <c r="M666" s="8" t="inlineStr"/>
      <c r="N666" s="8" t="inlineStr">
        <is>
          <t>[Must] Promotes public-private-civil sector collaboration to enhance cybersecurity through joint knowledge, threat understanding, and trusted forums.</t>
        </is>
      </c>
      <c r="O666" s="8" t="inlineStr">
        <is>
          <t>11.2.2 The NCPF thus promotes the establishment of collaboration with local stakeholders, with a focus on the following aspects: (a) Inclusion of the industry and creating an enabling environment for a successful partnership; (b) Encouraging private sector groups to address common security interests and collaborate with government including encouraging cooperation among groups from interdependent industries; (c) Bringing private sector and government together in trusted forums; and (d) Creating a common understanding of the threats and vulnerabilities that the country faces and the responses required.</t>
        </is>
      </c>
      <c r="P666" s="10" t="inlineStr">
        <is>
          <t>Open PDF</t>
        </is>
      </c>
    </row>
    <row r="667">
      <c r="A667" t="inlineStr">
        <is>
          <t>South Africa</t>
        </is>
      </c>
      <c r="B667" t="inlineStr">
        <is>
          <t>pAYMENT ACT</t>
        </is>
      </c>
      <c r="C667" t="inlineStr">
        <is>
          <t>16</t>
        </is>
      </c>
      <c r="D667" s="8" t="inlineStr">
        <is>
          <t>Definitions for payment system terms</t>
        </is>
      </c>
      <c r="E667" t="inlineStr">
        <is>
          <t>2–6</t>
        </is>
      </c>
      <c r="F667" t="inlineStr">
        <is>
          <t>Definitions</t>
        </is>
      </c>
      <c r="G667" t="inlineStr">
        <is>
          <t>High</t>
        </is>
      </c>
      <c r="H667" t="inlineStr">
        <is>
          <t>High (explicit)</t>
        </is>
      </c>
      <c r="I667" s="8" t="inlineStr"/>
      <c r="J667" s="8" t="inlineStr">
        <is>
          <t>Financial Data, Customer Data</t>
        </is>
      </c>
      <c r="K667" t="inlineStr"/>
      <c r="L667" s="8" t="inlineStr">
        <is>
          <t>This section defines key terms used throughout the Payment Act, including 'bank', 'Banks Act', 'branch of a foreign institution', 'clearing', 'clearing, netting and settlement agreements', and other payment system-related terms. These definitions establish the legal framework for understanding payment systems, clearing, settlement, and related activities in South Africa. The definitions are critical for interpreting the Act's provisions on payment systems and financial infrastructure.</t>
        </is>
      </c>
      <c r="M667" s="8" t="inlineStr">
        <is>
          <t>Provides foundational definitions for payment system terms that are essential for understanding cross-border payment mechanisms and data flows within the financial system.</t>
        </is>
      </c>
      <c r="N667" s="8" t="inlineStr">
        <is>
          <t>[Condition] In this Act, unless the context otherwise indicates-
[Definition] 'bank' means a bank as defined in section 1 of the Banks Act
[Definition] 'Banks Act' means the Banks Act, 1990 (Act 94 of 1990)
[Definition] 'branch of a foreign institution' means a branch by means of which a foreign institution conducts the business of a bank in the Republic in terms of a written authorisation granted by the Registrar of Banks in terms of section 18A of the Banks Act
[Definition] 'clear' or 'clearing' means the exchange of payment instructions
[Definition] 'clearing, netting and settlement agreements' means written agreements with regard to clearing, netting or settlement, concluded between clearing system participants or settlement system participants
[Definition] 'clearing system participant' means a bank, a mutual bank, a co-operative bank, a branch of a foreign institution or designated clearing system participant that clears in the manner contemplated in section 4 (2) (d) (i)
[Definition] 'Companies Act' means the Companies Act, 1973 (Act 61 of 1973)
[Definition] 'co-operative bank' has the meaning assigned to it in section 1 of the Co-operative Banks Act, 2007
[Definition] 'Co-operative Banks Act' means the Co-operative Banks Act, 2007
[Definition] 'designated clearing system participant' means a person specified in the notice referred to in section 6 (3) (a)
[Definition] 'designated settlement system' means a settlement system designated in terms of section 4A
[Definition] 'designated settlement system operator' means the person specified in the notice referred to in section 4A (5) as the operator of that system
[Definition] 'designated settlement system participant' means a person that is a participant in the designated settlement system in accordance with the rules governing the operation of the system or a person that is an operator of the designated settlement system
[Definition] 'money' means a banknote or coin issued by the Reserve Bank in terms of section 10 (1) (a) (iii), read with section 14 of the South African Reserve Bank Act
[Definition] 'mutual bank' means a mutual bank as defined in section 1 of the Mutual Banks Act
[Definition] 'Mutual Banks Act' means the Mutual Banks Act, 1993 (Act 124 of 1993)
[Definition] 'netting' means the determination of the nett payment obligations between two or more clearing system participants within a payment clearing house or the determination of the nett settlement obligations between two or more settlement system participants within a settlement system
[Definition] 'payment clearing house (PCH)' means an arrangement between two or more clearing system participants and Reserve Bank settlement system participants, excluding a designated settlement system operator, governing the clearing or netting of payment instructions between those clearing system participants and Reserve Bank settlement system participants
[Definition] 'payment instruction' means an instruction to transfer funds or make a payment
[Definition] 'payment obligation' means an indebtedness that is owed by one clearing system participant or settlement system participant to another clearing system participant or settlement system participant as a result of the clearing of one or more payment instructions
[Definition] 'payment system' means a system that enables payments to be effected or facilitates the circulation of money and includes any instruments and procedures that relate to the system
[Definition] 'payment system management body' means a body recognised by the Reserve Bank in terms of section 3 (1)
[Definition] 'PCH system operator' means a person, other than a designated settlement system operator, that clears on behalf of any two or more Reserve Bank settlement system participants
[Definition] 'person' includes a trust
[Definition] 'Reserve Bank' means the South African Reserve Bank referred to in section 2 of the South African Reserve Bank Act
[Definition] 'Reserve Bank settlement system' means a settlement system established and operated by, or under the control of, the Reserve Bank
[Definition] 'Reserve Bank settlement system participant' means the Reserve Bank, a bank, a mutual bank, a co-operative bank or a branch of a foreign institution, or a designated settlement system operator that participates in the Reserve Bank settlement system
[Definition] 'secondary co-operative bank' means a secondary co-operative bank as defined in section 1 of the Co-operative Banks Act, 2007
[Definition] 'settlement' means the discharge of settlement obligations
[Definition] 'settlement instruction' means an instruction given to a settlement system by a settlement system participant or by a PCH system operator on behalf of a Reserve Bank settlement system participant to effect settlement
[Definition] 'settlement obligation' means an indebtedness that is owed by one settlement system participant to another as a result of one or more settlement instructions
[Definition] 'settlement system' means a system for the discharge of payment or settlement obligations or the discharge of payment and settlement obligations between participants in that system
[Definition] 'settlement system participant' means a Reserve Bank settlement system participant or a designated settlement system participant
[Definition] 'South African Reserve Bank Act' means the South African Reserve Bank Act, 1989 (Act 90 of 1989)
[Definition] 'system operator' means a person, other than a designated settlement system operator, authorised in terms of section 4 (2) (c) to provide services to any two or more persons in respect of payment instructions
[Definition] 'systemic risk' means the risk that failure of one or more settlement system participants, for whatever reason, to meet their payment obligations, including the payment obligations of clearing system participants, or their settlement obligations may result in any or all of the other settlement system participants being unable to meet their respective payment or settlement obligations
[Definition] 'tertiary co-operative bank' means a tertiary co-operative bank as defined in section 1 of the Co-operative Banks Act, 2007</t>
        </is>
      </c>
      <c r="O667" s="8" t="inlineStr">
        <is>
          <t>In this Act, unless the context otherwise indicates-</t>
        </is>
      </c>
      <c r="P667" s="10" t="inlineStr">
        <is>
          <t>Open PDF</t>
        </is>
      </c>
    </row>
    <row r="668">
      <c r="A668" t="inlineStr">
        <is>
          <t>South Africa</t>
        </is>
      </c>
      <c r="B668" t="inlineStr">
        <is>
          <t>pAYMENT ACT</t>
        </is>
      </c>
      <c r="C668" t="inlineStr">
        <is>
          <t>16 (part 2)</t>
        </is>
      </c>
      <c r="D668" s="8" t="inlineStr">
        <is>
          <t>Short title (cont.)</t>
        </is>
      </c>
      <c r="E668" t="inlineStr">
        <is>
          <t>6–10</t>
        </is>
      </c>
      <c r="F668" t="inlineStr">
        <is>
          <t>Other</t>
        </is>
      </c>
      <c r="G668" t="inlineStr">
        <is>
          <t>Unknown</t>
        </is>
      </c>
      <c r="H668" t="inlineStr">
        <is>
          <t>Low</t>
        </is>
      </c>
      <c r="I668" s="8" t="inlineStr"/>
      <c r="J668" s="8" t="inlineStr"/>
      <c r="K668" t="inlineStr"/>
      <c r="L668" s="8" t="inlineStr"/>
      <c r="M668" s="8" t="inlineStr"/>
      <c r="N668" s="8" t="inlineStr"/>
      <c r="O668" s="8" t="inlineStr"/>
      <c r="P668" s="10" t="inlineStr">
        <is>
          <t>Open PDF</t>
        </is>
      </c>
    </row>
    <row r="669">
      <c r="A669" t="inlineStr">
        <is>
          <t>South Africa</t>
        </is>
      </c>
      <c r="B669" t="inlineStr">
        <is>
          <t>pAYMENT ACT</t>
        </is>
      </c>
      <c r="C669" t="inlineStr">
        <is>
          <t>16 (part 3)</t>
        </is>
      </c>
      <c r="D669" s="8" t="inlineStr">
        <is>
          <t>Reserve Bank designation and revocation procedures</t>
        </is>
      </c>
      <c r="E669" t="inlineStr">
        <is>
          <t>10–13</t>
        </is>
      </c>
      <c r="F669" t="inlineStr">
        <is>
          <t>Regulator Powers</t>
        </is>
      </c>
      <c r="G669" t="inlineStr">
        <is>
          <t>High</t>
        </is>
      </c>
      <c r="H669" t="inlineStr">
        <is>
          <t>High (explicit)</t>
        </is>
      </c>
      <c r="I669" s="8" t="inlineStr"/>
      <c r="J669" s="8" t="inlineStr">
        <is>
          <t>Financial Data</t>
        </is>
      </c>
      <c r="K669" t="inlineStr">
        <is>
          <t>Reserve Bank</t>
        </is>
      </c>
      <c r="L669" s="8" t="inlineStr">
        <is>
          <t>The Reserve Bank may vary or revoke designations of clearing system participants based on compliance failures, false information, public interest considerations, or retroactive effect restrictions. Designations must be revoked or varied with written notice to participants and publication in the Gazette. No retroactive effect applies to such changes. The Reserve Bank must consider specific factors including compliance with conditions, false information, and public interest when determining variations or revocations.</t>
        </is>
      </c>
      <c r="M669" s="8" t="inlineStr">
        <is>
          <t>Designation revocation procedures require written notice to participants and Gazette publication. The Reserve Bank may revoke designations for non-compliance, false information, or public interest reasons. This affects cross-border payment system participants and data handling.</t>
        </is>
      </c>
      <c r="N669" s="8" t="inlineStr">
        <is>
          <t>[Condition] The Reserve Bank may have regard to any or all of the following: (i) failure to comply with conditions; (ii) knowingly furnishing false/misleading information; (iii) public interest; (iv) other factors
[Condition] No variation of conditions or revocation shall have retroactive effect
[Must] The Reserve Bank must vary or revoke designation by notice in the Gazette after written notice to participants</t>
        </is>
      </c>
      <c r="O669" s="8" t="inlineStr">
        <is>
          <t>The Reserve Bank may have regard to any or all of the following: (i) Any failure to comply with any condition to which the designation is subject; (ii) whether or not the designated clearing system participant has knowingly furnished information or documents which are false or misleading in any material respect to the Reserve Bank in connection with the designation; (iii) whether or not it is in the public interest to revoke the designation; (iv) No variation of the conditions to which a designation is subject or revocation of designation shall have retroactive effect.</t>
        </is>
      </c>
      <c r="P669" s="10" t="inlineStr">
        <is>
          <t>Open PDF</t>
        </is>
      </c>
    </row>
    <row r="670">
      <c r="A670" t="inlineStr">
        <is>
          <t>South Africa</t>
        </is>
      </c>
      <c r="B670" t="inlineStr">
        <is>
          <t>pAYMENT ACT</t>
        </is>
      </c>
      <c r="C670" t="inlineStr">
        <is>
          <t>16 (part 4)</t>
        </is>
      </c>
      <c r="D670" s="8" t="inlineStr">
        <is>
          <t>Reserve Bank information access and confidentiality</t>
        </is>
      </c>
      <c r="E670" t="inlineStr">
        <is>
          <t>13–16</t>
        </is>
      </c>
      <c r="F670" t="inlineStr">
        <is>
          <t>Data Sharing</t>
        </is>
      </c>
      <c r="G670" t="inlineStr">
        <is>
          <t>High</t>
        </is>
      </c>
      <c r="H670" t="inlineStr">
        <is>
          <t>High (explicit)</t>
        </is>
      </c>
      <c r="I670" s="8" t="inlineStr">
        <is>
          <t>Data Sharing</t>
        </is>
      </c>
      <c r="J670" s="8" t="inlineStr">
        <is>
          <t>Financial Data</t>
        </is>
      </c>
      <c r="K670" t="inlineStr">
        <is>
          <t>Reserve Bank</t>
        </is>
      </c>
      <c r="L670" s="8" t="inlineStr">
        <is>
          <t>The Reserve Bank may access payment system information from participants and require disclosure. Information identifying specific participants is confidential and may only be disclosed to Reserve Bank officers for official duties. The Reserve Bank may disclose information for legal proceedings, court orders, public interest, or if already publicly available. Non-compliance with confidentiality requirements constitutes an offence.</t>
        </is>
      </c>
      <c r="M670" s="8" t="inlineStr">
        <is>
          <t>Confidentiality rules for payment system participant information affect data sharing across borders. The Reserve Bank may access participant data but restrict disclosure to authorized personnel for official purposes, impacting cross-border data flows.</t>
        </is>
      </c>
      <c r="N670" s="8" t="inlineStr">
        <is>
          <t>[Must] The Reserve Bank has access to any information relating to a payment system and must require disclosure on request
[Must Not] Information identifying specific clearing system participants is confidential and may not be disclosed to third parties
[May] The Reserve Bank may disclose information for legal proceedings, court orders, public interest, or if already publicly available</t>
        </is>
      </c>
      <c r="O670" s="8" t="inlineStr">
        <is>
          <t>The Reserve Bank has access to any information relating to a payment system and the Reserve Bank settlement system, and any person must on request provide such information to the Reserve Bank in such form and at such times as the Reserve Bank may require.</t>
        </is>
      </c>
      <c r="P670" s="10" t="inlineStr">
        <is>
          <t>Open PDF</t>
        </is>
      </c>
    </row>
    <row r="671">
      <c r="A671" t="inlineStr">
        <is>
          <t>United Kingdom</t>
        </is>
      </c>
      <c r="B671" t="inlineStr">
        <is>
          <t>Accountability and governance _ ICO (United Kingdom - Row 32) (PROVISIONAL)</t>
        </is>
      </c>
      <c r="C671" t="inlineStr">
        <is>
          <t>p1</t>
        </is>
      </c>
      <c r="D671" s="8" t="inlineStr">
        <is>
          <t>Website user survey invitation for feedback</t>
        </is>
      </c>
      <c r="E671" t="inlineStr">
        <is>
          <t>1–2</t>
        </is>
      </c>
      <c r="F671" t="inlineStr">
        <is>
          <t>Other</t>
        </is>
      </c>
      <c r="G671" t="inlineStr">
        <is>
          <t>None</t>
        </is>
      </c>
      <c r="H671" t="inlineStr">
        <is>
          <t>High (explicit)</t>
        </is>
      </c>
      <c r="I671" s="8" t="inlineStr"/>
      <c r="J671" s="8" t="inlineStr"/>
      <c r="K671" t="inlineStr"/>
      <c r="L671" s="8" t="inlineStr">
        <is>
          <t>This section invites website users to complete a short survey about website improvements. The survey offers three response options: immediate participation, deferred action, or no interest. It does not establish any legal obligations but provides context about the Data (Use and Access) Act 2025's commencement and the ICO's role in data protection guidance.</t>
        </is>
      </c>
      <c r="M671" s="8" t="inlineStr"/>
      <c r="N671" s="8" t="inlineStr">
        <is>
          <t>[Must] Take our website user survey
[Must] We're making improvements to our website and we'd love to hear your thoughts.
[Must] Please take five minutes to complete this survey to give your feedback.
[Must] Yes I'll take the survey
[Must] I'll do this later
[Must] I'm not interested</t>
        </is>
      </c>
      <c r="O671" s="8" t="inlineStr">
        <is>
          <t>Take our website user survey
We're making improvements to our website and we'd love to hear your thoughts.
Please take five minutes to complete this survey to give your feedback.</t>
        </is>
      </c>
      <c r="P671" s="10" t="inlineStr">
        <is>
          <t>Open PDF</t>
        </is>
      </c>
    </row>
    <row r="672">
      <c r="A672" t="inlineStr">
        <is>
          <t>United Kingdom</t>
        </is>
      </c>
      <c r="B672" t="inlineStr">
        <is>
          <t>Accountability and governance _ ICO (United Kingdom - Row 32) (PROVISIONAL)</t>
        </is>
      </c>
      <c r="C672" t="inlineStr">
        <is>
          <t>p2</t>
        </is>
      </c>
      <c r="D672" s="8" t="inlineStr">
        <is>
          <t>Accountability and governance guidance for large businesses</t>
        </is>
      </c>
      <c r="E672" t="inlineStr">
        <is>
          <t>2–3</t>
        </is>
      </c>
      <c r="F672" t="inlineStr">
        <is>
          <t>Other</t>
        </is>
      </c>
      <c r="G672" t="inlineStr">
        <is>
          <t>None</t>
        </is>
      </c>
      <c r="H672" t="inlineStr">
        <is>
          <t>High (explicit)</t>
        </is>
      </c>
      <c r="I672" s="8" t="inlineStr"/>
      <c r="J672" s="8" t="inlineStr"/>
      <c r="K672" t="inlineStr"/>
      <c r="L672" s="8" t="inlineStr">
        <is>
          <t>This section outlines guidance for large businesses across public, private, and third sectors on accountability and governance, including contracts, data protection by design and default, data protection impact assessments, data protection officers, and certification schemes. It specifies that small businesses should use separate resources and provides links to detailed guidance on documentation, DPIAs, codes of conduct, and certification schemes.</t>
        </is>
      </c>
      <c r="M672" s="8" t="inlineStr"/>
      <c r="N672" s="8" t="inlineStr">
        <is>
          <t>[Must] The guidance on this page is suitable for large businesses in the public, private and third sectors.
[Must] Small businesses should use the resources on our small business web hub.
[Must] Guide to accountability and governance
[Must] Contracts, documentation, data protection by design and default, data protection impact assessments and data protection officers.
[Must] Do we need a UK representative?
[Must] Guidance discussing receiving personal information from the European Economic Area (EEA).
[Must] Contracts and liabilities between controllers and processors
[Must] When contracts are needed and why they are important, what needs to be included and responsibility and liability.
[Must] Documentation
[Must] What is documentation and who needs to document processing activities, what needs to be documented under article 30 and how to document processing activities.
[Must] Data protection impact assessments (DPIA)
[Must] What is a DPIA, when and how to conduct one, consulting the ICO and examples of 'likely to result in high risk'.
[Must] Codes of conduct
[Must] Data protection codes of conduct address sector specific data protection issues and support compliance with the UK GDPR'.
[Must] We have detailed guidance and other resources for trade organisations and similar representative bodies who may create codes of conduct for their members.
[Must] Certification schemes
[Must] Data protection certification can help demonstrate data protection in a practical way to businesses, individuals and regulators.
[Must] We have detailed guidance and other resources about certifications schemes for organisations.</t>
        </is>
      </c>
      <c r="O672" s="8" t="inlineStr">
        <is>
          <t>The guidance on this page is suitable for large businesses in the public, private and third sectors.</t>
        </is>
      </c>
      <c r="P672" s="10" t="inlineStr">
        <is>
          <t>Open PDF</t>
        </is>
      </c>
    </row>
    <row r="673">
      <c r="A673" t="inlineStr">
        <is>
          <t>United Kingdom</t>
        </is>
      </c>
      <c r="B673" t="inlineStr">
        <is>
          <t>Accountability and governance _ ICO (United Kingdom - Row 32) (PROVISIONAL)</t>
        </is>
      </c>
      <c r="C673" t="inlineStr">
        <is>
          <t>p3</t>
        </is>
      </c>
      <c r="D673" s="8" t="inlineStr">
        <is>
          <t>Sample DPIA template and feedback options</t>
        </is>
      </c>
      <c r="E673" t="inlineStr">
        <is>
          <t>3</t>
        </is>
      </c>
      <c r="F673" t="inlineStr">
        <is>
          <t>Other</t>
        </is>
      </c>
      <c r="G673" t="inlineStr">
        <is>
          <t>None</t>
        </is>
      </c>
      <c r="H673" t="inlineStr">
        <is>
          <t>High (explicit)</t>
        </is>
      </c>
      <c r="I673" s="8" t="inlineStr"/>
      <c r="J673" s="8" t="inlineStr"/>
      <c r="K673" t="inlineStr"/>
      <c r="L673" s="8" t="inlineStr">
        <is>
          <t>This section provides a sample Data Protection Impact Assessment (DPIA) template and includes a feedback mechanism for users to indicate whether the page was helpful. It does not contain substantive legal requirements but serves as a resource for users to complete a DPIA and provide input on website usability.</t>
        </is>
      </c>
      <c r="M673" s="8" t="inlineStr"/>
      <c r="N673" s="8" t="inlineStr">
        <is>
          <t>[Must] y
[Must] g</t>
        </is>
      </c>
      <c r="O673" s="8" t="inlineStr">
        <is>
          <t>y</t>
        </is>
      </c>
      <c r="P673" s="10" t="inlineStr">
        <is>
          <t>Open PDF</t>
        </is>
      </c>
    </row>
    <row r="674">
      <c r="A674" t="inlineStr">
        <is>
          <t>United Kingdom</t>
        </is>
      </c>
      <c r="B674" t="inlineStr">
        <is>
          <t>Privacy and Electronic Communications Regulations (PECR) 2003 (United Kingdom - Row 18)</t>
        </is>
      </c>
      <c r="C674" t="inlineStr">
        <is>
          <t>2003</t>
        </is>
      </c>
      <c r="D674" s="8" t="inlineStr">
        <is>
          <t>Document Generated: 2026-02-10</t>
        </is>
      </c>
      <c r="E674" t="inlineStr">
        <is>
          <t>2–4</t>
        </is>
      </c>
      <c r="F674" t="inlineStr">
        <is>
          <t>Other</t>
        </is>
      </c>
      <c r="G674" t="inlineStr">
        <is>
          <t>Low</t>
        </is>
      </c>
      <c r="H674" t="inlineStr">
        <is>
          <t>High (explicit)</t>
        </is>
      </c>
      <c r="I674" s="8" t="inlineStr">
        <is>
          <t>Cross-border Transfer, Data Sharing, Security</t>
        </is>
      </c>
      <c r="J674" s="8" t="inlineStr">
        <is>
          <t>Personal Information</t>
        </is>
      </c>
      <c r="K674" t="inlineStr">
        <is>
          <t>Regulation 10</t>
        </is>
      </c>
      <c r="L674" s="8" t="inlineStr">
        <is>
          <t>This section mandates that electronic communications service providers must offer users a method to disable calling line identification on a per-call basis and subscribers a method to disable it on a per-line basis. It also requires providers to offer specific facilities for presenting connected line identification or calling line identification when available. The regulation is subject to regulations 15 and 16, which address tracing malicious calls and emergency services.</t>
        </is>
      </c>
      <c r="M674" s="8" t="inlineStr">
        <is>
          <t>This section establishes requirements for controlling calling line identification, which may impact data transfer assessments when handling telecommunications data across borders, particularly regarding user consent mechanisms and data minimization.</t>
        </is>
      </c>
      <c r="N674" s="8" t="inlineStr">
        <is>
          <t>[Must] A provider of a public electronic communications service must provide users with a means of preventing the presentation of calling line identification on a call-by-call basis.
[Must] A provider of a public electronic communications service must provide subscribers with a means of preventing the presentation of such identification on a per-line basis.
[Must] A provider of a public electronic communications service must provide subscribers with certain facilities where facilities enabling the presentation of connected line identification or calling line identification are available.</t>
        </is>
      </c>
      <c r="O674" s="8" t="inlineStr">
        <is>
          <t>Regulation 10 requires a provider of a public electronic communications service to provide users of the service with a means of preventing the presentation of calling line identification on a call-by-call basis, and to provide subscribers to the service with a means of preventing the presentation of such identification on a per-line basis.</t>
        </is>
      </c>
      <c r="P674" s="10" t="inlineStr">
        <is>
          <t>Open PDF</t>
        </is>
      </c>
    </row>
    <row r="675">
      <c r="A675" t="inlineStr">
        <is>
          <t>United Kingdom</t>
        </is>
      </c>
      <c r="B675" t="inlineStr">
        <is>
          <t>Senior Managers and Certification Regime (United Kingdom - Row 23)</t>
        </is>
      </c>
      <c r="C675" t="inlineStr">
        <is>
          <t>p1</t>
        </is>
      </c>
      <c r="D675" s="8" t="inlineStr">
        <is>
          <t>Senior Managers and Certification Regime overview</t>
        </is>
      </c>
      <c r="E675" t="inlineStr">
        <is>
          <t>1–2</t>
        </is>
      </c>
      <c r="F675" t="inlineStr">
        <is>
          <t>Other</t>
        </is>
      </c>
      <c r="G675" t="inlineStr">
        <is>
          <t>High</t>
        </is>
      </c>
      <c r="H675" t="inlineStr">
        <is>
          <t>High (explicit)</t>
        </is>
      </c>
      <c r="I675" s="8" t="inlineStr">
        <is>
          <t>Governance, Record Keeping</t>
        </is>
      </c>
      <c r="J675" s="8" t="inlineStr"/>
      <c r="K675" t="inlineStr">
        <is>
          <t>FCA</t>
        </is>
      </c>
      <c r="L675" s="8" t="inlineStr">
        <is>
          <t>The Senior Managers and Certification Regime (SM&amp;CR) aims to reduce consumer harm and strengthen market integrity through accountability mechanisms. It applies to banks, building societies, credit unions, PRA-designated investment firms, insurers, and all solo-regulated firms except benchmark administrators. The regime consists of three parts: Senior Managers Regime, Certification Regime, and Conduct Rules, without requiring structural changes to firms.</t>
        </is>
      </c>
      <c r="M675" s="8" t="inlineStr"/>
      <c r="N675" s="8" t="inlineStr">
        <is>
          <t>[Must] The Senior Managers and Certification Regime (SM&amp;CR) aims to reduce harm to consumers and strengthen market integrity by making individuals more accountable for their conduct and competence.
[Must] The regime consists of three parts: the Senior Managers Regime, the Certification Regime, and the Conduct Rules.</t>
        </is>
      </c>
      <c r="O675" s="8" t="inlineStr">
        <is>
          <t>Senior Managers and Certification Regime aims to reduce harm to consumers and strengthen market integrity by making individuals more accountable for their conduct and competence.</t>
        </is>
      </c>
      <c r="P675" s="10" t="inlineStr">
        <is>
          <t>Open PDF</t>
        </is>
      </c>
    </row>
    <row r="676">
      <c r="A676" t="inlineStr">
        <is>
          <t>United Kingdom</t>
        </is>
      </c>
      <c r="B676" t="inlineStr">
        <is>
          <t>Senior Managers and Certification Regime (United Kingdom - Row 23)</t>
        </is>
      </c>
      <c r="C676" t="inlineStr">
        <is>
          <t>p2</t>
        </is>
      </c>
      <c r="D676" s="8" t="inlineStr">
        <is>
          <t>SM&amp;CR background and implementation history</t>
        </is>
      </c>
      <c r="E676" t="inlineStr">
        <is>
          <t>2–3</t>
        </is>
      </c>
      <c r="F676" t="inlineStr">
        <is>
          <t>Other</t>
        </is>
      </c>
      <c r="G676" t="inlineStr">
        <is>
          <t>High</t>
        </is>
      </c>
      <c r="H676" t="inlineStr">
        <is>
          <t>High (explicit)</t>
        </is>
      </c>
      <c r="I676" s="8" t="inlineStr">
        <is>
          <t>Governance, Record Keeping</t>
        </is>
      </c>
      <c r="J676" s="8" t="inlineStr"/>
      <c r="K676" t="inlineStr">
        <is>
          <t>FCA</t>
        </is>
      </c>
      <c r="L676" s="8" t="inlineStr">
        <is>
          <t>The SM&amp;CR was established in response to the 2008 banking crisis and conduct failures like LIBOR manipulation. It was introduced by Parliament in December 2013, applying to banks from March 2016, and later expanded to all financial services firms under the Financial Services and Markets Act. The regime has been reviewed multiple times to assess its effectiveness in improving accountability and conduct standards.</t>
        </is>
      </c>
      <c r="M676" s="8" t="inlineStr"/>
      <c r="N676" s="8" t="inlineStr">
        <is>
          <t>[Must] In response to the 2008 banking crisis and significant conduct failings such as the manipulation of LIBOR, Parliament set up the Parliamentary Commission for Banking Standards (PCBS) to recommend ways to improve standards in the banking sector.
[Must] PCBS recommended a new accountability framework focused on senior management. It also recommended that firms take more responsibility for employees being fit and proper, and that there be better standards of conduct at all levels in banking firms.
[Must] Based on these recommendations, Parliament passed legislation in December 2013, leading to the FCA and PRA applying the SM&amp;CR to the banking sector from March 2016, following detailed consultation.
[Must] Parliament made further changes to legislation in May 2016, requiring us to extend the regime to all FSMA-authorised firms.</t>
        </is>
      </c>
      <c r="O676" s="8" t="inlineStr">
        <is>
          <t>In response to the 2008 banking crisis and significant conduct failings such as the manipulation of LIBOR, Parliament set up the Parliamentary Commission for Banking Standards (PCBS) to recommend ways to improve standards in the banking sector.</t>
        </is>
      </c>
      <c r="P676" s="10" t="inlineStr">
        <is>
          <t>Open PDF</t>
        </is>
      </c>
    </row>
    <row r="677">
      <c r="A677" t="inlineStr">
        <is>
          <t>United Kingdom</t>
        </is>
      </c>
      <c r="B677" t="inlineStr">
        <is>
          <t>Senior Managers and Certification Regime (United Kingdom - Row 23)</t>
        </is>
      </c>
      <c r="C677" t="inlineStr">
        <is>
          <t>p3</t>
        </is>
      </c>
      <c r="D677" s="8" t="inlineStr">
        <is>
          <t>SM&amp;CR related resources and links</t>
        </is>
      </c>
      <c r="E677" t="inlineStr">
        <is>
          <t>3</t>
        </is>
      </c>
      <c r="F677" t="inlineStr">
        <is>
          <t>Other</t>
        </is>
      </c>
      <c r="G677" t="inlineStr">
        <is>
          <t>High</t>
        </is>
      </c>
      <c r="H677" t="inlineStr">
        <is>
          <t>High (explicit)</t>
        </is>
      </c>
      <c r="I677" s="8" t="inlineStr">
        <is>
          <t>Governance, Record Keeping</t>
        </is>
      </c>
      <c r="J677" s="8" t="inlineStr"/>
      <c r="K677" t="inlineStr">
        <is>
          <t>FCA</t>
        </is>
      </c>
      <c r="L677" s="8" t="inlineStr">
        <is>
          <t>This section lists links to additional resources on the SM&amp;CR, including fitness and propriety requirements, categorisation of solo-regulated firms, culture and governance frameworks, and application procedures for senior management functions. These resources support firms in implementing the regime's requirements.</t>
        </is>
      </c>
      <c r="M677" s="8" t="inlineStr"/>
      <c r="N677" s="8" t="inlineStr">
        <is>
          <t>[Must] • [7] https://www.fca.org.uk/firms/senior-managers-and-certification-regime/fitness-and-propriety-fp
[Must] • [8] https://www.fca.org.uk/firms/senior-managers-certification-regime/categorisation-solo-regulated-firms
[Must] • [9] https://www.fca.org.uk/firms/culture-governance
[Must] • [10] https://www.fca.org.uk/search-results?search_term=senior%20managers%20regime
[Must] • [11] https://www.bankofengland.co.uk/prudential-regulation/key-initiatives/strengthening-accountability
[Must] • [12] https://www.fca.org.uk/firms/senior-management-functions/prepare-apply
[Must] • [13] https://www.fca.org.uk/firms/senior-management-functions/how-apply
[Must] • [14] https://www.fca.org.uk/firms/approved-persons/change-cancel
[Must] • [15] https://www.fca.org.uk/firms/senior-management-functions/how-we-assess</t>
        </is>
      </c>
      <c r="O677" s="8" t="inlineStr">
        <is>
          <t>• [7] https://www.fca.org.uk/firms/senior-managers-and-certification-regime/fitness-and-propriety-fp</t>
        </is>
      </c>
      <c r="P677" s="10" t="inlineStr">
        <is>
          <t>Open PDF</t>
        </is>
      </c>
    </row>
    <row r="678">
      <c r="A678" t="inlineStr">
        <is>
          <t>United Kingdom</t>
        </is>
      </c>
      <c r="B678" t="inlineStr">
        <is>
          <t>computer misuse act (United Kingdom - Row 2)</t>
        </is>
      </c>
      <c r="C678" t="inlineStr">
        <is>
          <t>13</t>
        </is>
      </c>
      <c r="D678" s="8" t="inlineStr">
        <is>
          <t>Proceedings in Scotland.</t>
        </is>
      </c>
      <c r="E678" t="inlineStr">
        <is>
          <t>13–14</t>
        </is>
      </c>
      <c r="F678" t="inlineStr">
        <is>
          <t>Other</t>
        </is>
      </c>
      <c r="G678" t="inlineStr">
        <is>
          <t>Low</t>
        </is>
      </c>
      <c r="H678" t="inlineStr">
        <is>
          <t>High (explicit)</t>
        </is>
      </c>
      <c r="I678" s="8" t="inlineStr">
        <is>
          <t>Cross-border Transfer</t>
        </is>
      </c>
      <c r="J678" s="8" t="inlineStr">
        <is>
          <t>Personal Information</t>
        </is>
      </c>
      <c r="K678" t="inlineStr">
        <is>
          <t>Sheriff</t>
        </is>
      </c>
      <c r="L678" s="8" t="inlineStr">
        <is>
          <t>A sheriff in Scotland may exercise jurisdiction over computer misuse offences if the accused was within the sheriffdom at the time of the unauthorized computer activity or if the computer containing the unauthorized program or data was within the sheriffdom at that time. This applies to offences under sections 1, 2, 3, 3ZA, and 3A. The jurisdictional conditions also extend to cases where the accused is acquitted of an offence but could have been found guilty under section 1, and the offence may be prosecuted in a sheriff court district in Scotland where the person is apprehended or in custody, or as directed by the Lord Advocate.</t>
        </is>
      </c>
      <c r="M678" s="8" t="inlineStr">
        <is>
          <t>This section establishes jurisdictional conditions for computer misuse offences in Scotland, relevant to cross-border data processing where the computer activity occurs outside the jurisdiction but the accused is within Scotland. It affects DTIA by defining when Scottish courts can exercise jurisdiction over offences involving unauthorized computer access.</t>
        </is>
      </c>
      <c r="N678" s="8" t="inlineStr">
        <is>
          <t>[Must] A sheriff shall have jurisdiction in respect of an offence under section 1 or 2 if the accused was in the sheriffdom at the time when he did the act which caused the computer to perform the function
[Must] A sheriff shall have jurisdiction in respect of an offence under section 1 or 2 if any computer containing any program or data to which the accused by doing that act secured or intended to secure unauthorized access was in the sheriffdom at that time
[Must] A sheriff shall have jurisdiction in respect of an offence under section 3 if the accused was in the sheriffdom at the time when he did the unauthorized act (or caused it to be done)
[Must] A sheriff shall have jurisdiction in respect of an offence under section 3 if the unauthorized act was done in relation to a computer in the sheriffdom
[Must] A sheriff shall have jurisdiction in respect of an offence under section 3ZA if the accused was in the sheriffdom at the time when he did the unauthorized act (or caused it to be done)
[Must] A sheriff shall have jurisdiction in respect of an offence under section 3ZA if the computer in relation to which the unauthorized act was done was in the sheriffdom at that time
[Must] A sheriff shall have jurisdiction in respect of an offence under section 3A if the accused was in the sheriffdom at the time when he made, adapted, supplied or offered to supply the article intending it to be used as mentioned in subsection (1) of that section
[Must] A sheriff shall have jurisdiction in respect of an offence under section 3A if the accused was in the sheriffdom at the time when he supplied or offered to supply the article believing that it would be used as mentioned in subsection (2) of that section
[Must] A sheriff shall have jurisdiction in respect of an offence under section 3A if the accused was in the sheriffdom at the time when he obtained the article intending to use it, or with a view to its being supplied for use
[Must] A sheriff shall have jurisdiction in respect of an offence under section 3A if any computer as mentioned in subsection (1)(b), (2)(b) or (2A)(b) of this section was in the sheriffdom at the time the accused carried out the act constituting the offence under section 3A
[Must] Where an offence under section 1, 3, 3ZA or 3A is committed outside Scotland, the person committing the offence may be prosecuted, tried and punished for the offence in any sheriff court district in Scotland in which the person is apprehended or is in custody
[Must] Where an offence under section 1, 3, 3ZA or 3A is committed outside Scotland, the person committing the offence may be prosecuted, tried and punished for the offence in such sheriff court district as the Lord Advocate may direct
[Must] Where an offence under section 1, 3, 3ZA or 3A is committed outside Scotland, the offence is deemed to have been committed in that district for all purposes incidental to or consequential on the trial or punishment</t>
        </is>
      </c>
      <c r="O678" s="8" t="inlineStr">
        <is>
          <t>A sheriff shall have jurisdiction in respect of an offence under section 1 or 2 if the accused was in the sheriffdom at the time when he did the act which caused the computer to perform the function or any computer containing any program or data to which the accused by doing that act secured or intended to secure unauthorised access was in the sheriffdom at that time.</t>
        </is>
      </c>
      <c r="P678" s="10" t="inlineStr">
        <is>
          <t>Open PDF</t>
        </is>
      </c>
    </row>
    <row r="679">
      <c r="A679" t="inlineStr">
        <is>
          <t>United Kingdom</t>
        </is>
      </c>
      <c r="B679" t="inlineStr">
        <is>
          <t>computer misuse act (United Kingdom - Row 2)</t>
        </is>
      </c>
      <c r="C679" t="inlineStr">
        <is>
          <t>17</t>
        </is>
      </c>
      <c r="D679" s="8" t="inlineStr">
        <is>
          <t>Interpretation.</t>
        </is>
      </c>
      <c r="E679" t="inlineStr">
        <is>
          <t>17–19</t>
        </is>
      </c>
      <c r="F679" t="inlineStr">
        <is>
          <t>Other</t>
        </is>
      </c>
      <c r="G679" t="inlineStr">
        <is>
          <t>Low</t>
        </is>
      </c>
      <c r="H679" t="inlineStr">
        <is>
          <t>High (explicit)</t>
        </is>
      </c>
      <c r="I679" s="8" t="inlineStr">
        <is>
          <t>Security, Access Control</t>
        </is>
      </c>
      <c r="J679" s="8" t="inlineStr">
        <is>
          <t>Personal Information</t>
        </is>
      </c>
      <c r="K679" t="inlineStr"/>
      <c r="L679" s="8" t="inlineStr">
        <is>
          <t>This section defines key terms for interpreting the Computer Misuse Act, including how a person secures access to computer programs or data, what constitutes using a program, how output is defined, what constitutes unauthorized access, and the scope of references to computers and programs. It clarifies that unauthorized access occurs when a person is not entitled to control access or lacks consent from someone entitled to control access.</t>
        </is>
      </c>
      <c r="M679" s="8" t="inlineStr">
        <is>
          <t>This section provides critical definitions for unauthorized computer access, which is essential for DTIA as it clarifies when data transfers or processing activities constitute unauthorized access across jurisdictions, impacting cross-border data handling compliance.</t>
        </is>
      </c>
      <c r="N679" s="8" t="inlineStr">
        <is>
          <t>[Must] A person secures access to any program or data held in a computer if by causing a computer to perform any function he alters or erases the program or data
[Must] A person secures access to any program or data held in a computer if by causing a computer to perform any function he copies or moves it to any storage medium other than that in which it is held
[Must] A person secures access to any program or data held in a computer if by causing a computer to perform any function he uses it
[Must] A person secures access to any program or data held in a computer if by causing a computer to perform any function he has it output from the computer in which it is held
[Must] For the purposes of subsection (2)(c) a person uses a program if the function he causes the computer to perform causes the program to be executed
[Must] For the purposes of subsection (2)(c) a person uses a program if the function he causes the computer to perform is itself a function of the program
[Must] Access of any kind by any person to any program or data held in a computer is unauthorized if he is not himself entitled to control access of the kind in question to the program or data
[Must] Access of any kind by any person to any program or data held in a computer is unauthorized if he does not have consent to access by him of the kind in question to the program or data from any person who is so entitled</t>
        </is>
      </c>
      <c r="O679" s="8" t="inlineStr">
        <is>
          <t>A person secures access to any program or data held in a computer if by causing a computer to perform any function he alters or erases the program or data, copies or moves it to any storage medium other than that in which it is held, uses it, or has it output from the computer in which it is held.</t>
        </is>
      </c>
      <c r="P679" s="10" t="inlineStr">
        <is>
          <t>Open PDF</t>
        </is>
      </c>
    </row>
  </sheetData>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s>
  <pageMargins left="0.75" right="0.75" top="1" bottom="1" header="0.5" footer="0.5"/>
  <tableParts count="1">
    <tablePart xmlns:r="http://schemas.openxmlformats.org/officeDocument/2006/relationships" r:id="rId679"/>
  </tableParts>
</worksheet>
</file>

<file path=xl/worksheets/sheet5.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60" customWidth="1" min="4" max="4"/>
    <col width="60" customWidth="1" min="5" max="5"/>
    <col width="21" customWidth="1" min="6" max="6"/>
  </cols>
  <sheetData>
    <row r="1">
      <c r="A1" s="9" t="inlineStr">
        <is>
          <t>Country</t>
        </is>
      </c>
      <c r="B1" s="9" t="inlineStr">
        <is>
          <t>Act</t>
        </is>
      </c>
      <c r="C1" s="9" t="inlineStr">
        <is>
          <t>Sections</t>
        </is>
      </c>
      <c r="D1" s="9" t="inlineStr">
        <is>
          <t>Regulators</t>
        </is>
      </c>
      <c r="E1" s="9" t="inlineStr">
        <is>
          <t>Topics</t>
        </is>
      </c>
      <c r="F1" s="9" t="inlineStr">
        <is>
          <t>Financial Relevance</t>
        </is>
      </c>
    </row>
    <row r="2">
      <c r="A2" t="inlineStr">
        <is>
          <t>Australia</t>
        </is>
      </c>
      <c r="B2" t="inlineStr">
        <is>
          <t>C2004A01182 (Australia - Row 25)</t>
        </is>
      </c>
      <c r="C2" t="n">
        <v>1</v>
      </c>
      <c r="D2" t="inlineStr">
        <is>
          <t>Commonwealth Minister</t>
        </is>
      </c>
      <c r="E2" t="inlineStr"/>
      <c r="F2" t="inlineStr"/>
    </row>
    <row r="3">
      <c r="A3" t="inlineStr">
        <is>
          <t>Australia</t>
        </is>
      </c>
      <c r="B3" t="inlineStr">
        <is>
          <t>C2004C01271-1 (Australia - Row 7)</t>
        </is>
      </c>
      <c r="C3" t="n">
        <v>1</v>
      </c>
      <c r="D3" t="inlineStr">
        <is>
          <t>Arts Minister, Commissioner</t>
        </is>
      </c>
      <c r="E3" t="inlineStr"/>
      <c r="F3" t="inlineStr"/>
    </row>
    <row r="4">
      <c r="A4" t="inlineStr">
        <is>
          <t>Australia</t>
        </is>
      </c>
      <c r="B4" t="inlineStr">
        <is>
          <t>Essential Eight explained (November 2023) (Australia - Row 11)</t>
        </is>
      </c>
      <c r="C4" t="n">
        <v>3</v>
      </c>
      <c r="D4" t="inlineStr">
        <is>
          <t>Australian Signals Directorate (ASD)</t>
        </is>
      </c>
      <c r="E4" t="inlineStr">
        <is>
          <t>Processing, Security</t>
        </is>
      </c>
      <c r="F4" t="inlineStr"/>
    </row>
    <row r="5">
      <c r="A5" t="inlineStr">
        <is>
          <t>Australia</t>
        </is>
      </c>
      <c r="B5" t="inlineStr">
        <is>
          <t>Prudential-Standard-CPS-232-Business-Continuity-Management-(July-2017) (Australia - Row 5)</t>
        </is>
      </c>
      <c r="C5" t="n">
        <v>11</v>
      </c>
      <c r="D5" t="inlineStr">
        <is>
          <t>APRA</t>
        </is>
      </c>
      <c r="E5" t="inlineStr">
        <is>
          <t>Governance, Incident Reporting</t>
        </is>
      </c>
      <c r="F5" t="inlineStr">
        <is>
          <t>High</t>
        </is>
      </c>
    </row>
    <row r="6">
      <c r="A6" t="inlineStr">
        <is>
          <t>Australia</t>
        </is>
      </c>
      <c r="B6" t="inlineStr">
        <is>
          <t>Statutory tort for serious invasions of privacy _ OAIC (Australia - Row 24)</t>
        </is>
      </c>
      <c r="C6" t="n">
        <v>5</v>
      </c>
      <c r="D6" t="inlineStr"/>
      <c r="E6"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6" t="inlineStr"/>
    </row>
    <row r="7">
      <c r="A7" t="inlineStr">
        <is>
          <t>GDPR</t>
        </is>
      </c>
      <c r="B7" t="inlineStr">
        <is>
          <t>CELEX_32002L0058_EN_TXT (GDPR Row 7)</t>
        </is>
      </c>
      <c r="C7" t="n">
        <v>20</v>
      </c>
      <c r="D7" t="inlineStr"/>
      <c r="E7" t="inlineStr">
        <is>
          <t>Consent, Data Residency, Data Sharing, Data Storage, Security</t>
        </is>
      </c>
      <c r="F7" t="inlineStr">
        <is>
          <t>Low</t>
        </is>
      </c>
    </row>
    <row r="8">
      <c r="A8" t="inlineStr">
        <is>
          <t>GDPR</t>
        </is>
      </c>
      <c r="B8" t="inlineStr">
        <is>
          <t>CELEX_32018L1673_EN_TXT (GDPR - Row 2)</t>
        </is>
      </c>
      <c r="C8" t="n">
        <v>20</v>
      </c>
      <c r="D8" t="inlineStr"/>
      <c r="E8" t="inlineStr">
        <is>
          <t>Governance, Record Keeping</t>
        </is>
      </c>
      <c r="F8" t="inlineStr">
        <is>
          <t>Medium</t>
        </is>
      </c>
    </row>
    <row r="9">
      <c r="A9" t="inlineStr">
        <is>
          <t>GDPR</t>
        </is>
      </c>
      <c r="B9" t="inlineStr">
        <is>
          <t>CELEX_52023PC0360_EN_TXT (GDPR - Row 13)</t>
        </is>
      </c>
      <c r="C9" t="n">
        <v>95</v>
      </c>
      <c r="D9" t="inlineStr">
        <is>
          <t>Competent Authority, Competent authorities, European Banking Authority, European Commission, European Data Protection Board, Member States</t>
        </is>
      </c>
      <c r="E9" t="inlineStr">
        <is>
          <t>Consent, Cross-border Transfer, Customer Information, Data Sharing, Data Storage, Financial Data, Security</t>
        </is>
      </c>
      <c r="F9" t="inlineStr">
        <is>
          <t>High</t>
        </is>
      </c>
    </row>
    <row r="10">
      <c r="A10" t="inlineStr">
        <is>
          <t>GDPR</t>
        </is>
      </c>
      <c r="B10" t="inlineStr">
        <is>
          <t>esma_cloud_guidelines (GDPR - Row 8)</t>
        </is>
      </c>
      <c r="C10" t="n">
        <v>46</v>
      </c>
      <c r="D10" t="inlineStr">
        <is>
          <t>Competent authorities, ESMA</t>
        </is>
      </c>
      <c r="E10" t="inlineStr">
        <is>
          <t>Access Control, Breach Notification, Cloud Services, Cross-border Transfer, Data Storage, Financial Data, Governance, Incident Reporting, Outsourcing, Record Keeping, Security, Third Party Processing</t>
        </is>
      </c>
      <c r="F10" t="inlineStr">
        <is>
          <t>High</t>
        </is>
      </c>
    </row>
    <row r="11">
      <c r="A11" t="inlineStr">
        <is>
          <t>GDPR</t>
        </is>
      </c>
      <c r="B11" t="inlineStr">
        <is>
          <t>Final report on amending GLs on ICT risk and security (GDPR - Row 4)</t>
        </is>
      </c>
      <c r="C11" t="n">
        <v>19</v>
      </c>
      <c r="D11" t="inlineStr"/>
      <c r="E11" t="inlineStr">
        <is>
          <t>Incident Reporting, Security, Third Party Processing</t>
        </is>
      </c>
      <c r="F11" t="inlineStr">
        <is>
          <t>High</t>
        </is>
      </c>
    </row>
    <row r="12">
      <c r="A12" t="inlineStr">
        <is>
          <t>India</t>
        </is>
      </c>
      <c r="B12" t="inlineStr">
        <is>
          <t>Guidelines on Information and Cyber Security (India - Row 8)</t>
        </is>
      </c>
      <c r="C12" t="n">
        <v>2</v>
      </c>
      <c r="D12" t="inlineStr">
        <is>
          <t>IRDAI</t>
        </is>
      </c>
      <c r="E12" t="inlineStr"/>
      <c r="F12" t="inlineStr">
        <is>
          <t>Medium</t>
        </is>
      </c>
    </row>
    <row r="13">
      <c r="A13" t="inlineStr">
        <is>
          <t>India</t>
        </is>
      </c>
      <c r="B13" t="inlineStr">
        <is>
          <t>guidelines-on-cyber-security-and-cyber-resilience-for-regulated-entities-in-ifscs-1-10032025064412 (India - Row 5)</t>
        </is>
      </c>
      <c r="C13" t="n">
        <v>21</v>
      </c>
      <c r="D13" t="inlineStr">
        <is>
          <t>IFSCA</t>
        </is>
      </c>
      <c r="E13" t="inlineStr">
        <is>
          <t>Access Control, Breach Notification, Cross-border Transfer, Data Storage, Governance, Incident Reporting, Record Keeping, Security, Third Party Processing</t>
        </is>
      </c>
      <c r="F13" t="inlineStr">
        <is>
          <t>High</t>
        </is>
      </c>
    </row>
    <row r="14">
      <c r="A14" t="inlineStr">
        <is>
          <t>India</t>
        </is>
      </c>
      <c r="B14" t="inlineStr">
        <is>
          <t>NT75589AC4A988D446CA94182886F6D8EADD (India - Row 13) PROVISIONALLY</t>
        </is>
      </c>
      <c r="C14" t="n">
        <v>1</v>
      </c>
      <c r="D14" t="inlineStr">
        <is>
          <t>Reserve Bank of India</t>
        </is>
      </c>
      <c r="E14" t="inlineStr"/>
      <c r="F14" t="inlineStr"/>
    </row>
    <row r="15">
      <c r="A15" t="inlineStr">
        <is>
          <t>India</t>
        </is>
      </c>
      <c r="B15" t="inlineStr">
        <is>
          <t>RBI Master Direction on Information Technology Framework for NBFC Sector (2017) (India - Row 15)</t>
        </is>
      </c>
      <c r="C15" t="n">
        <v>2</v>
      </c>
      <c r="D15" t="inlineStr">
        <is>
          <t>RBI</t>
        </is>
      </c>
      <c r="E15" t="inlineStr">
        <is>
          <t>AML, Customer Information, KYC</t>
        </is>
      </c>
      <c r="F15" t="inlineStr">
        <is>
          <t>High</t>
        </is>
      </c>
    </row>
    <row r="16">
      <c r="A16" t="inlineStr">
        <is>
          <t>India</t>
        </is>
      </c>
      <c r="B16" t="inlineStr">
        <is>
          <t>RBI Payment Data Localisation Requirement (India - Row 17)</t>
        </is>
      </c>
      <c r="C16" t="n">
        <v>2</v>
      </c>
      <c r="D16" t="inlineStr">
        <is>
          <t>Reserve Bank of India</t>
        </is>
      </c>
      <c r="E16" t="inlineStr">
        <is>
          <t>Cross-border Transfer, Data Storage</t>
        </is>
      </c>
      <c r="F16" t="inlineStr">
        <is>
          <t>High</t>
        </is>
      </c>
    </row>
    <row r="17">
      <c r="A17" t="inlineStr">
        <is>
          <t>Kenya</t>
        </is>
      </c>
      <c r="B17" t="inlineStr">
        <is>
          <t>Capital Markets Act</t>
        </is>
      </c>
      <c r="C17" t="n">
        <v>41</v>
      </c>
      <c r="D17" t="inlineStr">
        <is>
          <t>Authority, Cabinet Secretary, Capital Markets Authority, Capital Markets Authority (CMA), Capital Markets Tribunal</t>
        </is>
      </c>
      <c r="E17" t="inlineStr">
        <is>
          <t>AML, Children, Cross-border Transfer, Customer Information, Data Sharing, Data Storage, Employee Information, Financial Data, Governance, International Processing, KYC, Security, Special Personal Information</t>
        </is>
      </c>
      <c r="F17" t="inlineStr">
        <is>
          <t>High</t>
        </is>
      </c>
    </row>
    <row r="18">
      <c r="A18" t="inlineStr">
        <is>
          <t>Kenya</t>
        </is>
      </c>
      <c r="B18" t="inlineStr">
        <is>
          <t>GUIDANCE-NOTE-ON-CYBERSECURITY-FOR-THE-BANKING-SECTOR</t>
        </is>
      </c>
      <c r="C18" t="n">
        <v>4</v>
      </c>
      <c r="D18" t="inlineStr">
        <is>
          <t>Central Bank of Kenya, Central Bank of Kenya (CBK)</t>
        </is>
      </c>
      <c r="E18" t="inlineStr">
        <is>
          <t>Breach Notification, Cloud Services, Governance, Incident Reporting, Outsourcing, Security, Third Party Processing</t>
        </is>
      </c>
      <c r="F18" t="inlineStr">
        <is>
          <t>High</t>
        </is>
      </c>
    </row>
    <row r="19">
      <c r="A19" t="inlineStr">
        <is>
          <t>Kenya</t>
        </is>
      </c>
      <c r="B19" t="inlineStr">
        <is>
          <t>GuidelinesonCybersecurityforPSPs (Kenya - Row19)</t>
        </is>
      </c>
      <c r="C19" t="n">
        <v>7</v>
      </c>
      <c r="D19" t="inlineStr">
        <is>
          <t>CBK, Central Bank of Kenya (CBK)</t>
        </is>
      </c>
      <c r="E19" t="inlineStr">
        <is>
          <t>Breach Notification, Governance, Incident Reporting, Security</t>
        </is>
      </c>
      <c r="F19" t="inlineStr">
        <is>
          <t>High</t>
        </is>
      </c>
    </row>
    <row r="20">
      <c r="A20" t="inlineStr">
        <is>
          <t>Kenya</t>
        </is>
      </c>
      <c r="B20" t="inlineStr">
        <is>
          <t>THE-DATA-PROTECTION-COMPLAINTS-HANDLING-AND-ENFORCEMENT (Kenya - Row 15)</t>
        </is>
      </c>
      <c r="C20" t="n">
        <v>21</v>
      </c>
      <c r="D20" t="inlineStr">
        <is>
          <t>Data Commissioner, High Court</t>
        </is>
      </c>
      <c r="E20" t="inlineStr"/>
      <c r="F20" t="inlineStr">
        <is>
          <t>High</t>
        </is>
      </c>
    </row>
    <row r="21">
      <c r="A21" t="inlineStr">
        <is>
          <t>Kenya</t>
        </is>
      </c>
      <c r="B21" t="inlineStr">
        <is>
          <t>THE-DATA-PROTECTION-REGISTRATION-OF-DATA-CONTROLLERS-AND-DATA-PROCESSORS-REGULATIONS-2021 (Kenya = row17)</t>
        </is>
      </c>
      <c r="C21" t="n">
        <v>17</v>
      </c>
      <c r="D21" t="inlineStr">
        <is>
          <t>Data Commissioner</t>
        </is>
      </c>
      <c r="E21" t="inlineStr">
        <is>
          <t>Data Storage, Special Personal Information</t>
        </is>
      </c>
      <c r="F21" t="inlineStr">
        <is>
          <t>High</t>
        </is>
      </c>
    </row>
    <row r="22">
      <c r="A22" t="inlineStr">
        <is>
          <t>Mauritius</t>
        </is>
      </c>
      <c r="B22" t="inlineStr">
        <is>
          <t>code-of-business-conduct_final (Mauritius - Row 14)</t>
        </is>
      </c>
      <c r="C22" t="n">
        <v>4</v>
      </c>
      <c r="D22" t="inlineStr">
        <is>
          <t>Financial Services Commission (FSC)</t>
        </is>
      </c>
      <c r="E22" t="inlineStr"/>
      <c r="F22" t="inlineStr">
        <is>
          <t>High</t>
        </is>
      </c>
    </row>
    <row r="23">
      <c r="A23" t="inlineStr">
        <is>
          <t>Mauritius</t>
        </is>
      </c>
      <c r="B23" t="inlineStr">
        <is>
          <t>code-of-business-conduct_final (Mauritius - Row 18)</t>
        </is>
      </c>
      <c r="C23" t="n">
        <v>4</v>
      </c>
      <c r="D23" t="inlineStr">
        <is>
          <t>Financial Services Commission (FSC)</t>
        </is>
      </c>
      <c r="E23" t="inlineStr">
        <is>
          <t>Customer Information, Governance, Record Keeping</t>
        </is>
      </c>
      <c r="F23" t="inlineStr">
        <is>
          <t>High</t>
        </is>
      </c>
    </row>
    <row r="24">
      <c r="A24" t="inlineStr">
        <is>
          <t>Mauritius</t>
        </is>
      </c>
      <c r="B24" t="inlineStr">
        <is>
          <t>guidelines_on_outsourcing_by_financial_institutions (Mauritius - Row 3)</t>
        </is>
      </c>
      <c r="C24" t="n">
        <v>6</v>
      </c>
      <c r="D24" t="inlineStr">
        <is>
          <t>Bank, Bank of Mauritius</t>
        </is>
      </c>
      <c r="E24" t="inlineStr">
        <is>
          <t>Outsourcing, Third Party Processing</t>
        </is>
      </c>
      <c r="F24" t="inlineStr">
        <is>
          <t>High</t>
        </is>
      </c>
    </row>
    <row r="25">
      <c r="A25" t="inlineStr">
        <is>
          <t>Mauritius</t>
        </is>
      </c>
      <c r="B25" t="inlineStr">
        <is>
          <t>Mauritius_Emerging_Technologies_Council_Act_2021 (Mauritius - Row 24)</t>
        </is>
      </c>
      <c r="C25" t="n">
        <v>5</v>
      </c>
      <c r="D25" t="inlineStr"/>
      <c r="E25" t="inlineStr">
        <is>
          <t>Governance, Record Keeping</t>
        </is>
      </c>
      <c r="F25" t="inlineStr"/>
    </row>
    <row r="26">
      <c r="A26" t="inlineStr">
        <is>
          <t>Mauritius</t>
        </is>
      </c>
      <c r="B26" t="inlineStr">
        <is>
          <t>National-Identity-Card-Act-Consolidated- (Mauritius - Row 23)</t>
        </is>
      </c>
      <c r="C26" t="n">
        <v>6</v>
      </c>
      <c r="D26" t="inlineStr"/>
      <c r="E26" t="inlineStr">
        <is>
          <t>Data Storage</t>
        </is>
      </c>
      <c r="F26" t="inlineStr"/>
    </row>
    <row r="27">
      <c r="A27" t="inlineStr">
        <is>
          <t>Nigeria</t>
        </is>
      </c>
      <c r="B27" t="inlineStr">
        <is>
          <t>cbn consumer protection regulations (Nigeria - Row 4)</t>
        </is>
      </c>
      <c r="C27" t="n">
        <v>8</v>
      </c>
      <c r="D27" t="inlineStr">
        <is>
          <t>Central Bank of Nigeria, Central Bank of Nigeria (CBN), Consumer Protection Department</t>
        </is>
      </c>
      <c r="E27" t="inlineStr">
        <is>
          <t>Consent, Customer Information, Data Sharing, Financial Data, Outsourcing</t>
        </is>
      </c>
      <c r="F27" t="inlineStr">
        <is>
          <t>High</t>
        </is>
      </c>
    </row>
    <row r="28">
      <c r="A28" t="inlineStr">
        <is>
          <t>Nigeria</t>
        </is>
      </c>
      <c r="B28" t="inlineStr">
        <is>
          <t>circular on the regulatory framework on open banking in nigeria (Nigeria - Row 8)</t>
        </is>
      </c>
      <c r="C28" t="n">
        <v>3</v>
      </c>
      <c r="D28" t="inlineStr">
        <is>
          <t>Central Bank of Nigeria</t>
        </is>
      </c>
      <c r="E28" t="inlineStr">
        <is>
          <t>Security</t>
        </is>
      </c>
      <c r="F28" t="inlineStr">
        <is>
          <t>High</t>
        </is>
      </c>
    </row>
    <row r="29">
      <c r="A29" t="inlineStr">
        <is>
          <t>Nigeria</t>
        </is>
      </c>
      <c r="B29" t="inlineStr">
        <is>
          <t>NCCPolicy_New1 (Nigeria - Row 21)</t>
        </is>
      </c>
      <c r="C29" t="n">
        <v>7</v>
      </c>
      <c r="D29" t="inlineStr">
        <is>
          <t>NITDA</t>
        </is>
      </c>
      <c r="E29" t="inlineStr">
        <is>
          <t>Cloud Services, Cross-border Transfer, Data Sharing, Data Storage, Governance, Security</t>
        </is>
      </c>
      <c r="F29" t="inlineStr">
        <is>
          <t>High</t>
        </is>
      </c>
    </row>
    <row r="30">
      <c r="A30" t="inlineStr">
        <is>
          <t>Nigeria</t>
        </is>
      </c>
      <c r="B30" t="inlineStr">
        <is>
          <t>NCCPolicy_New1 (Nigeria - Row 23)</t>
        </is>
      </c>
      <c r="C30" t="n">
        <v>7</v>
      </c>
      <c r="D30" t="inlineStr">
        <is>
          <t>NITDA</t>
        </is>
      </c>
      <c r="E30" t="inlineStr">
        <is>
          <t>Cloud Services, Cross-border Transfer, Data Residency, Data Sharing, Data Storage, Security</t>
        </is>
      </c>
      <c r="F30" t="inlineStr">
        <is>
          <t>High</t>
        </is>
      </c>
    </row>
    <row r="31">
      <c r="A31" t="inlineStr">
        <is>
          <t>Nigeria</t>
        </is>
      </c>
      <c r="B31" t="inlineStr">
        <is>
          <t>REVISED REGULATORY FRAMEWORK FOR BANK VERIFICATION NUMBER (BVN) OPERATIONS AND WATCH-LIST FOR THE NIGERIAN BANKING INDUSTRY 121021 FINAL (Nigeria - Row 11)</t>
        </is>
      </c>
      <c r="C31" t="n">
        <v>3</v>
      </c>
      <c r="D31" t="inlineStr">
        <is>
          <t>Central Bank of Nigeria, Central Bank of Nigeria (CBN)</t>
        </is>
      </c>
      <c r="E31" t="inlineStr">
        <is>
          <t>AML, Breach Notification, Cloud Services, Cross-border Transfer, Data Sharing, Data Storage, Financial Data, Incident Reporting, Security, Third Party Processing</t>
        </is>
      </c>
      <c r="F31" t="inlineStr">
        <is>
          <t>High</t>
        </is>
      </c>
    </row>
    <row r="32">
      <c r="A32" t="inlineStr">
        <is>
          <t>Singapore</t>
        </is>
      </c>
      <c r="B32" t="inlineStr">
        <is>
          <t>A Comprehensive Guide to the Law of Confidence and Breach of Confidence in Singapore_ Insights from [2024] SGCA 16 - IRB Law Singapore (Singapore - Row 33)</t>
        </is>
      </c>
      <c r="C32" t="n">
        <v>2</v>
      </c>
      <c r="D32" t="inlineStr"/>
      <c r="E32" t="inlineStr"/>
      <c r="F32" t="inlineStr"/>
    </row>
    <row r="33">
      <c r="A33" t="inlineStr">
        <is>
          <t>Singapore</t>
        </is>
      </c>
      <c r="B33" t="inlineStr">
        <is>
          <t>ID18_24 (Singapore - Row 12)</t>
        </is>
      </c>
      <c r="C33" t="n">
        <v>1</v>
      </c>
      <c r="D33" t="inlineStr">
        <is>
          <t>Monetary Authority of Singapore (MAS)</t>
        </is>
      </c>
      <c r="E33" t="inlineStr">
        <is>
          <t>Cross-border Transfer, Governance</t>
        </is>
      </c>
      <c r="F33" t="inlineStr">
        <is>
          <t>High</t>
        </is>
      </c>
    </row>
    <row r="34">
      <c r="A34" t="inlineStr">
        <is>
          <t>Singapore</t>
        </is>
      </c>
      <c r="B34" t="inlineStr">
        <is>
          <t>ID18_24-2 (Singapore - Row 21)</t>
        </is>
      </c>
      <c r="C34" t="n">
        <v>1</v>
      </c>
      <c r="D34" t="inlineStr">
        <is>
          <t>Monetary Authority of Singapore (MAS)</t>
        </is>
      </c>
      <c r="E34" t="inlineStr">
        <is>
          <t>Governance, Record Keeping</t>
        </is>
      </c>
      <c r="F34" t="inlineStr">
        <is>
          <t>Medium</t>
        </is>
      </c>
    </row>
    <row r="35">
      <c r="A35" t="inlineStr">
        <is>
          <t>Singapore</t>
        </is>
      </c>
      <c r="B35" t="inlineStr">
        <is>
          <t>MAS Notices 644 655 644A 655A 1114 1118 Cancellation 2024 (Singapore - Row 18)</t>
        </is>
      </c>
      <c r="C35" t="n">
        <v>2</v>
      </c>
      <c r="D35" t="inlineStr">
        <is>
          <t>MAS</t>
        </is>
      </c>
      <c r="E35" t="inlineStr"/>
      <c r="F35" t="inlineStr">
        <is>
          <t>High</t>
        </is>
      </c>
    </row>
    <row r="36">
      <c r="A36" t="inlineStr">
        <is>
          <t>Singapore</t>
        </is>
      </c>
      <c r="B36" t="inlineStr">
        <is>
          <t>Personal Data Protection (Prescribed Law Enforceme (Singapore - Row 26)</t>
        </is>
      </c>
      <c r="C36" t="n">
        <v>2</v>
      </c>
      <c r="D36" t="inlineStr"/>
      <c r="E36" t="inlineStr"/>
      <c r="F36" t="inlineStr"/>
    </row>
    <row r="37">
      <c r="A37" t="inlineStr">
        <is>
          <t>South Africa</t>
        </is>
      </c>
      <c r="B37" t="inlineStr">
        <is>
          <t>1. FSCA Conduct Standard 1 of 2025 - Requirements for FIs providing FE initiatives</t>
        </is>
      </c>
      <c r="C37" t="n">
        <v>5</v>
      </c>
      <c r="D37" t="inlineStr">
        <is>
          <t>Financial Sector Conduct Authority</t>
        </is>
      </c>
      <c r="E37" t="inlineStr">
        <is>
          <t>Breach Notification, Cross-border Transfer, Data Sharing, Data Storage, Governance, Incident Reporting, International Processing, Record Keeping, Security</t>
        </is>
      </c>
      <c r="F37" t="inlineStr">
        <is>
          <t>High</t>
        </is>
      </c>
    </row>
    <row r="38">
      <c r="A38" t="inlineStr">
        <is>
          <t>South Africa</t>
        </is>
      </c>
      <c r="B38" t="inlineStr">
        <is>
          <t>2024 Open Finance_FSCA Position Paper</t>
        </is>
      </c>
      <c r="C38" t="n">
        <v>14</v>
      </c>
      <c r="D38" t="inlineStr">
        <is>
          <t>FSCA</t>
        </is>
      </c>
      <c r="E38" t="inlineStr">
        <is>
          <t>Consent, Cross-border Transfer, Data Sharing</t>
        </is>
      </c>
      <c r="F38" t="inlineStr">
        <is>
          <t>High</t>
        </is>
      </c>
    </row>
    <row r="39">
      <c r="A39" t="inlineStr">
        <is>
          <t>South Africa</t>
        </is>
      </c>
      <c r="B39" t="inlineStr">
        <is>
          <t>Conduct-Standard-3-of-2020-BANKS-Annexure-A</t>
        </is>
      </c>
      <c r="C39" t="n">
        <v>7</v>
      </c>
      <c r="D39" t="inlineStr">
        <is>
          <t>Financial Sector Conduct Authority, Financial Sector Conduct Authority (FSCA)</t>
        </is>
      </c>
      <c r="E39" t="inlineStr">
        <is>
          <t>Compliance, Customer Information, Fair treatment of financial customers, Governance, Internal Controls, Risk Management, Termination</t>
        </is>
      </c>
      <c r="F39" t="inlineStr">
        <is>
          <t>High</t>
        </is>
      </c>
    </row>
    <row r="40">
      <c r="A40" t="inlineStr">
        <is>
          <t>South Africa</t>
        </is>
      </c>
      <c r="B40" t="inlineStr">
        <is>
          <t>Directive in respect of cybersecurity and cyber-resilisnce within the national payment system</t>
        </is>
      </c>
      <c r="C40" t="n">
        <v>7</v>
      </c>
      <c r="D40" t="inlineStr">
        <is>
          <t>SARB</t>
        </is>
      </c>
      <c r="E40" t="inlineStr">
        <is>
          <t>Breach Notification, Governance, Incident Reporting</t>
        </is>
      </c>
      <c r="F40" t="inlineStr">
        <is>
          <t>High</t>
        </is>
      </c>
    </row>
    <row r="41">
      <c r="A41" t="inlineStr">
        <is>
          <t>South Africa</t>
        </is>
      </c>
      <c r="B41" t="inlineStr">
        <is>
          <t>FICA (Financial Intelligence Centre Act, 38 of 2001</t>
        </is>
      </c>
      <c r="C41" t="n">
        <v>77</v>
      </c>
      <c r="D41" t="inlineStr">
        <is>
          <t>Accountable institutions, Businesses and individuals, Centre, Courts, Financial Intelligence Centre, Financial Intelligence Centre (Centre), Judge, Minister, Police, President</t>
        </is>
      </c>
      <c r="E41" t="inlineStr">
        <is>
          <t>Breach Notification, Cloud Services, Data Sharing, Data Storage, Financial Data, Incident Reporting, Processing, Record Keeping, Retention</t>
        </is>
      </c>
      <c r="F41" t="inlineStr">
        <is>
          <t>High</t>
        </is>
      </c>
    </row>
    <row r="42">
      <c r="A42" t="inlineStr">
        <is>
          <t>South Africa</t>
        </is>
      </c>
      <c r="B42" t="inlineStr">
        <is>
          <t>Financial Advisory and Intermediary Services Act (FAIS) 37 of 2002</t>
        </is>
      </c>
      <c r="C42" t="n">
        <v>62</v>
      </c>
      <c r="D42" t="inlineStr">
        <is>
          <t>Auditor-General, Board, Court, Financial Services Board, Minister, Minister, Board, Registrar, Ombud for Financial Services Providers, Parliament, Registrar, authorised financial services provider, registrar</t>
        </is>
      </c>
      <c r="E42" t="inlineStr">
        <is>
          <t>Data Sharing, Financial Data, Record Keeping</t>
        </is>
      </c>
      <c r="F42" t="inlineStr">
        <is>
          <t>High</t>
        </is>
      </c>
    </row>
    <row r="43">
      <c r="A43" t="inlineStr">
        <is>
          <t>South Africa</t>
        </is>
      </c>
      <c r="B43" t="inlineStr">
        <is>
          <t>Joint Standard 1 of 2023 - IT Governance and Risk Management</t>
        </is>
      </c>
      <c r="C43" t="n">
        <v>14</v>
      </c>
      <c r="D43" t="inlineStr">
        <is>
          <t>Financial institutions</t>
        </is>
      </c>
      <c r="E43" t="inlineStr">
        <is>
          <t>Incident Reporting, Security</t>
        </is>
      </c>
      <c r="F43" t="inlineStr">
        <is>
          <t>High</t>
        </is>
      </c>
    </row>
    <row r="44">
      <c r="A44" t="inlineStr">
        <is>
          <t>South Africa</t>
        </is>
      </c>
      <c r="B44" t="inlineStr">
        <is>
          <t>Joint Standard 2 of 2024  Cybersecurity &amp; Cyber resilience Requirements</t>
        </is>
      </c>
      <c r="C44" t="n">
        <v>9</v>
      </c>
      <c r="D44" t="inlineStr">
        <is>
          <t>Authorities, Financial institutions</t>
        </is>
      </c>
      <c r="E44" t="inlineStr">
        <is>
          <t>Access Control, Application, Breach Notification, Cybersecurity strategy and framework, Definitions, Governance, Incident Reporting, Learning and Evolving, Least Privilege, Segregation of Duties, User Access Management</t>
        </is>
      </c>
      <c r="F44" t="inlineStr">
        <is>
          <t>High</t>
        </is>
      </c>
    </row>
    <row r="45">
      <c r="A45" t="inlineStr">
        <is>
          <t>South Africa</t>
        </is>
      </c>
      <c r="B45" t="inlineStr">
        <is>
          <t>PA Directive</t>
        </is>
      </c>
      <c r="C45" t="n">
        <v>3</v>
      </c>
      <c r="D45" t="inlineStr">
        <is>
          <t>Prudential Authority (PA)</t>
        </is>
      </c>
      <c r="E45" t="inlineStr">
        <is>
          <t>Cloud Services, Record Keeping</t>
        </is>
      </c>
      <c r="F45" t="inlineStr">
        <is>
          <t>High</t>
        </is>
      </c>
    </row>
    <row r="46">
      <c r="A46" t="inlineStr">
        <is>
          <t>South Africa</t>
        </is>
      </c>
      <c r="B46" t="inlineStr">
        <is>
          <t>pAYMENT ACT</t>
        </is>
      </c>
      <c r="C46" t="n">
        <v>4</v>
      </c>
      <c r="D46" t="inlineStr">
        <is>
          <t>Reserve Bank</t>
        </is>
      </c>
      <c r="E46" t="inlineStr">
        <is>
          <t>Data Sharing</t>
        </is>
      </c>
      <c r="F46" t="inlineStr">
        <is>
          <t>High</t>
        </is>
      </c>
    </row>
    <row r="47">
      <c r="A47" t="inlineStr">
        <is>
          <t>South Africa</t>
        </is>
      </c>
      <c r="B47" t="inlineStr">
        <is>
          <t>POPIA_Regulations_-_Dec_2018</t>
        </is>
      </c>
      <c r="C47" t="n">
        <v>56</v>
      </c>
      <c r="D47" t="inlineStr">
        <is>
          <t>Information Regulator, Information officer, Regulator, Responsible party</t>
        </is>
      </c>
      <c r="E47" t="inlineStr">
        <is>
          <t>Consent, Data Sharing, Data Storage, Governance, Incident Reporting, Record Keeping</t>
        </is>
      </c>
      <c r="F47" t="inlineStr">
        <is>
          <t>Low</t>
        </is>
      </c>
    </row>
    <row r="48">
      <c r="A48" t="inlineStr">
        <is>
          <t>South Africa</t>
        </is>
      </c>
      <c r="B48" t="inlineStr">
        <is>
          <t>South Africa National Cybersecurity Policy Framework (NCPF) 2015</t>
        </is>
      </c>
      <c r="C48" t="n">
        <v>11</v>
      </c>
      <c r="D48" t="inlineStr">
        <is>
          <t>Department of Telecommunications and Postal Services (DOC)</t>
        </is>
      </c>
      <c r="E48"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48" t="inlineStr">
        <is>
          <t>High</t>
        </is>
      </c>
    </row>
    <row r="49">
      <c r="A49" t="inlineStr">
        <is>
          <t>United Kingdom</t>
        </is>
      </c>
      <c r="B49" t="inlineStr">
        <is>
          <t>Accountability and governance _ ICO (United Kingdom - Row 32) (PROVISIONAL)</t>
        </is>
      </c>
      <c r="C49" t="n">
        <v>3</v>
      </c>
      <c r="D49" t="inlineStr"/>
      <c r="E49" t="inlineStr"/>
      <c r="F49" t="inlineStr"/>
    </row>
    <row r="50">
      <c r="A50" t="inlineStr">
        <is>
          <t>United Kingdom</t>
        </is>
      </c>
      <c r="B50" t="inlineStr">
        <is>
          <t>computer misuse act (United Kingdom - Row 2)</t>
        </is>
      </c>
      <c r="C50" t="n">
        <v>2</v>
      </c>
      <c r="D50" t="inlineStr">
        <is>
          <t>Sheriff</t>
        </is>
      </c>
      <c r="E50" t="inlineStr">
        <is>
          <t>Access Control, Cross-border Transfer, Security</t>
        </is>
      </c>
      <c r="F50" t="inlineStr">
        <is>
          <t>Low</t>
        </is>
      </c>
    </row>
    <row r="51">
      <c r="A51" t="inlineStr">
        <is>
          <t>United Kingdom</t>
        </is>
      </c>
      <c r="B51" t="inlineStr">
        <is>
          <t>Privacy and Electronic Communications Regulations (PECR) 2003 (United Kingdom - Row 18)</t>
        </is>
      </c>
      <c r="C51" t="n">
        <v>1</v>
      </c>
      <c r="D51" t="inlineStr">
        <is>
          <t>Regulation 10</t>
        </is>
      </c>
      <c r="E51" t="inlineStr">
        <is>
          <t>Cross-border Transfer, Data Sharing, Security</t>
        </is>
      </c>
      <c r="F51" t="inlineStr">
        <is>
          <t>Low</t>
        </is>
      </c>
    </row>
    <row r="52">
      <c r="A52" t="inlineStr">
        <is>
          <t>United Kingdom</t>
        </is>
      </c>
      <c r="B52" t="inlineStr">
        <is>
          <t>Senior Managers and Certification Regime (United Kingdom - Row 23)</t>
        </is>
      </c>
      <c r="C52" t="n">
        <v>3</v>
      </c>
      <c r="D52" t="inlineStr">
        <is>
          <t>FCA</t>
        </is>
      </c>
      <c r="E52" t="inlineStr">
        <is>
          <t>Governance, Record Keeping</t>
        </is>
      </c>
      <c r="F52" t="inlineStr">
        <is>
          <t>High</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71"/>
  <sheetViews>
    <sheetView workbookViewId="0">
      <pane ySplit="1" topLeftCell="A2" activePane="bottomLeft" state="frozen"/>
      <selection pane="bottomLeft" activeCell="A1" sqref="A1"/>
    </sheetView>
  </sheetViews>
  <sheetFormatPr baseColWidth="8" defaultRowHeight="15"/>
  <cols>
    <col width="60" customWidth="1" min="1" max="1"/>
    <col width="16" customWidth="1" min="2" max="2"/>
    <col width="60" customWidth="1" min="3" max="3"/>
  </cols>
  <sheetData>
    <row r="1">
      <c r="A1" s="9" t="inlineStr">
        <is>
          <t>Authority</t>
        </is>
      </c>
      <c r="B1" s="9" t="inlineStr">
        <is>
          <t>Countries</t>
        </is>
      </c>
      <c r="C1" s="9" t="inlineStr">
        <is>
          <t>Acts</t>
        </is>
      </c>
    </row>
    <row r="2">
      <c r="A2" t="inlineStr">
        <is>
          <t>APRA</t>
        </is>
      </c>
      <c r="B2" t="inlineStr">
        <is>
          <t>Australia</t>
        </is>
      </c>
      <c r="C2" t="inlineStr">
        <is>
          <t>Prudential-Standard-CPS-232-Business-Continuity-Management-(July-2017) (Australia - Row 5)</t>
        </is>
      </c>
    </row>
    <row r="3">
      <c r="A3" t="inlineStr">
        <is>
          <t>Accountable institutions</t>
        </is>
      </c>
      <c r="B3" t="inlineStr">
        <is>
          <t>South Africa</t>
        </is>
      </c>
      <c r="C3" t="inlineStr">
        <is>
          <t>FICA (Financial Intelligence Centre Act, 38 of 2001</t>
        </is>
      </c>
    </row>
    <row r="4">
      <c r="A4" t="inlineStr">
        <is>
          <t>Arts Minister, Commissioner</t>
        </is>
      </c>
      <c r="B4" t="inlineStr">
        <is>
          <t>Australia</t>
        </is>
      </c>
      <c r="C4" t="inlineStr">
        <is>
          <t>C2004C01271-1 (Australia - Row 7)</t>
        </is>
      </c>
    </row>
    <row r="5">
      <c r="A5" t="inlineStr">
        <is>
          <t>Auditor-General</t>
        </is>
      </c>
      <c r="B5" t="inlineStr">
        <is>
          <t>South Africa</t>
        </is>
      </c>
      <c r="C5" t="inlineStr">
        <is>
          <t>Financial Advisory and Intermediary Services Act (FAIS) 37 of 2002</t>
        </is>
      </c>
    </row>
    <row r="6">
      <c r="A6" t="inlineStr">
        <is>
          <t>Australian Signals Directorate (ASD)</t>
        </is>
      </c>
      <c r="B6" t="inlineStr">
        <is>
          <t>Australia</t>
        </is>
      </c>
      <c r="C6" t="inlineStr">
        <is>
          <t>Essential Eight explained (November 2023) (Australia - Row 11)</t>
        </is>
      </c>
    </row>
    <row r="7">
      <c r="A7" t="inlineStr">
        <is>
          <t>Authorities</t>
        </is>
      </c>
      <c r="B7" t="inlineStr">
        <is>
          <t>South Africa</t>
        </is>
      </c>
      <c r="C7" t="inlineStr">
        <is>
          <t>Joint Standard 2 of 2024  Cybersecurity &amp; Cyber resilience Requirements</t>
        </is>
      </c>
    </row>
    <row r="8">
      <c r="A8" t="inlineStr">
        <is>
          <t>Authority</t>
        </is>
      </c>
      <c r="B8" t="inlineStr">
        <is>
          <t>Kenya</t>
        </is>
      </c>
      <c r="C8" t="inlineStr">
        <is>
          <t>Capital Markets Act</t>
        </is>
      </c>
    </row>
    <row r="9">
      <c r="A9" t="inlineStr">
        <is>
          <t>Bank</t>
        </is>
      </c>
      <c r="B9" t="inlineStr">
        <is>
          <t>Mauritius</t>
        </is>
      </c>
      <c r="C9" t="inlineStr">
        <is>
          <t>guidelines_on_outsourcing_by_financial_institutions (Mauritius - Row 3)</t>
        </is>
      </c>
    </row>
    <row r="10">
      <c r="A10" t="inlineStr">
        <is>
          <t>Bank of Mauritius</t>
        </is>
      </c>
      <c r="B10" t="inlineStr">
        <is>
          <t>Mauritius</t>
        </is>
      </c>
      <c r="C10" t="inlineStr">
        <is>
          <t>guidelines_on_outsourcing_by_financial_institutions (Mauritius - Row 3)</t>
        </is>
      </c>
    </row>
    <row r="11">
      <c r="A11" t="inlineStr">
        <is>
          <t>Board</t>
        </is>
      </c>
      <c r="B11" t="inlineStr">
        <is>
          <t>South Africa</t>
        </is>
      </c>
      <c r="C11" t="inlineStr">
        <is>
          <t>Financial Advisory and Intermediary Services Act (FAIS) 37 of 2002</t>
        </is>
      </c>
    </row>
    <row r="12">
      <c r="A12" t="inlineStr">
        <is>
          <t>Businesses and individuals</t>
        </is>
      </c>
      <c r="B12" t="inlineStr">
        <is>
          <t>South Africa</t>
        </is>
      </c>
      <c r="C12" t="inlineStr">
        <is>
          <t>FICA (Financial Intelligence Centre Act, 38 of 2001</t>
        </is>
      </c>
    </row>
    <row r="13">
      <c r="A13" t="inlineStr">
        <is>
          <t>CBK</t>
        </is>
      </c>
      <c r="B13" t="inlineStr">
        <is>
          <t>Kenya</t>
        </is>
      </c>
      <c r="C13" t="inlineStr">
        <is>
          <t>GuidelinesonCybersecurityforPSPs (Kenya - Row19)</t>
        </is>
      </c>
    </row>
    <row r="14">
      <c r="A14" t="inlineStr">
        <is>
          <t>Cabinet Secretary</t>
        </is>
      </c>
      <c r="B14" t="inlineStr">
        <is>
          <t>Kenya</t>
        </is>
      </c>
      <c r="C14" t="inlineStr">
        <is>
          <t>Capital Markets Act</t>
        </is>
      </c>
    </row>
    <row r="15">
      <c r="A15" t="inlineStr">
        <is>
          <t>Capital Markets Authority</t>
        </is>
      </c>
      <c r="B15" t="inlineStr">
        <is>
          <t>Kenya</t>
        </is>
      </c>
      <c r="C15" t="inlineStr">
        <is>
          <t>Capital Markets Act</t>
        </is>
      </c>
    </row>
    <row r="16">
      <c r="A16" t="inlineStr">
        <is>
          <t>Capital Markets Authority (CMA)</t>
        </is>
      </c>
      <c r="B16" t="inlineStr">
        <is>
          <t>Kenya</t>
        </is>
      </c>
      <c r="C16" t="inlineStr">
        <is>
          <t>Capital Markets Act</t>
        </is>
      </c>
    </row>
    <row r="17">
      <c r="A17" t="inlineStr">
        <is>
          <t>Capital Markets Tribunal</t>
        </is>
      </c>
      <c r="B17" t="inlineStr">
        <is>
          <t>Kenya</t>
        </is>
      </c>
      <c r="C17" t="inlineStr">
        <is>
          <t>Capital Markets Act</t>
        </is>
      </c>
    </row>
    <row r="18">
      <c r="A18" t="inlineStr">
        <is>
          <t>Central Bank of Kenya</t>
        </is>
      </c>
      <c r="B18" t="inlineStr">
        <is>
          <t>Kenya</t>
        </is>
      </c>
      <c r="C18" t="inlineStr">
        <is>
          <t>GUIDANCE-NOTE-ON-CYBERSECURITY-FOR-THE-BANKING-SECTOR</t>
        </is>
      </c>
    </row>
    <row r="19">
      <c r="A19" t="inlineStr">
        <is>
          <t>Central Bank of Kenya (CBK)</t>
        </is>
      </c>
      <c r="B19" t="inlineStr">
        <is>
          <t>Kenya</t>
        </is>
      </c>
      <c r="C19" t="inlineStr">
        <is>
          <t>GUIDANCE-NOTE-ON-CYBERSECURITY-FOR-THE-BANKING-SECTOR, GuidelinesonCybersecurityforPSPs (Kenya - Row19)</t>
        </is>
      </c>
    </row>
    <row r="20">
      <c r="A20" t="inlineStr">
        <is>
          <t>Central Bank of Nigeria</t>
        </is>
      </c>
      <c r="B20" t="inlineStr">
        <is>
          <t>Nigeria</t>
        </is>
      </c>
      <c r="C20" t="inlineStr">
        <is>
          <t>REVISED REGULATORY FRAMEWORK FOR BANK VERIFICATION NUMBER (BVN) OPERATIONS AND WATCH-LIST FOR THE NIGERIAN BANKING INDUSTRY 121021 FINAL (Nigeria - Row 11), cbn consumer protection regulations (Nigeria - Row 4), circular on the regulatory framework on open banking in nigeria (Nigeria - Row 8)</t>
        </is>
      </c>
    </row>
    <row r="21">
      <c r="A21" t="inlineStr">
        <is>
          <t>Central Bank of Nigeria (CBN)</t>
        </is>
      </c>
      <c r="B21" t="inlineStr">
        <is>
          <t>Nigeria</t>
        </is>
      </c>
      <c r="C21" t="inlineStr">
        <is>
          <t>REVISED REGULATORY FRAMEWORK FOR BANK VERIFICATION NUMBER (BVN) OPERATIONS AND WATCH-LIST FOR THE NIGERIAN BANKING INDUSTRY 121021 FINAL (Nigeria - Row 11), cbn consumer protection regulations (Nigeria - Row 4)</t>
        </is>
      </c>
    </row>
    <row r="22">
      <c r="A22" t="inlineStr">
        <is>
          <t>Centre</t>
        </is>
      </c>
      <c r="B22" t="inlineStr">
        <is>
          <t>South Africa</t>
        </is>
      </c>
      <c r="C22" t="inlineStr">
        <is>
          <t>FICA (Financial Intelligence Centre Act, 38 of 2001</t>
        </is>
      </c>
    </row>
    <row r="23">
      <c r="A23" t="inlineStr">
        <is>
          <t>Commonwealth Minister</t>
        </is>
      </c>
      <c r="B23" t="inlineStr">
        <is>
          <t>Australia</t>
        </is>
      </c>
      <c r="C23" t="inlineStr">
        <is>
          <t>C2004A01182 (Australia - Row 25)</t>
        </is>
      </c>
    </row>
    <row r="24">
      <c r="A24" t="inlineStr">
        <is>
          <t>Competent Authority</t>
        </is>
      </c>
      <c r="B24" t="inlineStr">
        <is>
          <t>GDPR</t>
        </is>
      </c>
      <c r="C24" t="inlineStr">
        <is>
          <t>CELEX_52023PC0360_EN_TXT (GDPR - Row 13)</t>
        </is>
      </c>
    </row>
    <row r="25">
      <c r="A25" t="inlineStr">
        <is>
          <t>Competent authorities</t>
        </is>
      </c>
      <c r="B25" t="inlineStr">
        <is>
          <t>GDPR</t>
        </is>
      </c>
      <c r="C25" t="inlineStr">
        <is>
          <t>CELEX_52023PC0360_EN_TXT (GDPR - Row 13), esma_cloud_guidelines (GDPR - Row 8)</t>
        </is>
      </c>
    </row>
    <row r="26">
      <c r="A26" t="inlineStr">
        <is>
          <t>Consumer Protection Department</t>
        </is>
      </c>
      <c r="B26" t="inlineStr">
        <is>
          <t>Nigeria</t>
        </is>
      </c>
      <c r="C26" t="inlineStr">
        <is>
          <t>cbn consumer protection regulations (Nigeria - Row 4)</t>
        </is>
      </c>
    </row>
    <row r="27">
      <c r="A27" t="inlineStr">
        <is>
          <t>Court</t>
        </is>
      </c>
      <c r="B27" t="inlineStr">
        <is>
          <t>South Africa</t>
        </is>
      </c>
      <c r="C27" t="inlineStr">
        <is>
          <t>Financial Advisory and Intermediary Services Act (FAIS) 37 of 2002</t>
        </is>
      </c>
    </row>
    <row r="28">
      <c r="A28" t="inlineStr">
        <is>
          <t>Courts</t>
        </is>
      </c>
      <c r="B28" t="inlineStr">
        <is>
          <t>South Africa</t>
        </is>
      </c>
      <c r="C28" t="inlineStr">
        <is>
          <t>FICA (Financial Intelligence Centre Act, 38 of 2001</t>
        </is>
      </c>
    </row>
    <row r="29">
      <c r="A29" t="inlineStr">
        <is>
          <t>Data Commissioner</t>
        </is>
      </c>
      <c r="B29" t="inlineStr">
        <is>
          <t>Kenya</t>
        </is>
      </c>
      <c r="C29" t="inlineStr">
        <is>
          <t>THE-DATA-PROTECTION-COMPLAINTS-HANDLING-AND-ENFORCEMENT (Kenya - Row 15), THE-DATA-PROTECTION-REGISTRATION-OF-DATA-CONTROLLERS-AND-DATA-PROCESSORS-REGULATIONS-2021 (Kenya = row17)</t>
        </is>
      </c>
    </row>
    <row r="30">
      <c r="A30" t="inlineStr">
        <is>
          <t>Department of Telecommunications and Postal Services (DOC)</t>
        </is>
      </c>
      <c r="B30" t="inlineStr">
        <is>
          <t>South Africa</t>
        </is>
      </c>
      <c r="C30" t="inlineStr">
        <is>
          <t>South Africa National Cybersecurity Policy Framework (NCPF) 2015</t>
        </is>
      </c>
    </row>
    <row r="31">
      <c r="A31" t="inlineStr">
        <is>
          <t>ESMA</t>
        </is>
      </c>
      <c r="B31" t="inlineStr">
        <is>
          <t>GDPR</t>
        </is>
      </c>
      <c r="C31" t="inlineStr">
        <is>
          <t>esma_cloud_guidelines (GDPR - Row 8)</t>
        </is>
      </c>
    </row>
    <row r="32">
      <c r="A32" t="inlineStr">
        <is>
          <t>European Banking Authority</t>
        </is>
      </c>
      <c r="B32" t="inlineStr">
        <is>
          <t>GDPR</t>
        </is>
      </c>
      <c r="C32" t="inlineStr">
        <is>
          <t>CELEX_52023PC0360_EN_TXT (GDPR - Row 13)</t>
        </is>
      </c>
    </row>
    <row r="33">
      <c r="A33" t="inlineStr">
        <is>
          <t>European Commission</t>
        </is>
      </c>
      <c r="B33" t="inlineStr">
        <is>
          <t>GDPR</t>
        </is>
      </c>
      <c r="C33" t="inlineStr">
        <is>
          <t>CELEX_52023PC0360_EN_TXT (GDPR - Row 13)</t>
        </is>
      </c>
    </row>
    <row r="34">
      <c r="A34" t="inlineStr">
        <is>
          <t>European Data Protection Board</t>
        </is>
      </c>
      <c r="B34" t="inlineStr">
        <is>
          <t>GDPR</t>
        </is>
      </c>
      <c r="C34" t="inlineStr">
        <is>
          <t>CELEX_52023PC0360_EN_TXT (GDPR - Row 13)</t>
        </is>
      </c>
    </row>
    <row r="35">
      <c r="A35" t="inlineStr">
        <is>
          <t>FCA</t>
        </is>
      </c>
      <c r="B35" t="inlineStr">
        <is>
          <t>United Kingdom</t>
        </is>
      </c>
      <c r="C35" t="inlineStr">
        <is>
          <t>Senior Managers and Certification Regime (United Kingdom - Row 23)</t>
        </is>
      </c>
    </row>
    <row r="36">
      <c r="A36" t="inlineStr">
        <is>
          <t>FSCA</t>
        </is>
      </c>
      <c r="B36" t="inlineStr">
        <is>
          <t>South Africa</t>
        </is>
      </c>
      <c r="C36" t="inlineStr">
        <is>
          <t>2024 Open Finance_FSCA Position Paper</t>
        </is>
      </c>
    </row>
    <row r="37">
      <c r="A37" t="inlineStr">
        <is>
          <t>Financial Intelligence Centre</t>
        </is>
      </c>
      <c r="B37" t="inlineStr">
        <is>
          <t>South Africa</t>
        </is>
      </c>
      <c r="C37" t="inlineStr">
        <is>
          <t>FICA (Financial Intelligence Centre Act, 38 of 2001</t>
        </is>
      </c>
    </row>
    <row r="38">
      <c r="A38" t="inlineStr">
        <is>
          <t>Financial Intelligence Centre (Centre)</t>
        </is>
      </c>
      <c r="B38" t="inlineStr">
        <is>
          <t>South Africa</t>
        </is>
      </c>
      <c r="C38" t="inlineStr">
        <is>
          <t>FICA (Financial Intelligence Centre Act, 38 of 2001</t>
        </is>
      </c>
    </row>
    <row r="39">
      <c r="A39" t="inlineStr">
        <is>
          <t>Financial Sector Conduct Authority</t>
        </is>
      </c>
      <c r="B39" t="inlineStr">
        <is>
          <t>South Africa</t>
        </is>
      </c>
      <c r="C39" t="inlineStr">
        <is>
          <t>1. FSCA Conduct Standard 1 of 2025 - Requirements for FIs providing FE initiatives, Conduct-Standard-3-of-2020-BANKS-Annexure-A</t>
        </is>
      </c>
    </row>
    <row r="40">
      <c r="A40" t="inlineStr">
        <is>
          <t>Financial Sector Conduct Authority (FSCA)</t>
        </is>
      </c>
      <c r="B40" t="inlineStr">
        <is>
          <t>South Africa</t>
        </is>
      </c>
      <c r="C40" t="inlineStr">
        <is>
          <t>Conduct-Standard-3-of-2020-BANKS-Annexure-A</t>
        </is>
      </c>
    </row>
    <row r="41">
      <c r="A41" t="inlineStr">
        <is>
          <t>Financial Services Board</t>
        </is>
      </c>
      <c r="B41" t="inlineStr">
        <is>
          <t>South Africa</t>
        </is>
      </c>
      <c r="C41" t="inlineStr">
        <is>
          <t>Financial Advisory and Intermediary Services Act (FAIS) 37 of 2002</t>
        </is>
      </c>
    </row>
    <row r="42">
      <c r="A42" t="inlineStr">
        <is>
          <t>Financial Services Commission (FSC)</t>
        </is>
      </c>
      <c r="B42" t="inlineStr">
        <is>
          <t>Mauritius</t>
        </is>
      </c>
      <c r="C42" t="inlineStr">
        <is>
          <t>code-of-business-conduct_final (Mauritius - Row 14), code-of-business-conduct_final (Mauritius - Row 18)</t>
        </is>
      </c>
    </row>
    <row r="43">
      <c r="A43" t="inlineStr">
        <is>
          <t>Financial institutions</t>
        </is>
      </c>
      <c r="B43" t="inlineStr">
        <is>
          <t>South Africa</t>
        </is>
      </c>
      <c r="C43" t="inlineStr">
        <is>
          <t>Joint Standard 1 of 2023 - IT Governance and Risk Management, Joint Standard 2 of 2024  Cybersecurity &amp; Cyber resilience Requirements</t>
        </is>
      </c>
    </row>
    <row r="44">
      <c r="A44" t="inlineStr">
        <is>
          <t>High Court</t>
        </is>
      </c>
      <c r="B44" t="inlineStr">
        <is>
          <t>Kenya</t>
        </is>
      </c>
      <c r="C44" t="inlineStr">
        <is>
          <t>THE-DATA-PROTECTION-COMPLAINTS-HANDLING-AND-ENFORCEMENT (Kenya - Row 15)</t>
        </is>
      </c>
    </row>
    <row r="45">
      <c r="A45" t="inlineStr">
        <is>
          <t>IFSCA</t>
        </is>
      </c>
      <c r="B45" t="inlineStr">
        <is>
          <t>India</t>
        </is>
      </c>
      <c r="C45" t="inlineStr">
        <is>
          <t>guidelines-on-cyber-security-and-cyber-resilience-for-regulated-entities-in-ifscs-1-10032025064412 (India - Row 5)</t>
        </is>
      </c>
    </row>
    <row r="46">
      <c r="A46" t="inlineStr">
        <is>
          <t>IRDAI</t>
        </is>
      </c>
      <c r="B46" t="inlineStr">
        <is>
          <t>India</t>
        </is>
      </c>
      <c r="C46" t="inlineStr">
        <is>
          <t>Guidelines on Information and Cyber Security (India - Row 8)</t>
        </is>
      </c>
    </row>
    <row r="47">
      <c r="A47" t="inlineStr">
        <is>
          <t>Information Regulator</t>
        </is>
      </c>
      <c r="B47" t="inlineStr">
        <is>
          <t>South Africa</t>
        </is>
      </c>
      <c r="C47" t="inlineStr">
        <is>
          <t>POPIA_Regulations_-_Dec_2018</t>
        </is>
      </c>
    </row>
    <row r="48">
      <c r="A48" t="inlineStr">
        <is>
          <t>Information officer</t>
        </is>
      </c>
      <c r="B48" t="inlineStr">
        <is>
          <t>South Africa</t>
        </is>
      </c>
      <c r="C48" t="inlineStr">
        <is>
          <t>POPIA_Regulations_-_Dec_2018</t>
        </is>
      </c>
    </row>
    <row r="49">
      <c r="A49" t="inlineStr">
        <is>
          <t>Judge</t>
        </is>
      </c>
      <c r="B49" t="inlineStr">
        <is>
          <t>South Africa</t>
        </is>
      </c>
      <c r="C49" t="inlineStr">
        <is>
          <t>FICA (Financial Intelligence Centre Act, 38 of 2001</t>
        </is>
      </c>
    </row>
    <row r="50">
      <c r="A50" t="inlineStr">
        <is>
          <t>MAS</t>
        </is>
      </c>
      <c r="B50" t="inlineStr">
        <is>
          <t>Singapore</t>
        </is>
      </c>
      <c r="C50" t="inlineStr">
        <is>
          <t>MAS Notices 644 655 644A 655A 1114 1118 Cancellation 2024 (Singapore - Row 18)</t>
        </is>
      </c>
    </row>
    <row r="51">
      <c r="A51" t="inlineStr">
        <is>
          <t>Member States</t>
        </is>
      </c>
      <c r="B51" t="inlineStr">
        <is>
          <t>GDPR</t>
        </is>
      </c>
      <c r="C51" t="inlineStr">
        <is>
          <t>CELEX_52023PC0360_EN_TXT (GDPR - Row 13)</t>
        </is>
      </c>
    </row>
    <row r="52">
      <c r="A52" t="inlineStr">
        <is>
          <t>Minister</t>
        </is>
      </c>
      <c r="B52" t="inlineStr">
        <is>
          <t>South Africa</t>
        </is>
      </c>
      <c r="C52" t="inlineStr">
        <is>
          <t>FICA (Financial Intelligence Centre Act, 38 of 2001, Financial Advisory and Intermediary Services Act (FAIS) 37 of 2002</t>
        </is>
      </c>
    </row>
    <row r="53">
      <c r="A53" t="inlineStr">
        <is>
          <t>Minister, Board, Registrar</t>
        </is>
      </c>
      <c r="B53" t="inlineStr">
        <is>
          <t>South Africa</t>
        </is>
      </c>
      <c r="C53" t="inlineStr">
        <is>
          <t>Financial Advisory and Intermediary Services Act (FAIS) 37 of 2002</t>
        </is>
      </c>
    </row>
    <row r="54">
      <c r="A54" t="inlineStr">
        <is>
          <t>Monetary Authority of Singapore (MAS)</t>
        </is>
      </c>
      <c r="B54" t="inlineStr">
        <is>
          <t>Singapore</t>
        </is>
      </c>
      <c r="C54" t="inlineStr">
        <is>
          <t>ID18_24 (Singapore - Row 12), ID18_24-2 (Singapore - Row 21)</t>
        </is>
      </c>
    </row>
    <row r="55">
      <c r="A55" t="inlineStr">
        <is>
          <t>NITDA</t>
        </is>
      </c>
      <c r="B55" t="inlineStr">
        <is>
          <t>Nigeria</t>
        </is>
      </c>
      <c r="C55" t="inlineStr">
        <is>
          <t>NCCPolicy_New1 (Nigeria - Row 21), NCCPolicy_New1 (Nigeria - Row 23)</t>
        </is>
      </c>
    </row>
    <row r="56">
      <c r="A56" t="inlineStr">
        <is>
          <t>Ombud for Financial Services Providers</t>
        </is>
      </c>
      <c r="B56" t="inlineStr">
        <is>
          <t>South Africa</t>
        </is>
      </c>
      <c r="C56" t="inlineStr">
        <is>
          <t>Financial Advisory and Intermediary Services Act (FAIS) 37 of 2002</t>
        </is>
      </c>
    </row>
    <row r="57">
      <c r="A57" t="inlineStr">
        <is>
          <t>Parliament</t>
        </is>
      </c>
      <c r="B57" t="inlineStr">
        <is>
          <t>South Africa</t>
        </is>
      </c>
      <c r="C57" t="inlineStr">
        <is>
          <t>Financial Advisory and Intermediary Services Act (FAIS) 37 of 2002</t>
        </is>
      </c>
    </row>
    <row r="58">
      <c r="A58" t="inlineStr">
        <is>
          <t>Police</t>
        </is>
      </c>
      <c r="B58" t="inlineStr">
        <is>
          <t>South Africa</t>
        </is>
      </c>
      <c r="C58" t="inlineStr">
        <is>
          <t>FICA (Financial Intelligence Centre Act, 38 of 2001</t>
        </is>
      </c>
    </row>
    <row r="59">
      <c r="A59" t="inlineStr">
        <is>
          <t>President</t>
        </is>
      </c>
      <c r="B59" t="inlineStr">
        <is>
          <t>South Africa</t>
        </is>
      </c>
      <c r="C59" t="inlineStr">
        <is>
          <t>FICA (Financial Intelligence Centre Act, 38 of 2001</t>
        </is>
      </c>
    </row>
    <row r="60">
      <c r="A60" t="inlineStr">
        <is>
          <t>Prudential Authority (PA)</t>
        </is>
      </c>
      <c r="B60" t="inlineStr">
        <is>
          <t>South Africa</t>
        </is>
      </c>
      <c r="C60" t="inlineStr">
        <is>
          <t>PA Directive</t>
        </is>
      </c>
    </row>
    <row r="61">
      <c r="A61" t="inlineStr">
        <is>
          <t>RBI</t>
        </is>
      </c>
      <c r="B61" t="inlineStr">
        <is>
          <t>India</t>
        </is>
      </c>
      <c r="C61" t="inlineStr">
        <is>
          <t>RBI Master Direction on Information Technology Framework for NBFC Sector (2017) (India - Row 15)</t>
        </is>
      </c>
    </row>
    <row r="62">
      <c r="A62" t="inlineStr">
        <is>
          <t>Registrar</t>
        </is>
      </c>
      <c r="B62" t="inlineStr">
        <is>
          <t>South Africa</t>
        </is>
      </c>
      <c r="C62" t="inlineStr">
        <is>
          <t>Financial Advisory and Intermediary Services Act (FAIS) 37 of 2002</t>
        </is>
      </c>
    </row>
    <row r="63">
      <c r="A63" t="inlineStr">
        <is>
          <t>Regulation 10</t>
        </is>
      </c>
      <c r="B63" t="inlineStr">
        <is>
          <t>United Kingdom</t>
        </is>
      </c>
      <c r="C63" t="inlineStr">
        <is>
          <t>Privacy and Electronic Communications Regulations (PECR) 2003 (United Kingdom - Row 18)</t>
        </is>
      </c>
    </row>
    <row r="64">
      <c r="A64" t="inlineStr">
        <is>
          <t>Regulator</t>
        </is>
      </c>
      <c r="B64" t="inlineStr">
        <is>
          <t>South Africa</t>
        </is>
      </c>
      <c r="C64" t="inlineStr">
        <is>
          <t>POPIA_Regulations_-_Dec_2018</t>
        </is>
      </c>
    </row>
    <row r="65">
      <c r="A65" t="inlineStr">
        <is>
          <t>Reserve Bank</t>
        </is>
      </c>
      <c r="B65" t="inlineStr">
        <is>
          <t>South Africa</t>
        </is>
      </c>
      <c r="C65" t="inlineStr">
        <is>
          <t>pAYMENT ACT</t>
        </is>
      </c>
    </row>
    <row r="66">
      <c r="A66" t="inlineStr">
        <is>
          <t>Reserve Bank of India</t>
        </is>
      </c>
      <c r="B66" t="inlineStr">
        <is>
          <t>India</t>
        </is>
      </c>
      <c r="C66" t="inlineStr">
        <is>
          <t>NT75589AC4A988D446CA94182886F6D8EADD (India - Row 13) PROVISIONALLY, RBI Payment Data Localisation Requirement (India - Row 17)</t>
        </is>
      </c>
    </row>
    <row r="67">
      <c r="A67" t="inlineStr">
        <is>
          <t>Responsible party</t>
        </is>
      </c>
      <c r="B67" t="inlineStr">
        <is>
          <t>South Africa</t>
        </is>
      </c>
      <c r="C67" t="inlineStr">
        <is>
          <t>POPIA_Regulations_-_Dec_2018</t>
        </is>
      </c>
    </row>
    <row r="68">
      <c r="A68" t="inlineStr">
        <is>
          <t>SARB</t>
        </is>
      </c>
      <c r="B68" t="inlineStr">
        <is>
          <t>South Africa</t>
        </is>
      </c>
      <c r="C68" t="inlineStr">
        <is>
          <t>Directive in respect of cybersecurity and cyber-resilisnce within the national payment system</t>
        </is>
      </c>
    </row>
    <row r="69">
      <c r="A69" t="inlineStr">
        <is>
          <t>Sheriff</t>
        </is>
      </c>
      <c r="B69" t="inlineStr">
        <is>
          <t>United Kingdom</t>
        </is>
      </c>
      <c r="C69" t="inlineStr">
        <is>
          <t>computer misuse act (United Kingdom - Row 2)</t>
        </is>
      </c>
    </row>
    <row r="70">
      <c r="A70" t="inlineStr">
        <is>
          <t>authorised financial services provider</t>
        </is>
      </c>
      <c r="B70" t="inlineStr">
        <is>
          <t>South Africa</t>
        </is>
      </c>
      <c r="C70" t="inlineStr">
        <is>
          <t>Financial Advisory and Intermediary Services Act (FAIS) 37 of 2002</t>
        </is>
      </c>
    </row>
    <row r="71">
      <c r="A71" t="inlineStr">
        <is>
          <t>registrar</t>
        </is>
      </c>
      <c r="B71" t="inlineStr">
        <is>
          <t>South Africa</t>
        </is>
      </c>
      <c r="C71" t="inlineStr">
        <is>
          <t>Financial Advisory and Intermediary Services Act (FAIS) 37 of 2002</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40"/>
  <sheetViews>
    <sheetView workbookViewId="0">
      <pane ySplit="1" topLeftCell="A2" activePane="bottomLeft" state="frozen"/>
      <selection pane="bottomLeft" activeCell="A1" sqref="A1"/>
    </sheetView>
  </sheetViews>
  <sheetFormatPr baseColWidth="8" defaultRowHeight="15"/>
  <cols>
    <col width="39" customWidth="1" min="1" max="1"/>
    <col width="12" customWidth="1" min="2" max="2"/>
  </cols>
  <sheetData>
    <row r="1">
      <c r="A1" s="9" t="inlineStr">
        <is>
          <t>Topic</t>
        </is>
      </c>
      <c r="B1" s="9" t="inlineStr">
        <is>
          <t>Sections</t>
        </is>
      </c>
    </row>
    <row r="2">
      <c r="A2" t="inlineStr">
        <is>
          <t>Cloud Services</t>
        </is>
      </c>
      <c r="B2" t="n">
        <v>61</v>
      </c>
    </row>
    <row r="3">
      <c r="A3" t="inlineStr">
        <is>
          <t>Governance</t>
        </is>
      </c>
      <c r="B3" t="n">
        <v>58</v>
      </c>
    </row>
    <row r="4">
      <c r="A4" t="inlineStr">
        <is>
          <t>Data Sharing</t>
        </is>
      </c>
      <c r="B4" t="n">
        <v>51</v>
      </c>
    </row>
    <row r="5">
      <c r="A5" t="inlineStr">
        <is>
          <t>Incident Reporting</t>
        </is>
      </c>
      <c r="B5" t="n">
        <v>49</v>
      </c>
    </row>
    <row r="6">
      <c r="A6" t="inlineStr">
        <is>
          <t>Data Storage</t>
        </is>
      </c>
      <c r="B6" t="n">
        <v>48</v>
      </c>
    </row>
    <row r="7">
      <c r="A7" t="inlineStr">
        <is>
          <t>Security</t>
        </is>
      </c>
      <c r="B7" t="n">
        <v>46</v>
      </c>
    </row>
    <row r="8">
      <c r="A8" t="inlineStr">
        <is>
          <t>Record Keeping</t>
        </is>
      </c>
      <c r="B8" t="n">
        <v>46</v>
      </c>
    </row>
    <row r="9">
      <c r="A9" t="inlineStr">
        <is>
          <t>Financial Data</t>
        </is>
      </c>
      <c r="B9" t="n">
        <v>43</v>
      </c>
    </row>
    <row r="10">
      <c r="A10" t="inlineStr">
        <is>
          <t>Breach Notification</t>
        </is>
      </c>
      <c r="B10" t="n">
        <v>42</v>
      </c>
    </row>
    <row r="11">
      <c r="A11" t="inlineStr">
        <is>
          <t>Cross-border Transfer</t>
        </is>
      </c>
      <c r="B11" t="n">
        <v>34</v>
      </c>
    </row>
    <row r="12">
      <c r="A12" t="inlineStr">
        <is>
          <t>Data Residency</t>
        </is>
      </c>
      <c r="B12" t="n">
        <v>27</v>
      </c>
    </row>
    <row r="13">
      <c r="A13" t="inlineStr">
        <is>
          <t>Consent</t>
        </is>
      </c>
      <c r="B13" t="n">
        <v>19</v>
      </c>
    </row>
    <row r="14">
      <c r="A14" t="inlineStr">
        <is>
          <t>Third Party Processing</t>
        </is>
      </c>
      <c r="B14" t="n">
        <v>18</v>
      </c>
    </row>
    <row r="15">
      <c r="A15" t="inlineStr">
        <is>
          <t>Customer Information</t>
        </is>
      </c>
      <c r="B15" t="n">
        <v>17</v>
      </c>
    </row>
    <row r="16">
      <c r="A16" t="inlineStr">
        <is>
          <t>Outsourcing</t>
        </is>
      </c>
      <c r="B16" t="n">
        <v>11</v>
      </c>
    </row>
    <row r="17">
      <c r="A17" t="inlineStr">
        <is>
          <t>Special Personal Information</t>
        </is>
      </c>
      <c r="B17" t="n">
        <v>11</v>
      </c>
    </row>
    <row r="18">
      <c r="A18" t="inlineStr">
        <is>
          <t>Processing</t>
        </is>
      </c>
      <c r="B18" t="n">
        <v>10</v>
      </c>
    </row>
    <row r="19">
      <c r="A19" t="inlineStr">
        <is>
          <t>Access Control</t>
        </is>
      </c>
      <c r="B19" t="n">
        <v>10</v>
      </c>
    </row>
    <row r="20">
      <c r="A20" t="inlineStr">
        <is>
          <t>KYC</t>
        </is>
      </c>
      <c r="B20" t="n">
        <v>10</v>
      </c>
    </row>
    <row r="21">
      <c r="A21" t="inlineStr">
        <is>
          <t>AML</t>
        </is>
      </c>
      <c r="B21" t="n">
        <v>10</v>
      </c>
    </row>
    <row r="22">
      <c r="A22" t="inlineStr">
        <is>
          <t>Retention</t>
        </is>
      </c>
      <c r="B22" t="n">
        <v>9</v>
      </c>
    </row>
    <row r="23">
      <c r="A23" t="inlineStr">
        <is>
          <t>Employee Information</t>
        </is>
      </c>
      <c r="B23" t="n">
        <v>9</v>
      </c>
    </row>
    <row r="24">
      <c r="A24" t="inlineStr">
        <is>
          <t>Children</t>
        </is>
      </c>
      <c r="B24" t="n">
        <v>9</v>
      </c>
    </row>
    <row r="25">
      <c r="A25" t="inlineStr">
        <is>
          <t>International Processing</t>
        </is>
      </c>
      <c r="B25" t="n">
        <v>8</v>
      </c>
    </row>
    <row r="26">
      <c r="A26" t="inlineStr">
        <is>
          <t>Encryption</t>
        </is>
      </c>
      <c r="B26" t="n">
        <v>6</v>
      </c>
    </row>
    <row r="27">
      <c r="A27" t="inlineStr">
        <is>
          <t>Collection</t>
        </is>
      </c>
      <c r="B27" t="n">
        <v>6</v>
      </c>
    </row>
    <row r="28">
      <c r="A28" t="inlineStr">
        <is>
          <t>Deletion</t>
        </is>
      </c>
      <c r="B28" t="n">
        <v>6</v>
      </c>
    </row>
    <row r="29">
      <c r="A29" t="inlineStr">
        <is>
          <t>Fair treatment of financial customers</t>
        </is>
      </c>
      <c r="B29" t="n">
        <v>1</v>
      </c>
    </row>
    <row r="30">
      <c r="A30" t="inlineStr">
        <is>
          <t>Risk Management</t>
        </is>
      </c>
      <c r="B30" t="n">
        <v>1</v>
      </c>
    </row>
    <row r="31">
      <c r="A31" t="inlineStr">
        <is>
          <t>Compliance</t>
        </is>
      </c>
      <c r="B31" t="n">
        <v>1</v>
      </c>
    </row>
    <row r="32">
      <c r="A32" t="inlineStr">
        <is>
          <t>Internal Controls</t>
        </is>
      </c>
      <c r="B32" t="n">
        <v>1</v>
      </c>
    </row>
    <row r="33">
      <c r="A33" t="inlineStr">
        <is>
          <t>Termination</t>
        </is>
      </c>
      <c r="B33" t="n">
        <v>1</v>
      </c>
    </row>
    <row r="34">
      <c r="A34" t="inlineStr">
        <is>
          <t>Definitions</t>
        </is>
      </c>
      <c r="B34" t="n">
        <v>1</v>
      </c>
    </row>
    <row r="35">
      <c r="A35" t="inlineStr">
        <is>
          <t>Application</t>
        </is>
      </c>
      <c r="B35" t="n">
        <v>1</v>
      </c>
    </row>
    <row r="36">
      <c r="A36" t="inlineStr">
        <is>
          <t>Cybersecurity strategy and framework</t>
        </is>
      </c>
      <c r="B36" t="n">
        <v>1</v>
      </c>
    </row>
    <row r="37">
      <c r="A37" t="inlineStr">
        <is>
          <t>Learning and Evolving</t>
        </is>
      </c>
      <c r="B37" t="n">
        <v>1</v>
      </c>
    </row>
    <row r="38">
      <c r="A38" t="inlineStr">
        <is>
          <t>User Access Management</t>
        </is>
      </c>
      <c r="B38" t="n">
        <v>1</v>
      </c>
    </row>
    <row r="39">
      <c r="A39" t="inlineStr">
        <is>
          <t>Segregation of Duties</t>
        </is>
      </c>
      <c r="B39" t="n">
        <v>1</v>
      </c>
    </row>
    <row r="40">
      <c r="A40" t="inlineStr">
        <is>
          <t>Least Privilege</t>
        </is>
      </c>
      <c r="B40" t="n">
        <v>1</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72"/>
  <sheetViews>
    <sheetView workbookViewId="0">
      <selection activeCell="A1" sqref="A1"/>
    </sheetView>
  </sheetViews>
  <sheetFormatPr baseColWidth="8" defaultRowHeight="15"/>
  <sheetData>
    <row r="1">
      <c r="A1" t="inlineStr">
        <is>
          <t>Country</t>
        </is>
      </c>
      <c r="B1" t="inlineStr">
        <is>
          <t>Category</t>
        </is>
      </c>
      <c r="C1" t="inlineStr">
        <is>
          <t>Topic</t>
        </is>
      </c>
      <c r="D1" t="inlineStr">
        <is>
          <t>Data Type</t>
        </is>
      </c>
      <c r="E1" t="inlineStr">
        <is>
          <t>Financial Relevance</t>
        </is>
      </c>
      <c r="F1" t="inlineStr">
        <is>
          <t>Authority</t>
        </is>
      </c>
    </row>
    <row r="2">
      <c r="A2" t="inlineStr">
        <is>
          <t>All</t>
        </is>
      </c>
      <c r="B2" t="inlineStr">
        <is>
          <t>All</t>
        </is>
      </c>
      <c r="C2" t="inlineStr">
        <is>
          <t>All</t>
        </is>
      </c>
      <c r="D2" t="inlineStr">
        <is>
          <t>All</t>
        </is>
      </c>
      <c r="E2" t="inlineStr">
        <is>
          <t>All</t>
        </is>
      </c>
      <c r="F2" t="inlineStr">
        <is>
          <t>All</t>
        </is>
      </c>
    </row>
    <row r="3">
      <c r="A3" t="inlineStr">
        <is>
          <t>Australia</t>
        </is>
      </c>
      <c r="B3" t="inlineStr">
        <is>
          <t>Application</t>
        </is>
      </c>
      <c r="C3" t="inlineStr">
        <is>
          <t>AML</t>
        </is>
      </c>
      <c r="D3" t="inlineStr">
        <is>
          <t>Biometric Data</t>
        </is>
      </c>
      <c r="E3" t="inlineStr">
        <is>
          <t>High</t>
        </is>
      </c>
      <c r="F3" t="inlineStr">
        <is>
          <t>APRA</t>
        </is>
      </c>
    </row>
    <row r="4">
      <c r="A4" t="inlineStr">
        <is>
          <t>GDPR</t>
        </is>
      </c>
      <c r="B4" t="inlineStr">
        <is>
          <t>Cloud Services</t>
        </is>
      </c>
      <c r="C4" t="inlineStr">
        <is>
          <t>Access Control</t>
        </is>
      </c>
      <c r="D4" t="inlineStr">
        <is>
          <t>Children's Data</t>
        </is>
      </c>
      <c r="E4" t="inlineStr">
        <is>
          <t>Medium</t>
        </is>
      </c>
      <c r="F4" t="inlineStr">
        <is>
          <t>Accountable institutions</t>
        </is>
      </c>
    </row>
    <row r="5">
      <c r="A5" t="inlineStr">
        <is>
          <t>India</t>
        </is>
      </c>
      <c r="B5" t="inlineStr">
        <is>
          <t>Consent</t>
        </is>
      </c>
      <c r="C5" t="inlineStr">
        <is>
          <t>Application</t>
        </is>
      </c>
      <c r="D5" t="inlineStr">
        <is>
          <t>Customer Data</t>
        </is>
      </c>
      <c r="E5" t="inlineStr">
        <is>
          <t>Low</t>
        </is>
      </c>
      <c r="F5" t="inlineStr">
        <is>
          <t>Arts Minister, Commissioner</t>
        </is>
      </c>
    </row>
    <row r="6">
      <c r="A6" t="inlineStr">
        <is>
          <t>Kenya</t>
        </is>
      </c>
      <c r="B6" t="inlineStr">
        <is>
          <t>Cross-border Transfer</t>
        </is>
      </c>
      <c r="C6" t="inlineStr">
        <is>
          <t>Breach Notification</t>
        </is>
      </c>
      <c r="D6" t="inlineStr">
        <is>
          <t>Customer Information</t>
        </is>
      </c>
      <c r="E6" t="inlineStr">
        <is>
          <t>None</t>
        </is>
      </c>
      <c r="F6" t="inlineStr">
        <is>
          <t>Auditor-General</t>
        </is>
      </c>
    </row>
    <row r="7">
      <c r="A7" t="inlineStr">
        <is>
          <t>Mauritius</t>
        </is>
      </c>
      <c r="B7" t="inlineStr">
        <is>
          <t>Customer Information</t>
        </is>
      </c>
      <c r="C7" t="inlineStr">
        <is>
          <t>Children</t>
        </is>
      </c>
      <c r="D7" t="inlineStr">
        <is>
          <t>Employee Data</t>
        </is>
      </c>
      <c r="F7" t="inlineStr">
        <is>
          <t>Australian Signals Directorate (ASD)</t>
        </is>
      </c>
    </row>
    <row r="8">
      <c r="A8" t="inlineStr">
        <is>
          <t>Nigeria</t>
        </is>
      </c>
      <c r="B8" t="inlineStr">
        <is>
          <t>Cybersecurity strategy and framework</t>
        </is>
      </c>
      <c r="C8" t="inlineStr">
        <is>
          <t>Cloud Services</t>
        </is>
      </c>
      <c r="D8" t="inlineStr">
        <is>
          <t>Financial Data</t>
        </is>
      </c>
      <c r="F8" t="inlineStr">
        <is>
          <t>Authorities</t>
        </is>
      </c>
    </row>
    <row r="9">
      <c r="A9" t="inlineStr">
        <is>
          <t>Singapore</t>
        </is>
      </c>
      <c r="B9" t="inlineStr">
        <is>
          <t>Data Collection</t>
        </is>
      </c>
      <c r="C9" t="inlineStr">
        <is>
          <t>Collection</t>
        </is>
      </c>
      <c r="D9" t="inlineStr">
        <is>
          <t>Health Data</t>
        </is>
      </c>
      <c r="F9" t="inlineStr">
        <is>
          <t>Authority</t>
        </is>
      </c>
    </row>
    <row r="10">
      <c r="A10" t="inlineStr">
        <is>
          <t>South Africa</t>
        </is>
      </c>
      <c r="B10" t="inlineStr">
        <is>
          <t>Data Sharing</t>
        </is>
      </c>
      <c r="C10" t="inlineStr">
        <is>
          <t>Compliance</t>
        </is>
      </c>
      <c r="D10" t="inlineStr">
        <is>
          <t>Personal Information</t>
        </is>
      </c>
      <c r="F10" t="inlineStr">
        <is>
          <t>Bank</t>
        </is>
      </c>
    </row>
    <row r="11">
      <c r="A11" t="inlineStr">
        <is>
          <t>United Kingdom</t>
        </is>
      </c>
      <c r="B11" t="inlineStr">
        <is>
          <t>Data Storage</t>
        </is>
      </c>
      <c r="C11" t="inlineStr">
        <is>
          <t>Consent</t>
        </is>
      </c>
      <c r="D11" t="inlineStr">
        <is>
          <t>Special Personal Information</t>
        </is>
      </c>
      <c r="F11" t="inlineStr">
        <is>
          <t>Bank of Mauritius</t>
        </is>
      </c>
    </row>
    <row r="12">
      <c r="B12" t="inlineStr">
        <is>
          <t>Data Subject Rights</t>
        </is>
      </c>
      <c r="C12" t="inlineStr">
        <is>
          <t>Cross-border Transfer</t>
        </is>
      </c>
      <c r="F12" t="inlineStr">
        <is>
          <t>Board</t>
        </is>
      </c>
    </row>
    <row r="13">
      <c r="B13" t="inlineStr">
        <is>
          <t>Definitions</t>
        </is>
      </c>
      <c r="C13" t="inlineStr">
        <is>
          <t>Customer Information</t>
        </is>
      </c>
      <c r="F13" t="inlineStr">
        <is>
          <t>Businesses and individuals</t>
        </is>
      </c>
    </row>
    <row r="14">
      <c r="B14" t="inlineStr">
        <is>
          <t>Enforcement</t>
        </is>
      </c>
      <c r="C14" t="inlineStr">
        <is>
          <t>Cybersecurity strategy and framework</t>
        </is>
      </c>
      <c r="F14" t="inlineStr">
        <is>
          <t>CBK</t>
        </is>
      </c>
    </row>
    <row r="15">
      <c r="B15" t="inlineStr">
        <is>
          <t>Exemptions</t>
        </is>
      </c>
      <c r="C15" t="inlineStr">
        <is>
          <t>Data Residency</t>
        </is>
      </c>
      <c r="F15" t="inlineStr">
        <is>
          <t>Cabinet Secretary</t>
        </is>
      </c>
    </row>
    <row r="16">
      <c r="B16" t="inlineStr">
        <is>
          <t>Financial Data</t>
        </is>
      </c>
      <c r="C16" t="inlineStr">
        <is>
          <t>Data Sharing</t>
        </is>
      </c>
      <c r="F16" t="inlineStr">
        <is>
          <t>Capital Markets Authority</t>
        </is>
      </c>
    </row>
    <row r="17">
      <c r="B17" t="inlineStr">
        <is>
          <t>Governance</t>
        </is>
      </c>
      <c r="C17" t="inlineStr">
        <is>
          <t>Data Storage</t>
        </is>
      </c>
      <c r="F17" t="inlineStr">
        <is>
          <t>Capital Markets Authority (CMA)</t>
        </is>
      </c>
    </row>
    <row r="18">
      <c r="B18" t="inlineStr">
        <is>
          <t>Incident Reporting</t>
        </is>
      </c>
      <c r="C18" t="inlineStr">
        <is>
          <t>Definitions</t>
        </is>
      </c>
      <c r="F18" t="inlineStr">
        <is>
          <t>Capital Markets Tribunal</t>
        </is>
      </c>
    </row>
    <row r="19">
      <c r="B19" t="inlineStr">
        <is>
          <t>KYC</t>
        </is>
      </c>
      <c r="C19" t="inlineStr">
        <is>
          <t>Deletion</t>
        </is>
      </c>
      <c r="F19" t="inlineStr">
        <is>
          <t>Central Bank of Kenya</t>
        </is>
      </c>
    </row>
    <row r="20">
      <c r="B20" t="inlineStr">
        <is>
          <t>Other</t>
        </is>
      </c>
      <c r="C20" t="inlineStr">
        <is>
          <t>Employee Information</t>
        </is>
      </c>
      <c r="F20" t="inlineStr">
        <is>
          <t>Central Bank of Kenya (CBK)</t>
        </is>
      </c>
    </row>
    <row r="21">
      <c r="B21" t="inlineStr">
        <is>
          <t>Processing</t>
        </is>
      </c>
      <c r="C21" t="inlineStr">
        <is>
          <t>Encryption</t>
        </is>
      </c>
      <c r="F21" t="inlineStr">
        <is>
          <t>Central Bank of Nigeria</t>
        </is>
      </c>
    </row>
    <row r="22">
      <c r="B22" t="inlineStr">
        <is>
          <t>Record Keeping</t>
        </is>
      </c>
      <c r="C22" t="inlineStr">
        <is>
          <t>Fair treatment of financial customers</t>
        </is>
      </c>
      <c r="F22" t="inlineStr">
        <is>
          <t>Central Bank of Nigeria (CBN)</t>
        </is>
      </c>
    </row>
    <row r="23">
      <c r="B23" t="inlineStr">
        <is>
          <t>Regulator Powers</t>
        </is>
      </c>
      <c r="C23" t="inlineStr">
        <is>
          <t>Financial Data</t>
        </is>
      </c>
      <c r="F23" t="inlineStr">
        <is>
          <t>Centre</t>
        </is>
      </c>
    </row>
    <row r="24">
      <c r="B24" t="inlineStr">
        <is>
          <t>Retention</t>
        </is>
      </c>
      <c r="C24" t="inlineStr">
        <is>
          <t>Governance</t>
        </is>
      </c>
      <c r="F24" t="inlineStr">
        <is>
          <t>Commonwealth Minister</t>
        </is>
      </c>
    </row>
    <row r="25">
      <c r="B25" t="inlineStr">
        <is>
          <t>Security</t>
        </is>
      </c>
      <c r="C25" t="inlineStr">
        <is>
          <t>Incident Reporting</t>
        </is>
      </c>
      <c r="F25" t="inlineStr">
        <is>
          <t>Competent Authority</t>
        </is>
      </c>
    </row>
    <row r="26">
      <c r="B26" t="inlineStr">
        <is>
          <t>Third Party Processing</t>
        </is>
      </c>
      <c r="C26" t="inlineStr">
        <is>
          <t>Internal Controls</t>
        </is>
      </c>
      <c r="F26" t="inlineStr">
        <is>
          <t>Competent authorities</t>
        </is>
      </c>
    </row>
    <row r="27">
      <c r="C27" t="inlineStr">
        <is>
          <t>International Processing</t>
        </is>
      </c>
      <c r="F27" t="inlineStr">
        <is>
          <t>Consumer Protection Department</t>
        </is>
      </c>
    </row>
    <row r="28">
      <c r="C28" t="inlineStr">
        <is>
          <t>KYC</t>
        </is>
      </c>
      <c r="F28" t="inlineStr">
        <is>
          <t>Court</t>
        </is>
      </c>
    </row>
    <row r="29">
      <c r="C29" t="inlineStr">
        <is>
          <t>Learning and Evolving</t>
        </is>
      </c>
      <c r="F29" t="inlineStr">
        <is>
          <t>Courts</t>
        </is>
      </c>
    </row>
    <row r="30">
      <c r="C30" t="inlineStr">
        <is>
          <t>Least Privilege</t>
        </is>
      </c>
      <c r="F30" t="inlineStr">
        <is>
          <t>Data Commissioner</t>
        </is>
      </c>
    </row>
    <row r="31">
      <c r="C31" t="inlineStr">
        <is>
          <t>Outsourcing</t>
        </is>
      </c>
      <c r="F31" t="inlineStr">
        <is>
          <t>Department of Telecommunications and Postal Services (DOC)</t>
        </is>
      </c>
    </row>
    <row r="32">
      <c r="C32" t="inlineStr">
        <is>
          <t>Processing</t>
        </is>
      </c>
      <c r="F32" t="inlineStr">
        <is>
          <t>ESMA</t>
        </is>
      </c>
    </row>
    <row r="33">
      <c r="C33" t="inlineStr">
        <is>
          <t>Record Keeping</t>
        </is>
      </c>
      <c r="F33" t="inlineStr">
        <is>
          <t>European Banking Authority</t>
        </is>
      </c>
    </row>
    <row r="34">
      <c r="C34" t="inlineStr">
        <is>
          <t>Retention</t>
        </is>
      </c>
      <c r="F34" t="inlineStr">
        <is>
          <t>European Commission</t>
        </is>
      </c>
    </row>
    <row r="35">
      <c r="C35" t="inlineStr">
        <is>
          <t>Risk Management</t>
        </is>
      </c>
      <c r="F35" t="inlineStr">
        <is>
          <t>European Data Protection Board</t>
        </is>
      </c>
    </row>
    <row r="36">
      <c r="C36" t="inlineStr">
        <is>
          <t>Security</t>
        </is>
      </c>
      <c r="F36" t="inlineStr">
        <is>
          <t>FCA</t>
        </is>
      </c>
    </row>
    <row r="37">
      <c r="C37" t="inlineStr">
        <is>
          <t>Segregation of Duties</t>
        </is>
      </c>
      <c r="F37" t="inlineStr">
        <is>
          <t>FSCA</t>
        </is>
      </c>
    </row>
    <row r="38">
      <c r="C38" t="inlineStr">
        <is>
          <t>Special Personal Information</t>
        </is>
      </c>
      <c r="F38" t="inlineStr">
        <is>
          <t>Financial Intelligence Centre</t>
        </is>
      </c>
    </row>
    <row r="39">
      <c r="C39" t="inlineStr">
        <is>
          <t>Termination</t>
        </is>
      </c>
      <c r="F39" t="inlineStr">
        <is>
          <t>Financial Intelligence Centre (Centre)</t>
        </is>
      </c>
    </row>
    <row r="40">
      <c r="C40" t="inlineStr">
        <is>
          <t>Third Party Processing</t>
        </is>
      </c>
      <c r="F40" t="inlineStr">
        <is>
          <t>Financial Sector Conduct Authority</t>
        </is>
      </c>
    </row>
    <row r="41">
      <c r="C41" t="inlineStr">
        <is>
          <t>User Access Management</t>
        </is>
      </c>
      <c r="F41" t="inlineStr">
        <is>
          <t>Financial Sector Conduct Authority (FSCA)</t>
        </is>
      </c>
    </row>
    <row r="42">
      <c r="F42" t="inlineStr">
        <is>
          <t>Financial Services Board</t>
        </is>
      </c>
    </row>
    <row r="43">
      <c r="F43" t="inlineStr">
        <is>
          <t>Financial Services Commission (FSC)</t>
        </is>
      </c>
    </row>
    <row r="44">
      <c r="F44" t="inlineStr">
        <is>
          <t>Financial institutions</t>
        </is>
      </c>
    </row>
    <row r="45">
      <c r="F45" t="inlineStr">
        <is>
          <t>High Court</t>
        </is>
      </c>
    </row>
    <row r="46">
      <c r="F46" t="inlineStr">
        <is>
          <t>IFSCA</t>
        </is>
      </c>
    </row>
    <row r="47">
      <c r="F47" t="inlineStr">
        <is>
          <t>IRDAI</t>
        </is>
      </c>
    </row>
    <row r="48">
      <c r="F48" t="inlineStr">
        <is>
          <t>Information Regulator</t>
        </is>
      </c>
    </row>
    <row r="49">
      <c r="F49" t="inlineStr">
        <is>
          <t>Information officer</t>
        </is>
      </c>
    </row>
    <row r="50">
      <c r="F50" t="inlineStr">
        <is>
          <t>Judge</t>
        </is>
      </c>
    </row>
    <row r="51">
      <c r="F51" t="inlineStr">
        <is>
          <t>MAS</t>
        </is>
      </c>
    </row>
    <row r="52">
      <c r="F52" t="inlineStr">
        <is>
          <t>Member States</t>
        </is>
      </c>
    </row>
    <row r="53">
      <c r="F53" t="inlineStr">
        <is>
          <t>Minister</t>
        </is>
      </c>
    </row>
    <row r="54">
      <c r="F54" t="inlineStr">
        <is>
          <t>Minister, Board, Registrar</t>
        </is>
      </c>
    </row>
    <row r="55">
      <c r="F55" t="inlineStr">
        <is>
          <t>Monetary Authority of Singapore (MAS)</t>
        </is>
      </c>
    </row>
    <row r="56">
      <c r="F56" t="inlineStr">
        <is>
          <t>NITDA</t>
        </is>
      </c>
    </row>
    <row r="57">
      <c r="F57" t="inlineStr">
        <is>
          <t>Ombud for Financial Services Providers</t>
        </is>
      </c>
    </row>
    <row r="58">
      <c r="F58" t="inlineStr">
        <is>
          <t>Parliament</t>
        </is>
      </c>
    </row>
    <row r="59">
      <c r="F59" t="inlineStr">
        <is>
          <t>Police</t>
        </is>
      </c>
    </row>
    <row r="60">
      <c r="F60" t="inlineStr">
        <is>
          <t>President</t>
        </is>
      </c>
    </row>
    <row r="61">
      <c r="F61" t="inlineStr">
        <is>
          <t>Prudential Authority (PA)</t>
        </is>
      </c>
    </row>
    <row r="62">
      <c r="F62" t="inlineStr">
        <is>
          <t>RBI</t>
        </is>
      </c>
    </row>
    <row r="63">
      <c r="F63" t="inlineStr">
        <is>
          <t>Registrar</t>
        </is>
      </c>
    </row>
    <row r="64">
      <c r="F64" t="inlineStr">
        <is>
          <t>Regulation 10</t>
        </is>
      </c>
    </row>
    <row r="65">
      <c r="F65" t="inlineStr">
        <is>
          <t>Regulator</t>
        </is>
      </c>
    </row>
    <row r="66">
      <c r="F66" t="inlineStr">
        <is>
          <t>Reserve Bank</t>
        </is>
      </c>
    </row>
    <row r="67">
      <c r="F67" t="inlineStr">
        <is>
          <t>Reserve Bank of India</t>
        </is>
      </c>
    </row>
    <row r="68">
      <c r="F68" t="inlineStr">
        <is>
          <t>Responsible party</t>
        </is>
      </c>
    </row>
    <row r="69">
      <c r="F69" t="inlineStr">
        <is>
          <t>SARB</t>
        </is>
      </c>
    </row>
    <row r="70">
      <c r="F70" t="inlineStr">
        <is>
          <t>Sheriff</t>
        </is>
      </c>
    </row>
    <row r="71">
      <c r="F71" t="inlineStr">
        <is>
          <t>authorised financial services provider</t>
        </is>
      </c>
    </row>
    <row r="72">
      <c r="F72" t="inlineStr">
        <is>
          <t>registrar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79"/>
  <sheetViews>
    <sheetView workbookViewId="0">
      <selection activeCell="A1" sqref="A1"/>
    </sheetView>
  </sheetViews>
  <sheetFormatPr baseColWidth="8" defaultRowHeight="15"/>
  <sheetData>
    <row r="1">
      <c r="A1" t="inlineStr">
        <is>
          <t>match</t>
        </is>
      </c>
      <c r="B1" t="inlineStr">
        <is>
          <t>rank</t>
        </is>
      </c>
      <c r="C1" t="inlineStr">
        <is>
          <t>rankval</t>
        </is>
      </c>
      <c r="D1">
        <f>SUM($A$2:$A$679)</f>
        <v/>
      </c>
    </row>
    <row r="2">
      <c r="A2">
        <f>IF(AND(OR(Query!$B$4="All",'Compliance Database'!$A2=Query!$B$4),OR(Query!$B$5="All",'Compliance Database'!$F2=Query!$B$5),OR(Query!$B$6="All",ISNUMBER(SEARCH(Query!$B$6,'Compliance Database'!$I2))),OR(Query!$B$7="All",ISNUMBER(SEARCH(Query!$B$7,'Compliance Database'!$J2))),OR(Query!$B$8="All",'Compliance Database'!$G2=Query!$B$8),OR(Query!$B$9="All",'Compliance Database'!$K2=Query!$B$9),OR(Query!$B$10="",ISNUMBER(SEARCH(Query!$B$10,'Compliance Database'!$D2&amp;" "&amp;'Compliance Database'!$L2&amp;" "&amp;'Compliance Database'!$M2&amp;" "&amp;'Compliance Database'!$N2&amp;" "&amp;'Compliance Database'!$O2)))),1,0)</f>
        <v/>
      </c>
      <c r="B2">
        <f>IF($A2=1,SUM($A$2:$A2),"")</f>
        <v/>
      </c>
      <c r="C2">
        <f>IF($A2=1,SUM($A$2:$A2),0)</f>
        <v/>
      </c>
    </row>
    <row r="3">
      <c r="A3">
        <f>IF(AND(OR(Query!$B$4="All",'Compliance Database'!$A3=Query!$B$4),OR(Query!$B$5="All",'Compliance Database'!$F3=Query!$B$5),OR(Query!$B$6="All",ISNUMBER(SEARCH(Query!$B$6,'Compliance Database'!$I3))),OR(Query!$B$7="All",ISNUMBER(SEARCH(Query!$B$7,'Compliance Database'!$J3))),OR(Query!$B$8="All",'Compliance Database'!$G3=Query!$B$8),OR(Query!$B$9="All",'Compliance Database'!$K3=Query!$B$9),OR(Query!$B$10="",ISNUMBER(SEARCH(Query!$B$10,'Compliance Database'!$D3&amp;" "&amp;'Compliance Database'!$L3&amp;" "&amp;'Compliance Database'!$M3&amp;" "&amp;'Compliance Database'!$N3&amp;" "&amp;'Compliance Database'!$O3)))),1,0)</f>
        <v/>
      </c>
      <c r="B3">
        <f>IF($A3=1,SUM($A$2:$A3),"")</f>
        <v/>
      </c>
      <c r="C3">
        <f>IF($A3=1,SUM($A$2:$A3),0)</f>
        <v/>
      </c>
    </row>
    <row r="4">
      <c r="A4">
        <f>IF(AND(OR(Query!$B$4="All",'Compliance Database'!$A4=Query!$B$4),OR(Query!$B$5="All",'Compliance Database'!$F4=Query!$B$5),OR(Query!$B$6="All",ISNUMBER(SEARCH(Query!$B$6,'Compliance Database'!$I4))),OR(Query!$B$7="All",ISNUMBER(SEARCH(Query!$B$7,'Compliance Database'!$J4))),OR(Query!$B$8="All",'Compliance Database'!$G4=Query!$B$8),OR(Query!$B$9="All",'Compliance Database'!$K4=Query!$B$9),OR(Query!$B$10="",ISNUMBER(SEARCH(Query!$B$10,'Compliance Database'!$D4&amp;" "&amp;'Compliance Database'!$L4&amp;" "&amp;'Compliance Database'!$M4&amp;" "&amp;'Compliance Database'!$N4&amp;" "&amp;'Compliance Database'!$O4)))),1,0)</f>
        <v/>
      </c>
      <c r="B4">
        <f>IF($A4=1,SUM($A$2:$A4),"")</f>
        <v/>
      </c>
      <c r="C4">
        <f>IF($A4=1,SUM($A$2:$A4),0)</f>
        <v/>
      </c>
    </row>
    <row r="5">
      <c r="A5">
        <f>IF(AND(OR(Query!$B$4="All",'Compliance Database'!$A5=Query!$B$4),OR(Query!$B$5="All",'Compliance Database'!$F5=Query!$B$5),OR(Query!$B$6="All",ISNUMBER(SEARCH(Query!$B$6,'Compliance Database'!$I5))),OR(Query!$B$7="All",ISNUMBER(SEARCH(Query!$B$7,'Compliance Database'!$J5))),OR(Query!$B$8="All",'Compliance Database'!$G5=Query!$B$8),OR(Query!$B$9="All",'Compliance Database'!$K5=Query!$B$9),OR(Query!$B$10="",ISNUMBER(SEARCH(Query!$B$10,'Compliance Database'!$D5&amp;" "&amp;'Compliance Database'!$L5&amp;" "&amp;'Compliance Database'!$M5&amp;" "&amp;'Compliance Database'!$N5&amp;" "&amp;'Compliance Database'!$O5)))),1,0)</f>
        <v/>
      </c>
      <c r="B5">
        <f>IF($A5=1,SUM($A$2:$A5),"")</f>
        <v/>
      </c>
      <c r="C5">
        <f>IF($A5=1,SUM($A$2:$A5),0)</f>
        <v/>
      </c>
    </row>
    <row r="6">
      <c r="A6">
        <f>IF(AND(OR(Query!$B$4="All",'Compliance Database'!$A6=Query!$B$4),OR(Query!$B$5="All",'Compliance Database'!$F6=Query!$B$5),OR(Query!$B$6="All",ISNUMBER(SEARCH(Query!$B$6,'Compliance Database'!$I6))),OR(Query!$B$7="All",ISNUMBER(SEARCH(Query!$B$7,'Compliance Database'!$J6))),OR(Query!$B$8="All",'Compliance Database'!$G6=Query!$B$8),OR(Query!$B$9="All",'Compliance Database'!$K6=Query!$B$9),OR(Query!$B$10="",ISNUMBER(SEARCH(Query!$B$10,'Compliance Database'!$D6&amp;" "&amp;'Compliance Database'!$L6&amp;" "&amp;'Compliance Database'!$M6&amp;" "&amp;'Compliance Database'!$N6&amp;" "&amp;'Compliance Database'!$O6)))),1,0)</f>
        <v/>
      </c>
      <c r="B6">
        <f>IF($A6=1,SUM($A$2:$A6),"")</f>
        <v/>
      </c>
      <c r="C6">
        <f>IF($A6=1,SUM($A$2:$A6),0)</f>
        <v/>
      </c>
    </row>
    <row r="7">
      <c r="A7">
        <f>IF(AND(OR(Query!$B$4="All",'Compliance Database'!$A7=Query!$B$4),OR(Query!$B$5="All",'Compliance Database'!$F7=Query!$B$5),OR(Query!$B$6="All",ISNUMBER(SEARCH(Query!$B$6,'Compliance Database'!$I7))),OR(Query!$B$7="All",ISNUMBER(SEARCH(Query!$B$7,'Compliance Database'!$J7))),OR(Query!$B$8="All",'Compliance Database'!$G7=Query!$B$8),OR(Query!$B$9="All",'Compliance Database'!$K7=Query!$B$9),OR(Query!$B$10="",ISNUMBER(SEARCH(Query!$B$10,'Compliance Database'!$D7&amp;" "&amp;'Compliance Database'!$L7&amp;" "&amp;'Compliance Database'!$M7&amp;" "&amp;'Compliance Database'!$N7&amp;" "&amp;'Compliance Database'!$O7)))),1,0)</f>
        <v/>
      </c>
      <c r="B7">
        <f>IF($A7=1,SUM($A$2:$A7),"")</f>
        <v/>
      </c>
      <c r="C7">
        <f>IF($A7=1,SUM($A$2:$A7),0)</f>
        <v/>
      </c>
    </row>
    <row r="8">
      <c r="A8">
        <f>IF(AND(OR(Query!$B$4="All",'Compliance Database'!$A8=Query!$B$4),OR(Query!$B$5="All",'Compliance Database'!$F8=Query!$B$5),OR(Query!$B$6="All",ISNUMBER(SEARCH(Query!$B$6,'Compliance Database'!$I8))),OR(Query!$B$7="All",ISNUMBER(SEARCH(Query!$B$7,'Compliance Database'!$J8))),OR(Query!$B$8="All",'Compliance Database'!$G8=Query!$B$8),OR(Query!$B$9="All",'Compliance Database'!$K8=Query!$B$9),OR(Query!$B$10="",ISNUMBER(SEARCH(Query!$B$10,'Compliance Database'!$D8&amp;" "&amp;'Compliance Database'!$L8&amp;" "&amp;'Compliance Database'!$M8&amp;" "&amp;'Compliance Database'!$N8&amp;" "&amp;'Compliance Database'!$O8)))),1,0)</f>
        <v/>
      </c>
      <c r="B8">
        <f>IF($A8=1,SUM($A$2:$A8),"")</f>
        <v/>
      </c>
      <c r="C8">
        <f>IF($A8=1,SUM($A$2:$A8),0)</f>
        <v/>
      </c>
    </row>
    <row r="9">
      <c r="A9">
        <f>IF(AND(OR(Query!$B$4="All",'Compliance Database'!$A9=Query!$B$4),OR(Query!$B$5="All",'Compliance Database'!$F9=Query!$B$5),OR(Query!$B$6="All",ISNUMBER(SEARCH(Query!$B$6,'Compliance Database'!$I9))),OR(Query!$B$7="All",ISNUMBER(SEARCH(Query!$B$7,'Compliance Database'!$J9))),OR(Query!$B$8="All",'Compliance Database'!$G9=Query!$B$8),OR(Query!$B$9="All",'Compliance Database'!$K9=Query!$B$9),OR(Query!$B$10="",ISNUMBER(SEARCH(Query!$B$10,'Compliance Database'!$D9&amp;" "&amp;'Compliance Database'!$L9&amp;" "&amp;'Compliance Database'!$M9&amp;" "&amp;'Compliance Database'!$N9&amp;" "&amp;'Compliance Database'!$O9)))),1,0)</f>
        <v/>
      </c>
      <c r="B9">
        <f>IF($A9=1,SUM($A$2:$A9),"")</f>
        <v/>
      </c>
      <c r="C9">
        <f>IF($A9=1,SUM($A$2:$A9),0)</f>
        <v/>
      </c>
    </row>
    <row r="10">
      <c r="A10">
        <f>IF(AND(OR(Query!$B$4="All",'Compliance Database'!$A10=Query!$B$4),OR(Query!$B$5="All",'Compliance Database'!$F10=Query!$B$5),OR(Query!$B$6="All",ISNUMBER(SEARCH(Query!$B$6,'Compliance Database'!$I10))),OR(Query!$B$7="All",ISNUMBER(SEARCH(Query!$B$7,'Compliance Database'!$J10))),OR(Query!$B$8="All",'Compliance Database'!$G10=Query!$B$8),OR(Query!$B$9="All",'Compliance Database'!$K10=Query!$B$9),OR(Query!$B$10="",ISNUMBER(SEARCH(Query!$B$10,'Compliance Database'!$D10&amp;" "&amp;'Compliance Database'!$L10&amp;" "&amp;'Compliance Database'!$M10&amp;" "&amp;'Compliance Database'!$N10&amp;" "&amp;'Compliance Database'!$O10)))),1,0)</f>
        <v/>
      </c>
      <c r="B10">
        <f>IF($A10=1,SUM($A$2:$A10),"")</f>
        <v/>
      </c>
      <c r="C10">
        <f>IF($A10=1,SUM($A$2:$A10),0)</f>
        <v/>
      </c>
    </row>
    <row r="11">
      <c r="A11">
        <f>IF(AND(OR(Query!$B$4="All",'Compliance Database'!$A11=Query!$B$4),OR(Query!$B$5="All",'Compliance Database'!$F11=Query!$B$5),OR(Query!$B$6="All",ISNUMBER(SEARCH(Query!$B$6,'Compliance Database'!$I11))),OR(Query!$B$7="All",ISNUMBER(SEARCH(Query!$B$7,'Compliance Database'!$J11))),OR(Query!$B$8="All",'Compliance Database'!$G11=Query!$B$8),OR(Query!$B$9="All",'Compliance Database'!$K11=Query!$B$9),OR(Query!$B$10="",ISNUMBER(SEARCH(Query!$B$10,'Compliance Database'!$D11&amp;" "&amp;'Compliance Database'!$L11&amp;" "&amp;'Compliance Database'!$M11&amp;" "&amp;'Compliance Database'!$N11&amp;" "&amp;'Compliance Database'!$O11)))),1,0)</f>
        <v/>
      </c>
      <c r="B11">
        <f>IF($A11=1,SUM($A$2:$A11),"")</f>
        <v/>
      </c>
      <c r="C11">
        <f>IF($A11=1,SUM($A$2:$A11),0)</f>
        <v/>
      </c>
    </row>
    <row r="12">
      <c r="A12">
        <f>IF(AND(OR(Query!$B$4="All",'Compliance Database'!$A12=Query!$B$4),OR(Query!$B$5="All",'Compliance Database'!$F12=Query!$B$5),OR(Query!$B$6="All",ISNUMBER(SEARCH(Query!$B$6,'Compliance Database'!$I12))),OR(Query!$B$7="All",ISNUMBER(SEARCH(Query!$B$7,'Compliance Database'!$J12))),OR(Query!$B$8="All",'Compliance Database'!$G12=Query!$B$8),OR(Query!$B$9="All",'Compliance Database'!$K12=Query!$B$9),OR(Query!$B$10="",ISNUMBER(SEARCH(Query!$B$10,'Compliance Database'!$D12&amp;" "&amp;'Compliance Database'!$L12&amp;" "&amp;'Compliance Database'!$M12&amp;" "&amp;'Compliance Database'!$N12&amp;" "&amp;'Compliance Database'!$O12)))),1,0)</f>
        <v/>
      </c>
      <c r="B12">
        <f>IF($A12=1,SUM($A$2:$A12),"")</f>
        <v/>
      </c>
      <c r="C12">
        <f>IF($A12=1,SUM($A$2:$A12),0)</f>
        <v/>
      </c>
    </row>
    <row r="13">
      <c r="A13">
        <f>IF(AND(OR(Query!$B$4="All",'Compliance Database'!$A13=Query!$B$4),OR(Query!$B$5="All",'Compliance Database'!$F13=Query!$B$5),OR(Query!$B$6="All",ISNUMBER(SEARCH(Query!$B$6,'Compliance Database'!$I13))),OR(Query!$B$7="All",ISNUMBER(SEARCH(Query!$B$7,'Compliance Database'!$J13))),OR(Query!$B$8="All",'Compliance Database'!$G13=Query!$B$8),OR(Query!$B$9="All",'Compliance Database'!$K13=Query!$B$9),OR(Query!$B$10="",ISNUMBER(SEARCH(Query!$B$10,'Compliance Database'!$D13&amp;" "&amp;'Compliance Database'!$L13&amp;" "&amp;'Compliance Database'!$M13&amp;" "&amp;'Compliance Database'!$N13&amp;" "&amp;'Compliance Database'!$O13)))),1,0)</f>
        <v/>
      </c>
      <c r="B13">
        <f>IF($A13=1,SUM($A$2:$A13),"")</f>
        <v/>
      </c>
      <c r="C13">
        <f>IF($A13=1,SUM($A$2:$A13),0)</f>
        <v/>
      </c>
    </row>
    <row r="14">
      <c r="A14">
        <f>IF(AND(OR(Query!$B$4="All",'Compliance Database'!$A14=Query!$B$4),OR(Query!$B$5="All",'Compliance Database'!$F14=Query!$B$5),OR(Query!$B$6="All",ISNUMBER(SEARCH(Query!$B$6,'Compliance Database'!$I14))),OR(Query!$B$7="All",ISNUMBER(SEARCH(Query!$B$7,'Compliance Database'!$J14))),OR(Query!$B$8="All",'Compliance Database'!$G14=Query!$B$8),OR(Query!$B$9="All",'Compliance Database'!$K14=Query!$B$9),OR(Query!$B$10="",ISNUMBER(SEARCH(Query!$B$10,'Compliance Database'!$D14&amp;" "&amp;'Compliance Database'!$L14&amp;" "&amp;'Compliance Database'!$M14&amp;" "&amp;'Compliance Database'!$N14&amp;" "&amp;'Compliance Database'!$O14)))),1,0)</f>
        <v/>
      </c>
      <c r="B14">
        <f>IF($A14=1,SUM($A$2:$A14),"")</f>
        <v/>
      </c>
      <c r="C14">
        <f>IF($A14=1,SUM($A$2:$A14),0)</f>
        <v/>
      </c>
    </row>
    <row r="15">
      <c r="A15">
        <f>IF(AND(OR(Query!$B$4="All",'Compliance Database'!$A15=Query!$B$4),OR(Query!$B$5="All",'Compliance Database'!$F15=Query!$B$5),OR(Query!$B$6="All",ISNUMBER(SEARCH(Query!$B$6,'Compliance Database'!$I15))),OR(Query!$B$7="All",ISNUMBER(SEARCH(Query!$B$7,'Compliance Database'!$J15))),OR(Query!$B$8="All",'Compliance Database'!$G15=Query!$B$8),OR(Query!$B$9="All",'Compliance Database'!$K15=Query!$B$9),OR(Query!$B$10="",ISNUMBER(SEARCH(Query!$B$10,'Compliance Database'!$D15&amp;" "&amp;'Compliance Database'!$L15&amp;" "&amp;'Compliance Database'!$M15&amp;" "&amp;'Compliance Database'!$N15&amp;" "&amp;'Compliance Database'!$O15)))),1,0)</f>
        <v/>
      </c>
      <c r="B15">
        <f>IF($A15=1,SUM($A$2:$A15),"")</f>
        <v/>
      </c>
      <c r="C15">
        <f>IF($A15=1,SUM($A$2:$A15),0)</f>
        <v/>
      </c>
    </row>
    <row r="16">
      <c r="A16">
        <f>IF(AND(OR(Query!$B$4="All",'Compliance Database'!$A16=Query!$B$4),OR(Query!$B$5="All",'Compliance Database'!$F16=Query!$B$5),OR(Query!$B$6="All",ISNUMBER(SEARCH(Query!$B$6,'Compliance Database'!$I16))),OR(Query!$B$7="All",ISNUMBER(SEARCH(Query!$B$7,'Compliance Database'!$J16))),OR(Query!$B$8="All",'Compliance Database'!$G16=Query!$B$8),OR(Query!$B$9="All",'Compliance Database'!$K16=Query!$B$9),OR(Query!$B$10="",ISNUMBER(SEARCH(Query!$B$10,'Compliance Database'!$D16&amp;" "&amp;'Compliance Database'!$L16&amp;" "&amp;'Compliance Database'!$M16&amp;" "&amp;'Compliance Database'!$N16&amp;" "&amp;'Compliance Database'!$O16)))),1,0)</f>
        <v/>
      </c>
      <c r="B16">
        <f>IF($A16=1,SUM($A$2:$A16),"")</f>
        <v/>
      </c>
      <c r="C16">
        <f>IF($A16=1,SUM($A$2:$A16),0)</f>
        <v/>
      </c>
    </row>
    <row r="17">
      <c r="A17">
        <f>IF(AND(OR(Query!$B$4="All",'Compliance Database'!$A17=Query!$B$4),OR(Query!$B$5="All",'Compliance Database'!$F17=Query!$B$5),OR(Query!$B$6="All",ISNUMBER(SEARCH(Query!$B$6,'Compliance Database'!$I17))),OR(Query!$B$7="All",ISNUMBER(SEARCH(Query!$B$7,'Compliance Database'!$J17))),OR(Query!$B$8="All",'Compliance Database'!$G17=Query!$B$8),OR(Query!$B$9="All",'Compliance Database'!$K17=Query!$B$9),OR(Query!$B$10="",ISNUMBER(SEARCH(Query!$B$10,'Compliance Database'!$D17&amp;" "&amp;'Compliance Database'!$L17&amp;" "&amp;'Compliance Database'!$M17&amp;" "&amp;'Compliance Database'!$N17&amp;" "&amp;'Compliance Database'!$O17)))),1,0)</f>
        <v/>
      </c>
      <c r="B17">
        <f>IF($A17=1,SUM($A$2:$A17),"")</f>
        <v/>
      </c>
      <c r="C17">
        <f>IF($A17=1,SUM($A$2:$A17),0)</f>
        <v/>
      </c>
    </row>
    <row r="18">
      <c r="A18">
        <f>IF(AND(OR(Query!$B$4="All",'Compliance Database'!$A18=Query!$B$4),OR(Query!$B$5="All",'Compliance Database'!$F18=Query!$B$5),OR(Query!$B$6="All",ISNUMBER(SEARCH(Query!$B$6,'Compliance Database'!$I18))),OR(Query!$B$7="All",ISNUMBER(SEARCH(Query!$B$7,'Compliance Database'!$J18))),OR(Query!$B$8="All",'Compliance Database'!$G18=Query!$B$8),OR(Query!$B$9="All",'Compliance Database'!$K18=Query!$B$9),OR(Query!$B$10="",ISNUMBER(SEARCH(Query!$B$10,'Compliance Database'!$D18&amp;" "&amp;'Compliance Database'!$L18&amp;" "&amp;'Compliance Database'!$M18&amp;" "&amp;'Compliance Database'!$N18&amp;" "&amp;'Compliance Database'!$O18)))),1,0)</f>
        <v/>
      </c>
      <c r="B18">
        <f>IF($A18=1,SUM($A$2:$A18),"")</f>
        <v/>
      </c>
      <c r="C18">
        <f>IF($A18=1,SUM($A$2:$A18),0)</f>
        <v/>
      </c>
    </row>
    <row r="19">
      <c r="A19">
        <f>IF(AND(OR(Query!$B$4="All",'Compliance Database'!$A19=Query!$B$4),OR(Query!$B$5="All",'Compliance Database'!$F19=Query!$B$5),OR(Query!$B$6="All",ISNUMBER(SEARCH(Query!$B$6,'Compliance Database'!$I19))),OR(Query!$B$7="All",ISNUMBER(SEARCH(Query!$B$7,'Compliance Database'!$J19))),OR(Query!$B$8="All",'Compliance Database'!$G19=Query!$B$8),OR(Query!$B$9="All",'Compliance Database'!$K19=Query!$B$9),OR(Query!$B$10="",ISNUMBER(SEARCH(Query!$B$10,'Compliance Database'!$D19&amp;" "&amp;'Compliance Database'!$L19&amp;" "&amp;'Compliance Database'!$M19&amp;" "&amp;'Compliance Database'!$N19&amp;" "&amp;'Compliance Database'!$O19)))),1,0)</f>
        <v/>
      </c>
      <c r="B19">
        <f>IF($A19=1,SUM($A$2:$A19),"")</f>
        <v/>
      </c>
      <c r="C19">
        <f>IF($A19=1,SUM($A$2:$A19),0)</f>
        <v/>
      </c>
    </row>
    <row r="20">
      <c r="A20">
        <f>IF(AND(OR(Query!$B$4="All",'Compliance Database'!$A20=Query!$B$4),OR(Query!$B$5="All",'Compliance Database'!$F20=Query!$B$5),OR(Query!$B$6="All",ISNUMBER(SEARCH(Query!$B$6,'Compliance Database'!$I20))),OR(Query!$B$7="All",ISNUMBER(SEARCH(Query!$B$7,'Compliance Database'!$J20))),OR(Query!$B$8="All",'Compliance Database'!$G20=Query!$B$8),OR(Query!$B$9="All",'Compliance Database'!$K20=Query!$B$9),OR(Query!$B$10="",ISNUMBER(SEARCH(Query!$B$10,'Compliance Database'!$D20&amp;" "&amp;'Compliance Database'!$L20&amp;" "&amp;'Compliance Database'!$M20&amp;" "&amp;'Compliance Database'!$N20&amp;" "&amp;'Compliance Database'!$O20)))),1,0)</f>
        <v/>
      </c>
      <c r="B20">
        <f>IF($A20=1,SUM($A$2:$A20),"")</f>
        <v/>
      </c>
      <c r="C20">
        <f>IF($A20=1,SUM($A$2:$A20),0)</f>
        <v/>
      </c>
    </row>
    <row r="21">
      <c r="A21">
        <f>IF(AND(OR(Query!$B$4="All",'Compliance Database'!$A21=Query!$B$4),OR(Query!$B$5="All",'Compliance Database'!$F21=Query!$B$5),OR(Query!$B$6="All",ISNUMBER(SEARCH(Query!$B$6,'Compliance Database'!$I21))),OR(Query!$B$7="All",ISNUMBER(SEARCH(Query!$B$7,'Compliance Database'!$J21))),OR(Query!$B$8="All",'Compliance Database'!$G21=Query!$B$8),OR(Query!$B$9="All",'Compliance Database'!$K21=Query!$B$9),OR(Query!$B$10="",ISNUMBER(SEARCH(Query!$B$10,'Compliance Database'!$D21&amp;" "&amp;'Compliance Database'!$L21&amp;" "&amp;'Compliance Database'!$M21&amp;" "&amp;'Compliance Database'!$N21&amp;" "&amp;'Compliance Database'!$O21)))),1,0)</f>
        <v/>
      </c>
      <c r="B21">
        <f>IF($A21=1,SUM($A$2:$A21),"")</f>
        <v/>
      </c>
      <c r="C21">
        <f>IF($A21=1,SUM($A$2:$A21),0)</f>
        <v/>
      </c>
    </row>
    <row r="22">
      <c r="A22">
        <f>IF(AND(OR(Query!$B$4="All",'Compliance Database'!$A22=Query!$B$4),OR(Query!$B$5="All",'Compliance Database'!$F22=Query!$B$5),OR(Query!$B$6="All",ISNUMBER(SEARCH(Query!$B$6,'Compliance Database'!$I22))),OR(Query!$B$7="All",ISNUMBER(SEARCH(Query!$B$7,'Compliance Database'!$J22))),OR(Query!$B$8="All",'Compliance Database'!$G22=Query!$B$8),OR(Query!$B$9="All",'Compliance Database'!$K22=Query!$B$9),OR(Query!$B$10="",ISNUMBER(SEARCH(Query!$B$10,'Compliance Database'!$D22&amp;" "&amp;'Compliance Database'!$L22&amp;" "&amp;'Compliance Database'!$M22&amp;" "&amp;'Compliance Database'!$N22&amp;" "&amp;'Compliance Database'!$O22)))),1,0)</f>
        <v/>
      </c>
      <c r="B22">
        <f>IF($A22=1,SUM($A$2:$A22),"")</f>
        <v/>
      </c>
      <c r="C22">
        <f>IF($A22=1,SUM($A$2:$A22),0)</f>
        <v/>
      </c>
    </row>
    <row r="23">
      <c r="A23">
        <f>IF(AND(OR(Query!$B$4="All",'Compliance Database'!$A23=Query!$B$4),OR(Query!$B$5="All",'Compliance Database'!$F23=Query!$B$5),OR(Query!$B$6="All",ISNUMBER(SEARCH(Query!$B$6,'Compliance Database'!$I23))),OR(Query!$B$7="All",ISNUMBER(SEARCH(Query!$B$7,'Compliance Database'!$J23))),OR(Query!$B$8="All",'Compliance Database'!$G23=Query!$B$8),OR(Query!$B$9="All",'Compliance Database'!$K23=Query!$B$9),OR(Query!$B$10="",ISNUMBER(SEARCH(Query!$B$10,'Compliance Database'!$D23&amp;" "&amp;'Compliance Database'!$L23&amp;" "&amp;'Compliance Database'!$M23&amp;" "&amp;'Compliance Database'!$N23&amp;" "&amp;'Compliance Database'!$O23)))),1,0)</f>
        <v/>
      </c>
      <c r="B23">
        <f>IF($A23=1,SUM($A$2:$A23),"")</f>
        <v/>
      </c>
      <c r="C23">
        <f>IF($A23=1,SUM($A$2:$A23),0)</f>
        <v/>
      </c>
    </row>
    <row r="24">
      <c r="A24">
        <f>IF(AND(OR(Query!$B$4="All",'Compliance Database'!$A24=Query!$B$4),OR(Query!$B$5="All",'Compliance Database'!$F24=Query!$B$5),OR(Query!$B$6="All",ISNUMBER(SEARCH(Query!$B$6,'Compliance Database'!$I24))),OR(Query!$B$7="All",ISNUMBER(SEARCH(Query!$B$7,'Compliance Database'!$J24))),OR(Query!$B$8="All",'Compliance Database'!$G24=Query!$B$8),OR(Query!$B$9="All",'Compliance Database'!$K24=Query!$B$9),OR(Query!$B$10="",ISNUMBER(SEARCH(Query!$B$10,'Compliance Database'!$D24&amp;" "&amp;'Compliance Database'!$L24&amp;" "&amp;'Compliance Database'!$M24&amp;" "&amp;'Compliance Database'!$N24&amp;" "&amp;'Compliance Database'!$O24)))),1,0)</f>
        <v/>
      </c>
      <c r="B24">
        <f>IF($A24=1,SUM($A$2:$A24),"")</f>
        <v/>
      </c>
      <c r="C24">
        <f>IF($A24=1,SUM($A$2:$A24),0)</f>
        <v/>
      </c>
    </row>
    <row r="25">
      <c r="A25">
        <f>IF(AND(OR(Query!$B$4="All",'Compliance Database'!$A25=Query!$B$4),OR(Query!$B$5="All",'Compliance Database'!$F25=Query!$B$5),OR(Query!$B$6="All",ISNUMBER(SEARCH(Query!$B$6,'Compliance Database'!$I25))),OR(Query!$B$7="All",ISNUMBER(SEARCH(Query!$B$7,'Compliance Database'!$J25))),OR(Query!$B$8="All",'Compliance Database'!$G25=Query!$B$8),OR(Query!$B$9="All",'Compliance Database'!$K25=Query!$B$9),OR(Query!$B$10="",ISNUMBER(SEARCH(Query!$B$10,'Compliance Database'!$D25&amp;" "&amp;'Compliance Database'!$L25&amp;" "&amp;'Compliance Database'!$M25&amp;" "&amp;'Compliance Database'!$N25&amp;" "&amp;'Compliance Database'!$O25)))),1,0)</f>
        <v/>
      </c>
      <c r="B25">
        <f>IF($A25=1,SUM($A$2:$A25),"")</f>
        <v/>
      </c>
      <c r="C25">
        <f>IF($A25=1,SUM($A$2:$A25),0)</f>
        <v/>
      </c>
    </row>
    <row r="26">
      <c r="A26">
        <f>IF(AND(OR(Query!$B$4="All",'Compliance Database'!$A26=Query!$B$4),OR(Query!$B$5="All",'Compliance Database'!$F26=Query!$B$5),OR(Query!$B$6="All",ISNUMBER(SEARCH(Query!$B$6,'Compliance Database'!$I26))),OR(Query!$B$7="All",ISNUMBER(SEARCH(Query!$B$7,'Compliance Database'!$J26))),OR(Query!$B$8="All",'Compliance Database'!$G26=Query!$B$8),OR(Query!$B$9="All",'Compliance Database'!$K26=Query!$B$9),OR(Query!$B$10="",ISNUMBER(SEARCH(Query!$B$10,'Compliance Database'!$D26&amp;" "&amp;'Compliance Database'!$L26&amp;" "&amp;'Compliance Database'!$M26&amp;" "&amp;'Compliance Database'!$N26&amp;" "&amp;'Compliance Database'!$O26)))),1,0)</f>
        <v/>
      </c>
      <c r="B26">
        <f>IF($A26=1,SUM($A$2:$A26),"")</f>
        <v/>
      </c>
      <c r="C26">
        <f>IF($A26=1,SUM($A$2:$A26),0)</f>
        <v/>
      </c>
    </row>
    <row r="27">
      <c r="A27">
        <f>IF(AND(OR(Query!$B$4="All",'Compliance Database'!$A27=Query!$B$4),OR(Query!$B$5="All",'Compliance Database'!$F27=Query!$B$5),OR(Query!$B$6="All",ISNUMBER(SEARCH(Query!$B$6,'Compliance Database'!$I27))),OR(Query!$B$7="All",ISNUMBER(SEARCH(Query!$B$7,'Compliance Database'!$J27))),OR(Query!$B$8="All",'Compliance Database'!$G27=Query!$B$8),OR(Query!$B$9="All",'Compliance Database'!$K27=Query!$B$9),OR(Query!$B$10="",ISNUMBER(SEARCH(Query!$B$10,'Compliance Database'!$D27&amp;" "&amp;'Compliance Database'!$L27&amp;" "&amp;'Compliance Database'!$M27&amp;" "&amp;'Compliance Database'!$N27&amp;" "&amp;'Compliance Database'!$O27)))),1,0)</f>
        <v/>
      </c>
      <c r="B27">
        <f>IF($A27=1,SUM($A$2:$A27),"")</f>
        <v/>
      </c>
      <c r="C27">
        <f>IF($A27=1,SUM($A$2:$A27),0)</f>
        <v/>
      </c>
    </row>
    <row r="28">
      <c r="A28">
        <f>IF(AND(OR(Query!$B$4="All",'Compliance Database'!$A28=Query!$B$4),OR(Query!$B$5="All",'Compliance Database'!$F28=Query!$B$5),OR(Query!$B$6="All",ISNUMBER(SEARCH(Query!$B$6,'Compliance Database'!$I28))),OR(Query!$B$7="All",ISNUMBER(SEARCH(Query!$B$7,'Compliance Database'!$J28))),OR(Query!$B$8="All",'Compliance Database'!$G28=Query!$B$8),OR(Query!$B$9="All",'Compliance Database'!$K28=Query!$B$9),OR(Query!$B$10="",ISNUMBER(SEARCH(Query!$B$10,'Compliance Database'!$D28&amp;" "&amp;'Compliance Database'!$L28&amp;" "&amp;'Compliance Database'!$M28&amp;" "&amp;'Compliance Database'!$N28&amp;" "&amp;'Compliance Database'!$O28)))),1,0)</f>
        <v/>
      </c>
      <c r="B28">
        <f>IF($A28=1,SUM($A$2:$A28),"")</f>
        <v/>
      </c>
      <c r="C28">
        <f>IF($A28=1,SUM($A$2:$A28),0)</f>
        <v/>
      </c>
    </row>
    <row r="29">
      <c r="A29">
        <f>IF(AND(OR(Query!$B$4="All",'Compliance Database'!$A29=Query!$B$4),OR(Query!$B$5="All",'Compliance Database'!$F29=Query!$B$5),OR(Query!$B$6="All",ISNUMBER(SEARCH(Query!$B$6,'Compliance Database'!$I29))),OR(Query!$B$7="All",ISNUMBER(SEARCH(Query!$B$7,'Compliance Database'!$J29))),OR(Query!$B$8="All",'Compliance Database'!$G29=Query!$B$8),OR(Query!$B$9="All",'Compliance Database'!$K29=Query!$B$9),OR(Query!$B$10="",ISNUMBER(SEARCH(Query!$B$10,'Compliance Database'!$D29&amp;" "&amp;'Compliance Database'!$L29&amp;" "&amp;'Compliance Database'!$M29&amp;" "&amp;'Compliance Database'!$N29&amp;" "&amp;'Compliance Database'!$O29)))),1,0)</f>
        <v/>
      </c>
      <c r="B29">
        <f>IF($A29=1,SUM($A$2:$A29),"")</f>
        <v/>
      </c>
      <c r="C29">
        <f>IF($A29=1,SUM($A$2:$A29),0)</f>
        <v/>
      </c>
    </row>
    <row r="30">
      <c r="A30">
        <f>IF(AND(OR(Query!$B$4="All",'Compliance Database'!$A30=Query!$B$4),OR(Query!$B$5="All",'Compliance Database'!$F30=Query!$B$5),OR(Query!$B$6="All",ISNUMBER(SEARCH(Query!$B$6,'Compliance Database'!$I30))),OR(Query!$B$7="All",ISNUMBER(SEARCH(Query!$B$7,'Compliance Database'!$J30))),OR(Query!$B$8="All",'Compliance Database'!$G30=Query!$B$8),OR(Query!$B$9="All",'Compliance Database'!$K30=Query!$B$9),OR(Query!$B$10="",ISNUMBER(SEARCH(Query!$B$10,'Compliance Database'!$D30&amp;" "&amp;'Compliance Database'!$L30&amp;" "&amp;'Compliance Database'!$M30&amp;" "&amp;'Compliance Database'!$N30&amp;" "&amp;'Compliance Database'!$O30)))),1,0)</f>
        <v/>
      </c>
      <c r="B30">
        <f>IF($A30=1,SUM($A$2:$A30),"")</f>
        <v/>
      </c>
      <c r="C30">
        <f>IF($A30=1,SUM($A$2:$A30),0)</f>
        <v/>
      </c>
    </row>
    <row r="31">
      <c r="A31">
        <f>IF(AND(OR(Query!$B$4="All",'Compliance Database'!$A31=Query!$B$4),OR(Query!$B$5="All",'Compliance Database'!$F31=Query!$B$5),OR(Query!$B$6="All",ISNUMBER(SEARCH(Query!$B$6,'Compliance Database'!$I31))),OR(Query!$B$7="All",ISNUMBER(SEARCH(Query!$B$7,'Compliance Database'!$J31))),OR(Query!$B$8="All",'Compliance Database'!$G31=Query!$B$8),OR(Query!$B$9="All",'Compliance Database'!$K31=Query!$B$9),OR(Query!$B$10="",ISNUMBER(SEARCH(Query!$B$10,'Compliance Database'!$D31&amp;" "&amp;'Compliance Database'!$L31&amp;" "&amp;'Compliance Database'!$M31&amp;" "&amp;'Compliance Database'!$N31&amp;" "&amp;'Compliance Database'!$O31)))),1,0)</f>
        <v/>
      </c>
      <c r="B31">
        <f>IF($A31=1,SUM($A$2:$A31),"")</f>
        <v/>
      </c>
      <c r="C31">
        <f>IF($A31=1,SUM($A$2:$A31),0)</f>
        <v/>
      </c>
    </row>
    <row r="32">
      <c r="A32">
        <f>IF(AND(OR(Query!$B$4="All",'Compliance Database'!$A32=Query!$B$4),OR(Query!$B$5="All",'Compliance Database'!$F32=Query!$B$5),OR(Query!$B$6="All",ISNUMBER(SEARCH(Query!$B$6,'Compliance Database'!$I32))),OR(Query!$B$7="All",ISNUMBER(SEARCH(Query!$B$7,'Compliance Database'!$J32))),OR(Query!$B$8="All",'Compliance Database'!$G32=Query!$B$8),OR(Query!$B$9="All",'Compliance Database'!$K32=Query!$B$9),OR(Query!$B$10="",ISNUMBER(SEARCH(Query!$B$10,'Compliance Database'!$D32&amp;" "&amp;'Compliance Database'!$L32&amp;" "&amp;'Compliance Database'!$M32&amp;" "&amp;'Compliance Database'!$N32&amp;" "&amp;'Compliance Database'!$O32)))),1,0)</f>
        <v/>
      </c>
      <c r="B32">
        <f>IF($A32=1,SUM($A$2:$A32),"")</f>
        <v/>
      </c>
      <c r="C32">
        <f>IF($A32=1,SUM($A$2:$A32),0)</f>
        <v/>
      </c>
    </row>
    <row r="33">
      <c r="A33">
        <f>IF(AND(OR(Query!$B$4="All",'Compliance Database'!$A33=Query!$B$4),OR(Query!$B$5="All",'Compliance Database'!$F33=Query!$B$5),OR(Query!$B$6="All",ISNUMBER(SEARCH(Query!$B$6,'Compliance Database'!$I33))),OR(Query!$B$7="All",ISNUMBER(SEARCH(Query!$B$7,'Compliance Database'!$J33))),OR(Query!$B$8="All",'Compliance Database'!$G33=Query!$B$8),OR(Query!$B$9="All",'Compliance Database'!$K33=Query!$B$9),OR(Query!$B$10="",ISNUMBER(SEARCH(Query!$B$10,'Compliance Database'!$D33&amp;" "&amp;'Compliance Database'!$L33&amp;" "&amp;'Compliance Database'!$M33&amp;" "&amp;'Compliance Database'!$N33&amp;" "&amp;'Compliance Database'!$O33)))),1,0)</f>
        <v/>
      </c>
      <c r="B33">
        <f>IF($A33=1,SUM($A$2:$A33),"")</f>
        <v/>
      </c>
      <c r="C33">
        <f>IF($A33=1,SUM($A$2:$A33),0)</f>
        <v/>
      </c>
    </row>
    <row r="34">
      <c r="A34">
        <f>IF(AND(OR(Query!$B$4="All",'Compliance Database'!$A34=Query!$B$4),OR(Query!$B$5="All",'Compliance Database'!$F34=Query!$B$5),OR(Query!$B$6="All",ISNUMBER(SEARCH(Query!$B$6,'Compliance Database'!$I34))),OR(Query!$B$7="All",ISNUMBER(SEARCH(Query!$B$7,'Compliance Database'!$J34))),OR(Query!$B$8="All",'Compliance Database'!$G34=Query!$B$8),OR(Query!$B$9="All",'Compliance Database'!$K34=Query!$B$9),OR(Query!$B$10="",ISNUMBER(SEARCH(Query!$B$10,'Compliance Database'!$D34&amp;" "&amp;'Compliance Database'!$L34&amp;" "&amp;'Compliance Database'!$M34&amp;" "&amp;'Compliance Database'!$N34&amp;" "&amp;'Compliance Database'!$O34)))),1,0)</f>
        <v/>
      </c>
      <c r="B34">
        <f>IF($A34=1,SUM($A$2:$A34),"")</f>
        <v/>
      </c>
      <c r="C34">
        <f>IF($A34=1,SUM($A$2:$A34),0)</f>
        <v/>
      </c>
    </row>
    <row r="35">
      <c r="A35">
        <f>IF(AND(OR(Query!$B$4="All",'Compliance Database'!$A35=Query!$B$4),OR(Query!$B$5="All",'Compliance Database'!$F35=Query!$B$5),OR(Query!$B$6="All",ISNUMBER(SEARCH(Query!$B$6,'Compliance Database'!$I35))),OR(Query!$B$7="All",ISNUMBER(SEARCH(Query!$B$7,'Compliance Database'!$J35))),OR(Query!$B$8="All",'Compliance Database'!$G35=Query!$B$8),OR(Query!$B$9="All",'Compliance Database'!$K35=Query!$B$9),OR(Query!$B$10="",ISNUMBER(SEARCH(Query!$B$10,'Compliance Database'!$D35&amp;" "&amp;'Compliance Database'!$L35&amp;" "&amp;'Compliance Database'!$M35&amp;" "&amp;'Compliance Database'!$N35&amp;" "&amp;'Compliance Database'!$O35)))),1,0)</f>
        <v/>
      </c>
      <c r="B35">
        <f>IF($A35=1,SUM($A$2:$A35),"")</f>
        <v/>
      </c>
      <c r="C35">
        <f>IF($A35=1,SUM($A$2:$A35),0)</f>
        <v/>
      </c>
    </row>
    <row r="36">
      <c r="A36">
        <f>IF(AND(OR(Query!$B$4="All",'Compliance Database'!$A36=Query!$B$4),OR(Query!$B$5="All",'Compliance Database'!$F36=Query!$B$5),OR(Query!$B$6="All",ISNUMBER(SEARCH(Query!$B$6,'Compliance Database'!$I36))),OR(Query!$B$7="All",ISNUMBER(SEARCH(Query!$B$7,'Compliance Database'!$J36))),OR(Query!$B$8="All",'Compliance Database'!$G36=Query!$B$8),OR(Query!$B$9="All",'Compliance Database'!$K36=Query!$B$9),OR(Query!$B$10="",ISNUMBER(SEARCH(Query!$B$10,'Compliance Database'!$D36&amp;" "&amp;'Compliance Database'!$L36&amp;" "&amp;'Compliance Database'!$M36&amp;" "&amp;'Compliance Database'!$N36&amp;" "&amp;'Compliance Database'!$O36)))),1,0)</f>
        <v/>
      </c>
      <c r="B36">
        <f>IF($A36=1,SUM($A$2:$A36),"")</f>
        <v/>
      </c>
      <c r="C36">
        <f>IF($A36=1,SUM($A$2:$A36),0)</f>
        <v/>
      </c>
    </row>
    <row r="37">
      <c r="A37">
        <f>IF(AND(OR(Query!$B$4="All",'Compliance Database'!$A37=Query!$B$4),OR(Query!$B$5="All",'Compliance Database'!$F37=Query!$B$5),OR(Query!$B$6="All",ISNUMBER(SEARCH(Query!$B$6,'Compliance Database'!$I37))),OR(Query!$B$7="All",ISNUMBER(SEARCH(Query!$B$7,'Compliance Database'!$J37))),OR(Query!$B$8="All",'Compliance Database'!$G37=Query!$B$8),OR(Query!$B$9="All",'Compliance Database'!$K37=Query!$B$9),OR(Query!$B$10="",ISNUMBER(SEARCH(Query!$B$10,'Compliance Database'!$D37&amp;" "&amp;'Compliance Database'!$L37&amp;" "&amp;'Compliance Database'!$M37&amp;" "&amp;'Compliance Database'!$N37&amp;" "&amp;'Compliance Database'!$O37)))),1,0)</f>
        <v/>
      </c>
      <c r="B37">
        <f>IF($A37=1,SUM($A$2:$A37),"")</f>
        <v/>
      </c>
      <c r="C37">
        <f>IF($A37=1,SUM($A$2:$A37),0)</f>
        <v/>
      </c>
    </row>
    <row r="38">
      <c r="A38">
        <f>IF(AND(OR(Query!$B$4="All",'Compliance Database'!$A38=Query!$B$4),OR(Query!$B$5="All",'Compliance Database'!$F38=Query!$B$5),OR(Query!$B$6="All",ISNUMBER(SEARCH(Query!$B$6,'Compliance Database'!$I38))),OR(Query!$B$7="All",ISNUMBER(SEARCH(Query!$B$7,'Compliance Database'!$J38))),OR(Query!$B$8="All",'Compliance Database'!$G38=Query!$B$8),OR(Query!$B$9="All",'Compliance Database'!$K38=Query!$B$9),OR(Query!$B$10="",ISNUMBER(SEARCH(Query!$B$10,'Compliance Database'!$D38&amp;" "&amp;'Compliance Database'!$L38&amp;" "&amp;'Compliance Database'!$M38&amp;" "&amp;'Compliance Database'!$N38&amp;" "&amp;'Compliance Database'!$O38)))),1,0)</f>
        <v/>
      </c>
      <c r="B38">
        <f>IF($A38=1,SUM($A$2:$A38),"")</f>
        <v/>
      </c>
      <c r="C38">
        <f>IF($A38=1,SUM($A$2:$A38),0)</f>
        <v/>
      </c>
    </row>
    <row r="39">
      <c r="A39">
        <f>IF(AND(OR(Query!$B$4="All",'Compliance Database'!$A39=Query!$B$4),OR(Query!$B$5="All",'Compliance Database'!$F39=Query!$B$5),OR(Query!$B$6="All",ISNUMBER(SEARCH(Query!$B$6,'Compliance Database'!$I39))),OR(Query!$B$7="All",ISNUMBER(SEARCH(Query!$B$7,'Compliance Database'!$J39))),OR(Query!$B$8="All",'Compliance Database'!$G39=Query!$B$8),OR(Query!$B$9="All",'Compliance Database'!$K39=Query!$B$9),OR(Query!$B$10="",ISNUMBER(SEARCH(Query!$B$10,'Compliance Database'!$D39&amp;" "&amp;'Compliance Database'!$L39&amp;" "&amp;'Compliance Database'!$M39&amp;" "&amp;'Compliance Database'!$N39&amp;" "&amp;'Compliance Database'!$O39)))),1,0)</f>
        <v/>
      </c>
      <c r="B39">
        <f>IF($A39=1,SUM($A$2:$A39),"")</f>
        <v/>
      </c>
      <c r="C39">
        <f>IF($A39=1,SUM($A$2:$A39),0)</f>
        <v/>
      </c>
    </row>
    <row r="40">
      <c r="A40">
        <f>IF(AND(OR(Query!$B$4="All",'Compliance Database'!$A40=Query!$B$4),OR(Query!$B$5="All",'Compliance Database'!$F40=Query!$B$5),OR(Query!$B$6="All",ISNUMBER(SEARCH(Query!$B$6,'Compliance Database'!$I40))),OR(Query!$B$7="All",ISNUMBER(SEARCH(Query!$B$7,'Compliance Database'!$J40))),OR(Query!$B$8="All",'Compliance Database'!$G40=Query!$B$8),OR(Query!$B$9="All",'Compliance Database'!$K40=Query!$B$9),OR(Query!$B$10="",ISNUMBER(SEARCH(Query!$B$10,'Compliance Database'!$D40&amp;" "&amp;'Compliance Database'!$L40&amp;" "&amp;'Compliance Database'!$M40&amp;" "&amp;'Compliance Database'!$N40&amp;" "&amp;'Compliance Database'!$O40)))),1,0)</f>
        <v/>
      </c>
      <c r="B40">
        <f>IF($A40=1,SUM($A$2:$A40),"")</f>
        <v/>
      </c>
      <c r="C40">
        <f>IF($A40=1,SUM($A$2:$A40),0)</f>
        <v/>
      </c>
    </row>
    <row r="41">
      <c r="A41">
        <f>IF(AND(OR(Query!$B$4="All",'Compliance Database'!$A41=Query!$B$4),OR(Query!$B$5="All",'Compliance Database'!$F41=Query!$B$5),OR(Query!$B$6="All",ISNUMBER(SEARCH(Query!$B$6,'Compliance Database'!$I41))),OR(Query!$B$7="All",ISNUMBER(SEARCH(Query!$B$7,'Compliance Database'!$J41))),OR(Query!$B$8="All",'Compliance Database'!$G41=Query!$B$8),OR(Query!$B$9="All",'Compliance Database'!$K41=Query!$B$9),OR(Query!$B$10="",ISNUMBER(SEARCH(Query!$B$10,'Compliance Database'!$D41&amp;" "&amp;'Compliance Database'!$L41&amp;" "&amp;'Compliance Database'!$M41&amp;" "&amp;'Compliance Database'!$N41&amp;" "&amp;'Compliance Database'!$O41)))),1,0)</f>
        <v/>
      </c>
      <c r="B41">
        <f>IF($A41=1,SUM($A$2:$A41),"")</f>
        <v/>
      </c>
      <c r="C41">
        <f>IF($A41=1,SUM($A$2:$A41),0)</f>
        <v/>
      </c>
    </row>
    <row r="42">
      <c r="A42">
        <f>IF(AND(OR(Query!$B$4="All",'Compliance Database'!$A42=Query!$B$4),OR(Query!$B$5="All",'Compliance Database'!$F42=Query!$B$5),OR(Query!$B$6="All",ISNUMBER(SEARCH(Query!$B$6,'Compliance Database'!$I42))),OR(Query!$B$7="All",ISNUMBER(SEARCH(Query!$B$7,'Compliance Database'!$J42))),OR(Query!$B$8="All",'Compliance Database'!$G42=Query!$B$8),OR(Query!$B$9="All",'Compliance Database'!$K42=Query!$B$9),OR(Query!$B$10="",ISNUMBER(SEARCH(Query!$B$10,'Compliance Database'!$D42&amp;" "&amp;'Compliance Database'!$L42&amp;" "&amp;'Compliance Database'!$M42&amp;" "&amp;'Compliance Database'!$N42&amp;" "&amp;'Compliance Database'!$O42)))),1,0)</f>
        <v/>
      </c>
      <c r="B42">
        <f>IF($A42=1,SUM($A$2:$A42),"")</f>
        <v/>
      </c>
      <c r="C42">
        <f>IF($A42=1,SUM($A$2:$A42),0)</f>
        <v/>
      </c>
    </row>
    <row r="43">
      <c r="A43">
        <f>IF(AND(OR(Query!$B$4="All",'Compliance Database'!$A43=Query!$B$4),OR(Query!$B$5="All",'Compliance Database'!$F43=Query!$B$5),OR(Query!$B$6="All",ISNUMBER(SEARCH(Query!$B$6,'Compliance Database'!$I43))),OR(Query!$B$7="All",ISNUMBER(SEARCH(Query!$B$7,'Compliance Database'!$J43))),OR(Query!$B$8="All",'Compliance Database'!$G43=Query!$B$8),OR(Query!$B$9="All",'Compliance Database'!$K43=Query!$B$9),OR(Query!$B$10="",ISNUMBER(SEARCH(Query!$B$10,'Compliance Database'!$D43&amp;" "&amp;'Compliance Database'!$L43&amp;" "&amp;'Compliance Database'!$M43&amp;" "&amp;'Compliance Database'!$N43&amp;" "&amp;'Compliance Database'!$O43)))),1,0)</f>
        <v/>
      </c>
      <c r="B43">
        <f>IF($A43=1,SUM($A$2:$A43),"")</f>
        <v/>
      </c>
      <c r="C43">
        <f>IF($A43=1,SUM($A$2:$A43),0)</f>
        <v/>
      </c>
    </row>
    <row r="44">
      <c r="A44">
        <f>IF(AND(OR(Query!$B$4="All",'Compliance Database'!$A44=Query!$B$4),OR(Query!$B$5="All",'Compliance Database'!$F44=Query!$B$5),OR(Query!$B$6="All",ISNUMBER(SEARCH(Query!$B$6,'Compliance Database'!$I44))),OR(Query!$B$7="All",ISNUMBER(SEARCH(Query!$B$7,'Compliance Database'!$J44))),OR(Query!$B$8="All",'Compliance Database'!$G44=Query!$B$8),OR(Query!$B$9="All",'Compliance Database'!$K44=Query!$B$9),OR(Query!$B$10="",ISNUMBER(SEARCH(Query!$B$10,'Compliance Database'!$D44&amp;" "&amp;'Compliance Database'!$L44&amp;" "&amp;'Compliance Database'!$M44&amp;" "&amp;'Compliance Database'!$N44&amp;" "&amp;'Compliance Database'!$O44)))),1,0)</f>
        <v/>
      </c>
      <c r="B44">
        <f>IF($A44=1,SUM($A$2:$A44),"")</f>
        <v/>
      </c>
      <c r="C44">
        <f>IF($A44=1,SUM($A$2:$A44),0)</f>
        <v/>
      </c>
    </row>
    <row r="45">
      <c r="A45">
        <f>IF(AND(OR(Query!$B$4="All",'Compliance Database'!$A45=Query!$B$4),OR(Query!$B$5="All",'Compliance Database'!$F45=Query!$B$5),OR(Query!$B$6="All",ISNUMBER(SEARCH(Query!$B$6,'Compliance Database'!$I45))),OR(Query!$B$7="All",ISNUMBER(SEARCH(Query!$B$7,'Compliance Database'!$J45))),OR(Query!$B$8="All",'Compliance Database'!$G45=Query!$B$8),OR(Query!$B$9="All",'Compliance Database'!$K45=Query!$B$9),OR(Query!$B$10="",ISNUMBER(SEARCH(Query!$B$10,'Compliance Database'!$D45&amp;" "&amp;'Compliance Database'!$L45&amp;" "&amp;'Compliance Database'!$M45&amp;" "&amp;'Compliance Database'!$N45&amp;" "&amp;'Compliance Database'!$O45)))),1,0)</f>
        <v/>
      </c>
      <c r="B45">
        <f>IF($A45=1,SUM($A$2:$A45),"")</f>
        <v/>
      </c>
      <c r="C45">
        <f>IF($A45=1,SUM($A$2:$A45),0)</f>
        <v/>
      </c>
    </row>
    <row r="46">
      <c r="A46">
        <f>IF(AND(OR(Query!$B$4="All",'Compliance Database'!$A46=Query!$B$4),OR(Query!$B$5="All",'Compliance Database'!$F46=Query!$B$5),OR(Query!$B$6="All",ISNUMBER(SEARCH(Query!$B$6,'Compliance Database'!$I46))),OR(Query!$B$7="All",ISNUMBER(SEARCH(Query!$B$7,'Compliance Database'!$J46))),OR(Query!$B$8="All",'Compliance Database'!$G46=Query!$B$8),OR(Query!$B$9="All",'Compliance Database'!$K46=Query!$B$9),OR(Query!$B$10="",ISNUMBER(SEARCH(Query!$B$10,'Compliance Database'!$D46&amp;" "&amp;'Compliance Database'!$L46&amp;" "&amp;'Compliance Database'!$M46&amp;" "&amp;'Compliance Database'!$N46&amp;" "&amp;'Compliance Database'!$O46)))),1,0)</f>
        <v/>
      </c>
      <c r="B46">
        <f>IF($A46=1,SUM($A$2:$A46),"")</f>
        <v/>
      </c>
      <c r="C46">
        <f>IF($A46=1,SUM($A$2:$A46),0)</f>
        <v/>
      </c>
    </row>
    <row r="47">
      <c r="A47">
        <f>IF(AND(OR(Query!$B$4="All",'Compliance Database'!$A47=Query!$B$4),OR(Query!$B$5="All",'Compliance Database'!$F47=Query!$B$5),OR(Query!$B$6="All",ISNUMBER(SEARCH(Query!$B$6,'Compliance Database'!$I47))),OR(Query!$B$7="All",ISNUMBER(SEARCH(Query!$B$7,'Compliance Database'!$J47))),OR(Query!$B$8="All",'Compliance Database'!$G47=Query!$B$8),OR(Query!$B$9="All",'Compliance Database'!$K47=Query!$B$9),OR(Query!$B$10="",ISNUMBER(SEARCH(Query!$B$10,'Compliance Database'!$D47&amp;" "&amp;'Compliance Database'!$L47&amp;" "&amp;'Compliance Database'!$M47&amp;" "&amp;'Compliance Database'!$N47&amp;" "&amp;'Compliance Database'!$O47)))),1,0)</f>
        <v/>
      </c>
      <c r="B47">
        <f>IF($A47=1,SUM($A$2:$A47),"")</f>
        <v/>
      </c>
      <c r="C47">
        <f>IF($A47=1,SUM($A$2:$A47),0)</f>
        <v/>
      </c>
    </row>
    <row r="48">
      <c r="A48">
        <f>IF(AND(OR(Query!$B$4="All",'Compliance Database'!$A48=Query!$B$4),OR(Query!$B$5="All",'Compliance Database'!$F48=Query!$B$5),OR(Query!$B$6="All",ISNUMBER(SEARCH(Query!$B$6,'Compliance Database'!$I48))),OR(Query!$B$7="All",ISNUMBER(SEARCH(Query!$B$7,'Compliance Database'!$J48))),OR(Query!$B$8="All",'Compliance Database'!$G48=Query!$B$8),OR(Query!$B$9="All",'Compliance Database'!$K48=Query!$B$9),OR(Query!$B$10="",ISNUMBER(SEARCH(Query!$B$10,'Compliance Database'!$D48&amp;" "&amp;'Compliance Database'!$L48&amp;" "&amp;'Compliance Database'!$M48&amp;" "&amp;'Compliance Database'!$N48&amp;" "&amp;'Compliance Database'!$O48)))),1,0)</f>
        <v/>
      </c>
      <c r="B48">
        <f>IF($A48=1,SUM($A$2:$A48),"")</f>
        <v/>
      </c>
      <c r="C48">
        <f>IF($A48=1,SUM($A$2:$A48),0)</f>
        <v/>
      </c>
    </row>
    <row r="49">
      <c r="A49">
        <f>IF(AND(OR(Query!$B$4="All",'Compliance Database'!$A49=Query!$B$4),OR(Query!$B$5="All",'Compliance Database'!$F49=Query!$B$5),OR(Query!$B$6="All",ISNUMBER(SEARCH(Query!$B$6,'Compliance Database'!$I49))),OR(Query!$B$7="All",ISNUMBER(SEARCH(Query!$B$7,'Compliance Database'!$J49))),OR(Query!$B$8="All",'Compliance Database'!$G49=Query!$B$8),OR(Query!$B$9="All",'Compliance Database'!$K49=Query!$B$9),OR(Query!$B$10="",ISNUMBER(SEARCH(Query!$B$10,'Compliance Database'!$D49&amp;" "&amp;'Compliance Database'!$L49&amp;" "&amp;'Compliance Database'!$M49&amp;" "&amp;'Compliance Database'!$N49&amp;" "&amp;'Compliance Database'!$O49)))),1,0)</f>
        <v/>
      </c>
      <c r="B49">
        <f>IF($A49=1,SUM($A$2:$A49),"")</f>
        <v/>
      </c>
      <c r="C49">
        <f>IF($A49=1,SUM($A$2:$A49),0)</f>
        <v/>
      </c>
    </row>
    <row r="50">
      <c r="A50">
        <f>IF(AND(OR(Query!$B$4="All",'Compliance Database'!$A50=Query!$B$4),OR(Query!$B$5="All",'Compliance Database'!$F50=Query!$B$5),OR(Query!$B$6="All",ISNUMBER(SEARCH(Query!$B$6,'Compliance Database'!$I50))),OR(Query!$B$7="All",ISNUMBER(SEARCH(Query!$B$7,'Compliance Database'!$J50))),OR(Query!$B$8="All",'Compliance Database'!$G50=Query!$B$8),OR(Query!$B$9="All",'Compliance Database'!$K50=Query!$B$9),OR(Query!$B$10="",ISNUMBER(SEARCH(Query!$B$10,'Compliance Database'!$D50&amp;" "&amp;'Compliance Database'!$L50&amp;" "&amp;'Compliance Database'!$M50&amp;" "&amp;'Compliance Database'!$N50&amp;" "&amp;'Compliance Database'!$O50)))),1,0)</f>
        <v/>
      </c>
      <c r="B50">
        <f>IF($A50=1,SUM($A$2:$A50),"")</f>
        <v/>
      </c>
      <c r="C50">
        <f>IF($A50=1,SUM($A$2:$A50),0)</f>
        <v/>
      </c>
    </row>
    <row r="51">
      <c r="A51">
        <f>IF(AND(OR(Query!$B$4="All",'Compliance Database'!$A51=Query!$B$4),OR(Query!$B$5="All",'Compliance Database'!$F51=Query!$B$5),OR(Query!$B$6="All",ISNUMBER(SEARCH(Query!$B$6,'Compliance Database'!$I51))),OR(Query!$B$7="All",ISNUMBER(SEARCH(Query!$B$7,'Compliance Database'!$J51))),OR(Query!$B$8="All",'Compliance Database'!$G51=Query!$B$8),OR(Query!$B$9="All",'Compliance Database'!$K51=Query!$B$9),OR(Query!$B$10="",ISNUMBER(SEARCH(Query!$B$10,'Compliance Database'!$D51&amp;" "&amp;'Compliance Database'!$L51&amp;" "&amp;'Compliance Database'!$M51&amp;" "&amp;'Compliance Database'!$N51&amp;" "&amp;'Compliance Database'!$O51)))),1,0)</f>
        <v/>
      </c>
      <c r="B51">
        <f>IF($A51=1,SUM($A$2:$A51),"")</f>
        <v/>
      </c>
      <c r="C51">
        <f>IF($A51=1,SUM($A$2:$A51),0)</f>
        <v/>
      </c>
    </row>
    <row r="52">
      <c r="A52">
        <f>IF(AND(OR(Query!$B$4="All",'Compliance Database'!$A52=Query!$B$4),OR(Query!$B$5="All",'Compliance Database'!$F52=Query!$B$5),OR(Query!$B$6="All",ISNUMBER(SEARCH(Query!$B$6,'Compliance Database'!$I52))),OR(Query!$B$7="All",ISNUMBER(SEARCH(Query!$B$7,'Compliance Database'!$J52))),OR(Query!$B$8="All",'Compliance Database'!$G52=Query!$B$8),OR(Query!$B$9="All",'Compliance Database'!$K52=Query!$B$9),OR(Query!$B$10="",ISNUMBER(SEARCH(Query!$B$10,'Compliance Database'!$D52&amp;" "&amp;'Compliance Database'!$L52&amp;" "&amp;'Compliance Database'!$M52&amp;" "&amp;'Compliance Database'!$N52&amp;" "&amp;'Compliance Database'!$O52)))),1,0)</f>
        <v/>
      </c>
      <c r="B52">
        <f>IF($A52=1,SUM($A$2:$A52),"")</f>
        <v/>
      </c>
      <c r="C52">
        <f>IF($A52=1,SUM($A$2:$A52),0)</f>
        <v/>
      </c>
    </row>
    <row r="53">
      <c r="A53">
        <f>IF(AND(OR(Query!$B$4="All",'Compliance Database'!$A53=Query!$B$4),OR(Query!$B$5="All",'Compliance Database'!$F53=Query!$B$5),OR(Query!$B$6="All",ISNUMBER(SEARCH(Query!$B$6,'Compliance Database'!$I53))),OR(Query!$B$7="All",ISNUMBER(SEARCH(Query!$B$7,'Compliance Database'!$J53))),OR(Query!$B$8="All",'Compliance Database'!$G53=Query!$B$8),OR(Query!$B$9="All",'Compliance Database'!$K53=Query!$B$9),OR(Query!$B$10="",ISNUMBER(SEARCH(Query!$B$10,'Compliance Database'!$D53&amp;" "&amp;'Compliance Database'!$L53&amp;" "&amp;'Compliance Database'!$M53&amp;" "&amp;'Compliance Database'!$N53&amp;" "&amp;'Compliance Database'!$O53)))),1,0)</f>
        <v/>
      </c>
      <c r="B53">
        <f>IF($A53=1,SUM($A$2:$A53),"")</f>
        <v/>
      </c>
      <c r="C53">
        <f>IF($A53=1,SUM($A$2:$A53),0)</f>
        <v/>
      </c>
    </row>
    <row r="54">
      <c r="A54">
        <f>IF(AND(OR(Query!$B$4="All",'Compliance Database'!$A54=Query!$B$4),OR(Query!$B$5="All",'Compliance Database'!$F54=Query!$B$5),OR(Query!$B$6="All",ISNUMBER(SEARCH(Query!$B$6,'Compliance Database'!$I54))),OR(Query!$B$7="All",ISNUMBER(SEARCH(Query!$B$7,'Compliance Database'!$J54))),OR(Query!$B$8="All",'Compliance Database'!$G54=Query!$B$8),OR(Query!$B$9="All",'Compliance Database'!$K54=Query!$B$9),OR(Query!$B$10="",ISNUMBER(SEARCH(Query!$B$10,'Compliance Database'!$D54&amp;" "&amp;'Compliance Database'!$L54&amp;" "&amp;'Compliance Database'!$M54&amp;" "&amp;'Compliance Database'!$N54&amp;" "&amp;'Compliance Database'!$O54)))),1,0)</f>
        <v/>
      </c>
      <c r="B54">
        <f>IF($A54=1,SUM($A$2:$A54),"")</f>
        <v/>
      </c>
      <c r="C54">
        <f>IF($A54=1,SUM($A$2:$A54),0)</f>
        <v/>
      </c>
    </row>
    <row r="55">
      <c r="A55">
        <f>IF(AND(OR(Query!$B$4="All",'Compliance Database'!$A55=Query!$B$4),OR(Query!$B$5="All",'Compliance Database'!$F55=Query!$B$5),OR(Query!$B$6="All",ISNUMBER(SEARCH(Query!$B$6,'Compliance Database'!$I55))),OR(Query!$B$7="All",ISNUMBER(SEARCH(Query!$B$7,'Compliance Database'!$J55))),OR(Query!$B$8="All",'Compliance Database'!$G55=Query!$B$8),OR(Query!$B$9="All",'Compliance Database'!$K55=Query!$B$9),OR(Query!$B$10="",ISNUMBER(SEARCH(Query!$B$10,'Compliance Database'!$D55&amp;" "&amp;'Compliance Database'!$L55&amp;" "&amp;'Compliance Database'!$M55&amp;" "&amp;'Compliance Database'!$N55&amp;" "&amp;'Compliance Database'!$O55)))),1,0)</f>
        <v/>
      </c>
      <c r="B55">
        <f>IF($A55=1,SUM($A$2:$A55),"")</f>
        <v/>
      </c>
      <c r="C55">
        <f>IF($A55=1,SUM($A$2:$A55),0)</f>
        <v/>
      </c>
    </row>
    <row r="56">
      <c r="A56">
        <f>IF(AND(OR(Query!$B$4="All",'Compliance Database'!$A56=Query!$B$4),OR(Query!$B$5="All",'Compliance Database'!$F56=Query!$B$5),OR(Query!$B$6="All",ISNUMBER(SEARCH(Query!$B$6,'Compliance Database'!$I56))),OR(Query!$B$7="All",ISNUMBER(SEARCH(Query!$B$7,'Compliance Database'!$J56))),OR(Query!$B$8="All",'Compliance Database'!$G56=Query!$B$8),OR(Query!$B$9="All",'Compliance Database'!$K56=Query!$B$9),OR(Query!$B$10="",ISNUMBER(SEARCH(Query!$B$10,'Compliance Database'!$D56&amp;" "&amp;'Compliance Database'!$L56&amp;" "&amp;'Compliance Database'!$M56&amp;" "&amp;'Compliance Database'!$N56&amp;" "&amp;'Compliance Database'!$O56)))),1,0)</f>
        <v/>
      </c>
      <c r="B56">
        <f>IF($A56=1,SUM($A$2:$A56),"")</f>
        <v/>
      </c>
      <c r="C56">
        <f>IF($A56=1,SUM($A$2:$A56),0)</f>
        <v/>
      </c>
    </row>
    <row r="57">
      <c r="A57">
        <f>IF(AND(OR(Query!$B$4="All",'Compliance Database'!$A57=Query!$B$4),OR(Query!$B$5="All",'Compliance Database'!$F57=Query!$B$5),OR(Query!$B$6="All",ISNUMBER(SEARCH(Query!$B$6,'Compliance Database'!$I57))),OR(Query!$B$7="All",ISNUMBER(SEARCH(Query!$B$7,'Compliance Database'!$J57))),OR(Query!$B$8="All",'Compliance Database'!$G57=Query!$B$8),OR(Query!$B$9="All",'Compliance Database'!$K57=Query!$B$9),OR(Query!$B$10="",ISNUMBER(SEARCH(Query!$B$10,'Compliance Database'!$D57&amp;" "&amp;'Compliance Database'!$L57&amp;" "&amp;'Compliance Database'!$M57&amp;" "&amp;'Compliance Database'!$N57&amp;" "&amp;'Compliance Database'!$O57)))),1,0)</f>
        <v/>
      </c>
      <c r="B57">
        <f>IF($A57=1,SUM($A$2:$A57),"")</f>
        <v/>
      </c>
      <c r="C57">
        <f>IF($A57=1,SUM($A$2:$A57),0)</f>
        <v/>
      </c>
    </row>
    <row r="58">
      <c r="A58">
        <f>IF(AND(OR(Query!$B$4="All",'Compliance Database'!$A58=Query!$B$4),OR(Query!$B$5="All",'Compliance Database'!$F58=Query!$B$5),OR(Query!$B$6="All",ISNUMBER(SEARCH(Query!$B$6,'Compliance Database'!$I58))),OR(Query!$B$7="All",ISNUMBER(SEARCH(Query!$B$7,'Compliance Database'!$J58))),OR(Query!$B$8="All",'Compliance Database'!$G58=Query!$B$8),OR(Query!$B$9="All",'Compliance Database'!$K58=Query!$B$9),OR(Query!$B$10="",ISNUMBER(SEARCH(Query!$B$10,'Compliance Database'!$D58&amp;" "&amp;'Compliance Database'!$L58&amp;" "&amp;'Compliance Database'!$M58&amp;" "&amp;'Compliance Database'!$N58&amp;" "&amp;'Compliance Database'!$O58)))),1,0)</f>
        <v/>
      </c>
      <c r="B58">
        <f>IF($A58=1,SUM($A$2:$A58),"")</f>
        <v/>
      </c>
      <c r="C58">
        <f>IF($A58=1,SUM($A$2:$A58),0)</f>
        <v/>
      </c>
    </row>
    <row r="59">
      <c r="A59">
        <f>IF(AND(OR(Query!$B$4="All",'Compliance Database'!$A59=Query!$B$4),OR(Query!$B$5="All",'Compliance Database'!$F59=Query!$B$5),OR(Query!$B$6="All",ISNUMBER(SEARCH(Query!$B$6,'Compliance Database'!$I59))),OR(Query!$B$7="All",ISNUMBER(SEARCH(Query!$B$7,'Compliance Database'!$J59))),OR(Query!$B$8="All",'Compliance Database'!$G59=Query!$B$8),OR(Query!$B$9="All",'Compliance Database'!$K59=Query!$B$9),OR(Query!$B$10="",ISNUMBER(SEARCH(Query!$B$10,'Compliance Database'!$D59&amp;" "&amp;'Compliance Database'!$L59&amp;" "&amp;'Compliance Database'!$M59&amp;" "&amp;'Compliance Database'!$N59&amp;" "&amp;'Compliance Database'!$O59)))),1,0)</f>
        <v/>
      </c>
      <c r="B59">
        <f>IF($A59=1,SUM($A$2:$A59),"")</f>
        <v/>
      </c>
      <c r="C59">
        <f>IF($A59=1,SUM($A$2:$A59),0)</f>
        <v/>
      </c>
    </row>
    <row r="60">
      <c r="A60">
        <f>IF(AND(OR(Query!$B$4="All",'Compliance Database'!$A60=Query!$B$4),OR(Query!$B$5="All",'Compliance Database'!$F60=Query!$B$5),OR(Query!$B$6="All",ISNUMBER(SEARCH(Query!$B$6,'Compliance Database'!$I60))),OR(Query!$B$7="All",ISNUMBER(SEARCH(Query!$B$7,'Compliance Database'!$J60))),OR(Query!$B$8="All",'Compliance Database'!$G60=Query!$B$8),OR(Query!$B$9="All",'Compliance Database'!$K60=Query!$B$9),OR(Query!$B$10="",ISNUMBER(SEARCH(Query!$B$10,'Compliance Database'!$D60&amp;" "&amp;'Compliance Database'!$L60&amp;" "&amp;'Compliance Database'!$M60&amp;" "&amp;'Compliance Database'!$N60&amp;" "&amp;'Compliance Database'!$O60)))),1,0)</f>
        <v/>
      </c>
      <c r="B60">
        <f>IF($A60=1,SUM($A$2:$A60),"")</f>
        <v/>
      </c>
      <c r="C60">
        <f>IF($A60=1,SUM($A$2:$A60),0)</f>
        <v/>
      </c>
    </row>
    <row r="61">
      <c r="A61">
        <f>IF(AND(OR(Query!$B$4="All",'Compliance Database'!$A61=Query!$B$4),OR(Query!$B$5="All",'Compliance Database'!$F61=Query!$B$5),OR(Query!$B$6="All",ISNUMBER(SEARCH(Query!$B$6,'Compliance Database'!$I61))),OR(Query!$B$7="All",ISNUMBER(SEARCH(Query!$B$7,'Compliance Database'!$J61))),OR(Query!$B$8="All",'Compliance Database'!$G61=Query!$B$8),OR(Query!$B$9="All",'Compliance Database'!$K61=Query!$B$9),OR(Query!$B$10="",ISNUMBER(SEARCH(Query!$B$10,'Compliance Database'!$D61&amp;" "&amp;'Compliance Database'!$L61&amp;" "&amp;'Compliance Database'!$M61&amp;" "&amp;'Compliance Database'!$N61&amp;" "&amp;'Compliance Database'!$O61)))),1,0)</f>
        <v/>
      </c>
      <c r="B61">
        <f>IF($A61=1,SUM($A$2:$A61),"")</f>
        <v/>
      </c>
      <c r="C61">
        <f>IF($A61=1,SUM($A$2:$A61),0)</f>
        <v/>
      </c>
    </row>
    <row r="62">
      <c r="A62">
        <f>IF(AND(OR(Query!$B$4="All",'Compliance Database'!$A62=Query!$B$4),OR(Query!$B$5="All",'Compliance Database'!$F62=Query!$B$5),OR(Query!$B$6="All",ISNUMBER(SEARCH(Query!$B$6,'Compliance Database'!$I62))),OR(Query!$B$7="All",ISNUMBER(SEARCH(Query!$B$7,'Compliance Database'!$J62))),OR(Query!$B$8="All",'Compliance Database'!$G62=Query!$B$8),OR(Query!$B$9="All",'Compliance Database'!$K62=Query!$B$9),OR(Query!$B$10="",ISNUMBER(SEARCH(Query!$B$10,'Compliance Database'!$D62&amp;" "&amp;'Compliance Database'!$L62&amp;" "&amp;'Compliance Database'!$M62&amp;" "&amp;'Compliance Database'!$N62&amp;" "&amp;'Compliance Database'!$O62)))),1,0)</f>
        <v/>
      </c>
      <c r="B62">
        <f>IF($A62=1,SUM($A$2:$A62),"")</f>
        <v/>
      </c>
      <c r="C62">
        <f>IF($A62=1,SUM($A$2:$A62),0)</f>
        <v/>
      </c>
    </row>
    <row r="63">
      <c r="A63">
        <f>IF(AND(OR(Query!$B$4="All",'Compliance Database'!$A63=Query!$B$4),OR(Query!$B$5="All",'Compliance Database'!$F63=Query!$B$5),OR(Query!$B$6="All",ISNUMBER(SEARCH(Query!$B$6,'Compliance Database'!$I63))),OR(Query!$B$7="All",ISNUMBER(SEARCH(Query!$B$7,'Compliance Database'!$J63))),OR(Query!$B$8="All",'Compliance Database'!$G63=Query!$B$8),OR(Query!$B$9="All",'Compliance Database'!$K63=Query!$B$9),OR(Query!$B$10="",ISNUMBER(SEARCH(Query!$B$10,'Compliance Database'!$D63&amp;" "&amp;'Compliance Database'!$L63&amp;" "&amp;'Compliance Database'!$M63&amp;" "&amp;'Compliance Database'!$N63&amp;" "&amp;'Compliance Database'!$O63)))),1,0)</f>
        <v/>
      </c>
      <c r="B63">
        <f>IF($A63=1,SUM($A$2:$A63),"")</f>
        <v/>
      </c>
      <c r="C63">
        <f>IF($A63=1,SUM($A$2:$A63),0)</f>
        <v/>
      </c>
    </row>
    <row r="64">
      <c r="A64">
        <f>IF(AND(OR(Query!$B$4="All",'Compliance Database'!$A64=Query!$B$4),OR(Query!$B$5="All",'Compliance Database'!$F64=Query!$B$5),OR(Query!$B$6="All",ISNUMBER(SEARCH(Query!$B$6,'Compliance Database'!$I64))),OR(Query!$B$7="All",ISNUMBER(SEARCH(Query!$B$7,'Compliance Database'!$J64))),OR(Query!$B$8="All",'Compliance Database'!$G64=Query!$B$8),OR(Query!$B$9="All",'Compliance Database'!$K64=Query!$B$9),OR(Query!$B$10="",ISNUMBER(SEARCH(Query!$B$10,'Compliance Database'!$D64&amp;" "&amp;'Compliance Database'!$L64&amp;" "&amp;'Compliance Database'!$M64&amp;" "&amp;'Compliance Database'!$N64&amp;" "&amp;'Compliance Database'!$O64)))),1,0)</f>
        <v/>
      </c>
      <c r="B64">
        <f>IF($A64=1,SUM($A$2:$A64),"")</f>
        <v/>
      </c>
      <c r="C64">
        <f>IF($A64=1,SUM($A$2:$A64),0)</f>
        <v/>
      </c>
    </row>
    <row r="65">
      <c r="A65">
        <f>IF(AND(OR(Query!$B$4="All",'Compliance Database'!$A65=Query!$B$4),OR(Query!$B$5="All",'Compliance Database'!$F65=Query!$B$5),OR(Query!$B$6="All",ISNUMBER(SEARCH(Query!$B$6,'Compliance Database'!$I65))),OR(Query!$B$7="All",ISNUMBER(SEARCH(Query!$B$7,'Compliance Database'!$J65))),OR(Query!$B$8="All",'Compliance Database'!$G65=Query!$B$8),OR(Query!$B$9="All",'Compliance Database'!$K65=Query!$B$9),OR(Query!$B$10="",ISNUMBER(SEARCH(Query!$B$10,'Compliance Database'!$D65&amp;" "&amp;'Compliance Database'!$L65&amp;" "&amp;'Compliance Database'!$M65&amp;" "&amp;'Compliance Database'!$N65&amp;" "&amp;'Compliance Database'!$O65)))),1,0)</f>
        <v/>
      </c>
      <c r="B65">
        <f>IF($A65=1,SUM($A$2:$A65),"")</f>
        <v/>
      </c>
      <c r="C65">
        <f>IF($A65=1,SUM($A$2:$A65),0)</f>
        <v/>
      </c>
    </row>
    <row r="66">
      <c r="A66">
        <f>IF(AND(OR(Query!$B$4="All",'Compliance Database'!$A66=Query!$B$4),OR(Query!$B$5="All",'Compliance Database'!$F66=Query!$B$5),OR(Query!$B$6="All",ISNUMBER(SEARCH(Query!$B$6,'Compliance Database'!$I66))),OR(Query!$B$7="All",ISNUMBER(SEARCH(Query!$B$7,'Compliance Database'!$J66))),OR(Query!$B$8="All",'Compliance Database'!$G66=Query!$B$8),OR(Query!$B$9="All",'Compliance Database'!$K66=Query!$B$9),OR(Query!$B$10="",ISNUMBER(SEARCH(Query!$B$10,'Compliance Database'!$D66&amp;" "&amp;'Compliance Database'!$L66&amp;" "&amp;'Compliance Database'!$M66&amp;" "&amp;'Compliance Database'!$N66&amp;" "&amp;'Compliance Database'!$O66)))),1,0)</f>
        <v/>
      </c>
      <c r="B66">
        <f>IF($A66=1,SUM($A$2:$A66),"")</f>
        <v/>
      </c>
      <c r="C66">
        <f>IF($A66=1,SUM($A$2:$A66),0)</f>
        <v/>
      </c>
    </row>
    <row r="67">
      <c r="A67">
        <f>IF(AND(OR(Query!$B$4="All",'Compliance Database'!$A67=Query!$B$4),OR(Query!$B$5="All",'Compliance Database'!$F67=Query!$B$5),OR(Query!$B$6="All",ISNUMBER(SEARCH(Query!$B$6,'Compliance Database'!$I67))),OR(Query!$B$7="All",ISNUMBER(SEARCH(Query!$B$7,'Compliance Database'!$J67))),OR(Query!$B$8="All",'Compliance Database'!$G67=Query!$B$8),OR(Query!$B$9="All",'Compliance Database'!$K67=Query!$B$9),OR(Query!$B$10="",ISNUMBER(SEARCH(Query!$B$10,'Compliance Database'!$D67&amp;" "&amp;'Compliance Database'!$L67&amp;" "&amp;'Compliance Database'!$M67&amp;" "&amp;'Compliance Database'!$N67&amp;" "&amp;'Compliance Database'!$O67)))),1,0)</f>
        <v/>
      </c>
      <c r="B67">
        <f>IF($A67=1,SUM($A$2:$A67),"")</f>
        <v/>
      </c>
      <c r="C67">
        <f>IF($A67=1,SUM($A$2:$A67),0)</f>
        <v/>
      </c>
    </row>
    <row r="68">
      <c r="A68">
        <f>IF(AND(OR(Query!$B$4="All",'Compliance Database'!$A68=Query!$B$4),OR(Query!$B$5="All",'Compliance Database'!$F68=Query!$B$5),OR(Query!$B$6="All",ISNUMBER(SEARCH(Query!$B$6,'Compliance Database'!$I68))),OR(Query!$B$7="All",ISNUMBER(SEARCH(Query!$B$7,'Compliance Database'!$J68))),OR(Query!$B$8="All",'Compliance Database'!$G68=Query!$B$8),OR(Query!$B$9="All",'Compliance Database'!$K68=Query!$B$9),OR(Query!$B$10="",ISNUMBER(SEARCH(Query!$B$10,'Compliance Database'!$D68&amp;" "&amp;'Compliance Database'!$L68&amp;" "&amp;'Compliance Database'!$M68&amp;" "&amp;'Compliance Database'!$N68&amp;" "&amp;'Compliance Database'!$O68)))),1,0)</f>
        <v/>
      </c>
      <c r="B68">
        <f>IF($A68=1,SUM($A$2:$A68),"")</f>
        <v/>
      </c>
      <c r="C68">
        <f>IF($A68=1,SUM($A$2:$A68),0)</f>
        <v/>
      </c>
    </row>
    <row r="69">
      <c r="A69">
        <f>IF(AND(OR(Query!$B$4="All",'Compliance Database'!$A69=Query!$B$4),OR(Query!$B$5="All",'Compliance Database'!$F69=Query!$B$5),OR(Query!$B$6="All",ISNUMBER(SEARCH(Query!$B$6,'Compliance Database'!$I69))),OR(Query!$B$7="All",ISNUMBER(SEARCH(Query!$B$7,'Compliance Database'!$J69))),OR(Query!$B$8="All",'Compliance Database'!$G69=Query!$B$8),OR(Query!$B$9="All",'Compliance Database'!$K69=Query!$B$9),OR(Query!$B$10="",ISNUMBER(SEARCH(Query!$B$10,'Compliance Database'!$D69&amp;" "&amp;'Compliance Database'!$L69&amp;" "&amp;'Compliance Database'!$M69&amp;" "&amp;'Compliance Database'!$N69&amp;" "&amp;'Compliance Database'!$O69)))),1,0)</f>
        <v/>
      </c>
      <c r="B69">
        <f>IF($A69=1,SUM($A$2:$A69),"")</f>
        <v/>
      </c>
      <c r="C69">
        <f>IF($A69=1,SUM($A$2:$A69),0)</f>
        <v/>
      </c>
    </row>
    <row r="70">
      <c r="A70">
        <f>IF(AND(OR(Query!$B$4="All",'Compliance Database'!$A70=Query!$B$4),OR(Query!$B$5="All",'Compliance Database'!$F70=Query!$B$5),OR(Query!$B$6="All",ISNUMBER(SEARCH(Query!$B$6,'Compliance Database'!$I70))),OR(Query!$B$7="All",ISNUMBER(SEARCH(Query!$B$7,'Compliance Database'!$J70))),OR(Query!$B$8="All",'Compliance Database'!$G70=Query!$B$8),OR(Query!$B$9="All",'Compliance Database'!$K70=Query!$B$9),OR(Query!$B$10="",ISNUMBER(SEARCH(Query!$B$10,'Compliance Database'!$D70&amp;" "&amp;'Compliance Database'!$L70&amp;" "&amp;'Compliance Database'!$M70&amp;" "&amp;'Compliance Database'!$N70&amp;" "&amp;'Compliance Database'!$O70)))),1,0)</f>
        <v/>
      </c>
      <c r="B70">
        <f>IF($A70=1,SUM($A$2:$A70),"")</f>
        <v/>
      </c>
      <c r="C70">
        <f>IF($A70=1,SUM($A$2:$A70),0)</f>
        <v/>
      </c>
    </row>
    <row r="71">
      <c r="A71">
        <f>IF(AND(OR(Query!$B$4="All",'Compliance Database'!$A71=Query!$B$4),OR(Query!$B$5="All",'Compliance Database'!$F71=Query!$B$5),OR(Query!$B$6="All",ISNUMBER(SEARCH(Query!$B$6,'Compliance Database'!$I71))),OR(Query!$B$7="All",ISNUMBER(SEARCH(Query!$B$7,'Compliance Database'!$J71))),OR(Query!$B$8="All",'Compliance Database'!$G71=Query!$B$8),OR(Query!$B$9="All",'Compliance Database'!$K71=Query!$B$9),OR(Query!$B$10="",ISNUMBER(SEARCH(Query!$B$10,'Compliance Database'!$D71&amp;" "&amp;'Compliance Database'!$L71&amp;" "&amp;'Compliance Database'!$M71&amp;" "&amp;'Compliance Database'!$N71&amp;" "&amp;'Compliance Database'!$O71)))),1,0)</f>
        <v/>
      </c>
      <c r="B71">
        <f>IF($A71=1,SUM($A$2:$A71),"")</f>
        <v/>
      </c>
      <c r="C71">
        <f>IF($A71=1,SUM($A$2:$A71),0)</f>
        <v/>
      </c>
    </row>
    <row r="72">
      <c r="A72">
        <f>IF(AND(OR(Query!$B$4="All",'Compliance Database'!$A72=Query!$B$4),OR(Query!$B$5="All",'Compliance Database'!$F72=Query!$B$5),OR(Query!$B$6="All",ISNUMBER(SEARCH(Query!$B$6,'Compliance Database'!$I72))),OR(Query!$B$7="All",ISNUMBER(SEARCH(Query!$B$7,'Compliance Database'!$J72))),OR(Query!$B$8="All",'Compliance Database'!$G72=Query!$B$8),OR(Query!$B$9="All",'Compliance Database'!$K72=Query!$B$9),OR(Query!$B$10="",ISNUMBER(SEARCH(Query!$B$10,'Compliance Database'!$D72&amp;" "&amp;'Compliance Database'!$L72&amp;" "&amp;'Compliance Database'!$M72&amp;" "&amp;'Compliance Database'!$N72&amp;" "&amp;'Compliance Database'!$O72)))),1,0)</f>
        <v/>
      </c>
      <c r="B72">
        <f>IF($A72=1,SUM($A$2:$A72),"")</f>
        <v/>
      </c>
      <c r="C72">
        <f>IF($A72=1,SUM($A$2:$A72),0)</f>
        <v/>
      </c>
    </row>
    <row r="73">
      <c r="A73">
        <f>IF(AND(OR(Query!$B$4="All",'Compliance Database'!$A73=Query!$B$4),OR(Query!$B$5="All",'Compliance Database'!$F73=Query!$B$5),OR(Query!$B$6="All",ISNUMBER(SEARCH(Query!$B$6,'Compliance Database'!$I73))),OR(Query!$B$7="All",ISNUMBER(SEARCH(Query!$B$7,'Compliance Database'!$J73))),OR(Query!$B$8="All",'Compliance Database'!$G73=Query!$B$8),OR(Query!$B$9="All",'Compliance Database'!$K73=Query!$B$9),OR(Query!$B$10="",ISNUMBER(SEARCH(Query!$B$10,'Compliance Database'!$D73&amp;" "&amp;'Compliance Database'!$L73&amp;" "&amp;'Compliance Database'!$M73&amp;" "&amp;'Compliance Database'!$N73&amp;" "&amp;'Compliance Database'!$O73)))),1,0)</f>
        <v/>
      </c>
      <c r="B73">
        <f>IF($A73=1,SUM($A$2:$A73),"")</f>
        <v/>
      </c>
      <c r="C73">
        <f>IF($A73=1,SUM($A$2:$A73),0)</f>
        <v/>
      </c>
    </row>
    <row r="74">
      <c r="A74">
        <f>IF(AND(OR(Query!$B$4="All",'Compliance Database'!$A74=Query!$B$4),OR(Query!$B$5="All",'Compliance Database'!$F74=Query!$B$5),OR(Query!$B$6="All",ISNUMBER(SEARCH(Query!$B$6,'Compliance Database'!$I74))),OR(Query!$B$7="All",ISNUMBER(SEARCH(Query!$B$7,'Compliance Database'!$J74))),OR(Query!$B$8="All",'Compliance Database'!$G74=Query!$B$8),OR(Query!$B$9="All",'Compliance Database'!$K74=Query!$B$9),OR(Query!$B$10="",ISNUMBER(SEARCH(Query!$B$10,'Compliance Database'!$D74&amp;" "&amp;'Compliance Database'!$L74&amp;" "&amp;'Compliance Database'!$M74&amp;" "&amp;'Compliance Database'!$N74&amp;" "&amp;'Compliance Database'!$O74)))),1,0)</f>
        <v/>
      </c>
      <c r="B74">
        <f>IF($A74=1,SUM($A$2:$A74),"")</f>
        <v/>
      </c>
      <c r="C74">
        <f>IF($A74=1,SUM($A$2:$A74),0)</f>
        <v/>
      </c>
    </row>
    <row r="75">
      <c r="A75">
        <f>IF(AND(OR(Query!$B$4="All",'Compliance Database'!$A75=Query!$B$4),OR(Query!$B$5="All",'Compliance Database'!$F75=Query!$B$5),OR(Query!$B$6="All",ISNUMBER(SEARCH(Query!$B$6,'Compliance Database'!$I75))),OR(Query!$B$7="All",ISNUMBER(SEARCH(Query!$B$7,'Compliance Database'!$J75))),OR(Query!$B$8="All",'Compliance Database'!$G75=Query!$B$8),OR(Query!$B$9="All",'Compliance Database'!$K75=Query!$B$9),OR(Query!$B$10="",ISNUMBER(SEARCH(Query!$B$10,'Compliance Database'!$D75&amp;" "&amp;'Compliance Database'!$L75&amp;" "&amp;'Compliance Database'!$M75&amp;" "&amp;'Compliance Database'!$N75&amp;" "&amp;'Compliance Database'!$O75)))),1,0)</f>
        <v/>
      </c>
      <c r="B75">
        <f>IF($A75=1,SUM($A$2:$A75),"")</f>
        <v/>
      </c>
      <c r="C75">
        <f>IF($A75=1,SUM($A$2:$A75),0)</f>
        <v/>
      </c>
    </row>
    <row r="76">
      <c r="A76">
        <f>IF(AND(OR(Query!$B$4="All",'Compliance Database'!$A76=Query!$B$4),OR(Query!$B$5="All",'Compliance Database'!$F76=Query!$B$5),OR(Query!$B$6="All",ISNUMBER(SEARCH(Query!$B$6,'Compliance Database'!$I76))),OR(Query!$B$7="All",ISNUMBER(SEARCH(Query!$B$7,'Compliance Database'!$J76))),OR(Query!$B$8="All",'Compliance Database'!$G76=Query!$B$8),OR(Query!$B$9="All",'Compliance Database'!$K76=Query!$B$9),OR(Query!$B$10="",ISNUMBER(SEARCH(Query!$B$10,'Compliance Database'!$D76&amp;" "&amp;'Compliance Database'!$L76&amp;" "&amp;'Compliance Database'!$M76&amp;" "&amp;'Compliance Database'!$N76&amp;" "&amp;'Compliance Database'!$O76)))),1,0)</f>
        <v/>
      </c>
      <c r="B76">
        <f>IF($A76=1,SUM($A$2:$A76),"")</f>
        <v/>
      </c>
      <c r="C76">
        <f>IF($A76=1,SUM($A$2:$A76),0)</f>
        <v/>
      </c>
    </row>
    <row r="77">
      <c r="A77">
        <f>IF(AND(OR(Query!$B$4="All",'Compliance Database'!$A77=Query!$B$4),OR(Query!$B$5="All",'Compliance Database'!$F77=Query!$B$5),OR(Query!$B$6="All",ISNUMBER(SEARCH(Query!$B$6,'Compliance Database'!$I77))),OR(Query!$B$7="All",ISNUMBER(SEARCH(Query!$B$7,'Compliance Database'!$J77))),OR(Query!$B$8="All",'Compliance Database'!$G77=Query!$B$8),OR(Query!$B$9="All",'Compliance Database'!$K77=Query!$B$9),OR(Query!$B$10="",ISNUMBER(SEARCH(Query!$B$10,'Compliance Database'!$D77&amp;" "&amp;'Compliance Database'!$L77&amp;" "&amp;'Compliance Database'!$M77&amp;" "&amp;'Compliance Database'!$N77&amp;" "&amp;'Compliance Database'!$O77)))),1,0)</f>
        <v/>
      </c>
      <c r="B77">
        <f>IF($A77=1,SUM($A$2:$A77),"")</f>
        <v/>
      </c>
      <c r="C77">
        <f>IF($A77=1,SUM($A$2:$A77),0)</f>
        <v/>
      </c>
    </row>
    <row r="78">
      <c r="A78">
        <f>IF(AND(OR(Query!$B$4="All",'Compliance Database'!$A78=Query!$B$4),OR(Query!$B$5="All",'Compliance Database'!$F78=Query!$B$5),OR(Query!$B$6="All",ISNUMBER(SEARCH(Query!$B$6,'Compliance Database'!$I78))),OR(Query!$B$7="All",ISNUMBER(SEARCH(Query!$B$7,'Compliance Database'!$J78))),OR(Query!$B$8="All",'Compliance Database'!$G78=Query!$B$8),OR(Query!$B$9="All",'Compliance Database'!$K78=Query!$B$9),OR(Query!$B$10="",ISNUMBER(SEARCH(Query!$B$10,'Compliance Database'!$D78&amp;" "&amp;'Compliance Database'!$L78&amp;" "&amp;'Compliance Database'!$M78&amp;" "&amp;'Compliance Database'!$N78&amp;" "&amp;'Compliance Database'!$O78)))),1,0)</f>
        <v/>
      </c>
      <c r="B78">
        <f>IF($A78=1,SUM($A$2:$A78),"")</f>
        <v/>
      </c>
      <c r="C78">
        <f>IF($A78=1,SUM($A$2:$A78),0)</f>
        <v/>
      </c>
    </row>
    <row r="79">
      <c r="A79">
        <f>IF(AND(OR(Query!$B$4="All",'Compliance Database'!$A79=Query!$B$4),OR(Query!$B$5="All",'Compliance Database'!$F79=Query!$B$5),OR(Query!$B$6="All",ISNUMBER(SEARCH(Query!$B$6,'Compliance Database'!$I79))),OR(Query!$B$7="All",ISNUMBER(SEARCH(Query!$B$7,'Compliance Database'!$J79))),OR(Query!$B$8="All",'Compliance Database'!$G79=Query!$B$8),OR(Query!$B$9="All",'Compliance Database'!$K79=Query!$B$9),OR(Query!$B$10="",ISNUMBER(SEARCH(Query!$B$10,'Compliance Database'!$D79&amp;" "&amp;'Compliance Database'!$L79&amp;" "&amp;'Compliance Database'!$M79&amp;" "&amp;'Compliance Database'!$N79&amp;" "&amp;'Compliance Database'!$O79)))),1,0)</f>
        <v/>
      </c>
      <c r="B79">
        <f>IF($A79=1,SUM($A$2:$A79),"")</f>
        <v/>
      </c>
      <c r="C79">
        <f>IF($A79=1,SUM($A$2:$A79),0)</f>
        <v/>
      </c>
    </row>
    <row r="80">
      <c r="A80">
        <f>IF(AND(OR(Query!$B$4="All",'Compliance Database'!$A80=Query!$B$4),OR(Query!$B$5="All",'Compliance Database'!$F80=Query!$B$5),OR(Query!$B$6="All",ISNUMBER(SEARCH(Query!$B$6,'Compliance Database'!$I80))),OR(Query!$B$7="All",ISNUMBER(SEARCH(Query!$B$7,'Compliance Database'!$J80))),OR(Query!$B$8="All",'Compliance Database'!$G80=Query!$B$8),OR(Query!$B$9="All",'Compliance Database'!$K80=Query!$B$9),OR(Query!$B$10="",ISNUMBER(SEARCH(Query!$B$10,'Compliance Database'!$D80&amp;" "&amp;'Compliance Database'!$L80&amp;" "&amp;'Compliance Database'!$M80&amp;" "&amp;'Compliance Database'!$N80&amp;" "&amp;'Compliance Database'!$O80)))),1,0)</f>
        <v/>
      </c>
      <c r="B80">
        <f>IF($A80=1,SUM($A$2:$A80),"")</f>
        <v/>
      </c>
      <c r="C80">
        <f>IF($A80=1,SUM($A$2:$A80),0)</f>
        <v/>
      </c>
    </row>
    <row r="81">
      <c r="A81">
        <f>IF(AND(OR(Query!$B$4="All",'Compliance Database'!$A81=Query!$B$4),OR(Query!$B$5="All",'Compliance Database'!$F81=Query!$B$5),OR(Query!$B$6="All",ISNUMBER(SEARCH(Query!$B$6,'Compliance Database'!$I81))),OR(Query!$B$7="All",ISNUMBER(SEARCH(Query!$B$7,'Compliance Database'!$J81))),OR(Query!$B$8="All",'Compliance Database'!$G81=Query!$B$8),OR(Query!$B$9="All",'Compliance Database'!$K81=Query!$B$9),OR(Query!$B$10="",ISNUMBER(SEARCH(Query!$B$10,'Compliance Database'!$D81&amp;" "&amp;'Compliance Database'!$L81&amp;" "&amp;'Compliance Database'!$M81&amp;" "&amp;'Compliance Database'!$N81&amp;" "&amp;'Compliance Database'!$O81)))),1,0)</f>
        <v/>
      </c>
      <c r="B81">
        <f>IF($A81=1,SUM($A$2:$A81),"")</f>
        <v/>
      </c>
      <c r="C81">
        <f>IF($A81=1,SUM($A$2:$A81),0)</f>
        <v/>
      </c>
    </row>
    <row r="82">
      <c r="A82">
        <f>IF(AND(OR(Query!$B$4="All",'Compliance Database'!$A82=Query!$B$4),OR(Query!$B$5="All",'Compliance Database'!$F82=Query!$B$5),OR(Query!$B$6="All",ISNUMBER(SEARCH(Query!$B$6,'Compliance Database'!$I82))),OR(Query!$B$7="All",ISNUMBER(SEARCH(Query!$B$7,'Compliance Database'!$J82))),OR(Query!$B$8="All",'Compliance Database'!$G82=Query!$B$8),OR(Query!$B$9="All",'Compliance Database'!$K82=Query!$B$9),OR(Query!$B$10="",ISNUMBER(SEARCH(Query!$B$10,'Compliance Database'!$D82&amp;" "&amp;'Compliance Database'!$L82&amp;" "&amp;'Compliance Database'!$M82&amp;" "&amp;'Compliance Database'!$N82&amp;" "&amp;'Compliance Database'!$O82)))),1,0)</f>
        <v/>
      </c>
      <c r="B82">
        <f>IF($A82=1,SUM($A$2:$A82),"")</f>
        <v/>
      </c>
      <c r="C82">
        <f>IF($A82=1,SUM($A$2:$A82),0)</f>
        <v/>
      </c>
    </row>
    <row r="83">
      <c r="A83">
        <f>IF(AND(OR(Query!$B$4="All",'Compliance Database'!$A83=Query!$B$4),OR(Query!$B$5="All",'Compliance Database'!$F83=Query!$B$5),OR(Query!$B$6="All",ISNUMBER(SEARCH(Query!$B$6,'Compliance Database'!$I83))),OR(Query!$B$7="All",ISNUMBER(SEARCH(Query!$B$7,'Compliance Database'!$J83))),OR(Query!$B$8="All",'Compliance Database'!$G83=Query!$B$8),OR(Query!$B$9="All",'Compliance Database'!$K83=Query!$B$9),OR(Query!$B$10="",ISNUMBER(SEARCH(Query!$B$10,'Compliance Database'!$D83&amp;" "&amp;'Compliance Database'!$L83&amp;" "&amp;'Compliance Database'!$M83&amp;" "&amp;'Compliance Database'!$N83&amp;" "&amp;'Compliance Database'!$O83)))),1,0)</f>
        <v/>
      </c>
      <c r="B83">
        <f>IF($A83=1,SUM($A$2:$A83),"")</f>
        <v/>
      </c>
      <c r="C83">
        <f>IF($A83=1,SUM($A$2:$A83),0)</f>
        <v/>
      </c>
    </row>
    <row r="84">
      <c r="A84">
        <f>IF(AND(OR(Query!$B$4="All",'Compliance Database'!$A84=Query!$B$4),OR(Query!$B$5="All",'Compliance Database'!$F84=Query!$B$5),OR(Query!$B$6="All",ISNUMBER(SEARCH(Query!$B$6,'Compliance Database'!$I84))),OR(Query!$B$7="All",ISNUMBER(SEARCH(Query!$B$7,'Compliance Database'!$J84))),OR(Query!$B$8="All",'Compliance Database'!$G84=Query!$B$8),OR(Query!$B$9="All",'Compliance Database'!$K84=Query!$B$9),OR(Query!$B$10="",ISNUMBER(SEARCH(Query!$B$10,'Compliance Database'!$D84&amp;" "&amp;'Compliance Database'!$L84&amp;" "&amp;'Compliance Database'!$M84&amp;" "&amp;'Compliance Database'!$N84&amp;" "&amp;'Compliance Database'!$O84)))),1,0)</f>
        <v/>
      </c>
      <c r="B84">
        <f>IF($A84=1,SUM($A$2:$A84),"")</f>
        <v/>
      </c>
      <c r="C84">
        <f>IF($A84=1,SUM($A$2:$A84),0)</f>
        <v/>
      </c>
    </row>
    <row r="85">
      <c r="A85">
        <f>IF(AND(OR(Query!$B$4="All",'Compliance Database'!$A85=Query!$B$4),OR(Query!$B$5="All",'Compliance Database'!$F85=Query!$B$5),OR(Query!$B$6="All",ISNUMBER(SEARCH(Query!$B$6,'Compliance Database'!$I85))),OR(Query!$B$7="All",ISNUMBER(SEARCH(Query!$B$7,'Compliance Database'!$J85))),OR(Query!$B$8="All",'Compliance Database'!$G85=Query!$B$8),OR(Query!$B$9="All",'Compliance Database'!$K85=Query!$B$9),OR(Query!$B$10="",ISNUMBER(SEARCH(Query!$B$10,'Compliance Database'!$D85&amp;" "&amp;'Compliance Database'!$L85&amp;" "&amp;'Compliance Database'!$M85&amp;" "&amp;'Compliance Database'!$N85&amp;" "&amp;'Compliance Database'!$O85)))),1,0)</f>
        <v/>
      </c>
      <c r="B85">
        <f>IF($A85=1,SUM($A$2:$A85),"")</f>
        <v/>
      </c>
      <c r="C85">
        <f>IF($A85=1,SUM($A$2:$A85),0)</f>
        <v/>
      </c>
    </row>
    <row r="86">
      <c r="A86">
        <f>IF(AND(OR(Query!$B$4="All",'Compliance Database'!$A86=Query!$B$4),OR(Query!$B$5="All",'Compliance Database'!$F86=Query!$B$5),OR(Query!$B$6="All",ISNUMBER(SEARCH(Query!$B$6,'Compliance Database'!$I86))),OR(Query!$B$7="All",ISNUMBER(SEARCH(Query!$B$7,'Compliance Database'!$J86))),OR(Query!$B$8="All",'Compliance Database'!$G86=Query!$B$8),OR(Query!$B$9="All",'Compliance Database'!$K86=Query!$B$9),OR(Query!$B$10="",ISNUMBER(SEARCH(Query!$B$10,'Compliance Database'!$D86&amp;" "&amp;'Compliance Database'!$L86&amp;" "&amp;'Compliance Database'!$M86&amp;" "&amp;'Compliance Database'!$N86&amp;" "&amp;'Compliance Database'!$O86)))),1,0)</f>
        <v/>
      </c>
      <c r="B86">
        <f>IF($A86=1,SUM($A$2:$A86),"")</f>
        <v/>
      </c>
      <c r="C86">
        <f>IF($A86=1,SUM($A$2:$A86),0)</f>
        <v/>
      </c>
    </row>
    <row r="87">
      <c r="A87">
        <f>IF(AND(OR(Query!$B$4="All",'Compliance Database'!$A87=Query!$B$4),OR(Query!$B$5="All",'Compliance Database'!$F87=Query!$B$5),OR(Query!$B$6="All",ISNUMBER(SEARCH(Query!$B$6,'Compliance Database'!$I87))),OR(Query!$B$7="All",ISNUMBER(SEARCH(Query!$B$7,'Compliance Database'!$J87))),OR(Query!$B$8="All",'Compliance Database'!$G87=Query!$B$8),OR(Query!$B$9="All",'Compliance Database'!$K87=Query!$B$9),OR(Query!$B$10="",ISNUMBER(SEARCH(Query!$B$10,'Compliance Database'!$D87&amp;" "&amp;'Compliance Database'!$L87&amp;" "&amp;'Compliance Database'!$M87&amp;" "&amp;'Compliance Database'!$N87&amp;" "&amp;'Compliance Database'!$O87)))),1,0)</f>
        <v/>
      </c>
      <c r="B87">
        <f>IF($A87=1,SUM($A$2:$A87),"")</f>
        <v/>
      </c>
      <c r="C87">
        <f>IF($A87=1,SUM($A$2:$A87),0)</f>
        <v/>
      </c>
    </row>
    <row r="88">
      <c r="A88">
        <f>IF(AND(OR(Query!$B$4="All",'Compliance Database'!$A88=Query!$B$4),OR(Query!$B$5="All",'Compliance Database'!$F88=Query!$B$5),OR(Query!$B$6="All",ISNUMBER(SEARCH(Query!$B$6,'Compliance Database'!$I88))),OR(Query!$B$7="All",ISNUMBER(SEARCH(Query!$B$7,'Compliance Database'!$J88))),OR(Query!$B$8="All",'Compliance Database'!$G88=Query!$B$8),OR(Query!$B$9="All",'Compliance Database'!$K88=Query!$B$9),OR(Query!$B$10="",ISNUMBER(SEARCH(Query!$B$10,'Compliance Database'!$D88&amp;" "&amp;'Compliance Database'!$L88&amp;" "&amp;'Compliance Database'!$M88&amp;" "&amp;'Compliance Database'!$N88&amp;" "&amp;'Compliance Database'!$O88)))),1,0)</f>
        <v/>
      </c>
      <c r="B88">
        <f>IF($A88=1,SUM($A$2:$A88),"")</f>
        <v/>
      </c>
      <c r="C88">
        <f>IF($A88=1,SUM($A$2:$A88),0)</f>
        <v/>
      </c>
    </row>
    <row r="89">
      <c r="A89">
        <f>IF(AND(OR(Query!$B$4="All",'Compliance Database'!$A89=Query!$B$4),OR(Query!$B$5="All",'Compliance Database'!$F89=Query!$B$5),OR(Query!$B$6="All",ISNUMBER(SEARCH(Query!$B$6,'Compliance Database'!$I89))),OR(Query!$B$7="All",ISNUMBER(SEARCH(Query!$B$7,'Compliance Database'!$J89))),OR(Query!$B$8="All",'Compliance Database'!$G89=Query!$B$8),OR(Query!$B$9="All",'Compliance Database'!$K89=Query!$B$9),OR(Query!$B$10="",ISNUMBER(SEARCH(Query!$B$10,'Compliance Database'!$D89&amp;" "&amp;'Compliance Database'!$L89&amp;" "&amp;'Compliance Database'!$M89&amp;" "&amp;'Compliance Database'!$N89&amp;" "&amp;'Compliance Database'!$O89)))),1,0)</f>
        <v/>
      </c>
      <c r="B89">
        <f>IF($A89=1,SUM($A$2:$A89),"")</f>
        <v/>
      </c>
      <c r="C89">
        <f>IF($A89=1,SUM($A$2:$A89),0)</f>
        <v/>
      </c>
    </row>
    <row r="90">
      <c r="A90">
        <f>IF(AND(OR(Query!$B$4="All",'Compliance Database'!$A90=Query!$B$4),OR(Query!$B$5="All",'Compliance Database'!$F90=Query!$B$5),OR(Query!$B$6="All",ISNUMBER(SEARCH(Query!$B$6,'Compliance Database'!$I90))),OR(Query!$B$7="All",ISNUMBER(SEARCH(Query!$B$7,'Compliance Database'!$J90))),OR(Query!$B$8="All",'Compliance Database'!$G90=Query!$B$8),OR(Query!$B$9="All",'Compliance Database'!$K90=Query!$B$9),OR(Query!$B$10="",ISNUMBER(SEARCH(Query!$B$10,'Compliance Database'!$D90&amp;" "&amp;'Compliance Database'!$L90&amp;" "&amp;'Compliance Database'!$M90&amp;" "&amp;'Compliance Database'!$N90&amp;" "&amp;'Compliance Database'!$O90)))),1,0)</f>
        <v/>
      </c>
      <c r="B90">
        <f>IF($A90=1,SUM($A$2:$A90),"")</f>
        <v/>
      </c>
      <c r="C90">
        <f>IF($A90=1,SUM($A$2:$A90),0)</f>
        <v/>
      </c>
    </row>
    <row r="91">
      <c r="A91">
        <f>IF(AND(OR(Query!$B$4="All",'Compliance Database'!$A91=Query!$B$4),OR(Query!$B$5="All",'Compliance Database'!$F91=Query!$B$5),OR(Query!$B$6="All",ISNUMBER(SEARCH(Query!$B$6,'Compliance Database'!$I91))),OR(Query!$B$7="All",ISNUMBER(SEARCH(Query!$B$7,'Compliance Database'!$J91))),OR(Query!$B$8="All",'Compliance Database'!$G91=Query!$B$8),OR(Query!$B$9="All",'Compliance Database'!$K91=Query!$B$9),OR(Query!$B$10="",ISNUMBER(SEARCH(Query!$B$10,'Compliance Database'!$D91&amp;" "&amp;'Compliance Database'!$L91&amp;" "&amp;'Compliance Database'!$M91&amp;" "&amp;'Compliance Database'!$N91&amp;" "&amp;'Compliance Database'!$O91)))),1,0)</f>
        <v/>
      </c>
      <c r="B91">
        <f>IF($A91=1,SUM($A$2:$A91),"")</f>
        <v/>
      </c>
      <c r="C91">
        <f>IF($A91=1,SUM($A$2:$A91),0)</f>
        <v/>
      </c>
    </row>
    <row r="92">
      <c r="A92">
        <f>IF(AND(OR(Query!$B$4="All",'Compliance Database'!$A92=Query!$B$4),OR(Query!$B$5="All",'Compliance Database'!$F92=Query!$B$5),OR(Query!$B$6="All",ISNUMBER(SEARCH(Query!$B$6,'Compliance Database'!$I92))),OR(Query!$B$7="All",ISNUMBER(SEARCH(Query!$B$7,'Compliance Database'!$J92))),OR(Query!$B$8="All",'Compliance Database'!$G92=Query!$B$8),OR(Query!$B$9="All",'Compliance Database'!$K92=Query!$B$9),OR(Query!$B$10="",ISNUMBER(SEARCH(Query!$B$10,'Compliance Database'!$D92&amp;" "&amp;'Compliance Database'!$L92&amp;" "&amp;'Compliance Database'!$M92&amp;" "&amp;'Compliance Database'!$N92&amp;" "&amp;'Compliance Database'!$O92)))),1,0)</f>
        <v/>
      </c>
      <c r="B92">
        <f>IF($A92=1,SUM($A$2:$A92),"")</f>
        <v/>
      </c>
      <c r="C92">
        <f>IF($A92=1,SUM($A$2:$A92),0)</f>
        <v/>
      </c>
    </row>
    <row r="93">
      <c r="A93">
        <f>IF(AND(OR(Query!$B$4="All",'Compliance Database'!$A93=Query!$B$4),OR(Query!$B$5="All",'Compliance Database'!$F93=Query!$B$5),OR(Query!$B$6="All",ISNUMBER(SEARCH(Query!$B$6,'Compliance Database'!$I93))),OR(Query!$B$7="All",ISNUMBER(SEARCH(Query!$B$7,'Compliance Database'!$J93))),OR(Query!$B$8="All",'Compliance Database'!$G93=Query!$B$8),OR(Query!$B$9="All",'Compliance Database'!$K93=Query!$B$9),OR(Query!$B$10="",ISNUMBER(SEARCH(Query!$B$10,'Compliance Database'!$D93&amp;" "&amp;'Compliance Database'!$L93&amp;" "&amp;'Compliance Database'!$M93&amp;" "&amp;'Compliance Database'!$N93&amp;" "&amp;'Compliance Database'!$O93)))),1,0)</f>
        <v/>
      </c>
      <c r="B93">
        <f>IF($A93=1,SUM($A$2:$A93),"")</f>
        <v/>
      </c>
      <c r="C93">
        <f>IF($A93=1,SUM($A$2:$A93),0)</f>
        <v/>
      </c>
    </row>
    <row r="94">
      <c r="A94">
        <f>IF(AND(OR(Query!$B$4="All",'Compliance Database'!$A94=Query!$B$4),OR(Query!$B$5="All",'Compliance Database'!$F94=Query!$B$5),OR(Query!$B$6="All",ISNUMBER(SEARCH(Query!$B$6,'Compliance Database'!$I94))),OR(Query!$B$7="All",ISNUMBER(SEARCH(Query!$B$7,'Compliance Database'!$J94))),OR(Query!$B$8="All",'Compliance Database'!$G94=Query!$B$8),OR(Query!$B$9="All",'Compliance Database'!$K94=Query!$B$9),OR(Query!$B$10="",ISNUMBER(SEARCH(Query!$B$10,'Compliance Database'!$D94&amp;" "&amp;'Compliance Database'!$L94&amp;" "&amp;'Compliance Database'!$M94&amp;" "&amp;'Compliance Database'!$N94&amp;" "&amp;'Compliance Database'!$O94)))),1,0)</f>
        <v/>
      </c>
      <c r="B94">
        <f>IF($A94=1,SUM($A$2:$A94),"")</f>
        <v/>
      </c>
      <c r="C94">
        <f>IF($A94=1,SUM($A$2:$A94),0)</f>
        <v/>
      </c>
    </row>
    <row r="95">
      <c r="A95">
        <f>IF(AND(OR(Query!$B$4="All",'Compliance Database'!$A95=Query!$B$4),OR(Query!$B$5="All",'Compliance Database'!$F95=Query!$B$5),OR(Query!$B$6="All",ISNUMBER(SEARCH(Query!$B$6,'Compliance Database'!$I95))),OR(Query!$B$7="All",ISNUMBER(SEARCH(Query!$B$7,'Compliance Database'!$J95))),OR(Query!$B$8="All",'Compliance Database'!$G95=Query!$B$8),OR(Query!$B$9="All",'Compliance Database'!$K95=Query!$B$9),OR(Query!$B$10="",ISNUMBER(SEARCH(Query!$B$10,'Compliance Database'!$D95&amp;" "&amp;'Compliance Database'!$L95&amp;" "&amp;'Compliance Database'!$M95&amp;" "&amp;'Compliance Database'!$N95&amp;" "&amp;'Compliance Database'!$O95)))),1,0)</f>
        <v/>
      </c>
      <c r="B95">
        <f>IF($A95=1,SUM($A$2:$A95),"")</f>
        <v/>
      </c>
      <c r="C95">
        <f>IF($A95=1,SUM($A$2:$A95),0)</f>
        <v/>
      </c>
    </row>
    <row r="96">
      <c r="A96">
        <f>IF(AND(OR(Query!$B$4="All",'Compliance Database'!$A96=Query!$B$4),OR(Query!$B$5="All",'Compliance Database'!$F96=Query!$B$5),OR(Query!$B$6="All",ISNUMBER(SEARCH(Query!$B$6,'Compliance Database'!$I96))),OR(Query!$B$7="All",ISNUMBER(SEARCH(Query!$B$7,'Compliance Database'!$J96))),OR(Query!$B$8="All",'Compliance Database'!$G96=Query!$B$8),OR(Query!$B$9="All",'Compliance Database'!$K96=Query!$B$9),OR(Query!$B$10="",ISNUMBER(SEARCH(Query!$B$10,'Compliance Database'!$D96&amp;" "&amp;'Compliance Database'!$L96&amp;" "&amp;'Compliance Database'!$M96&amp;" "&amp;'Compliance Database'!$N96&amp;" "&amp;'Compliance Database'!$O96)))),1,0)</f>
        <v/>
      </c>
      <c r="B96">
        <f>IF($A96=1,SUM($A$2:$A96),"")</f>
        <v/>
      </c>
      <c r="C96">
        <f>IF($A96=1,SUM($A$2:$A96),0)</f>
        <v/>
      </c>
    </row>
    <row r="97">
      <c r="A97">
        <f>IF(AND(OR(Query!$B$4="All",'Compliance Database'!$A97=Query!$B$4),OR(Query!$B$5="All",'Compliance Database'!$F97=Query!$B$5),OR(Query!$B$6="All",ISNUMBER(SEARCH(Query!$B$6,'Compliance Database'!$I97))),OR(Query!$B$7="All",ISNUMBER(SEARCH(Query!$B$7,'Compliance Database'!$J97))),OR(Query!$B$8="All",'Compliance Database'!$G97=Query!$B$8),OR(Query!$B$9="All",'Compliance Database'!$K97=Query!$B$9),OR(Query!$B$10="",ISNUMBER(SEARCH(Query!$B$10,'Compliance Database'!$D97&amp;" "&amp;'Compliance Database'!$L97&amp;" "&amp;'Compliance Database'!$M97&amp;" "&amp;'Compliance Database'!$N97&amp;" "&amp;'Compliance Database'!$O97)))),1,0)</f>
        <v/>
      </c>
      <c r="B97">
        <f>IF($A97=1,SUM($A$2:$A97),"")</f>
        <v/>
      </c>
      <c r="C97">
        <f>IF($A97=1,SUM($A$2:$A97),0)</f>
        <v/>
      </c>
    </row>
    <row r="98">
      <c r="A98">
        <f>IF(AND(OR(Query!$B$4="All",'Compliance Database'!$A98=Query!$B$4),OR(Query!$B$5="All",'Compliance Database'!$F98=Query!$B$5),OR(Query!$B$6="All",ISNUMBER(SEARCH(Query!$B$6,'Compliance Database'!$I98))),OR(Query!$B$7="All",ISNUMBER(SEARCH(Query!$B$7,'Compliance Database'!$J98))),OR(Query!$B$8="All",'Compliance Database'!$G98=Query!$B$8),OR(Query!$B$9="All",'Compliance Database'!$K98=Query!$B$9),OR(Query!$B$10="",ISNUMBER(SEARCH(Query!$B$10,'Compliance Database'!$D98&amp;" "&amp;'Compliance Database'!$L98&amp;" "&amp;'Compliance Database'!$M98&amp;" "&amp;'Compliance Database'!$N98&amp;" "&amp;'Compliance Database'!$O98)))),1,0)</f>
        <v/>
      </c>
      <c r="B98">
        <f>IF($A98=1,SUM($A$2:$A98),"")</f>
        <v/>
      </c>
      <c r="C98">
        <f>IF($A98=1,SUM($A$2:$A98),0)</f>
        <v/>
      </c>
    </row>
    <row r="99">
      <c r="A99">
        <f>IF(AND(OR(Query!$B$4="All",'Compliance Database'!$A99=Query!$B$4),OR(Query!$B$5="All",'Compliance Database'!$F99=Query!$B$5),OR(Query!$B$6="All",ISNUMBER(SEARCH(Query!$B$6,'Compliance Database'!$I99))),OR(Query!$B$7="All",ISNUMBER(SEARCH(Query!$B$7,'Compliance Database'!$J99))),OR(Query!$B$8="All",'Compliance Database'!$G99=Query!$B$8),OR(Query!$B$9="All",'Compliance Database'!$K99=Query!$B$9),OR(Query!$B$10="",ISNUMBER(SEARCH(Query!$B$10,'Compliance Database'!$D99&amp;" "&amp;'Compliance Database'!$L99&amp;" "&amp;'Compliance Database'!$M99&amp;" "&amp;'Compliance Database'!$N99&amp;" "&amp;'Compliance Database'!$O99)))),1,0)</f>
        <v/>
      </c>
      <c r="B99">
        <f>IF($A99=1,SUM($A$2:$A99),"")</f>
        <v/>
      </c>
      <c r="C99">
        <f>IF($A99=1,SUM($A$2:$A99),0)</f>
        <v/>
      </c>
    </row>
    <row r="100">
      <c r="A100">
        <f>IF(AND(OR(Query!$B$4="All",'Compliance Database'!$A100=Query!$B$4),OR(Query!$B$5="All",'Compliance Database'!$F100=Query!$B$5),OR(Query!$B$6="All",ISNUMBER(SEARCH(Query!$B$6,'Compliance Database'!$I100))),OR(Query!$B$7="All",ISNUMBER(SEARCH(Query!$B$7,'Compliance Database'!$J100))),OR(Query!$B$8="All",'Compliance Database'!$G100=Query!$B$8),OR(Query!$B$9="All",'Compliance Database'!$K100=Query!$B$9),OR(Query!$B$10="",ISNUMBER(SEARCH(Query!$B$10,'Compliance Database'!$D100&amp;" "&amp;'Compliance Database'!$L100&amp;" "&amp;'Compliance Database'!$M100&amp;" "&amp;'Compliance Database'!$N100&amp;" "&amp;'Compliance Database'!$O100)))),1,0)</f>
        <v/>
      </c>
      <c r="B100">
        <f>IF($A100=1,SUM($A$2:$A100),"")</f>
        <v/>
      </c>
      <c r="C100">
        <f>IF($A100=1,SUM($A$2:$A100),0)</f>
        <v/>
      </c>
    </row>
    <row r="101">
      <c r="A101">
        <f>IF(AND(OR(Query!$B$4="All",'Compliance Database'!$A101=Query!$B$4),OR(Query!$B$5="All",'Compliance Database'!$F101=Query!$B$5),OR(Query!$B$6="All",ISNUMBER(SEARCH(Query!$B$6,'Compliance Database'!$I101))),OR(Query!$B$7="All",ISNUMBER(SEARCH(Query!$B$7,'Compliance Database'!$J101))),OR(Query!$B$8="All",'Compliance Database'!$G101=Query!$B$8),OR(Query!$B$9="All",'Compliance Database'!$K101=Query!$B$9),OR(Query!$B$10="",ISNUMBER(SEARCH(Query!$B$10,'Compliance Database'!$D101&amp;" "&amp;'Compliance Database'!$L101&amp;" "&amp;'Compliance Database'!$M101&amp;" "&amp;'Compliance Database'!$N101&amp;" "&amp;'Compliance Database'!$O101)))),1,0)</f>
        <v/>
      </c>
      <c r="B101">
        <f>IF($A101=1,SUM($A$2:$A101),"")</f>
        <v/>
      </c>
      <c r="C101">
        <f>IF($A101=1,SUM($A$2:$A101),0)</f>
        <v/>
      </c>
    </row>
    <row r="102">
      <c r="A102">
        <f>IF(AND(OR(Query!$B$4="All",'Compliance Database'!$A102=Query!$B$4),OR(Query!$B$5="All",'Compliance Database'!$F102=Query!$B$5),OR(Query!$B$6="All",ISNUMBER(SEARCH(Query!$B$6,'Compliance Database'!$I102))),OR(Query!$B$7="All",ISNUMBER(SEARCH(Query!$B$7,'Compliance Database'!$J102))),OR(Query!$B$8="All",'Compliance Database'!$G102=Query!$B$8),OR(Query!$B$9="All",'Compliance Database'!$K102=Query!$B$9),OR(Query!$B$10="",ISNUMBER(SEARCH(Query!$B$10,'Compliance Database'!$D102&amp;" "&amp;'Compliance Database'!$L102&amp;" "&amp;'Compliance Database'!$M102&amp;" "&amp;'Compliance Database'!$N102&amp;" "&amp;'Compliance Database'!$O102)))),1,0)</f>
        <v/>
      </c>
      <c r="B102">
        <f>IF($A102=1,SUM($A$2:$A102),"")</f>
        <v/>
      </c>
      <c r="C102">
        <f>IF($A102=1,SUM($A$2:$A102),0)</f>
        <v/>
      </c>
    </row>
    <row r="103">
      <c r="A103">
        <f>IF(AND(OR(Query!$B$4="All",'Compliance Database'!$A103=Query!$B$4),OR(Query!$B$5="All",'Compliance Database'!$F103=Query!$B$5),OR(Query!$B$6="All",ISNUMBER(SEARCH(Query!$B$6,'Compliance Database'!$I103))),OR(Query!$B$7="All",ISNUMBER(SEARCH(Query!$B$7,'Compliance Database'!$J103))),OR(Query!$B$8="All",'Compliance Database'!$G103=Query!$B$8),OR(Query!$B$9="All",'Compliance Database'!$K103=Query!$B$9),OR(Query!$B$10="",ISNUMBER(SEARCH(Query!$B$10,'Compliance Database'!$D103&amp;" "&amp;'Compliance Database'!$L103&amp;" "&amp;'Compliance Database'!$M103&amp;" "&amp;'Compliance Database'!$N103&amp;" "&amp;'Compliance Database'!$O103)))),1,0)</f>
        <v/>
      </c>
      <c r="B103">
        <f>IF($A103=1,SUM($A$2:$A103),"")</f>
        <v/>
      </c>
      <c r="C103">
        <f>IF($A103=1,SUM($A$2:$A103),0)</f>
        <v/>
      </c>
    </row>
    <row r="104">
      <c r="A104">
        <f>IF(AND(OR(Query!$B$4="All",'Compliance Database'!$A104=Query!$B$4),OR(Query!$B$5="All",'Compliance Database'!$F104=Query!$B$5),OR(Query!$B$6="All",ISNUMBER(SEARCH(Query!$B$6,'Compliance Database'!$I104))),OR(Query!$B$7="All",ISNUMBER(SEARCH(Query!$B$7,'Compliance Database'!$J104))),OR(Query!$B$8="All",'Compliance Database'!$G104=Query!$B$8),OR(Query!$B$9="All",'Compliance Database'!$K104=Query!$B$9),OR(Query!$B$10="",ISNUMBER(SEARCH(Query!$B$10,'Compliance Database'!$D104&amp;" "&amp;'Compliance Database'!$L104&amp;" "&amp;'Compliance Database'!$M104&amp;" "&amp;'Compliance Database'!$N104&amp;" "&amp;'Compliance Database'!$O104)))),1,0)</f>
        <v/>
      </c>
      <c r="B104">
        <f>IF($A104=1,SUM($A$2:$A104),"")</f>
        <v/>
      </c>
      <c r="C104">
        <f>IF($A104=1,SUM($A$2:$A104),0)</f>
        <v/>
      </c>
    </row>
    <row r="105">
      <c r="A105">
        <f>IF(AND(OR(Query!$B$4="All",'Compliance Database'!$A105=Query!$B$4),OR(Query!$B$5="All",'Compliance Database'!$F105=Query!$B$5),OR(Query!$B$6="All",ISNUMBER(SEARCH(Query!$B$6,'Compliance Database'!$I105))),OR(Query!$B$7="All",ISNUMBER(SEARCH(Query!$B$7,'Compliance Database'!$J105))),OR(Query!$B$8="All",'Compliance Database'!$G105=Query!$B$8),OR(Query!$B$9="All",'Compliance Database'!$K105=Query!$B$9),OR(Query!$B$10="",ISNUMBER(SEARCH(Query!$B$10,'Compliance Database'!$D105&amp;" "&amp;'Compliance Database'!$L105&amp;" "&amp;'Compliance Database'!$M105&amp;" "&amp;'Compliance Database'!$N105&amp;" "&amp;'Compliance Database'!$O105)))),1,0)</f>
        <v/>
      </c>
      <c r="B105">
        <f>IF($A105=1,SUM($A$2:$A105),"")</f>
        <v/>
      </c>
      <c r="C105">
        <f>IF($A105=1,SUM($A$2:$A105),0)</f>
        <v/>
      </c>
    </row>
    <row r="106">
      <c r="A106">
        <f>IF(AND(OR(Query!$B$4="All",'Compliance Database'!$A106=Query!$B$4),OR(Query!$B$5="All",'Compliance Database'!$F106=Query!$B$5),OR(Query!$B$6="All",ISNUMBER(SEARCH(Query!$B$6,'Compliance Database'!$I106))),OR(Query!$B$7="All",ISNUMBER(SEARCH(Query!$B$7,'Compliance Database'!$J106))),OR(Query!$B$8="All",'Compliance Database'!$G106=Query!$B$8),OR(Query!$B$9="All",'Compliance Database'!$K106=Query!$B$9),OR(Query!$B$10="",ISNUMBER(SEARCH(Query!$B$10,'Compliance Database'!$D106&amp;" "&amp;'Compliance Database'!$L106&amp;" "&amp;'Compliance Database'!$M106&amp;" "&amp;'Compliance Database'!$N106&amp;" "&amp;'Compliance Database'!$O106)))),1,0)</f>
        <v/>
      </c>
      <c r="B106">
        <f>IF($A106=1,SUM($A$2:$A106),"")</f>
        <v/>
      </c>
      <c r="C106">
        <f>IF($A106=1,SUM($A$2:$A106),0)</f>
        <v/>
      </c>
    </row>
    <row r="107">
      <c r="A107">
        <f>IF(AND(OR(Query!$B$4="All",'Compliance Database'!$A107=Query!$B$4),OR(Query!$B$5="All",'Compliance Database'!$F107=Query!$B$5),OR(Query!$B$6="All",ISNUMBER(SEARCH(Query!$B$6,'Compliance Database'!$I107))),OR(Query!$B$7="All",ISNUMBER(SEARCH(Query!$B$7,'Compliance Database'!$J107))),OR(Query!$B$8="All",'Compliance Database'!$G107=Query!$B$8),OR(Query!$B$9="All",'Compliance Database'!$K107=Query!$B$9),OR(Query!$B$10="",ISNUMBER(SEARCH(Query!$B$10,'Compliance Database'!$D107&amp;" "&amp;'Compliance Database'!$L107&amp;" "&amp;'Compliance Database'!$M107&amp;" "&amp;'Compliance Database'!$N107&amp;" "&amp;'Compliance Database'!$O107)))),1,0)</f>
        <v/>
      </c>
      <c r="B107">
        <f>IF($A107=1,SUM($A$2:$A107),"")</f>
        <v/>
      </c>
      <c r="C107">
        <f>IF($A107=1,SUM($A$2:$A107),0)</f>
        <v/>
      </c>
    </row>
    <row r="108">
      <c r="A108">
        <f>IF(AND(OR(Query!$B$4="All",'Compliance Database'!$A108=Query!$B$4),OR(Query!$B$5="All",'Compliance Database'!$F108=Query!$B$5),OR(Query!$B$6="All",ISNUMBER(SEARCH(Query!$B$6,'Compliance Database'!$I108))),OR(Query!$B$7="All",ISNUMBER(SEARCH(Query!$B$7,'Compliance Database'!$J108))),OR(Query!$B$8="All",'Compliance Database'!$G108=Query!$B$8),OR(Query!$B$9="All",'Compliance Database'!$K108=Query!$B$9),OR(Query!$B$10="",ISNUMBER(SEARCH(Query!$B$10,'Compliance Database'!$D108&amp;" "&amp;'Compliance Database'!$L108&amp;" "&amp;'Compliance Database'!$M108&amp;" "&amp;'Compliance Database'!$N108&amp;" "&amp;'Compliance Database'!$O108)))),1,0)</f>
        <v/>
      </c>
      <c r="B108">
        <f>IF($A108=1,SUM($A$2:$A108),"")</f>
        <v/>
      </c>
      <c r="C108">
        <f>IF($A108=1,SUM($A$2:$A108),0)</f>
        <v/>
      </c>
    </row>
    <row r="109">
      <c r="A109">
        <f>IF(AND(OR(Query!$B$4="All",'Compliance Database'!$A109=Query!$B$4),OR(Query!$B$5="All",'Compliance Database'!$F109=Query!$B$5),OR(Query!$B$6="All",ISNUMBER(SEARCH(Query!$B$6,'Compliance Database'!$I109))),OR(Query!$B$7="All",ISNUMBER(SEARCH(Query!$B$7,'Compliance Database'!$J109))),OR(Query!$B$8="All",'Compliance Database'!$G109=Query!$B$8),OR(Query!$B$9="All",'Compliance Database'!$K109=Query!$B$9),OR(Query!$B$10="",ISNUMBER(SEARCH(Query!$B$10,'Compliance Database'!$D109&amp;" "&amp;'Compliance Database'!$L109&amp;" "&amp;'Compliance Database'!$M109&amp;" "&amp;'Compliance Database'!$N109&amp;" "&amp;'Compliance Database'!$O109)))),1,0)</f>
        <v/>
      </c>
      <c r="B109">
        <f>IF($A109=1,SUM($A$2:$A109),"")</f>
        <v/>
      </c>
      <c r="C109">
        <f>IF($A109=1,SUM($A$2:$A109),0)</f>
        <v/>
      </c>
    </row>
    <row r="110">
      <c r="A110">
        <f>IF(AND(OR(Query!$B$4="All",'Compliance Database'!$A110=Query!$B$4),OR(Query!$B$5="All",'Compliance Database'!$F110=Query!$B$5),OR(Query!$B$6="All",ISNUMBER(SEARCH(Query!$B$6,'Compliance Database'!$I110))),OR(Query!$B$7="All",ISNUMBER(SEARCH(Query!$B$7,'Compliance Database'!$J110))),OR(Query!$B$8="All",'Compliance Database'!$G110=Query!$B$8),OR(Query!$B$9="All",'Compliance Database'!$K110=Query!$B$9),OR(Query!$B$10="",ISNUMBER(SEARCH(Query!$B$10,'Compliance Database'!$D110&amp;" "&amp;'Compliance Database'!$L110&amp;" "&amp;'Compliance Database'!$M110&amp;" "&amp;'Compliance Database'!$N110&amp;" "&amp;'Compliance Database'!$O110)))),1,0)</f>
        <v/>
      </c>
      <c r="B110">
        <f>IF($A110=1,SUM($A$2:$A110),"")</f>
        <v/>
      </c>
      <c r="C110">
        <f>IF($A110=1,SUM($A$2:$A110),0)</f>
        <v/>
      </c>
    </row>
    <row r="111">
      <c r="A111">
        <f>IF(AND(OR(Query!$B$4="All",'Compliance Database'!$A111=Query!$B$4),OR(Query!$B$5="All",'Compliance Database'!$F111=Query!$B$5),OR(Query!$B$6="All",ISNUMBER(SEARCH(Query!$B$6,'Compliance Database'!$I111))),OR(Query!$B$7="All",ISNUMBER(SEARCH(Query!$B$7,'Compliance Database'!$J111))),OR(Query!$B$8="All",'Compliance Database'!$G111=Query!$B$8),OR(Query!$B$9="All",'Compliance Database'!$K111=Query!$B$9),OR(Query!$B$10="",ISNUMBER(SEARCH(Query!$B$10,'Compliance Database'!$D111&amp;" "&amp;'Compliance Database'!$L111&amp;" "&amp;'Compliance Database'!$M111&amp;" "&amp;'Compliance Database'!$N111&amp;" "&amp;'Compliance Database'!$O111)))),1,0)</f>
        <v/>
      </c>
      <c r="B111">
        <f>IF($A111=1,SUM($A$2:$A111),"")</f>
        <v/>
      </c>
      <c r="C111">
        <f>IF($A111=1,SUM($A$2:$A111),0)</f>
        <v/>
      </c>
    </row>
    <row r="112">
      <c r="A112">
        <f>IF(AND(OR(Query!$B$4="All",'Compliance Database'!$A112=Query!$B$4),OR(Query!$B$5="All",'Compliance Database'!$F112=Query!$B$5),OR(Query!$B$6="All",ISNUMBER(SEARCH(Query!$B$6,'Compliance Database'!$I112))),OR(Query!$B$7="All",ISNUMBER(SEARCH(Query!$B$7,'Compliance Database'!$J112))),OR(Query!$B$8="All",'Compliance Database'!$G112=Query!$B$8),OR(Query!$B$9="All",'Compliance Database'!$K112=Query!$B$9),OR(Query!$B$10="",ISNUMBER(SEARCH(Query!$B$10,'Compliance Database'!$D112&amp;" "&amp;'Compliance Database'!$L112&amp;" "&amp;'Compliance Database'!$M112&amp;" "&amp;'Compliance Database'!$N112&amp;" "&amp;'Compliance Database'!$O112)))),1,0)</f>
        <v/>
      </c>
      <c r="B112">
        <f>IF($A112=1,SUM($A$2:$A112),"")</f>
        <v/>
      </c>
      <c r="C112">
        <f>IF($A112=1,SUM($A$2:$A112),0)</f>
        <v/>
      </c>
    </row>
    <row r="113">
      <c r="A113">
        <f>IF(AND(OR(Query!$B$4="All",'Compliance Database'!$A113=Query!$B$4),OR(Query!$B$5="All",'Compliance Database'!$F113=Query!$B$5),OR(Query!$B$6="All",ISNUMBER(SEARCH(Query!$B$6,'Compliance Database'!$I113))),OR(Query!$B$7="All",ISNUMBER(SEARCH(Query!$B$7,'Compliance Database'!$J113))),OR(Query!$B$8="All",'Compliance Database'!$G113=Query!$B$8),OR(Query!$B$9="All",'Compliance Database'!$K113=Query!$B$9),OR(Query!$B$10="",ISNUMBER(SEARCH(Query!$B$10,'Compliance Database'!$D113&amp;" "&amp;'Compliance Database'!$L113&amp;" "&amp;'Compliance Database'!$M113&amp;" "&amp;'Compliance Database'!$N113&amp;" "&amp;'Compliance Database'!$O113)))),1,0)</f>
        <v/>
      </c>
      <c r="B113">
        <f>IF($A113=1,SUM($A$2:$A113),"")</f>
        <v/>
      </c>
      <c r="C113">
        <f>IF($A113=1,SUM($A$2:$A113),0)</f>
        <v/>
      </c>
    </row>
    <row r="114">
      <c r="A114">
        <f>IF(AND(OR(Query!$B$4="All",'Compliance Database'!$A114=Query!$B$4),OR(Query!$B$5="All",'Compliance Database'!$F114=Query!$B$5),OR(Query!$B$6="All",ISNUMBER(SEARCH(Query!$B$6,'Compliance Database'!$I114))),OR(Query!$B$7="All",ISNUMBER(SEARCH(Query!$B$7,'Compliance Database'!$J114))),OR(Query!$B$8="All",'Compliance Database'!$G114=Query!$B$8),OR(Query!$B$9="All",'Compliance Database'!$K114=Query!$B$9),OR(Query!$B$10="",ISNUMBER(SEARCH(Query!$B$10,'Compliance Database'!$D114&amp;" "&amp;'Compliance Database'!$L114&amp;" "&amp;'Compliance Database'!$M114&amp;" "&amp;'Compliance Database'!$N114&amp;" "&amp;'Compliance Database'!$O114)))),1,0)</f>
        <v/>
      </c>
      <c r="B114">
        <f>IF($A114=1,SUM($A$2:$A114),"")</f>
        <v/>
      </c>
      <c r="C114">
        <f>IF($A114=1,SUM($A$2:$A114),0)</f>
        <v/>
      </c>
    </row>
    <row r="115">
      <c r="A115">
        <f>IF(AND(OR(Query!$B$4="All",'Compliance Database'!$A115=Query!$B$4),OR(Query!$B$5="All",'Compliance Database'!$F115=Query!$B$5),OR(Query!$B$6="All",ISNUMBER(SEARCH(Query!$B$6,'Compliance Database'!$I115))),OR(Query!$B$7="All",ISNUMBER(SEARCH(Query!$B$7,'Compliance Database'!$J115))),OR(Query!$B$8="All",'Compliance Database'!$G115=Query!$B$8),OR(Query!$B$9="All",'Compliance Database'!$K115=Query!$B$9),OR(Query!$B$10="",ISNUMBER(SEARCH(Query!$B$10,'Compliance Database'!$D115&amp;" "&amp;'Compliance Database'!$L115&amp;" "&amp;'Compliance Database'!$M115&amp;" "&amp;'Compliance Database'!$N115&amp;" "&amp;'Compliance Database'!$O115)))),1,0)</f>
        <v/>
      </c>
      <c r="B115">
        <f>IF($A115=1,SUM($A$2:$A115),"")</f>
        <v/>
      </c>
      <c r="C115">
        <f>IF($A115=1,SUM($A$2:$A115),0)</f>
        <v/>
      </c>
    </row>
    <row r="116">
      <c r="A116">
        <f>IF(AND(OR(Query!$B$4="All",'Compliance Database'!$A116=Query!$B$4),OR(Query!$B$5="All",'Compliance Database'!$F116=Query!$B$5),OR(Query!$B$6="All",ISNUMBER(SEARCH(Query!$B$6,'Compliance Database'!$I116))),OR(Query!$B$7="All",ISNUMBER(SEARCH(Query!$B$7,'Compliance Database'!$J116))),OR(Query!$B$8="All",'Compliance Database'!$G116=Query!$B$8),OR(Query!$B$9="All",'Compliance Database'!$K116=Query!$B$9),OR(Query!$B$10="",ISNUMBER(SEARCH(Query!$B$10,'Compliance Database'!$D116&amp;" "&amp;'Compliance Database'!$L116&amp;" "&amp;'Compliance Database'!$M116&amp;" "&amp;'Compliance Database'!$N116&amp;" "&amp;'Compliance Database'!$O116)))),1,0)</f>
        <v/>
      </c>
      <c r="B116">
        <f>IF($A116=1,SUM($A$2:$A116),"")</f>
        <v/>
      </c>
      <c r="C116">
        <f>IF($A116=1,SUM($A$2:$A116),0)</f>
        <v/>
      </c>
    </row>
    <row r="117">
      <c r="A117">
        <f>IF(AND(OR(Query!$B$4="All",'Compliance Database'!$A117=Query!$B$4),OR(Query!$B$5="All",'Compliance Database'!$F117=Query!$B$5),OR(Query!$B$6="All",ISNUMBER(SEARCH(Query!$B$6,'Compliance Database'!$I117))),OR(Query!$B$7="All",ISNUMBER(SEARCH(Query!$B$7,'Compliance Database'!$J117))),OR(Query!$B$8="All",'Compliance Database'!$G117=Query!$B$8),OR(Query!$B$9="All",'Compliance Database'!$K117=Query!$B$9),OR(Query!$B$10="",ISNUMBER(SEARCH(Query!$B$10,'Compliance Database'!$D117&amp;" "&amp;'Compliance Database'!$L117&amp;" "&amp;'Compliance Database'!$M117&amp;" "&amp;'Compliance Database'!$N117&amp;" "&amp;'Compliance Database'!$O117)))),1,0)</f>
        <v/>
      </c>
      <c r="B117">
        <f>IF($A117=1,SUM($A$2:$A117),"")</f>
        <v/>
      </c>
      <c r="C117">
        <f>IF($A117=1,SUM($A$2:$A117),0)</f>
        <v/>
      </c>
    </row>
    <row r="118">
      <c r="A118">
        <f>IF(AND(OR(Query!$B$4="All",'Compliance Database'!$A118=Query!$B$4),OR(Query!$B$5="All",'Compliance Database'!$F118=Query!$B$5),OR(Query!$B$6="All",ISNUMBER(SEARCH(Query!$B$6,'Compliance Database'!$I118))),OR(Query!$B$7="All",ISNUMBER(SEARCH(Query!$B$7,'Compliance Database'!$J118))),OR(Query!$B$8="All",'Compliance Database'!$G118=Query!$B$8),OR(Query!$B$9="All",'Compliance Database'!$K118=Query!$B$9),OR(Query!$B$10="",ISNUMBER(SEARCH(Query!$B$10,'Compliance Database'!$D118&amp;" "&amp;'Compliance Database'!$L118&amp;" "&amp;'Compliance Database'!$M118&amp;" "&amp;'Compliance Database'!$N118&amp;" "&amp;'Compliance Database'!$O118)))),1,0)</f>
        <v/>
      </c>
      <c r="B118">
        <f>IF($A118=1,SUM($A$2:$A118),"")</f>
        <v/>
      </c>
      <c r="C118">
        <f>IF($A118=1,SUM($A$2:$A118),0)</f>
        <v/>
      </c>
    </row>
    <row r="119">
      <c r="A119">
        <f>IF(AND(OR(Query!$B$4="All",'Compliance Database'!$A119=Query!$B$4),OR(Query!$B$5="All",'Compliance Database'!$F119=Query!$B$5),OR(Query!$B$6="All",ISNUMBER(SEARCH(Query!$B$6,'Compliance Database'!$I119))),OR(Query!$B$7="All",ISNUMBER(SEARCH(Query!$B$7,'Compliance Database'!$J119))),OR(Query!$B$8="All",'Compliance Database'!$G119=Query!$B$8),OR(Query!$B$9="All",'Compliance Database'!$K119=Query!$B$9),OR(Query!$B$10="",ISNUMBER(SEARCH(Query!$B$10,'Compliance Database'!$D119&amp;" "&amp;'Compliance Database'!$L119&amp;" "&amp;'Compliance Database'!$M119&amp;" "&amp;'Compliance Database'!$N119&amp;" "&amp;'Compliance Database'!$O119)))),1,0)</f>
        <v/>
      </c>
      <c r="B119">
        <f>IF($A119=1,SUM($A$2:$A119),"")</f>
        <v/>
      </c>
      <c r="C119">
        <f>IF($A119=1,SUM($A$2:$A119),0)</f>
        <v/>
      </c>
    </row>
    <row r="120">
      <c r="A120">
        <f>IF(AND(OR(Query!$B$4="All",'Compliance Database'!$A120=Query!$B$4),OR(Query!$B$5="All",'Compliance Database'!$F120=Query!$B$5),OR(Query!$B$6="All",ISNUMBER(SEARCH(Query!$B$6,'Compliance Database'!$I120))),OR(Query!$B$7="All",ISNUMBER(SEARCH(Query!$B$7,'Compliance Database'!$J120))),OR(Query!$B$8="All",'Compliance Database'!$G120=Query!$B$8),OR(Query!$B$9="All",'Compliance Database'!$K120=Query!$B$9),OR(Query!$B$10="",ISNUMBER(SEARCH(Query!$B$10,'Compliance Database'!$D120&amp;" "&amp;'Compliance Database'!$L120&amp;" "&amp;'Compliance Database'!$M120&amp;" "&amp;'Compliance Database'!$N120&amp;" "&amp;'Compliance Database'!$O120)))),1,0)</f>
        <v/>
      </c>
      <c r="B120">
        <f>IF($A120=1,SUM($A$2:$A120),"")</f>
        <v/>
      </c>
      <c r="C120">
        <f>IF($A120=1,SUM($A$2:$A120),0)</f>
        <v/>
      </c>
    </row>
    <row r="121">
      <c r="A121">
        <f>IF(AND(OR(Query!$B$4="All",'Compliance Database'!$A121=Query!$B$4),OR(Query!$B$5="All",'Compliance Database'!$F121=Query!$B$5),OR(Query!$B$6="All",ISNUMBER(SEARCH(Query!$B$6,'Compliance Database'!$I121))),OR(Query!$B$7="All",ISNUMBER(SEARCH(Query!$B$7,'Compliance Database'!$J121))),OR(Query!$B$8="All",'Compliance Database'!$G121=Query!$B$8),OR(Query!$B$9="All",'Compliance Database'!$K121=Query!$B$9),OR(Query!$B$10="",ISNUMBER(SEARCH(Query!$B$10,'Compliance Database'!$D121&amp;" "&amp;'Compliance Database'!$L121&amp;" "&amp;'Compliance Database'!$M121&amp;" "&amp;'Compliance Database'!$N121&amp;" "&amp;'Compliance Database'!$O121)))),1,0)</f>
        <v/>
      </c>
      <c r="B121">
        <f>IF($A121=1,SUM($A$2:$A121),"")</f>
        <v/>
      </c>
      <c r="C121">
        <f>IF($A121=1,SUM($A$2:$A121),0)</f>
        <v/>
      </c>
    </row>
    <row r="122">
      <c r="A122">
        <f>IF(AND(OR(Query!$B$4="All",'Compliance Database'!$A122=Query!$B$4),OR(Query!$B$5="All",'Compliance Database'!$F122=Query!$B$5),OR(Query!$B$6="All",ISNUMBER(SEARCH(Query!$B$6,'Compliance Database'!$I122))),OR(Query!$B$7="All",ISNUMBER(SEARCH(Query!$B$7,'Compliance Database'!$J122))),OR(Query!$B$8="All",'Compliance Database'!$G122=Query!$B$8),OR(Query!$B$9="All",'Compliance Database'!$K122=Query!$B$9),OR(Query!$B$10="",ISNUMBER(SEARCH(Query!$B$10,'Compliance Database'!$D122&amp;" "&amp;'Compliance Database'!$L122&amp;" "&amp;'Compliance Database'!$M122&amp;" "&amp;'Compliance Database'!$N122&amp;" "&amp;'Compliance Database'!$O122)))),1,0)</f>
        <v/>
      </c>
      <c r="B122">
        <f>IF($A122=1,SUM($A$2:$A122),"")</f>
        <v/>
      </c>
      <c r="C122">
        <f>IF($A122=1,SUM($A$2:$A122),0)</f>
        <v/>
      </c>
    </row>
    <row r="123">
      <c r="A123">
        <f>IF(AND(OR(Query!$B$4="All",'Compliance Database'!$A123=Query!$B$4),OR(Query!$B$5="All",'Compliance Database'!$F123=Query!$B$5),OR(Query!$B$6="All",ISNUMBER(SEARCH(Query!$B$6,'Compliance Database'!$I123))),OR(Query!$B$7="All",ISNUMBER(SEARCH(Query!$B$7,'Compliance Database'!$J123))),OR(Query!$B$8="All",'Compliance Database'!$G123=Query!$B$8),OR(Query!$B$9="All",'Compliance Database'!$K123=Query!$B$9),OR(Query!$B$10="",ISNUMBER(SEARCH(Query!$B$10,'Compliance Database'!$D123&amp;" "&amp;'Compliance Database'!$L123&amp;" "&amp;'Compliance Database'!$M123&amp;" "&amp;'Compliance Database'!$N123&amp;" "&amp;'Compliance Database'!$O123)))),1,0)</f>
        <v/>
      </c>
      <c r="B123">
        <f>IF($A123=1,SUM($A$2:$A123),"")</f>
        <v/>
      </c>
      <c r="C123">
        <f>IF($A123=1,SUM($A$2:$A123),0)</f>
        <v/>
      </c>
    </row>
    <row r="124">
      <c r="A124">
        <f>IF(AND(OR(Query!$B$4="All",'Compliance Database'!$A124=Query!$B$4),OR(Query!$B$5="All",'Compliance Database'!$F124=Query!$B$5),OR(Query!$B$6="All",ISNUMBER(SEARCH(Query!$B$6,'Compliance Database'!$I124))),OR(Query!$B$7="All",ISNUMBER(SEARCH(Query!$B$7,'Compliance Database'!$J124))),OR(Query!$B$8="All",'Compliance Database'!$G124=Query!$B$8),OR(Query!$B$9="All",'Compliance Database'!$K124=Query!$B$9),OR(Query!$B$10="",ISNUMBER(SEARCH(Query!$B$10,'Compliance Database'!$D124&amp;" "&amp;'Compliance Database'!$L124&amp;" "&amp;'Compliance Database'!$M124&amp;" "&amp;'Compliance Database'!$N124&amp;" "&amp;'Compliance Database'!$O124)))),1,0)</f>
        <v/>
      </c>
      <c r="B124">
        <f>IF($A124=1,SUM($A$2:$A124),"")</f>
        <v/>
      </c>
      <c r="C124">
        <f>IF($A124=1,SUM($A$2:$A124),0)</f>
        <v/>
      </c>
    </row>
    <row r="125">
      <c r="A125">
        <f>IF(AND(OR(Query!$B$4="All",'Compliance Database'!$A125=Query!$B$4),OR(Query!$B$5="All",'Compliance Database'!$F125=Query!$B$5),OR(Query!$B$6="All",ISNUMBER(SEARCH(Query!$B$6,'Compliance Database'!$I125))),OR(Query!$B$7="All",ISNUMBER(SEARCH(Query!$B$7,'Compliance Database'!$J125))),OR(Query!$B$8="All",'Compliance Database'!$G125=Query!$B$8),OR(Query!$B$9="All",'Compliance Database'!$K125=Query!$B$9),OR(Query!$B$10="",ISNUMBER(SEARCH(Query!$B$10,'Compliance Database'!$D125&amp;" "&amp;'Compliance Database'!$L125&amp;" "&amp;'Compliance Database'!$M125&amp;" "&amp;'Compliance Database'!$N125&amp;" "&amp;'Compliance Database'!$O125)))),1,0)</f>
        <v/>
      </c>
      <c r="B125">
        <f>IF($A125=1,SUM($A$2:$A125),"")</f>
        <v/>
      </c>
      <c r="C125">
        <f>IF($A125=1,SUM($A$2:$A125),0)</f>
        <v/>
      </c>
    </row>
    <row r="126">
      <c r="A126">
        <f>IF(AND(OR(Query!$B$4="All",'Compliance Database'!$A126=Query!$B$4),OR(Query!$B$5="All",'Compliance Database'!$F126=Query!$B$5),OR(Query!$B$6="All",ISNUMBER(SEARCH(Query!$B$6,'Compliance Database'!$I126))),OR(Query!$B$7="All",ISNUMBER(SEARCH(Query!$B$7,'Compliance Database'!$J126))),OR(Query!$B$8="All",'Compliance Database'!$G126=Query!$B$8),OR(Query!$B$9="All",'Compliance Database'!$K126=Query!$B$9),OR(Query!$B$10="",ISNUMBER(SEARCH(Query!$B$10,'Compliance Database'!$D126&amp;" "&amp;'Compliance Database'!$L126&amp;" "&amp;'Compliance Database'!$M126&amp;" "&amp;'Compliance Database'!$N126&amp;" "&amp;'Compliance Database'!$O126)))),1,0)</f>
        <v/>
      </c>
      <c r="B126">
        <f>IF($A126=1,SUM($A$2:$A126),"")</f>
        <v/>
      </c>
      <c r="C126">
        <f>IF($A126=1,SUM($A$2:$A126),0)</f>
        <v/>
      </c>
    </row>
    <row r="127">
      <c r="A127">
        <f>IF(AND(OR(Query!$B$4="All",'Compliance Database'!$A127=Query!$B$4),OR(Query!$B$5="All",'Compliance Database'!$F127=Query!$B$5),OR(Query!$B$6="All",ISNUMBER(SEARCH(Query!$B$6,'Compliance Database'!$I127))),OR(Query!$B$7="All",ISNUMBER(SEARCH(Query!$B$7,'Compliance Database'!$J127))),OR(Query!$B$8="All",'Compliance Database'!$G127=Query!$B$8),OR(Query!$B$9="All",'Compliance Database'!$K127=Query!$B$9),OR(Query!$B$10="",ISNUMBER(SEARCH(Query!$B$10,'Compliance Database'!$D127&amp;" "&amp;'Compliance Database'!$L127&amp;" "&amp;'Compliance Database'!$M127&amp;" "&amp;'Compliance Database'!$N127&amp;" "&amp;'Compliance Database'!$O127)))),1,0)</f>
        <v/>
      </c>
      <c r="B127">
        <f>IF($A127=1,SUM($A$2:$A127),"")</f>
        <v/>
      </c>
      <c r="C127">
        <f>IF($A127=1,SUM($A$2:$A127),0)</f>
        <v/>
      </c>
    </row>
    <row r="128">
      <c r="A128">
        <f>IF(AND(OR(Query!$B$4="All",'Compliance Database'!$A128=Query!$B$4),OR(Query!$B$5="All",'Compliance Database'!$F128=Query!$B$5),OR(Query!$B$6="All",ISNUMBER(SEARCH(Query!$B$6,'Compliance Database'!$I128))),OR(Query!$B$7="All",ISNUMBER(SEARCH(Query!$B$7,'Compliance Database'!$J128))),OR(Query!$B$8="All",'Compliance Database'!$G128=Query!$B$8),OR(Query!$B$9="All",'Compliance Database'!$K128=Query!$B$9),OR(Query!$B$10="",ISNUMBER(SEARCH(Query!$B$10,'Compliance Database'!$D128&amp;" "&amp;'Compliance Database'!$L128&amp;" "&amp;'Compliance Database'!$M128&amp;" "&amp;'Compliance Database'!$N128&amp;" "&amp;'Compliance Database'!$O128)))),1,0)</f>
        <v/>
      </c>
      <c r="B128">
        <f>IF($A128=1,SUM($A$2:$A128),"")</f>
        <v/>
      </c>
      <c r="C128">
        <f>IF($A128=1,SUM($A$2:$A128),0)</f>
        <v/>
      </c>
    </row>
    <row r="129">
      <c r="A129">
        <f>IF(AND(OR(Query!$B$4="All",'Compliance Database'!$A129=Query!$B$4),OR(Query!$B$5="All",'Compliance Database'!$F129=Query!$B$5),OR(Query!$B$6="All",ISNUMBER(SEARCH(Query!$B$6,'Compliance Database'!$I129))),OR(Query!$B$7="All",ISNUMBER(SEARCH(Query!$B$7,'Compliance Database'!$J129))),OR(Query!$B$8="All",'Compliance Database'!$G129=Query!$B$8),OR(Query!$B$9="All",'Compliance Database'!$K129=Query!$B$9),OR(Query!$B$10="",ISNUMBER(SEARCH(Query!$B$10,'Compliance Database'!$D129&amp;" "&amp;'Compliance Database'!$L129&amp;" "&amp;'Compliance Database'!$M129&amp;" "&amp;'Compliance Database'!$N129&amp;" "&amp;'Compliance Database'!$O129)))),1,0)</f>
        <v/>
      </c>
      <c r="B129">
        <f>IF($A129=1,SUM($A$2:$A129),"")</f>
        <v/>
      </c>
      <c r="C129">
        <f>IF($A129=1,SUM($A$2:$A129),0)</f>
        <v/>
      </c>
    </row>
    <row r="130">
      <c r="A130">
        <f>IF(AND(OR(Query!$B$4="All",'Compliance Database'!$A130=Query!$B$4),OR(Query!$B$5="All",'Compliance Database'!$F130=Query!$B$5),OR(Query!$B$6="All",ISNUMBER(SEARCH(Query!$B$6,'Compliance Database'!$I130))),OR(Query!$B$7="All",ISNUMBER(SEARCH(Query!$B$7,'Compliance Database'!$J130))),OR(Query!$B$8="All",'Compliance Database'!$G130=Query!$B$8),OR(Query!$B$9="All",'Compliance Database'!$K130=Query!$B$9),OR(Query!$B$10="",ISNUMBER(SEARCH(Query!$B$10,'Compliance Database'!$D130&amp;" "&amp;'Compliance Database'!$L130&amp;" "&amp;'Compliance Database'!$M130&amp;" "&amp;'Compliance Database'!$N130&amp;" "&amp;'Compliance Database'!$O130)))),1,0)</f>
        <v/>
      </c>
      <c r="B130">
        <f>IF($A130=1,SUM($A$2:$A130),"")</f>
        <v/>
      </c>
      <c r="C130">
        <f>IF($A130=1,SUM($A$2:$A130),0)</f>
        <v/>
      </c>
    </row>
    <row r="131">
      <c r="A131">
        <f>IF(AND(OR(Query!$B$4="All",'Compliance Database'!$A131=Query!$B$4),OR(Query!$B$5="All",'Compliance Database'!$F131=Query!$B$5),OR(Query!$B$6="All",ISNUMBER(SEARCH(Query!$B$6,'Compliance Database'!$I131))),OR(Query!$B$7="All",ISNUMBER(SEARCH(Query!$B$7,'Compliance Database'!$J131))),OR(Query!$B$8="All",'Compliance Database'!$G131=Query!$B$8),OR(Query!$B$9="All",'Compliance Database'!$K131=Query!$B$9),OR(Query!$B$10="",ISNUMBER(SEARCH(Query!$B$10,'Compliance Database'!$D131&amp;" "&amp;'Compliance Database'!$L131&amp;" "&amp;'Compliance Database'!$M131&amp;" "&amp;'Compliance Database'!$N131&amp;" "&amp;'Compliance Database'!$O131)))),1,0)</f>
        <v/>
      </c>
      <c r="B131">
        <f>IF($A131=1,SUM($A$2:$A131),"")</f>
        <v/>
      </c>
      <c r="C131">
        <f>IF($A131=1,SUM($A$2:$A131),0)</f>
        <v/>
      </c>
    </row>
    <row r="132">
      <c r="A132">
        <f>IF(AND(OR(Query!$B$4="All",'Compliance Database'!$A132=Query!$B$4),OR(Query!$B$5="All",'Compliance Database'!$F132=Query!$B$5),OR(Query!$B$6="All",ISNUMBER(SEARCH(Query!$B$6,'Compliance Database'!$I132))),OR(Query!$B$7="All",ISNUMBER(SEARCH(Query!$B$7,'Compliance Database'!$J132))),OR(Query!$B$8="All",'Compliance Database'!$G132=Query!$B$8),OR(Query!$B$9="All",'Compliance Database'!$K132=Query!$B$9),OR(Query!$B$10="",ISNUMBER(SEARCH(Query!$B$10,'Compliance Database'!$D132&amp;" "&amp;'Compliance Database'!$L132&amp;" "&amp;'Compliance Database'!$M132&amp;" "&amp;'Compliance Database'!$N132&amp;" "&amp;'Compliance Database'!$O132)))),1,0)</f>
        <v/>
      </c>
      <c r="B132">
        <f>IF($A132=1,SUM($A$2:$A132),"")</f>
        <v/>
      </c>
      <c r="C132">
        <f>IF($A132=1,SUM($A$2:$A132),0)</f>
        <v/>
      </c>
    </row>
    <row r="133">
      <c r="A133">
        <f>IF(AND(OR(Query!$B$4="All",'Compliance Database'!$A133=Query!$B$4),OR(Query!$B$5="All",'Compliance Database'!$F133=Query!$B$5),OR(Query!$B$6="All",ISNUMBER(SEARCH(Query!$B$6,'Compliance Database'!$I133))),OR(Query!$B$7="All",ISNUMBER(SEARCH(Query!$B$7,'Compliance Database'!$J133))),OR(Query!$B$8="All",'Compliance Database'!$G133=Query!$B$8),OR(Query!$B$9="All",'Compliance Database'!$K133=Query!$B$9),OR(Query!$B$10="",ISNUMBER(SEARCH(Query!$B$10,'Compliance Database'!$D133&amp;" "&amp;'Compliance Database'!$L133&amp;" "&amp;'Compliance Database'!$M133&amp;" "&amp;'Compliance Database'!$N133&amp;" "&amp;'Compliance Database'!$O133)))),1,0)</f>
        <v/>
      </c>
      <c r="B133">
        <f>IF($A133=1,SUM($A$2:$A133),"")</f>
        <v/>
      </c>
      <c r="C133">
        <f>IF($A133=1,SUM($A$2:$A133),0)</f>
        <v/>
      </c>
    </row>
    <row r="134">
      <c r="A134">
        <f>IF(AND(OR(Query!$B$4="All",'Compliance Database'!$A134=Query!$B$4),OR(Query!$B$5="All",'Compliance Database'!$F134=Query!$B$5),OR(Query!$B$6="All",ISNUMBER(SEARCH(Query!$B$6,'Compliance Database'!$I134))),OR(Query!$B$7="All",ISNUMBER(SEARCH(Query!$B$7,'Compliance Database'!$J134))),OR(Query!$B$8="All",'Compliance Database'!$G134=Query!$B$8),OR(Query!$B$9="All",'Compliance Database'!$K134=Query!$B$9),OR(Query!$B$10="",ISNUMBER(SEARCH(Query!$B$10,'Compliance Database'!$D134&amp;" "&amp;'Compliance Database'!$L134&amp;" "&amp;'Compliance Database'!$M134&amp;" "&amp;'Compliance Database'!$N134&amp;" "&amp;'Compliance Database'!$O134)))),1,0)</f>
        <v/>
      </c>
      <c r="B134">
        <f>IF($A134=1,SUM($A$2:$A134),"")</f>
        <v/>
      </c>
      <c r="C134">
        <f>IF($A134=1,SUM($A$2:$A134),0)</f>
        <v/>
      </c>
    </row>
    <row r="135">
      <c r="A135">
        <f>IF(AND(OR(Query!$B$4="All",'Compliance Database'!$A135=Query!$B$4),OR(Query!$B$5="All",'Compliance Database'!$F135=Query!$B$5),OR(Query!$B$6="All",ISNUMBER(SEARCH(Query!$B$6,'Compliance Database'!$I135))),OR(Query!$B$7="All",ISNUMBER(SEARCH(Query!$B$7,'Compliance Database'!$J135))),OR(Query!$B$8="All",'Compliance Database'!$G135=Query!$B$8),OR(Query!$B$9="All",'Compliance Database'!$K135=Query!$B$9),OR(Query!$B$10="",ISNUMBER(SEARCH(Query!$B$10,'Compliance Database'!$D135&amp;" "&amp;'Compliance Database'!$L135&amp;" "&amp;'Compliance Database'!$M135&amp;" "&amp;'Compliance Database'!$N135&amp;" "&amp;'Compliance Database'!$O135)))),1,0)</f>
        <v/>
      </c>
      <c r="B135">
        <f>IF($A135=1,SUM($A$2:$A135),"")</f>
        <v/>
      </c>
      <c r="C135">
        <f>IF($A135=1,SUM($A$2:$A135),0)</f>
        <v/>
      </c>
    </row>
    <row r="136">
      <c r="A136">
        <f>IF(AND(OR(Query!$B$4="All",'Compliance Database'!$A136=Query!$B$4),OR(Query!$B$5="All",'Compliance Database'!$F136=Query!$B$5),OR(Query!$B$6="All",ISNUMBER(SEARCH(Query!$B$6,'Compliance Database'!$I136))),OR(Query!$B$7="All",ISNUMBER(SEARCH(Query!$B$7,'Compliance Database'!$J136))),OR(Query!$B$8="All",'Compliance Database'!$G136=Query!$B$8),OR(Query!$B$9="All",'Compliance Database'!$K136=Query!$B$9),OR(Query!$B$10="",ISNUMBER(SEARCH(Query!$B$10,'Compliance Database'!$D136&amp;" "&amp;'Compliance Database'!$L136&amp;" "&amp;'Compliance Database'!$M136&amp;" "&amp;'Compliance Database'!$N136&amp;" "&amp;'Compliance Database'!$O136)))),1,0)</f>
        <v/>
      </c>
      <c r="B136">
        <f>IF($A136=1,SUM($A$2:$A136),"")</f>
        <v/>
      </c>
      <c r="C136">
        <f>IF($A136=1,SUM($A$2:$A136),0)</f>
        <v/>
      </c>
    </row>
    <row r="137">
      <c r="A137">
        <f>IF(AND(OR(Query!$B$4="All",'Compliance Database'!$A137=Query!$B$4),OR(Query!$B$5="All",'Compliance Database'!$F137=Query!$B$5),OR(Query!$B$6="All",ISNUMBER(SEARCH(Query!$B$6,'Compliance Database'!$I137))),OR(Query!$B$7="All",ISNUMBER(SEARCH(Query!$B$7,'Compliance Database'!$J137))),OR(Query!$B$8="All",'Compliance Database'!$G137=Query!$B$8),OR(Query!$B$9="All",'Compliance Database'!$K137=Query!$B$9),OR(Query!$B$10="",ISNUMBER(SEARCH(Query!$B$10,'Compliance Database'!$D137&amp;" "&amp;'Compliance Database'!$L137&amp;" "&amp;'Compliance Database'!$M137&amp;" "&amp;'Compliance Database'!$N137&amp;" "&amp;'Compliance Database'!$O137)))),1,0)</f>
        <v/>
      </c>
      <c r="B137">
        <f>IF($A137=1,SUM($A$2:$A137),"")</f>
        <v/>
      </c>
      <c r="C137">
        <f>IF($A137=1,SUM($A$2:$A137),0)</f>
        <v/>
      </c>
    </row>
    <row r="138">
      <c r="A138">
        <f>IF(AND(OR(Query!$B$4="All",'Compliance Database'!$A138=Query!$B$4),OR(Query!$B$5="All",'Compliance Database'!$F138=Query!$B$5),OR(Query!$B$6="All",ISNUMBER(SEARCH(Query!$B$6,'Compliance Database'!$I138))),OR(Query!$B$7="All",ISNUMBER(SEARCH(Query!$B$7,'Compliance Database'!$J138))),OR(Query!$B$8="All",'Compliance Database'!$G138=Query!$B$8),OR(Query!$B$9="All",'Compliance Database'!$K138=Query!$B$9),OR(Query!$B$10="",ISNUMBER(SEARCH(Query!$B$10,'Compliance Database'!$D138&amp;" "&amp;'Compliance Database'!$L138&amp;" "&amp;'Compliance Database'!$M138&amp;" "&amp;'Compliance Database'!$N138&amp;" "&amp;'Compliance Database'!$O138)))),1,0)</f>
        <v/>
      </c>
      <c r="B138">
        <f>IF($A138=1,SUM($A$2:$A138),"")</f>
        <v/>
      </c>
      <c r="C138">
        <f>IF($A138=1,SUM($A$2:$A138),0)</f>
        <v/>
      </c>
    </row>
    <row r="139">
      <c r="A139">
        <f>IF(AND(OR(Query!$B$4="All",'Compliance Database'!$A139=Query!$B$4),OR(Query!$B$5="All",'Compliance Database'!$F139=Query!$B$5),OR(Query!$B$6="All",ISNUMBER(SEARCH(Query!$B$6,'Compliance Database'!$I139))),OR(Query!$B$7="All",ISNUMBER(SEARCH(Query!$B$7,'Compliance Database'!$J139))),OR(Query!$B$8="All",'Compliance Database'!$G139=Query!$B$8),OR(Query!$B$9="All",'Compliance Database'!$K139=Query!$B$9),OR(Query!$B$10="",ISNUMBER(SEARCH(Query!$B$10,'Compliance Database'!$D139&amp;" "&amp;'Compliance Database'!$L139&amp;" "&amp;'Compliance Database'!$M139&amp;" "&amp;'Compliance Database'!$N139&amp;" "&amp;'Compliance Database'!$O139)))),1,0)</f>
        <v/>
      </c>
      <c r="B139">
        <f>IF($A139=1,SUM($A$2:$A139),"")</f>
        <v/>
      </c>
      <c r="C139">
        <f>IF($A139=1,SUM($A$2:$A139),0)</f>
        <v/>
      </c>
    </row>
    <row r="140">
      <c r="A140">
        <f>IF(AND(OR(Query!$B$4="All",'Compliance Database'!$A140=Query!$B$4),OR(Query!$B$5="All",'Compliance Database'!$F140=Query!$B$5),OR(Query!$B$6="All",ISNUMBER(SEARCH(Query!$B$6,'Compliance Database'!$I140))),OR(Query!$B$7="All",ISNUMBER(SEARCH(Query!$B$7,'Compliance Database'!$J140))),OR(Query!$B$8="All",'Compliance Database'!$G140=Query!$B$8),OR(Query!$B$9="All",'Compliance Database'!$K140=Query!$B$9),OR(Query!$B$10="",ISNUMBER(SEARCH(Query!$B$10,'Compliance Database'!$D140&amp;" "&amp;'Compliance Database'!$L140&amp;" "&amp;'Compliance Database'!$M140&amp;" "&amp;'Compliance Database'!$N140&amp;" "&amp;'Compliance Database'!$O140)))),1,0)</f>
        <v/>
      </c>
      <c r="B140">
        <f>IF($A140=1,SUM($A$2:$A140),"")</f>
        <v/>
      </c>
      <c r="C140">
        <f>IF($A140=1,SUM($A$2:$A140),0)</f>
        <v/>
      </c>
    </row>
    <row r="141">
      <c r="A141">
        <f>IF(AND(OR(Query!$B$4="All",'Compliance Database'!$A141=Query!$B$4),OR(Query!$B$5="All",'Compliance Database'!$F141=Query!$B$5),OR(Query!$B$6="All",ISNUMBER(SEARCH(Query!$B$6,'Compliance Database'!$I141))),OR(Query!$B$7="All",ISNUMBER(SEARCH(Query!$B$7,'Compliance Database'!$J141))),OR(Query!$B$8="All",'Compliance Database'!$G141=Query!$B$8),OR(Query!$B$9="All",'Compliance Database'!$K141=Query!$B$9),OR(Query!$B$10="",ISNUMBER(SEARCH(Query!$B$10,'Compliance Database'!$D141&amp;" "&amp;'Compliance Database'!$L141&amp;" "&amp;'Compliance Database'!$M141&amp;" "&amp;'Compliance Database'!$N141&amp;" "&amp;'Compliance Database'!$O141)))),1,0)</f>
        <v/>
      </c>
      <c r="B141">
        <f>IF($A141=1,SUM($A$2:$A141),"")</f>
        <v/>
      </c>
      <c r="C141">
        <f>IF($A141=1,SUM($A$2:$A141),0)</f>
        <v/>
      </c>
    </row>
    <row r="142">
      <c r="A142">
        <f>IF(AND(OR(Query!$B$4="All",'Compliance Database'!$A142=Query!$B$4),OR(Query!$B$5="All",'Compliance Database'!$F142=Query!$B$5),OR(Query!$B$6="All",ISNUMBER(SEARCH(Query!$B$6,'Compliance Database'!$I142))),OR(Query!$B$7="All",ISNUMBER(SEARCH(Query!$B$7,'Compliance Database'!$J142))),OR(Query!$B$8="All",'Compliance Database'!$G142=Query!$B$8),OR(Query!$B$9="All",'Compliance Database'!$K142=Query!$B$9),OR(Query!$B$10="",ISNUMBER(SEARCH(Query!$B$10,'Compliance Database'!$D142&amp;" "&amp;'Compliance Database'!$L142&amp;" "&amp;'Compliance Database'!$M142&amp;" "&amp;'Compliance Database'!$N142&amp;" "&amp;'Compliance Database'!$O142)))),1,0)</f>
        <v/>
      </c>
      <c r="B142">
        <f>IF($A142=1,SUM($A$2:$A142),"")</f>
        <v/>
      </c>
      <c r="C142">
        <f>IF($A142=1,SUM($A$2:$A142),0)</f>
        <v/>
      </c>
    </row>
    <row r="143">
      <c r="A143">
        <f>IF(AND(OR(Query!$B$4="All",'Compliance Database'!$A143=Query!$B$4),OR(Query!$B$5="All",'Compliance Database'!$F143=Query!$B$5),OR(Query!$B$6="All",ISNUMBER(SEARCH(Query!$B$6,'Compliance Database'!$I143))),OR(Query!$B$7="All",ISNUMBER(SEARCH(Query!$B$7,'Compliance Database'!$J143))),OR(Query!$B$8="All",'Compliance Database'!$G143=Query!$B$8),OR(Query!$B$9="All",'Compliance Database'!$K143=Query!$B$9),OR(Query!$B$10="",ISNUMBER(SEARCH(Query!$B$10,'Compliance Database'!$D143&amp;" "&amp;'Compliance Database'!$L143&amp;" "&amp;'Compliance Database'!$M143&amp;" "&amp;'Compliance Database'!$N143&amp;" "&amp;'Compliance Database'!$O143)))),1,0)</f>
        <v/>
      </c>
      <c r="B143">
        <f>IF($A143=1,SUM($A$2:$A143),"")</f>
        <v/>
      </c>
      <c r="C143">
        <f>IF($A143=1,SUM($A$2:$A143),0)</f>
        <v/>
      </c>
    </row>
    <row r="144">
      <c r="A144">
        <f>IF(AND(OR(Query!$B$4="All",'Compliance Database'!$A144=Query!$B$4),OR(Query!$B$5="All",'Compliance Database'!$F144=Query!$B$5),OR(Query!$B$6="All",ISNUMBER(SEARCH(Query!$B$6,'Compliance Database'!$I144))),OR(Query!$B$7="All",ISNUMBER(SEARCH(Query!$B$7,'Compliance Database'!$J144))),OR(Query!$B$8="All",'Compliance Database'!$G144=Query!$B$8),OR(Query!$B$9="All",'Compliance Database'!$K144=Query!$B$9),OR(Query!$B$10="",ISNUMBER(SEARCH(Query!$B$10,'Compliance Database'!$D144&amp;" "&amp;'Compliance Database'!$L144&amp;" "&amp;'Compliance Database'!$M144&amp;" "&amp;'Compliance Database'!$N144&amp;" "&amp;'Compliance Database'!$O144)))),1,0)</f>
        <v/>
      </c>
      <c r="B144">
        <f>IF($A144=1,SUM($A$2:$A144),"")</f>
        <v/>
      </c>
      <c r="C144">
        <f>IF($A144=1,SUM($A$2:$A144),0)</f>
        <v/>
      </c>
    </row>
    <row r="145">
      <c r="A145">
        <f>IF(AND(OR(Query!$B$4="All",'Compliance Database'!$A145=Query!$B$4),OR(Query!$B$5="All",'Compliance Database'!$F145=Query!$B$5),OR(Query!$B$6="All",ISNUMBER(SEARCH(Query!$B$6,'Compliance Database'!$I145))),OR(Query!$B$7="All",ISNUMBER(SEARCH(Query!$B$7,'Compliance Database'!$J145))),OR(Query!$B$8="All",'Compliance Database'!$G145=Query!$B$8),OR(Query!$B$9="All",'Compliance Database'!$K145=Query!$B$9),OR(Query!$B$10="",ISNUMBER(SEARCH(Query!$B$10,'Compliance Database'!$D145&amp;" "&amp;'Compliance Database'!$L145&amp;" "&amp;'Compliance Database'!$M145&amp;" "&amp;'Compliance Database'!$N145&amp;" "&amp;'Compliance Database'!$O145)))),1,0)</f>
        <v/>
      </c>
      <c r="B145">
        <f>IF($A145=1,SUM($A$2:$A145),"")</f>
        <v/>
      </c>
      <c r="C145">
        <f>IF($A145=1,SUM($A$2:$A145),0)</f>
        <v/>
      </c>
    </row>
    <row r="146">
      <c r="A146">
        <f>IF(AND(OR(Query!$B$4="All",'Compliance Database'!$A146=Query!$B$4),OR(Query!$B$5="All",'Compliance Database'!$F146=Query!$B$5),OR(Query!$B$6="All",ISNUMBER(SEARCH(Query!$B$6,'Compliance Database'!$I146))),OR(Query!$B$7="All",ISNUMBER(SEARCH(Query!$B$7,'Compliance Database'!$J146))),OR(Query!$B$8="All",'Compliance Database'!$G146=Query!$B$8),OR(Query!$B$9="All",'Compliance Database'!$K146=Query!$B$9),OR(Query!$B$10="",ISNUMBER(SEARCH(Query!$B$10,'Compliance Database'!$D146&amp;" "&amp;'Compliance Database'!$L146&amp;" "&amp;'Compliance Database'!$M146&amp;" "&amp;'Compliance Database'!$N146&amp;" "&amp;'Compliance Database'!$O146)))),1,0)</f>
        <v/>
      </c>
      <c r="B146">
        <f>IF($A146=1,SUM($A$2:$A146),"")</f>
        <v/>
      </c>
      <c r="C146">
        <f>IF($A146=1,SUM($A$2:$A146),0)</f>
        <v/>
      </c>
    </row>
    <row r="147">
      <c r="A147">
        <f>IF(AND(OR(Query!$B$4="All",'Compliance Database'!$A147=Query!$B$4),OR(Query!$B$5="All",'Compliance Database'!$F147=Query!$B$5),OR(Query!$B$6="All",ISNUMBER(SEARCH(Query!$B$6,'Compliance Database'!$I147))),OR(Query!$B$7="All",ISNUMBER(SEARCH(Query!$B$7,'Compliance Database'!$J147))),OR(Query!$B$8="All",'Compliance Database'!$G147=Query!$B$8),OR(Query!$B$9="All",'Compliance Database'!$K147=Query!$B$9),OR(Query!$B$10="",ISNUMBER(SEARCH(Query!$B$10,'Compliance Database'!$D147&amp;" "&amp;'Compliance Database'!$L147&amp;" "&amp;'Compliance Database'!$M147&amp;" "&amp;'Compliance Database'!$N147&amp;" "&amp;'Compliance Database'!$O147)))),1,0)</f>
        <v/>
      </c>
      <c r="B147">
        <f>IF($A147=1,SUM($A$2:$A147),"")</f>
        <v/>
      </c>
      <c r="C147">
        <f>IF($A147=1,SUM($A$2:$A147),0)</f>
        <v/>
      </c>
    </row>
    <row r="148">
      <c r="A148">
        <f>IF(AND(OR(Query!$B$4="All",'Compliance Database'!$A148=Query!$B$4),OR(Query!$B$5="All",'Compliance Database'!$F148=Query!$B$5),OR(Query!$B$6="All",ISNUMBER(SEARCH(Query!$B$6,'Compliance Database'!$I148))),OR(Query!$B$7="All",ISNUMBER(SEARCH(Query!$B$7,'Compliance Database'!$J148))),OR(Query!$B$8="All",'Compliance Database'!$G148=Query!$B$8),OR(Query!$B$9="All",'Compliance Database'!$K148=Query!$B$9),OR(Query!$B$10="",ISNUMBER(SEARCH(Query!$B$10,'Compliance Database'!$D148&amp;" "&amp;'Compliance Database'!$L148&amp;" "&amp;'Compliance Database'!$M148&amp;" "&amp;'Compliance Database'!$N148&amp;" "&amp;'Compliance Database'!$O148)))),1,0)</f>
        <v/>
      </c>
      <c r="B148">
        <f>IF($A148=1,SUM($A$2:$A148),"")</f>
        <v/>
      </c>
      <c r="C148">
        <f>IF($A148=1,SUM($A$2:$A148),0)</f>
        <v/>
      </c>
    </row>
    <row r="149">
      <c r="A149">
        <f>IF(AND(OR(Query!$B$4="All",'Compliance Database'!$A149=Query!$B$4),OR(Query!$B$5="All",'Compliance Database'!$F149=Query!$B$5),OR(Query!$B$6="All",ISNUMBER(SEARCH(Query!$B$6,'Compliance Database'!$I149))),OR(Query!$B$7="All",ISNUMBER(SEARCH(Query!$B$7,'Compliance Database'!$J149))),OR(Query!$B$8="All",'Compliance Database'!$G149=Query!$B$8),OR(Query!$B$9="All",'Compliance Database'!$K149=Query!$B$9),OR(Query!$B$10="",ISNUMBER(SEARCH(Query!$B$10,'Compliance Database'!$D149&amp;" "&amp;'Compliance Database'!$L149&amp;" "&amp;'Compliance Database'!$M149&amp;" "&amp;'Compliance Database'!$N149&amp;" "&amp;'Compliance Database'!$O149)))),1,0)</f>
        <v/>
      </c>
      <c r="B149">
        <f>IF($A149=1,SUM($A$2:$A149),"")</f>
        <v/>
      </c>
      <c r="C149">
        <f>IF($A149=1,SUM($A$2:$A149),0)</f>
        <v/>
      </c>
    </row>
    <row r="150">
      <c r="A150">
        <f>IF(AND(OR(Query!$B$4="All",'Compliance Database'!$A150=Query!$B$4),OR(Query!$B$5="All",'Compliance Database'!$F150=Query!$B$5),OR(Query!$B$6="All",ISNUMBER(SEARCH(Query!$B$6,'Compliance Database'!$I150))),OR(Query!$B$7="All",ISNUMBER(SEARCH(Query!$B$7,'Compliance Database'!$J150))),OR(Query!$B$8="All",'Compliance Database'!$G150=Query!$B$8),OR(Query!$B$9="All",'Compliance Database'!$K150=Query!$B$9),OR(Query!$B$10="",ISNUMBER(SEARCH(Query!$B$10,'Compliance Database'!$D150&amp;" "&amp;'Compliance Database'!$L150&amp;" "&amp;'Compliance Database'!$M150&amp;" "&amp;'Compliance Database'!$N150&amp;" "&amp;'Compliance Database'!$O150)))),1,0)</f>
        <v/>
      </c>
      <c r="B150">
        <f>IF($A150=1,SUM($A$2:$A150),"")</f>
        <v/>
      </c>
      <c r="C150">
        <f>IF($A150=1,SUM($A$2:$A150),0)</f>
        <v/>
      </c>
    </row>
    <row r="151">
      <c r="A151">
        <f>IF(AND(OR(Query!$B$4="All",'Compliance Database'!$A151=Query!$B$4),OR(Query!$B$5="All",'Compliance Database'!$F151=Query!$B$5),OR(Query!$B$6="All",ISNUMBER(SEARCH(Query!$B$6,'Compliance Database'!$I151))),OR(Query!$B$7="All",ISNUMBER(SEARCH(Query!$B$7,'Compliance Database'!$J151))),OR(Query!$B$8="All",'Compliance Database'!$G151=Query!$B$8),OR(Query!$B$9="All",'Compliance Database'!$K151=Query!$B$9),OR(Query!$B$10="",ISNUMBER(SEARCH(Query!$B$10,'Compliance Database'!$D151&amp;" "&amp;'Compliance Database'!$L151&amp;" "&amp;'Compliance Database'!$M151&amp;" "&amp;'Compliance Database'!$N151&amp;" "&amp;'Compliance Database'!$O151)))),1,0)</f>
        <v/>
      </c>
      <c r="B151">
        <f>IF($A151=1,SUM($A$2:$A151),"")</f>
        <v/>
      </c>
      <c r="C151">
        <f>IF($A151=1,SUM($A$2:$A151),0)</f>
        <v/>
      </c>
    </row>
    <row r="152">
      <c r="A152">
        <f>IF(AND(OR(Query!$B$4="All",'Compliance Database'!$A152=Query!$B$4),OR(Query!$B$5="All",'Compliance Database'!$F152=Query!$B$5),OR(Query!$B$6="All",ISNUMBER(SEARCH(Query!$B$6,'Compliance Database'!$I152))),OR(Query!$B$7="All",ISNUMBER(SEARCH(Query!$B$7,'Compliance Database'!$J152))),OR(Query!$B$8="All",'Compliance Database'!$G152=Query!$B$8),OR(Query!$B$9="All",'Compliance Database'!$K152=Query!$B$9),OR(Query!$B$10="",ISNUMBER(SEARCH(Query!$B$10,'Compliance Database'!$D152&amp;" "&amp;'Compliance Database'!$L152&amp;" "&amp;'Compliance Database'!$M152&amp;" "&amp;'Compliance Database'!$N152&amp;" "&amp;'Compliance Database'!$O152)))),1,0)</f>
        <v/>
      </c>
      <c r="B152">
        <f>IF($A152=1,SUM($A$2:$A152),"")</f>
        <v/>
      </c>
      <c r="C152">
        <f>IF($A152=1,SUM($A$2:$A152),0)</f>
        <v/>
      </c>
    </row>
    <row r="153">
      <c r="A153">
        <f>IF(AND(OR(Query!$B$4="All",'Compliance Database'!$A153=Query!$B$4),OR(Query!$B$5="All",'Compliance Database'!$F153=Query!$B$5),OR(Query!$B$6="All",ISNUMBER(SEARCH(Query!$B$6,'Compliance Database'!$I153))),OR(Query!$B$7="All",ISNUMBER(SEARCH(Query!$B$7,'Compliance Database'!$J153))),OR(Query!$B$8="All",'Compliance Database'!$G153=Query!$B$8),OR(Query!$B$9="All",'Compliance Database'!$K153=Query!$B$9),OR(Query!$B$10="",ISNUMBER(SEARCH(Query!$B$10,'Compliance Database'!$D153&amp;" "&amp;'Compliance Database'!$L153&amp;" "&amp;'Compliance Database'!$M153&amp;" "&amp;'Compliance Database'!$N153&amp;" "&amp;'Compliance Database'!$O153)))),1,0)</f>
        <v/>
      </c>
      <c r="B153">
        <f>IF($A153=1,SUM($A$2:$A153),"")</f>
        <v/>
      </c>
      <c r="C153">
        <f>IF($A153=1,SUM($A$2:$A153),0)</f>
        <v/>
      </c>
    </row>
    <row r="154">
      <c r="A154">
        <f>IF(AND(OR(Query!$B$4="All",'Compliance Database'!$A154=Query!$B$4),OR(Query!$B$5="All",'Compliance Database'!$F154=Query!$B$5),OR(Query!$B$6="All",ISNUMBER(SEARCH(Query!$B$6,'Compliance Database'!$I154))),OR(Query!$B$7="All",ISNUMBER(SEARCH(Query!$B$7,'Compliance Database'!$J154))),OR(Query!$B$8="All",'Compliance Database'!$G154=Query!$B$8),OR(Query!$B$9="All",'Compliance Database'!$K154=Query!$B$9),OR(Query!$B$10="",ISNUMBER(SEARCH(Query!$B$10,'Compliance Database'!$D154&amp;" "&amp;'Compliance Database'!$L154&amp;" "&amp;'Compliance Database'!$M154&amp;" "&amp;'Compliance Database'!$N154&amp;" "&amp;'Compliance Database'!$O154)))),1,0)</f>
        <v/>
      </c>
      <c r="B154">
        <f>IF($A154=1,SUM($A$2:$A154),"")</f>
        <v/>
      </c>
      <c r="C154">
        <f>IF($A154=1,SUM($A$2:$A154),0)</f>
        <v/>
      </c>
    </row>
    <row r="155">
      <c r="A155">
        <f>IF(AND(OR(Query!$B$4="All",'Compliance Database'!$A155=Query!$B$4),OR(Query!$B$5="All",'Compliance Database'!$F155=Query!$B$5),OR(Query!$B$6="All",ISNUMBER(SEARCH(Query!$B$6,'Compliance Database'!$I155))),OR(Query!$B$7="All",ISNUMBER(SEARCH(Query!$B$7,'Compliance Database'!$J155))),OR(Query!$B$8="All",'Compliance Database'!$G155=Query!$B$8),OR(Query!$B$9="All",'Compliance Database'!$K155=Query!$B$9),OR(Query!$B$10="",ISNUMBER(SEARCH(Query!$B$10,'Compliance Database'!$D155&amp;" "&amp;'Compliance Database'!$L155&amp;" "&amp;'Compliance Database'!$M155&amp;" "&amp;'Compliance Database'!$N155&amp;" "&amp;'Compliance Database'!$O155)))),1,0)</f>
        <v/>
      </c>
      <c r="B155">
        <f>IF($A155=1,SUM($A$2:$A155),"")</f>
        <v/>
      </c>
      <c r="C155">
        <f>IF($A155=1,SUM($A$2:$A155),0)</f>
        <v/>
      </c>
    </row>
    <row r="156">
      <c r="A156">
        <f>IF(AND(OR(Query!$B$4="All",'Compliance Database'!$A156=Query!$B$4),OR(Query!$B$5="All",'Compliance Database'!$F156=Query!$B$5),OR(Query!$B$6="All",ISNUMBER(SEARCH(Query!$B$6,'Compliance Database'!$I156))),OR(Query!$B$7="All",ISNUMBER(SEARCH(Query!$B$7,'Compliance Database'!$J156))),OR(Query!$B$8="All",'Compliance Database'!$G156=Query!$B$8),OR(Query!$B$9="All",'Compliance Database'!$K156=Query!$B$9),OR(Query!$B$10="",ISNUMBER(SEARCH(Query!$B$10,'Compliance Database'!$D156&amp;" "&amp;'Compliance Database'!$L156&amp;" "&amp;'Compliance Database'!$M156&amp;" "&amp;'Compliance Database'!$N156&amp;" "&amp;'Compliance Database'!$O156)))),1,0)</f>
        <v/>
      </c>
      <c r="B156">
        <f>IF($A156=1,SUM($A$2:$A156),"")</f>
        <v/>
      </c>
      <c r="C156">
        <f>IF($A156=1,SUM($A$2:$A156),0)</f>
        <v/>
      </c>
    </row>
    <row r="157">
      <c r="A157">
        <f>IF(AND(OR(Query!$B$4="All",'Compliance Database'!$A157=Query!$B$4),OR(Query!$B$5="All",'Compliance Database'!$F157=Query!$B$5),OR(Query!$B$6="All",ISNUMBER(SEARCH(Query!$B$6,'Compliance Database'!$I157))),OR(Query!$B$7="All",ISNUMBER(SEARCH(Query!$B$7,'Compliance Database'!$J157))),OR(Query!$B$8="All",'Compliance Database'!$G157=Query!$B$8),OR(Query!$B$9="All",'Compliance Database'!$K157=Query!$B$9),OR(Query!$B$10="",ISNUMBER(SEARCH(Query!$B$10,'Compliance Database'!$D157&amp;" "&amp;'Compliance Database'!$L157&amp;" "&amp;'Compliance Database'!$M157&amp;" "&amp;'Compliance Database'!$N157&amp;" "&amp;'Compliance Database'!$O157)))),1,0)</f>
        <v/>
      </c>
      <c r="B157">
        <f>IF($A157=1,SUM($A$2:$A157),"")</f>
        <v/>
      </c>
      <c r="C157">
        <f>IF($A157=1,SUM($A$2:$A157),0)</f>
        <v/>
      </c>
    </row>
    <row r="158">
      <c r="A158">
        <f>IF(AND(OR(Query!$B$4="All",'Compliance Database'!$A158=Query!$B$4),OR(Query!$B$5="All",'Compliance Database'!$F158=Query!$B$5),OR(Query!$B$6="All",ISNUMBER(SEARCH(Query!$B$6,'Compliance Database'!$I158))),OR(Query!$B$7="All",ISNUMBER(SEARCH(Query!$B$7,'Compliance Database'!$J158))),OR(Query!$B$8="All",'Compliance Database'!$G158=Query!$B$8),OR(Query!$B$9="All",'Compliance Database'!$K158=Query!$B$9),OR(Query!$B$10="",ISNUMBER(SEARCH(Query!$B$10,'Compliance Database'!$D158&amp;" "&amp;'Compliance Database'!$L158&amp;" "&amp;'Compliance Database'!$M158&amp;" "&amp;'Compliance Database'!$N158&amp;" "&amp;'Compliance Database'!$O158)))),1,0)</f>
        <v/>
      </c>
      <c r="B158">
        <f>IF($A158=1,SUM($A$2:$A158),"")</f>
        <v/>
      </c>
      <c r="C158">
        <f>IF($A158=1,SUM($A$2:$A158),0)</f>
        <v/>
      </c>
    </row>
    <row r="159">
      <c r="A159">
        <f>IF(AND(OR(Query!$B$4="All",'Compliance Database'!$A159=Query!$B$4),OR(Query!$B$5="All",'Compliance Database'!$F159=Query!$B$5),OR(Query!$B$6="All",ISNUMBER(SEARCH(Query!$B$6,'Compliance Database'!$I159))),OR(Query!$B$7="All",ISNUMBER(SEARCH(Query!$B$7,'Compliance Database'!$J159))),OR(Query!$B$8="All",'Compliance Database'!$G159=Query!$B$8),OR(Query!$B$9="All",'Compliance Database'!$K159=Query!$B$9),OR(Query!$B$10="",ISNUMBER(SEARCH(Query!$B$10,'Compliance Database'!$D159&amp;" "&amp;'Compliance Database'!$L159&amp;" "&amp;'Compliance Database'!$M159&amp;" "&amp;'Compliance Database'!$N159&amp;" "&amp;'Compliance Database'!$O159)))),1,0)</f>
        <v/>
      </c>
      <c r="B159">
        <f>IF($A159=1,SUM($A$2:$A159),"")</f>
        <v/>
      </c>
      <c r="C159">
        <f>IF($A159=1,SUM($A$2:$A159),0)</f>
        <v/>
      </c>
    </row>
    <row r="160">
      <c r="A160">
        <f>IF(AND(OR(Query!$B$4="All",'Compliance Database'!$A160=Query!$B$4),OR(Query!$B$5="All",'Compliance Database'!$F160=Query!$B$5),OR(Query!$B$6="All",ISNUMBER(SEARCH(Query!$B$6,'Compliance Database'!$I160))),OR(Query!$B$7="All",ISNUMBER(SEARCH(Query!$B$7,'Compliance Database'!$J160))),OR(Query!$B$8="All",'Compliance Database'!$G160=Query!$B$8),OR(Query!$B$9="All",'Compliance Database'!$K160=Query!$B$9),OR(Query!$B$10="",ISNUMBER(SEARCH(Query!$B$10,'Compliance Database'!$D160&amp;" "&amp;'Compliance Database'!$L160&amp;" "&amp;'Compliance Database'!$M160&amp;" "&amp;'Compliance Database'!$N160&amp;" "&amp;'Compliance Database'!$O160)))),1,0)</f>
        <v/>
      </c>
      <c r="B160">
        <f>IF($A160=1,SUM($A$2:$A160),"")</f>
        <v/>
      </c>
      <c r="C160">
        <f>IF($A160=1,SUM($A$2:$A160),0)</f>
        <v/>
      </c>
    </row>
    <row r="161">
      <c r="A161">
        <f>IF(AND(OR(Query!$B$4="All",'Compliance Database'!$A161=Query!$B$4),OR(Query!$B$5="All",'Compliance Database'!$F161=Query!$B$5),OR(Query!$B$6="All",ISNUMBER(SEARCH(Query!$B$6,'Compliance Database'!$I161))),OR(Query!$B$7="All",ISNUMBER(SEARCH(Query!$B$7,'Compliance Database'!$J161))),OR(Query!$B$8="All",'Compliance Database'!$G161=Query!$B$8),OR(Query!$B$9="All",'Compliance Database'!$K161=Query!$B$9),OR(Query!$B$10="",ISNUMBER(SEARCH(Query!$B$10,'Compliance Database'!$D161&amp;" "&amp;'Compliance Database'!$L161&amp;" "&amp;'Compliance Database'!$M161&amp;" "&amp;'Compliance Database'!$N161&amp;" "&amp;'Compliance Database'!$O161)))),1,0)</f>
        <v/>
      </c>
      <c r="B161">
        <f>IF($A161=1,SUM($A$2:$A161),"")</f>
        <v/>
      </c>
      <c r="C161">
        <f>IF($A161=1,SUM($A$2:$A161),0)</f>
        <v/>
      </c>
    </row>
    <row r="162">
      <c r="A162">
        <f>IF(AND(OR(Query!$B$4="All",'Compliance Database'!$A162=Query!$B$4),OR(Query!$B$5="All",'Compliance Database'!$F162=Query!$B$5),OR(Query!$B$6="All",ISNUMBER(SEARCH(Query!$B$6,'Compliance Database'!$I162))),OR(Query!$B$7="All",ISNUMBER(SEARCH(Query!$B$7,'Compliance Database'!$J162))),OR(Query!$B$8="All",'Compliance Database'!$G162=Query!$B$8),OR(Query!$B$9="All",'Compliance Database'!$K162=Query!$B$9),OR(Query!$B$10="",ISNUMBER(SEARCH(Query!$B$10,'Compliance Database'!$D162&amp;" "&amp;'Compliance Database'!$L162&amp;" "&amp;'Compliance Database'!$M162&amp;" "&amp;'Compliance Database'!$N162&amp;" "&amp;'Compliance Database'!$O162)))),1,0)</f>
        <v/>
      </c>
      <c r="B162">
        <f>IF($A162=1,SUM($A$2:$A162),"")</f>
        <v/>
      </c>
      <c r="C162">
        <f>IF($A162=1,SUM($A$2:$A162),0)</f>
        <v/>
      </c>
    </row>
    <row r="163">
      <c r="A163">
        <f>IF(AND(OR(Query!$B$4="All",'Compliance Database'!$A163=Query!$B$4),OR(Query!$B$5="All",'Compliance Database'!$F163=Query!$B$5),OR(Query!$B$6="All",ISNUMBER(SEARCH(Query!$B$6,'Compliance Database'!$I163))),OR(Query!$B$7="All",ISNUMBER(SEARCH(Query!$B$7,'Compliance Database'!$J163))),OR(Query!$B$8="All",'Compliance Database'!$G163=Query!$B$8),OR(Query!$B$9="All",'Compliance Database'!$K163=Query!$B$9),OR(Query!$B$10="",ISNUMBER(SEARCH(Query!$B$10,'Compliance Database'!$D163&amp;" "&amp;'Compliance Database'!$L163&amp;" "&amp;'Compliance Database'!$M163&amp;" "&amp;'Compliance Database'!$N163&amp;" "&amp;'Compliance Database'!$O163)))),1,0)</f>
        <v/>
      </c>
      <c r="B163">
        <f>IF($A163=1,SUM($A$2:$A163),"")</f>
        <v/>
      </c>
      <c r="C163">
        <f>IF($A163=1,SUM($A$2:$A163),0)</f>
        <v/>
      </c>
    </row>
    <row r="164">
      <c r="A164">
        <f>IF(AND(OR(Query!$B$4="All",'Compliance Database'!$A164=Query!$B$4),OR(Query!$B$5="All",'Compliance Database'!$F164=Query!$B$5),OR(Query!$B$6="All",ISNUMBER(SEARCH(Query!$B$6,'Compliance Database'!$I164))),OR(Query!$B$7="All",ISNUMBER(SEARCH(Query!$B$7,'Compliance Database'!$J164))),OR(Query!$B$8="All",'Compliance Database'!$G164=Query!$B$8),OR(Query!$B$9="All",'Compliance Database'!$K164=Query!$B$9),OR(Query!$B$10="",ISNUMBER(SEARCH(Query!$B$10,'Compliance Database'!$D164&amp;" "&amp;'Compliance Database'!$L164&amp;" "&amp;'Compliance Database'!$M164&amp;" "&amp;'Compliance Database'!$N164&amp;" "&amp;'Compliance Database'!$O164)))),1,0)</f>
        <v/>
      </c>
      <c r="B164">
        <f>IF($A164=1,SUM($A$2:$A164),"")</f>
        <v/>
      </c>
      <c r="C164">
        <f>IF($A164=1,SUM($A$2:$A164),0)</f>
        <v/>
      </c>
    </row>
    <row r="165">
      <c r="A165">
        <f>IF(AND(OR(Query!$B$4="All",'Compliance Database'!$A165=Query!$B$4),OR(Query!$B$5="All",'Compliance Database'!$F165=Query!$B$5),OR(Query!$B$6="All",ISNUMBER(SEARCH(Query!$B$6,'Compliance Database'!$I165))),OR(Query!$B$7="All",ISNUMBER(SEARCH(Query!$B$7,'Compliance Database'!$J165))),OR(Query!$B$8="All",'Compliance Database'!$G165=Query!$B$8),OR(Query!$B$9="All",'Compliance Database'!$K165=Query!$B$9),OR(Query!$B$10="",ISNUMBER(SEARCH(Query!$B$10,'Compliance Database'!$D165&amp;" "&amp;'Compliance Database'!$L165&amp;" "&amp;'Compliance Database'!$M165&amp;" "&amp;'Compliance Database'!$N165&amp;" "&amp;'Compliance Database'!$O165)))),1,0)</f>
        <v/>
      </c>
      <c r="B165">
        <f>IF($A165=1,SUM($A$2:$A165),"")</f>
        <v/>
      </c>
      <c r="C165">
        <f>IF($A165=1,SUM($A$2:$A165),0)</f>
        <v/>
      </c>
    </row>
    <row r="166">
      <c r="A166">
        <f>IF(AND(OR(Query!$B$4="All",'Compliance Database'!$A166=Query!$B$4),OR(Query!$B$5="All",'Compliance Database'!$F166=Query!$B$5),OR(Query!$B$6="All",ISNUMBER(SEARCH(Query!$B$6,'Compliance Database'!$I166))),OR(Query!$B$7="All",ISNUMBER(SEARCH(Query!$B$7,'Compliance Database'!$J166))),OR(Query!$B$8="All",'Compliance Database'!$G166=Query!$B$8),OR(Query!$B$9="All",'Compliance Database'!$K166=Query!$B$9),OR(Query!$B$10="",ISNUMBER(SEARCH(Query!$B$10,'Compliance Database'!$D166&amp;" "&amp;'Compliance Database'!$L166&amp;" "&amp;'Compliance Database'!$M166&amp;" "&amp;'Compliance Database'!$N166&amp;" "&amp;'Compliance Database'!$O166)))),1,0)</f>
        <v/>
      </c>
      <c r="B166">
        <f>IF($A166=1,SUM($A$2:$A166),"")</f>
        <v/>
      </c>
      <c r="C166">
        <f>IF($A166=1,SUM($A$2:$A166),0)</f>
        <v/>
      </c>
    </row>
    <row r="167">
      <c r="A167">
        <f>IF(AND(OR(Query!$B$4="All",'Compliance Database'!$A167=Query!$B$4),OR(Query!$B$5="All",'Compliance Database'!$F167=Query!$B$5),OR(Query!$B$6="All",ISNUMBER(SEARCH(Query!$B$6,'Compliance Database'!$I167))),OR(Query!$B$7="All",ISNUMBER(SEARCH(Query!$B$7,'Compliance Database'!$J167))),OR(Query!$B$8="All",'Compliance Database'!$G167=Query!$B$8),OR(Query!$B$9="All",'Compliance Database'!$K167=Query!$B$9),OR(Query!$B$10="",ISNUMBER(SEARCH(Query!$B$10,'Compliance Database'!$D167&amp;" "&amp;'Compliance Database'!$L167&amp;" "&amp;'Compliance Database'!$M167&amp;" "&amp;'Compliance Database'!$N167&amp;" "&amp;'Compliance Database'!$O167)))),1,0)</f>
        <v/>
      </c>
      <c r="B167">
        <f>IF($A167=1,SUM($A$2:$A167),"")</f>
        <v/>
      </c>
      <c r="C167">
        <f>IF($A167=1,SUM($A$2:$A167),0)</f>
        <v/>
      </c>
    </row>
    <row r="168">
      <c r="A168">
        <f>IF(AND(OR(Query!$B$4="All",'Compliance Database'!$A168=Query!$B$4),OR(Query!$B$5="All",'Compliance Database'!$F168=Query!$B$5),OR(Query!$B$6="All",ISNUMBER(SEARCH(Query!$B$6,'Compliance Database'!$I168))),OR(Query!$B$7="All",ISNUMBER(SEARCH(Query!$B$7,'Compliance Database'!$J168))),OR(Query!$B$8="All",'Compliance Database'!$G168=Query!$B$8),OR(Query!$B$9="All",'Compliance Database'!$K168=Query!$B$9),OR(Query!$B$10="",ISNUMBER(SEARCH(Query!$B$10,'Compliance Database'!$D168&amp;" "&amp;'Compliance Database'!$L168&amp;" "&amp;'Compliance Database'!$M168&amp;" "&amp;'Compliance Database'!$N168&amp;" "&amp;'Compliance Database'!$O168)))),1,0)</f>
        <v/>
      </c>
      <c r="B168">
        <f>IF($A168=1,SUM($A$2:$A168),"")</f>
        <v/>
      </c>
      <c r="C168">
        <f>IF($A168=1,SUM($A$2:$A168),0)</f>
        <v/>
      </c>
    </row>
    <row r="169">
      <c r="A169">
        <f>IF(AND(OR(Query!$B$4="All",'Compliance Database'!$A169=Query!$B$4),OR(Query!$B$5="All",'Compliance Database'!$F169=Query!$B$5),OR(Query!$B$6="All",ISNUMBER(SEARCH(Query!$B$6,'Compliance Database'!$I169))),OR(Query!$B$7="All",ISNUMBER(SEARCH(Query!$B$7,'Compliance Database'!$J169))),OR(Query!$B$8="All",'Compliance Database'!$G169=Query!$B$8),OR(Query!$B$9="All",'Compliance Database'!$K169=Query!$B$9),OR(Query!$B$10="",ISNUMBER(SEARCH(Query!$B$10,'Compliance Database'!$D169&amp;" "&amp;'Compliance Database'!$L169&amp;" "&amp;'Compliance Database'!$M169&amp;" "&amp;'Compliance Database'!$N169&amp;" "&amp;'Compliance Database'!$O169)))),1,0)</f>
        <v/>
      </c>
      <c r="B169">
        <f>IF($A169=1,SUM($A$2:$A169),"")</f>
        <v/>
      </c>
      <c r="C169">
        <f>IF($A169=1,SUM($A$2:$A169),0)</f>
        <v/>
      </c>
    </row>
    <row r="170">
      <c r="A170">
        <f>IF(AND(OR(Query!$B$4="All",'Compliance Database'!$A170=Query!$B$4),OR(Query!$B$5="All",'Compliance Database'!$F170=Query!$B$5),OR(Query!$B$6="All",ISNUMBER(SEARCH(Query!$B$6,'Compliance Database'!$I170))),OR(Query!$B$7="All",ISNUMBER(SEARCH(Query!$B$7,'Compliance Database'!$J170))),OR(Query!$B$8="All",'Compliance Database'!$G170=Query!$B$8),OR(Query!$B$9="All",'Compliance Database'!$K170=Query!$B$9),OR(Query!$B$10="",ISNUMBER(SEARCH(Query!$B$10,'Compliance Database'!$D170&amp;" "&amp;'Compliance Database'!$L170&amp;" "&amp;'Compliance Database'!$M170&amp;" "&amp;'Compliance Database'!$N170&amp;" "&amp;'Compliance Database'!$O170)))),1,0)</f>
        <v/>
      </c>
      <c r="B170">
        <f>IF($A170=1,SUM($A$2:$A170),"")</f>
        <v/>
      </c>
      <c r="C170">
        <f>IF($A170=1,SUM($A$2:$A170),0)</f>
        <v/>
      </c>
    </row>
    <row r="171">
      <c r="A171">
        <f>IF(AND(OR(Query!$B$4="All",'Compliance Database'!$A171=Query!$B$4),OR(Query!$B$5="All",'Compliance Database'!$F171=Query!$B$5),OR(Query!$B$6="All",ISNUMBER(SEARCH(Query!$B$6,'Compliance Database'!$I171))),OR(Query!$B$7="All",ISNUMBER(SEARCH(Query!$B$7,'Compliance Database'!$J171))),OR(Query!$B$8="All",'Compliance Database'!$G171=Query!$B$8),OR(Query!$B$9="All",'Compliance Database'!$K171=Query!$B$9),OR(Query!$B$10="",ISNUMBER(SEARCH(Query!$B$10,'Compliance Database'!$D171&amp;" "&amp;'Compliance Database'!$L171&amp;" "&amp;'Compliance Database'!$M171&amp;" "&amp;'Compliance Database'!$N171&amp;" "&amp;'Compliance Database'!$O171)))),1,0)</f>
        <v/>
      </c>
      <c r="B171">
        <f>IF($A171=1,SUM($A$2:$A171),"")</f>
        <v/>
      </c>
      <c r="C171">
        <f>IF($A171=1,SUM($A$2:$A171),0)</f>
        <v/>
      </c>
    </row>
    <row r="172">
      <c r="A172">
        <f>IF(AND(OR(Query!$B$4="All",'Compliance Database'!$A172=Query!$B$4),OR(Query!$B$5="All",'Compliance Database'!$F172=Query!$B$5),OR(Query!$B$6="All",ISNUMBER(SEARCH(Query!$B$6,'Compliance Database'!$I172))),OR(Query!$B$7="All",ISNUMBER(SEARCH(Query!$B$7,'Compliance Database'!$J172))),OR(Query!$B$8="All",'Compliance Database'!$G172=Query!$B$8),OR(Query!$B$9="All",'Compliance Database'!$K172=Query!$B$9),OR(Query!$B$10="",ISNUMBER(SEARCH(Query!$B$10,'Compliance Database'!$D172&amp;" "&amp;'Compliance Database'!$L172&amp;" "&amp;'Compliance Database'!$M172&amp;" "&amp;'Compliance Database'!$N172&amp;" "&amp;'Compliance Database'!$O172)))),1,0)</f>
        <v/>
      </c>
      <c r="B172">
        <f>IF($A172=1,SUM($A$2:$A172),"")</f>
        <v/>
      </c>
      <c r="C172">
        <f>IF($A172=1,SUM($A$2:$A172),0)</f>
        <v/>
      </c>
    </row>
    <row r="173">
      <c r="A173">
        <f>IF(AND(OR(Query!$B$4="All",'Compliance Database'!$A173=Query!$B$4),OR(Query!$B$5="All",'Compliance Database'!$F173=Query!$B$5),OR(Query!$B$6="All",ISNUMBER(SEARCH(Query!$B$6,'Compliance Database'!$I173))),OR(Query!$B$7="All",ISNUMBER(SEARCH(Query!$B$7,'Compliance Database'!$J173))),OR(Query!$B$8="All",'Compliance Database'!$G173=Query!$B$8),OR(Query!$B$9="All",'Compliance Database'!$K173=Query!$B$9),OR(Query!$B$10="",ISNUMBER(SEARCH(Query!$B$10,'Compliance Database'!$D173&amp;" "&amp;'Compliance Database'!$L173&amp;" "&amp;'Compliance Database'!$M173&amp;" "&amp;'Compliance Database'!$N173&amp;" "&amp;'Compliance Database'!$O173)))),1,0)</f>
        <v/>
      </c>
      <c r="B173">
        <f>IF($A173=1,SUM($A$2:$A173),"")</f>
        <v/>
      </c>
      <c r="C173">
        <f>IF($A173=1,SUM($A$2:$A173),0)</f>
        <v/>
      </c>
    </row>
    <row r="174">
      <c r="A174">
        <f>IF(AND(OR(Query!$B$4="All",'Compliance Database'!$A174=Query!$B$4),OR(Query!$B$5="All",'Compliance Database'!$F174=Query!$B$5),OR(Query!$B$6="All",ISNUMBER(SEARCH(Query!$B$6,'Compliance Database'!$I174))),OR(Query!$B$7="All",ISNUMBER(SEARCH(Query!$B$7,'Compliance Database'!$J174))),OR(Query!$B$8="All",'Compliance Database'!$G174=Query!$B$8),OR(Query!$B$9="All",'Compliance Database'!$K174=Query!$B$9),OR(Query!$B$10="",ISNUMBER(SEARCH(Query!$B$10,'Compliance Database'!$D174&amp;" "&amp;'Compliance Database'!$L174&amp;" "&amp;'Compliance Database'!$M174&amp;" "&amp;'Compliance Database'!$N174&amp;" "&amp;'Compliance Database'!$O174)))),1,0)</f>
        <v/>
      </c>
      <c r="B174">
        <f>IF($A174=1,SUM($A$2:$A174),"")</f>
        <v/>
      </c>
      <c r="C174">
        <f>IF($A174=1,SUM($A$2:$A174),0)</f>
        <v/>
      </c>
    </row>
    <row r="175">
      <c r="A175">
        <f>IF(AND(OR(Query!$B$4="All",'Compliance Database'!$A175=Query!$B$4),OR(Query!$B$5="All",'Compliance Database'!$F175=Query!$B$5),OR(Query!$B$6="All",ISNUMBER(SEARCH(Query!$B$6,'Compliance Database'!$I175))),OR(Query!$B$7="All",ISNUMBER(SEARCH(Query!$B$7,'Compliance Database'!$J175))),OR(Query!$B$8="All",'Compliance Database'!$G175=Query!$B$8),OR(Query!$B$9="All",'Compliance Database'!$K175=Query!$B$9),OR(Query!$B$10="",ISNUMBER(SEARCH(Query!$B$10,'Compliance Database'!$D175&amp;" "&amp;'Compliance Database'!$L175&amp;" "&amp;'Compliance Database'!$M175&amp;" "&amp;'Compliance Database'!$N175&amp;" "&amp;'Compliance Database'!$O175)))),1,0)</f>
        <v/>
      </c>
      <c r="B175">
        <f>IF($A175=1,SUM($A$2:$A175),"")</f>
        <v/>
      </c>
      <c r="C175">
        <f>IF($A175=1,SUM($A$2:$A175),0)</f>
        <v/>
      </c>
    </row>
    <row r="176">
      <c r="A176">
        <f>IF(AND(OR(Query!$B$4="All",'Compliance Database'!$A176=Query!$B$4),OR(Query!$B$5="All",'Compliance Database'!$F176=Query!$B$5),OR(Query!$B$6="All",ISNUMBER(SEARCH(Query!$B$6,'Compliance Database'!$I176))),OR(Query!$B$7="All",ISNUMBER(SEARCH(Query!$B$7,'Compliance Database'!$J176))),OR(Query!$B$8="All",'Compliance Database'!$G176=Query!$B$8),OR(Query!$B$9="All",'Compliance Database'!$K176=Query!$B$9),OR(Query!$B$10="",ISNUMBER(SEARCH(Query!$B$10,'Compliance Database'!$D176&amp;" "&amp;'Compliance Database'!$L176&amp;" "&amp;'Compliance Database'!$M176&amp;" "&amp;'Compliance Database'!$N176&amp;" "&amp;'Compliance Database'!$O176)))),1,0)</f>
        <v/>
      </c>
      <c r="B176">
        <f>IF($A176=1,SUM($A$2:$A176),"")</f>
        <v/>
      </c>
      <c r="C176">
        <f>IF($A176=1,SUM($A$2:$A176),0)</f>
        <v/>
      </c>
    </row>
    <row r="177">
      <c r="A177">
        <f>IF(AND(OR(Query!$B$4="All",'Compliance Database'!$A177=Query!$B$4),OR(Query!$B$5="All",'Compliance Database'!$F177=Query!$B$5),OR(Query!$B$6="All",ISNUMBER(SEARCH(Query!$B$6,'Compliance Database'!$I177))),OR(Query!$B$7="All",ISNUMBER(SEARCH(Query!$B$7,'Compliance Database'!$J177))),OR(Query!$B$8="All",'Compliance Database'!$G177=Query!$B$8),OR(Query!$B$9="All",'Compliance Database'!$K177=Query!$B$9),OR(Query!$B$10="",ISNUMBER(SEARCH(Query!$B$10,'Compliance Database'!$D177&amp;" "&amp;'Compliance Database'!$L177&amp;" "&amp;'Compliance Database'!$M177&amp;" "&amp;'Compliance Database'!$N177&amp;" "&amp;'Compliance Database'!$O177)))),1,0)</f>
        <v/>
      </c>
      <c r="B177">
        <f>IF($A177=1,SUM($A$2:$A177),"")</f>
        <v/>
      </c>
      <c r="C177">
        <f>IF($A177=1,SUM($A$2:$A177),0)</f>
        <v/>
      </c>
    </row>
    <row r="178">
      <c r="A178">
        <f>IF(AND(OR(Query!$B$4="All",'Compliance Database'!$A178=Query!$B$4),OR(Query!$B$5="All",'Compliance Database'!$F178=Query!$B$5),OR(Query!$B$6="All",ISNUMBER(SEARCH(Query!$B$6,'Compliance Database'!$I178))),OR(Query!$B$7="All",ISNUMBER(SEARCH(Query!$B$7,'Compliance Database'!$J178))),OR(Query!$B$8="All",'Compliance Database'!$G178=Query!$B$8),OR(Query!$B$9="All",'Compliance Database'!$K178=Query!$B$9),OR(Query!$B$10="",ISNUMBER(SEARCH(Query!$B$10,'Compliance Database'!$D178&amp;" "&amp;'Compliance Database'!$L178&amp;" "&amp;'Compliance Database'!$M178&amp;" "&amp;'Compliance Database'!$N178&amp;" "&amp;'Compliance Database'!$O178)))),1,0)</f>
        <v/>
      </c>
      <c r="B178">
        <f>IF($A178=1,SUM($A$2:$A178),"")</f>
        <v/>
      </c>
      <c r="C178">
        <f>IF($A178=1,SUM($A$2:$A178),0)</f>
        <v/>
      </c>
    </row>
    <row r="179">
      <c r="A179">
        <f>IF(AND(OR(Query!$B$4="All",'Compliance Database'!$A179=Query!$B$4),OR(Query!$B$5="All",'Compliance Database'!$F179=Query!$B$5),OR(Query!$B$6="All",ISNUMBER(SEARCH(Query!$B$6,'Compliance Database'!$I179))),OR(Query!$B$7="All",ISNUMBER(SEARCH(Query!$B$7,'Compliance Database'!$J179))),OR(Query!$B$8="All",'Compliance Database'!$G179=Query!$B$8),OR(Query!$B$9="All",'Compliance Database'!$K179=Query!$B$9),OR(Query!$B$10="",ISNUMBER(SEARCH(Query!$B$10,'Compliance Database'!$D179&amp;" "&amp;'Compliance Database'!$L179&amp;" "&amp;'Compliance Database'!$M179&amp;" "&amp;'Compliance Database'!$N179&amp;" "&amp;'Compliance Database'!$O179)))),1,0)</f>
        <v/>
      </c>
      <c r="B179">
        <f>IF($A179=1,SUM($A$2:$A179),"")</f>
        <v/>
      </c>
      <c r="C179">
        <f>IF($A179=1,SUM($A$2:$A179),0)</f>
        <v/>
      </c>
    </row>
    <row r="180">
      <c r="A180">
        <f>IF(AND(OR(Query!$B$4="All",'Compliance Database'!$A180=Query!$B$4),OR(Query!$B$5="All",'Compliance Database'!$F180=Query!$B$5),OR(Query!$B$6="All",ISNUMBER(SEARCH(Query!$B$6,'Compliance Database'!$I180))),OR(Query!$B$7="All",ISNUMBER(SEARCH(Query!$B$7,'Compliance Database'!$J180))),OR(Query!$B$8="All",'Compliance Database'!$G180=Query!$B$8),OR(Query!$B$9="All",'Compliance Database'!$K180=Query!$B$9),OR(Query!$B$10="",ISNUMBER(SEARCH(Query!$B$10,'Compliance Database'!$D180&amp;" "&amp;'Compliance Database'!$L180&amp;" "&amp;'Compliance Database'!$M180&amp;" "&amp;'Compliance Database'!$N180&amp;" "&amp;'Compliance Database'!$O180)))),1,0)</f>
        <v/>
      </c>
      <c r="B180">
        <f>IF($A180=1,SUM($A$2:$A180),"")</f>
        <v/>
      </c>
      <c r="C180">
        <f>IF($A180=1,SUM($A$2:$A180),0)</f>
        <v/>
      </c>
    </row>
    <row r="181">
      <c r="A181">
        <f>IF(AND(OR(Query!$B$4="All",'Compliance Database'!$A181=Query!$B$4),OR(Query!$B$5="All",'Compliance Database'!$F181=Query!$B$5),OR(Query!$B$6="All",ISNUMBER(SEARCH(Query!$B$6,'Compliance Database'!$I181))),OR(Query!$B$7="All",ISNUMBER(SEARCH(Query!$B$7,'Compliance Database'!$J181))),OR(Query!$B$8="All",'Compliance Database'!$G181=Query!$B$8),OR(Query!$B$9="All",'Compliance Database'!$K181=Query!$B$9),OR(Query!$B$10="",ISNUMBER(SEARCH(Query!$B$10,'Compliance Database'!$D181&amp;" "&amp;'Compliance Database'!$L181&amp;" "&amp;'Compliance Database'!$M181&amp;" "&amp;'Compliance Database'!$N181&amp;" "&amp;'Compliance Database'!$O181)))),1,0)</f>
        <v/>
      </c>
      <c r="B181">
        <f>IF($A181=1,SUM($A$2:$A181),"")</f>
        <v/>
      </c>
      <c r="C181">
        <f>IF($A181=1,SUM($A$2:$A181),0)</f>
        <v/>
      </c>
    </row>
    <row r="182">
      <c r="A182">
        <f>IF(AND(OR(Query!$B$4="All",'Compliance Database'!$A182=Query!$B$4),OR(Query!$B$5="All",'Compliance Database'!$F182=Query!$B$5),OR(Query!$B$6="All",ISNUMBER(SEARCH(Query!$B$6,'Compliance Database'!$I182))),OR(Query!$B$7="All",ISNUMBER(SEARCH(Query!$B$7,'Compliance Database'!$J182))),OR(Query!$B$8="All",'Compliance Database'!$G182=Query!$B$8),OR(Query!$B$9="All",'Compliance Database'!$K182=Query!$B$9),OR(Query!$B$10="",ISNUMBER(SEARCH(Query!$B$10,'Compliance Database'!$D182&amp;" "&amp;'Compliance Database'!$L182&amp;" "&amp;'Compliance Database'!$M182&amp;" "&amp;'Compliance Database'!$N182&amp;" "&amp;'Compliance Database'!$O182)))),1,0)</f>
        <v/>
      </c>
      <c r="B182">
        <f>IF($A182=1,SUM($A$2:$A182),"")</f>
        <v/>
      </c>
      <c r="C182">
        <f>IF($A182=1,SUM($A$2:$A182),0)</f>
        <v/>
      </c>
    </row>
    <row r="183">
      <c r="A183">
        <f>IF(AND(OR(Query!$B$4="All",'Compliance Database'!$A183=Query!$B$4),OR(Query!$B$5="All",'Compliance Database'!$F183=Query!$B$5),OR(Query!$B$6="All",ISNUMBER(SEARCH(Query!$B$6,'Compliance Database'!$I183))),OR(Query!$B$7="All",ISNUMBER(SEARCH(Query!$B$7,'Compliance Database'!$J183))),OR(Query!$B$8="All",'Compliance Database'!$G183=Query!$B$8),OR(Query!$B$9="All",'Compliance Database'!$K183=Query!$B$9),OR(Query!$B$10="",ISNUMBER(SEARCH(Query!$B$10,'Compliance Database'!$D183&amp;" "&amp;'Compliance Database'!$L183&amp;" "&amp;'Compliance Database'!$M183&amp;" "&amp;'Compliance Database'!$N183&amp;" "&amp;'Compliance Database'!$O183)))),1,0)</f>
        <v/>
      </c>
      <c r="B183">
        <f>IF($A183=1,SUM($A$2:$A183),"")</f>
        <v/>
      </c>
      <c r="C183">
        <f>IF($A183=1,SUM($A$2:$A183),0)</f>
        <v/>
      </c>
    </row>
    <row r="184">
      <c r="A184">
        <f>IF(AND(OR(Query!$B$4="All",'Compliance Database'!$A184=Query!$B$4),OR(Query!$B$5="All",'Compliance Database'!$F184=Query!$B$5),OR(Query!$B$6="All",ISNUMBER(SEARCH(Query!$B$6,'Compliance Database'!$I184))),OR(Query!$B$7="All",ISNUMBER(SEARCH(Query!$B$7,'Compliance Database'!$J184))),OR(Query!$B$8="All",'Compliance Database'!$G184=Query!$B$8),OR(Query!$B$9="All",'Compliance Database'!$K184=Query!$B$9),OR(Query!$B$10="",ISNUMBER(SEARCH(Query!$B$10,'Compliance Database'!$D184&amp;" "&amp;'Compliance Database'!$L184&amp;" "&amp;'Compliance Database'!$M184&amp;" "&amp;'Compliance Database'!$N184&amp;" "&amp;'Compliance Database'!$O184)))),1,0)</f>
        <v/>
      </c>
      <c r="B184">
        <f>IF($A184=1,SUM($A$2:$A184),"")</f>
        <v/>
      </c>
      <c r="C184">
        <f>IF($A184=1,SUM($A$2:$A184),0)</f>
        <v/>
      </c>
    </row>
    <row r="185">
      <c r="A185">
        <f>IF(AND(OR(Query!$B$4="All",'Compliance Database'!$A185=Query!$B$4),OR(Query!$B$5="All",'Compliance Database'!$F185=Query!$B$5),OR(Query!$B$6="All",ISNUMBER(SEARCH(Query!$B$6,'Compliance Database'!$I185))),OR(Query!$B$7="All",ISNUMBER(SEARCH(Query!$B$7,'Compliance Database'!$J185))),OR(Query!$B$8="All",'Compliance Database'!$G185=Query!$B$8),OR(Query!$B$9="All",'Compliance Database'!$K185=Query!$B$9),OR(Query!$B$10="",ISNUMBER(SEARCH(Query!$B$10,'Compliance Database'!$D185&amp;" "&amp;'Compliance Database'!$L185&amp;" "&amp;'Compliance Database'!$M185&amp;" "&amp;'Compliance Database'!$N185&amp;" "&amp;'Compliance Database'!$O185)))),1,0)</f>
        <v/>
      </c>
      <c r="B185">
        <f>IF($A185=1,SUM($A$2:$A185),"")</f>
        <v/>
      </c>
      <c r="C185">
        <f>IF($A185=1,SUM($A$2:$A185),0)</f>
        <v/>
      </c>
    </row>
    <row r="186">
      <c r="A186">
        <f>IF(AND(OR(Query!$B$4="All",'Compliance Database'!$A186=Query!$B$4),OR(Query!$B$5="All",'Compliance Database'!$F186=Query!$B$5),OR(Query!$B$6="All",ISNUMBER(SEARCH(Query!$B$6,'Compliance Database'!$I186))),OR(Query!$B$7="All",ISNUMBER(SEARCH(Query!$B$7,'Compliance Database'!$J186))),OR(Query!$B$8="All",'Compliance Database'!$G186=Query!$B$8),OR(Query!$B$9="All",'Compliance Database'!$K186=Query!$B$9),OR(Query!$B$10="",ISNUMBER(SEARCH(Query!$B$10,'Compliance Database'!$D186&amp;" "&amp;'Compliance Database'!$L186&amp;" "&amp;'Compliance Database'!$M186&amp;" "&amp;'Compliance Database'!$N186&amp;" "&amp;'Compliance Database'!$O186)))),1,0)</f>
        <v/>
      </c>
      <c r="B186">
        <f>IF($A186=1,SUM($A$2:$A186),"")</f>
        <v/>
      </c>
      <c r="C186">
        <f>IF($A186=1,SUM($A$2:$A186),0)</f>
        <v/>
      </c>
    </row>
    <row r="187">
      <c r="A187">
        <f>IF(AND(OR(Query!$B$4="All",'Compliance Database'!$A187=Query!$B$4),OR(Query!$B$5="All",'Compliance Database'!$F187=Query!$B$5),OR(Query!$B$6="All",ISNUMBER(SEARCH(Query!$B$6,'Compliance Database'!$I187))),OR(Query!$B$7="All",ISNUMBER(SEARCH(Query!$B$7,'Compliance Database'!$J187))),OR(Query!$B$8="All",'Compliance Database'!$G187=Query!$B$8),OR(Query!$B$9="All",'Compliance Database'!$K187=Query!$B$9),OR(Query!$B$10="",ISNUMBER(SEARCH(Query!$B$10,'Compliance Database'!$D187&amp;" "&amp;'Compliance Database'!$L187&amp;" "&amp;'Compliance Database'!$M187&amp;" "&amp;'Compliance Database'!$N187&amp;" "&amp;'Compliance Database'!$O187)))),1,0)</f>
        <v/>
      </c>
      <c r="B187">
        <f>IF($A187=1,SUM($A$2:$A187),"")</f>
        <v/>
      </c>
      <c r="C187">
        <f>IF($A187=1,SUM($A$2:$A187),0)</f>
        <v/>
      </c>
    </row>
    <row r="188">
      <c r="A188">
        <f>IF(AND(OR(Query!$B$4="All",'Compliance Database'!$A188=Query!$B$4),OR(Query!$B$5="All",'Compliance Database'!$F188=Query!$B$5),OR(Query!$B$6="All",ISNUMBER(SEARCH(Query!$B$6,'Compliance Database'!$I188))),OR(Query!$B$7="All",ISNUMBER(SEARCH(Query!$B$7,'Compliance Database'!$J188))),OR(Query!$B$8="All",'Compliance Database'!$G188=Query!$B$8),OR(Query!$B$9="All",'Compliance Database'!$K188=Query!$B$9),OR(Query!$B$10="",ISNUMBER(SEARCH(Query!$B$10,'Compliance Database'!$D188&amp;" "&amp;'Compliance Database'!$L188&amp;" "&amp;'Compliance Database'!$M188&amp;" "&amp;'Compliance Database'!$N188&amp;" "&amp;'Compliance Database'!$O188)))),1,0)</f>
        <v/>
      </c>
      <c r="B188">
        <f>IF($A188=1,SUM($A$2:$A188),"")</f>
        <v/>
      </c>
      <c r="C188">
        <f>IF($A188=1,SUM($A$2:$A188),0)</f>
        <v/>
      </c>
    </row>
    <row r="189">
      <c r="A189">
        <f>IF(AND(OR(Query!$B$4="All",'Compliance Database'!$A189=Query!$B$4),OR(Query!$B$5="All",'Compliance Database'!$F189=Query!$B$5),OR(Query!$B$6="All",ISNUMBER(SEARCH(Query!$B$6,'Compliance Database'!$I189))),OR(Query!$B$7="All",ISNUMBER(SEARCH(Query!$B$7,'Compliance Database'!$J189))),OR(Query!$B$8="All",'Compliance Database'!$G189=Query!$B$8),OR(Query!$B$9="All",'Compliance Database'!$K189=Query!$B$9),OR(Query!$B$10="",ISNUMBER(SEARCH(Query!$B$10,'Compliance Database'!$D189&amp;" "&amp;'Compliance Database'!$L189&amp;" "&amp;'Compliance Database'!$M189&amp;" "&amp;'Compliance Database'!$N189&amp;" "&amp;'Compliance Database'!$O189)))),1,0)</f>
        <v/>
      </c>
      <c r="B189">
        <f>IF($A189=1,SUM($A$2:$A189),"")</f>
        <v/>
      </c>
      <c r="C189">
        <f>IF($A189=1,SUM($A$2:$A189),0)</f>
        <v/>
      </c>
    </row>
    <row r="190">
      <c r="A190">
        <f>IF(AND(OR(Query!$B$4="All",'Compliance Database'!$A190=Query!$B$4),OR(Query!$B$5="All",'Compliance Database'!$F190=Query!$B$5),OR(Query!$B$6="All",ISNUMBER(SEARCH(Query!$B$6,'Compliance Database'!$I190))),OR(Query!$B$7="All",ISNUMBER(SEARCH(Query!$B$7,'Compliance Database'!$J190))),OR(Query!$B$8="All",'Compliance Database'!$G190=Query!$B$8),OR(Query!$B$9="All",'Compliance Database'!$K190=Query!$B$9),OR(Query!$B$10="",ISNUMBER(SEARCH(Query!$B$10,'Compliance Database'!$D190&amp;" "&amp;'Compliance Database'!$L190&amp;" "&amp;'Compliance Database'!$M190&amp;" "&amp;'Compliance Database'!$N190&amp;" "&amp;'Compliance Database'!$O190)))),1,0)</f>
        <v/>
      </c>
      <c r="B190">
        <f>IF($A190=1,SUM($A$2:$A190),"")</f>
        <v/>
      </c>
      <c r="C190">
        <f>IF($A190=1,SUM($A$2:$A190),0)</f>
        <v/>
      </c>
    </row>
    <row r="191">
      <c r="A191">
        <f>IF(AND(OR(Query!$B$4="All",'Compliance Database'!$A191=Query!$B$4),OR(Query!$B$5="All",'Compliance Database'!$F191=Query!$B$5),OR(Query!$B$6="All",ISNUMBER(SEARCH(Query!$B$6,'Compliance Database'!$I191))),OR(Query!$B$7="All",ISNUMBER(SEARCH(Query!$B$7,'Compliance Database'!$J191))),OR(Query!$B$8="All",'Compliance Database'!$G191=Query!$B$8),OR(Query!$B$9="All",'Compliance Database'!$K191=Query!$B$9),OR(Query!$B$10="",ISNUMBER(SEARCH(Query!$B$10,'Compliance Database'!$D191&amp;" "&amp;'Compliance Database'!$L191&amp;" "&amp;'Compliance Database'!$M191&amp;" "&amp;'Compliance Database'!$N191&amp;" "&amp;'Compliance Database'!$O191)))),1,0)</f>
        <v/>
      </c>
      <c r="B191">
        <f>IF($A191=1,SUM($A$2:$A191),"")</f>
        <v/>
      </c>
      <c r="C191">
        <f>IF($A191=1,SUM($A$2:$A191),0)</f>
        <v/>
      </c>
    </row>
    <row r="192">
      <c r="A192">
        <f>IF(AND(OR(Query!$B$4="All",'Compliance Database'!$A192=Query!$B$4),OR(Query!$B$5="All",'Compliance Database'!$F192=Query!$B$5),OR(Query!$B$6="All",ISNUMBER(SEARCH(Query!$B$6,'Compliance Database'!$I192))),OR(Query!$B$7="All",ISNUMBER(SEARCH(Query!$B$7,'Compliance Database'!$J192))),OR(Query!$B$8="All",'Compliance Database'!$G192=Query!$B$8),OR(Query!$B$9="All",'Compliance Database'!$K192=Query!$B$9),OR(Query!$B$10="",ISNUMBER(SEARCH(Query!$B$10,'Compliance Database'!$D192&amp;" "&amp;'Compliance Database'!$L192&amp;" "&amp;'Compliance Database'!$M192&amp;" "&amp;'Compliance Database'!$N192&amp;" "&amp;'Compliance Database'!$O192)))),1,0)</f>
        <v/>
      </c>
      <c r="B192">
        <f>IF($A192=1,SUM($A$2:$A192),"")</f>
        <v/>
      </c>
      <c r="C192">
        <f>IF($A192=1,SUM($A$2:$A192),0)</f>
        <v/>
      </c>
    </row>
    <row r="193">
      <c r="A193">
        <f>IF(AND(OR(Query!$B$4="All",'Compliance Database'!$A193=Query!$B$4),OR(Query!$B$5="All",'Compliance Database'!$F193=Query!$B$5),OR(Query!$B$6="All",ISNUMBER(SEARCH(Query!$B$6,'Compliance Database'!$I193))),OR(Query!$B$7="All",ISNUMBER(SEARCH(Query!$B$7,'Compliance Database'!$J193))),OR(Query!$B$8="All",'Compliance Database'!$G193=Query!$B$8),OR(Query!$B$9="All",'Compliance Database'!$K193=Query!$B$9),OR(Query!$B$10="",ISNUMBER(SEARCH(Query!$B$10,'Compliance Database'!$D193&amp;" "&amp;'Compliance Database'!$L193&amp;" "&amp;'Compliance Database'!$M193&amp;" "&amp;'Compliance Database'!$N193&amp;" "&amp;'Compliance Database'!$O193)))),1,0)</f>
        <v/>
      </c>
      <c r="B193">
        <f>IF($A193=1,SUM($A$2:$A193),"")</f>
        <v/>
      </c>
      <c r="C193">
        <f>IF($A193=1,SUM($A$2:$A193),0)</f>
        <v/>
      </c>
    </row>
    <row r="194">
      <c r="A194">
        <f>IF(AND(OR(Query!$B$4="All",'Compliance Database'!$A194=Query!$B$4),OR(Query!$B$5="All",'Compliance Database'!$F194=Query!$B$5),OR(Query!$B$6="All",ISNUMBER(SEARCH(Query!$B$6,'Compliance Database'!$I194))),OR(Query!$B$7="All",ISNUMBER(SEARCH(Query!$B$7,'Compliance Database'!$J194))),OR(Query!$B$8="All",'Compliance Database'!$G194=Query!$B$8),OR(Query!$B$9="All",'Compliance Database'!$K194=Query!$B$9),OR(Query!$B$10="",ISNUMBER(SEARCH(Query!$B$10,'Compliance Database'!$D194&amp;" "&amp;'Compliance Database'!$L194&amp;" "&amp;'Compliance Database'!$M194&amp;" "&amp;'Compliance Database'!$N194&amp;" "&amp;'Compliance Database'!$O194)))),1,0)</f>
        <v/>
      </c>
      <c r="B194">
        <f>IF($A194=1,SUM($A$2:$A194),"")</f>
        <v/>
      </c>
      <c r="C194">
        <f>IF($A194=1,SUM($A$2:$A194),0)</f>
        <v/>
      </c>
    </row>
    <row r="195">
      <c r="A195">
        <f>IF(AND(OR(Query!$B$4="All",'Compliance Database'!$A195=Query!$B$4),OR(Query!$B$5="All",'Compliance Database'!$F195=Query!$B$5),OR(Query!$B$6="All",ISNUMBER(SEARCH(Query!$B$6,'Compliance Database'!$I195))),OR(Query!$B$7="All",ISNUMBER(SEARCH(Query!$B$7,'Compliance Database'!$J195))),OR(Query!$B$8="All",'Compliance Database'!$G195=Query!$B$8),OR(Query!$B$9="All",'Compliance Database'!$K195=Query!$B$9),OR(Query!$B$10="",ISNUMBER(SEARCH(Query!$B$10,'Compliance Database'!$D195&amp;" "&amp;'Compliance Database'!$L195&amp;" "&amp;'Compliance Database'!$M195&amp;" "&amp;'Compliance Database'!$N195&amp;" "&amp;'Compliance Database'!$O195)))),1,0)</f>
        <v/>
      </c>
      <c r="B195">
        <f>IF($A195=1,SUM($A$2:$A195),"")</f>
        <v/>
      </c>
      <c r="C195">
        <f>IF($A195=1,SUM($A$2:$A195),0)</f>
        <v/>
      </c>
    </row>
    <row r="196">
      <c r="A196">
        <f>IF(AND(OR(Query!$B$4="All",'Compliance Database'!$A196=Query!$B$4),OR(Query!$B$5="All",'Compliance Database'!$F196=Query!$B$5),OR(Query!$B$6="All",ISNUMBER(SEARCH(Query!$B$6,'Compliance Database'!$I196))),OR(Query!$B$7="All",ISNUMBER(SEARCH(Query!$B$7,'Compliance Database'!$J196))),OR(Query!$B$8="All",'Compliance Database'!$G196=Query!$B$8),OR(Query!$B$9="All",'Compliance Database'!$K196=Query!$B$9),OR(Query!$B$10="",ISNUMBER(SEARCH(Query!$B$10,'Compliance Database'!$D196&amp;" "&amp;'Compliance Database'!$L196&amp;" "&amp;'Compliance Database'!$M196&amp;" "&amp;'Compliance Database'!$N196&amp;" "&amp;'Compliance Database'!$O196)))),1,0)</f>
        <v/>
      </c>
      <c r="B196">
        <f>IF($A196=1,SUM($A$2:$A196),"")</f>
        <v/>
      </c>
      <c r="C196">
        <f>IF($A196=1,SUM($A$2:$A196),0)</f>
        <v/>
      </c>
    </row>
    <row r="197">
      <c r="A197">
        <f>IF(AND(OR(Query!$B$4="All",'Compliance Database'!$A197=Query!$B$4),OR(Query!$B$5="All",'Compliance Database'!$F197=Query!$B$5),OR(Query!$B$6="All",ISNUMBER(SEARCH(Query!$B$6,'Compliance Database'!$I197))),OR(Query!$B$7="All",ISNUMBER(SEARCH(Query!$B$7,'Compliance Database'!$J197))),OR(Query!$B$8="All",'Compliance Database'!$G197=Query!$B$8),OR(Query!$B$9="All",'Compliance Database'!$K197=Query!$B$9),OR(Query!$B$10="",ISNUMBER(SEARCH(Query!$B$10,'Compliance Database'!$D197&amp;" "&amp;'Compliance Database'!$L197&amp;" "&amp;'Compliance Database'!$M197&amp;" "&amp;'Compliance Database'!$N197&amp;" "&amp;'Compliance Database'!$O197)))),1,0)</f>
        <v/>
      </c>
      <c r="B197">
        <f>IF($A197=1,SUM($A$2:$A197),"")</f>
        <v/>
      </c>
      <c r="C197">
        <f>IF($A197=1,SUM($A$2:$A197),0)</f>
        <v/>
      </c>
    </row>
    <row r="198">
      <c r="A198">
        <f>IF(AND(OR(Query!$B$4="All",'Compliance Database'!$A198=Query!$B$4),OR(Query!$B$5="All",'Compliance Database'!$F198=Query!$B$5),OR(Query!$B$6="All",ISNUMBER(SEARCH(Query!$B$6,'Compliance Database'!$I198))),OR(Query!$B$7="All",ISNUMBER(SEARCH(Query!$B$7,'Compliance Database'!$J198))),OR(Query!$B$8="All",'Compliance Database'!$G198=Query!$B$8),OR(Query!$B$9="All",'Compliance Database'!$K198=Query!$B$9),OR(Query!$B$10="",ISNUMBER(SEARCH(Query!$B$10,'Compliance Database'!$D198&amp;" "&amp;'Compliance Database'!$L198&amp;" "&amp;'Compliance Database'!$M198&amp;" "&amp;'Compliance Database'!$N198&amp;" "&amp;'Compliance Database'!$O198)))),1,0)</f>
        <v/>
      </c>
      <c r="B198">
        <f>IF($A198=1,SUM($A$2:$A198),"")</f>
        <v/>
      </c>
      <c r="C198">
        <f>IF($A198=1,SUM($A$2:$A198),0)</f>
        <v/>
      </c>
    </row>
    <row r="199">
      <c r="A199">
        <f>IF(AND(OR(Query!$B$4="All",'Compliance Database'!$A199=Query!$B$4),OR(Query!$B$5="All",'Compliance Database'!$F199=Query!$B$5),OR(Query!$B$6="All",ISNUMBER(SEARCH(Query!$B$6,'Compliance Database'!$I199))),OR(Query!$B$7="All",ISNUMBER(SEARCH(Query!$B$7,'Compliance Database'!$J199))),OR(Query!$B$8="All",'Compliance Database'!$G199=Query!$B$8),OR(Query!$B$9="All",'Compliance Database'!$K199=Query!$B$9),OR(Query!$B$10="",ISNUMBER(SEARCH(Query!$B$10,'Compliance Database'!$D199&amp;" "&amp;'Compliance Database'!$L199&amp;" "&amp;'Compliance Database'!$M199&amp;" "&amp;'Compliance Database'!$N199&amp;" "&amp;'Compliance Database'!$O199)))),1,0)</f>
        <v/>
      </c>
      <c r="B199">
        <f>IF($A199=1,SUM($A$2:$A199),"")</f>
        <v/>
      </c>
      <c r="C199">
        <f>IF($A199=1,SUM($A$2:$A199),0)</f>
        <v/>
      </c>
    </row>
    <row r="200">
      <c r="A200">
        <f>IF(AND(OR(Query!$B$4="All",'Compliance Database'!$A200=Query!$B$4),OR(Query!$B$5="All",'Compliance Database'!$F200=Query!$B$5),OR(Query!$B$6="All",ISNUMBER(SEARCH(Query!$B$6,'Compliance Database'!$I200))),OR(Query!$B$7="All",ISNUMBER(SEARCH(Query!$B$7,'Compliance Database'!$J200))),OR(Query!$B$8="All",'Compliance Database'!$G200=Query!$B$8),OR(Query!$B$9="All",'Compliance Database'!$K200=Query!$B$9),OR(Query!$B$10="",ISNUMBER(SEARCH(Query!$B$10,'Compliance Database'!$D200&amp;" "&amp;'Compliance Database'!$L200&amp;" "&amp;'Compliance Database'!$M200&amp;" "&amp;'Compliance Database'!$N200&amp;" "&amp;'Compliance Database'!$O200)))),1,0)</f>
        <v/>
      </c>
      <c r="B200">
        <f>IF($A200=1,SUM($A$2:$A200),"")</f>
        <v/>
      </c>
      <c r="C200">
        <f>IF($A200=1,SUM($A$2:$A200),0)</f>
        <v/>
      </c>
    </row>
    <row r="201">
      <c r="A201">
        <f>IF(AND(OR(Query!$B$4="All",'Compliance Database'!$A201=Query!$B$4),OR(Query!$B$5="All",'Compliance Database'!$F201=Query!$B$5),OR(Query!$B$6="All",ISNUMBER(SEARCH(Query!$B$6,'Compliance Database'!$I201))),OR(Query!$B$7="All",ISNUMBER(SEARCH(Query!$B$7,'Compliance Database'!$J201))),OR(Query!$B$8="All",'Compliance Database'!$G201=Query!$B$8),OR(Query!$B$9="All",'Compliance Database'!$K201=Query!$B$9),OR(Query!$B$10="",ISNUMBER(SEARCH(Query!$B$10,'Compliance Database'!$D201&amp;" "&amp;'Compliance Database'!$L201&amp;" "&amp;'Compliance Database'!$M201&amp;" "&amp;'Compliance Database'!$N201&amp;" "&amp;'Compliance Database'!$O201)))),1,0)</f>
        <v/>
      </c>
      <c r="B201">
        <f>IF($A201=1,SUM($A$2:$A201),"")</f>
        <v/>
      </c>
      <c r="C201">
        <f>IF($A201=1,SUM($A$2:$A201),0)</f>
        <v/>
      </c>
    </row>
    <row r="202">
      <c r="A202">
        <f>IF(AND(OR(Query!$B$4="All",'Compliance Database'!$A202=Query!$B$4),OR(Query!$B$5="All",'Compliance Database'!$F202=Query!$B$5),OR(Query!$B$6="All",ISNUMBER(SEARCH(Query!$B$6,'Compliance Database'!$I202))),OR(Query!$B$7="All",ISNUMBER(SEARCH(Query!$B$7,'Compliance Database'!$J202))),OR(Query!$B$8="All",'Compliance Database'!$G202=Query!$B$8),OR(Query!$B$9="All",'Compliance Database'!$K202=Query!$B$9),OR(Query!$B$10="",ISNUMBER(SEARCH(Query!$B$10,'Compliance Database'!$D202&amp;" "&amp;'Compliance Database'!$L202&amp;" "&amp;'Compliance Database'!$M202&amp;" "&amp;'Compliance Database'!$N202&amp;" "&amp;'Compliance Database'!$O202)))),1,0)</f>
        <v/>
      </c>
      <c r="B202">
        <f>IF($A202=1,SUM($A$2:$A202),"")</f>
        <v/>
      </c>
      <c r="C202">
        <f>IF($A202=1,SUM($A$2:$A202),0)</f>
        <v/>
      </c>
    </row>
    <row r="203">
      <c r="A203">
        <f>IF(AND(OR(Query!$B$4="All",'Compliance Database'!$A203=Query!$B$4),OR(Query!$B$5="All",'Compliance Database'!$F203=Query!$B$5),OR(Query!$B$6="All",ISNUMBER(SEARCH(Query!$B$6,'Compliance Database'!$I203))),OR(Query!$B$7="All",ISNUMBER(SEARCH(Query!$B$7,'Compliance Database'!$J203))),OR(Query!$B$8="All",'Compliance Database'!$G203=Query!$B$8),OR(Query!$B$9="All",'Compliance Database'!$K203=Query!$B$9),OR(Query!$B$10="",ISNUMBER(SEARCH(Query!$B$10,'Compliance Database'!$D203&amp;" "&amp;'Compliance Database'!$L203&amp;" "&amp;'Compliance Database'!$M203&amp;" "&amp;'Compliance Database'!$N203&amp;" "&amp;'Compliance Database'!$O203)))),1,0)</f>
        <v/>
      </c>
      <c r="B203">
        <f>IF($A203=1,SUM($A$2:$A203),"")</f>
        <v/>
      </c>
      <c r="C203">
        <f>IF($A203=1,SUM($A$2:$A203),0)</f>
        <v/>
      </c>
    </row>
    <row r="204">
      <c r="A204">
        <f>IF(AND(OR(Query!$B$4="All",'Compliance Database'!$A204=Query!$B$4),OR(Query!$B$5="All",'Compliance Database'!$F204=Query!$B$5),OR(Query!$B$6="All",ISNUMBER(SEARCH(Query!$B$6,'Compliance Database'!$I204))),OR(Query!$B$7="All",ISNUMBER(SEARCH(Query!$B$7,'Compliance Database'!$J204))),OR(Query!$B$8="All",'Compliance Database'!$G204=Query!$B$8),OR(Query!$B$9="All",'Compliance Database'!$K204=Query!$B$9),OR(Query!$B$10="",ISNUMBER(SEARCH(Query!$B$10,'Compliance Database'!$D204&amp;" "&amp;'Compliance Database'!$L204&amp;" "&amp;'Compliance Database'!$M204&amp;" "&amp;'Compliance Database'!$N204&amp;" "&amp;'Compliance Database'!$O204)))),1,0)</f>
        <v/>
      </c>
      <c r="B204">
        <f>IF($A204=1,SUM($A$2:$A204),"")</f>
        <v/>
      </c>
      <c r="C204">
        <f>IF($A204=1,SUM($A$2:$A204),0)</f>
        <v/>
      </c>
    </row>
    <row r="205">
      <c r="A205">
        <f>IF(AND(OR(Query!$B$4="All",'Compliance Database'!$A205=Query!$B$4),OR(Query!$B$5="All",'Compliance Database'!$F205=Query!$B$5),OR(Query!$B$6="All",ISNUMBER(SEARCH(Query!$B$6,'Compliance Database'!$I205))),OR(Query!$B$7="All",ISNUMBER(SEARCH(Query!$B$7,'Compliance Database'!$J205))),OR(Query!$B$8="All",'Compliance Database'!$G205=Query!$B$8),OR(Query!$B$9="All",'Compliance Database'!$K205=Query!$B$9),OR(Query!$B$10="",ISNUMBER(SEARCH(Query!$B$10,'Compliance Database'!$D205&amp;" "&amp;'Compliance Database'!$L205&amp;" "&amp;'Compliance Database'!$M205&amp;" "&amp;'Compliance Database'!$N205&amp;" "&amp;'Compliance Database'!$O205)))),1,0)</f>
        <v/>
      </c>
      <c r="B205">
        <f>IF($A205=1,SUM($A$2:$A205),"")</f>
        <v/>
      </c>
      <c r="C205">
        <f>IF($A205=1,SUM($A$2:$A205),0)</f>
        <v/>
      </c>
    </row>
    <row r="206">
      <c r="A206">
        <f>IF(AND(OR(Query!$B$4="All",'Compliance Database'!$A206=Query!$B$4),OR(Query!$B$5="All",'Compliance Database'!$F206=Query!$B$5),OR(Query!$B$6="All",ISNUMBER(SEARCH(Query!$B$6,'Compliance Database'!$I206))),OR(Query!$B$7="All",ISNUMBER(SEARCH(Query!$B$7,'Compliance Database'!$J206))),OR(Query!$B$8="All",'Compliance Database'!$G206=Query!$B$8),OR(Query!$B$9="All",'Compliance Database'!$K206=Query!$B$9),OR(Query!$B$10="",ISNUMBER(SEARCH(Query!$B$10,'Compliance Database'!$D206&amp;" "&amp;'Compliance Database'!$L206&amp;" "&amp;'Compliance Database'!$M206&amp;" "&amp;'Compliance Database'!$N206&amp;" "&amp;'Compliance Database'!$O206)))),1,0)</f>
        <v/>
      </c>
      <c r="B206">
        <f>IF($A206=1,SUM($A$2:$A206),"")</f>
        <v/>
      </c>
      <c r="C206">
        <f>IF($A206=1,SUM($A$2:$A206),0)</f>
        <v/>
      </c>
    </row>
    <row r="207">
      <c r="A207">
        <f>IF(AND(OR(Query!$B$4="All",'Compliance Database'!$A207=Query!$B$4),OR(Query!$B$5="All",'Compliance Database'!$F207=Query!$B$5),OR(Query!$B$6="All",ISNUMBER(SEARCH(Query!$B$6,'Compliance Database'!$I207))),OR(Query!$B$7="All",ISNUMBER(SEARCH(Query!$B$7,'Compliance Database'!$J207))),OR(Query!$B$8="All",'Compliance Database'!$G207=Query!$B$8),OR(Query!$B$9="All",'Compliance Database'!$K207=Query!$B$9),OR(Query!$B$10="",ISNUMBER(SEARCH(Query!$B$10,'Compliance Database'!$D207&amp;" "&amp;'Compliance Database'!$L207&amp;" "&amp;'Compliance Database'!$M207&amp;" "&amp;'Compliance Database'!$N207&amp;" "&amp;'Compliance Database'!$O207)))),1,0)</f>
        <v/>
      </c>
      <c r="B207">
        <f>IF($A207=1,SUM($A$2:$A207),"")</f>
        <v/>
      </c>
      <c r="C207">
        <f>IF($A207=1,SUM($A$2:$A207),0)</f>
        <v/>
      </c>
    </row>
    <row r="208">
      <c r="A208">
        <f>IF(AND(OR(Query!$B$4="All",'Compliance Database'!$A208=Query!$B$4),OR(Query!$B$5="All",'Compliance Database'!$F208=Query!$B$5),OR(Query!$B$6="All",ISNUMBER(SEARCH(Query!$B$6,'Compliance Database'!$I208))),OR(Query!$B$7="All",ISNUMBER(SEARCH(Query!$B$7,'Compliance Database'!$J208))),OR(Query!$B$8="All",'Compliance Database'!$G208=Query!$B$8),OR(Query!$B$9="All",'Compliance Database'!$K208=Query!$B$9),OR(Query!$B$10="",ISNUMBER(SEARCH(Query!$B$10,'Compliance Database'!$D208&amp;" "&amp;'Compliance Database'!$L208&amp;" "&amp;'Compliance Database'!$M208&amp;" "&amp;'Compliance Database'!$N208&amp;" "&amp;'Compliance Database'!$O208)))),1,0)</f>
        <v/>
      </c>
      <c r="B208">
        <f>IF($A208=1,SUM($A$2:$A208),"")</f>
        <v/>
      </c>
      <c r="C208">
        <f>IF($A208=1,SUM($A$2:$A208),0)</f>
        <v/>
      </c>
    </row>
    <row r="209">
      <c r="A209">
        <f>IF(AND(OR(Query!$B$4="All",'Compliance Database'!$A209=Query!$B$4),OR(Query!$B$5="All",'Compliance Database'!$F209=Query!$B$5),OR(Query!$B$6="All",ISNUMBER(SEARCH(Query!$B$6,'Compliance Database'!$I209))),OR(Query!$B$7="All",ISNUMBER(SEARCH(Query!$B$7,'Compliance Database'!$J209))),OR(Query!$B$8="All",'Compliance Database'!$G209=Query!$B$8),OR(Query!$B$9="All",'Compliance Database'!$K209=Query!$B$9),OR(Query!$B$10="",ISNUMBER(SEARCH(Query!$B$10,'Compliance Database'!$D209&amp;" "&amp;'Compliance Database'!$L209&amp;" "&amp;'Compliance Database'!$M209&amp;" "&amp;'Compliance Database'!$N209&amp;" "&amp;'Compliance Database'!$O209)))),1,0)</f>
        <v/>
      </c>
      <c r="B209">
        <f>IF($A209=1,SUM($A$2:$A209),"")</f>
        <v/>
      </c>
      <c r="C209">
        <f>IF($A209=1,SUM($A$2:$A209),0)</f>
        <v/>
      </c>
    </row>
    <row r="210">
      <c r="A210">
        <f>IF(AND(OR(Query!$B$4="All",'Compliance Database'!$A210=Query!$B$4),OR(Query!$B$5="All",'Compliance Database'!$F210=Query!$B$5),OR(Query!$B$6="All",ISNUMBER(SEARCH(Query!$B$6,'Compliance Database'!$I210))),OR(Query!$B$7="All",ISNUMBER(SEARCH(Query!$B$7,'Compliance Database'!$J210))),OR(Query!$B$8="All",'Compliance Database'!$G210=Query!$B$8),OR(Query!$B$9="All",'Compliance Database'!$K210=Query!$B$9),OR(Query!$B$10="",ISNUMBER(SEARCH(Query!$B$10,'Compliance Database'!$D210&amp;" "&amp;'Compliance Database'!$L210&amp;" "&amp;'Compliance Database'!$M210&amp;" "&amp;'Compliance Database'!$N210&amp;" "&amp;'Compliance Database'!$O210)))),1,0)</f>
        <v/>
      </c>
      <c r="B210">
        <f>IF($A210=1,SUM($A$2:$A210),"")</f>
        <v/>
      </c>
      <c r="C210">
        <f>IF($A210=1,SUM($A$2:$A210),0)</f>
        <v/>
      </c>
    </row>
    <row r="211">
      <c r="A211">
        <f>IF(AND(OR(Query!$B$4="All",'Compliance Database'!$A211=Query!$B$4),OR(Query!$B$5="All",'Compliance Database'!$F211=Query!$B$5),OR(Query!$B$6="All",ISNUMBER(SEARCH(Query!$B$6,'Compliance Database'!$I211))),OR(Query!$B$7="All",ISNUMBER(SEARCH(Query!$B$7,'Compliance Database'!$J211))),OR(Query!$B$8="All",'Compliance Database'!$G211=Query!$B$8),OR(Query!$B$9="All",'Compliance Database'!$K211=Query!$B$9),OR(Query!$B$10="",ISNUMBER(SEARCH(Query!$B$10,'Compliance Database'!$D211&amp;" "&amp;'Compliance Database'!$L211&amp;" "&amp;'Compliance Database'!$M211&amp;" "&amp;'Compliance Database'!$N211&amp;" "&amp;'Compliance Database'!$O211)))),1,0)</f>
        <v/>
      </c>
      <c r="B211">
        <f>IF($A211=1,SUM($A$2:$A211),"")</f>
        <v/>
      </c>
      <c r="C211">
        <f>IF($A211=1,SUM($A$2:$A211),0)</f>
        <v/>
      </c>
    </row>
    <row r="212">
      <c r="A212">
        <f>IF(AND(OR(Query!$B$4="All",'Compliance Database'!$A212=Query!$B$4),OR(Query!$B$5="All",'Compliance Database'!$F212=Query!$B$5),OR(Query!$B$6="All",ISNUMBER(SEARCH(Query!$B$6,'Compliance Database'!$I212))),OR(Query!$B$7="All",ISNUMBER(SEARCH(Query!$B$7,'Compliance Database'!$J212))),OR(Query!$B$8="All",'Compliance Database'!$G212=Query!$B$8),OR(Query!$B$9="All",'Compliance Database'!$K212=Query!$B$9),OR(Query!$B$10="",ISNUMBER(SEARCH(Query!$B$10,'Compliance Database'!$D212&amp;" "&amp;'Compliance Database'!$L212&amp;" "&amp;'Compliance Database'!$M212&amp;" "&amp;'Compliance Database'!$N212&amp;" "&amp;'Compliance Database'!$O212)))),1,0)</f>
        <v/>
      </c>
      <c r="B212">
        <f>IF($A212=1,SUM($A$2:$A212),"")</f>
        <v/>
      </c>
      <c r="C212">
        <f>IF($A212=1,SUM($A$2:$A212),0)</f>
        <v/>
      </c>
    </row>
    <row r="213">
      <c r="A213">
        <f>IF(AND(OR(Query!$B$4="All",'Compliance Database'!$A213=Query!$B$4),OR(Query!$B$5="All",'Compliance Database'!$F213=Query!$B$5),OR(Query!$B$6="All",ISNUMBER(SEARCH(Query!$B$6,'Compliance Database'!$I213))),OR(Query!$B$7="All",ISNUMBER(SEARCH(Query!$B$7,'Compliance Database'!$J213))),OR(Query!$B$8="All",'Compliance Database'!$G213=Query!$B$8),OR(Query!$B$9="All",'Compliance Database'!$K213=Query!$B$9),OR(Query!$B$10="",ISNUMBER(SEARCH(Query!$B$10,'Compliance Database'!$D213&amp;" "&amp;'Compliance Database'!$L213&amp;" "&amp;'Compliance Database'!$M213&amp;" "&amp;'Compliance Database'!$N213&amp;" "&amp;'Compliance Database'!$O213)))),1,0)</f>
        <v/>
      </c>
      <c r="B213">
        <f>IF($A213=1,SUM($A$2:$A213),"")</f>
        <v/>
      </c>
      <c r="C213">
        <f>IF($A213=1,SUM($A$2:$A213),0)</f>
        <v/>
      </c>
    </row>
    <row r="214">
      <c r="A214">
        <f>IF(AND(OR(Query!$B$4="All",'Compliance Database'!$A214=Query!$B$4),OR(Query!$B$5="All",'Compliance Database'!$F214=Query!$B$5),OR(Query!$B$6="All",ISNUMBER(SEARCH(Query!$B$6,'Compliance Database'!$I214))),OR(Query!$B$7="All",ISNUMBER(SEARCH(Query!$B$7,'Compliance Database'!$J214))),OR(Query!$B$8="All",'Compliance Database'!$G214=Query!$B$8),OR(Query!$B$9="All",'Compliance Database'!$K214=Query!$B$9),OR(Query!$B$10="",ISNUMBER(SEARCH(Query!$B$10,'Compliance Database'!$D214&amp;" "&amp;'Compliance Database'!$L214&amp;" "&amp;'Compliance Database'!$M214&amp;" "&amp;'Compliance Database'!$N214&amp;" "&amp;'Compliance Database'!$O214)))),1,0)</f>
        <v/>
      </c>
      <c r="B214">
        <f>IF($A214=1,SUM($A$2:$A214),"")</f>
        <v/>
      </c>
      <c r="C214">
        <f>IF($A214=1,SUM($A$2:$A214),0)</f>
        <v/>
      </c>
    </row>
    <row r="215">
      <c r="A215">
        <f>IF(AND(OR(Query!$B$4="All",'Compliance Database'!$A215=Query!$B$4),OR(Query!$B$5="All",'Compliance Database'!$F215=Query!$B$5),OR(Query!$B$6="All",ISNUMBER(SEARCH(Query!$B$6,'Compliance Database'!$I215))),OR(Query!$B$7="All",ISNUMBER(SEARCH(Query!$B$7,'Compliance Database'!$J215))),OR(Query!$B$8="All",'Compliance Database'!$G215=Query!$B$8),OR(Query!$B$9="All",'Compliance Database'!$K215=Query!$B$9),OR(Query!$B$10="",ISNUMBER(SEARCH(Query!$B$10,'Compliance Database'!$D215&amp;" "&amp;'Compliance Database'!$L215&amp;" "&amp;'Compliance Database'!$M215&amp;" "&amp;'Compliance Database'!$N215&amp;" "&amp;'Compliance Database'!$O215)))),1,0)</f>
        <v/>
      </c>
      <c r="B215">
        <f>IF($A215=1,SUM($A$2:$A215),"")</f>
        <v/>
      </c>
      <c r="C215">
        <f>IF($A215=1,SUM($A$2:$A215),0)</f>
        <v/>
      </c>
    </row>
    <row r="216">
      <c r="A216">
        <f>IF(AND(OR(Query!$B$4="All",'Compliance Database'!$A216=Query!$B$4),OR(Query!$B$5="All",'Compliance Database'!$F216=Query!$B$5),OR(Query!$B$6="All",ISNUMBER(SEARCH(Query!$B$6,'Compliance Database'!$I216))),OR(Query!$B$7="All",ISNUMBER(SEARCH(Query!$B$7,'Compliance Database'!$J216))),OR(Query!$B$8="All",'Compliance Database'!$G216=Query!$B$8),OR(Query!$B$9="All",'Compliance Database'!$K216=Query!$B$9),OR(Query!$B$10="",ISNUMBER(SEARCH(Query!$B$10,'Compliance Database'!$D216&amp;" "&amp;'Compliance Database'!$L216&amp;" "&amp;'Compliance Database'!$M216&amp;" "&amp;'Compliance Database'!$N216&amp;" "&amp;'Compliance Database'!$O216)))),1,0)</f>
        <v/>
      </c>
      <c r="B216">
        <f>IF($A216=1,SUM($A$2:$A216),"")</f>
        <v/>
      </c>
      <c r="C216">
        <f>IF($A216=1,SUM($A$2:$A216),0)</f>
        <v/>
      </c>
    </row>
    <row r="217">
      <c r="A217">
        <f>IF(AND(OR(Query!$B$4="All",'Compliance Database'!$A217=Query!$B$4),OR(Query!$B$5="All",'Compliance Database'!$F217=Query!$B$5),OR(Query!$B$6="All",ISNUMBER(SEARCH(Query!$B$6,'Compliance Database'!$I217))),OR(Query!$B$7="All",ISNUMBER(SEARCH(Query!$B$7,'Compliance Database'!$J217))),OR(Query!$B$8="All",'Compliance Database'!$G217=Query!$B$8),OR(Query!$B$9="All",'Compliance Database'!$K217=Query!$B$9),OR(Query!$B$10="",ISNUMBER(SEARCH(Query!$B$10,'Compliance Database'!$D217&amp;" "&amp;'Compliance Database'!$L217&amp;" "&amp;'Compliance Database'!$M217&amp;" "&amp;'Compliance Database'!$N217&amp;" "&amp;'Compliance Database'!$O217)))),1,0)</f>
        <v/>
      </c>
      <c r="B217">
        <f>IF($A217=1,SUM($A$2:$A217),"")</f>
        <v/>
      </c>
      <c r="C217">
        <f>IF($A217=1,SUM($A$2:$A217),0)</f>
        <v/>
      </c>
    </row>
    <row r="218">
      <c r="A218">
        <f>IF(AND(OR(Query!$B$4="All",'Compliance Database'!$A218=Query!$B$4),OR(Query!$B$5="All",'Compliance Database'!$F218=Query!$B$5),OR(Query!$B$6="All",ISNUMBER(SEARCH(Query!$B$6,'Compliance Database'!$I218))),OR(Query!$B$7="All",ISNUMBER(SEARCH(Query!$B$7,'Compliance Database'!$J218))),OR(Query!$B$8="All",'Compliance Database'!$G218=Query!$B$8),OR(Query!$B$9="All",'Compliance Database'!$K218=Query!$B$9),OR(Query!$B$10="",ISNUMBER(SEARCH(Query!$B$10,'Compliance Database'!$D218&amp;" "&amp;'Compliance Database'!$L218&amp;" "&amp;'Compliance Database'!$M218&amp;" "&amp;'Compliance Database'!$N218&amp;" "&amp;'Compliance Database'!$O218)))),1,0)</f>
        <v/>
      </c>
      <c r="B218">
        <f>IF($A218=1,SUM($A$2:$A218),"")</f>
        <v/>
      </c>
      <c r="C218">
        <f>IF($A218=1,SUM($A$2:$A218),0)</f>
        <v/>
      </c>
    </row>
    <row r="219">
      <c r="A219">
        <f>IF(AND(OR(Query!$B$4="All",'Compliance Database'!$A219=Query!$B$4),OR(Query!$B$5="All",'Compliance Database'!$F219=Query!$B$5),OR(Query!$B$6="All",ISNUMBER(SEARCH(Query!$B$6,'Compliance Database'!$I219))),OR(Query!$B$7="All",ISNUMBER(SEARCH(Query!$B$7,'Compliance Database'!$J219))),OR(Query!$B$8="All",'Compliance Database'!$G219=Query!$B$8),OR(Query!$B$9="All",'Compliance Database'!$K219=Query!$B$9),OR(Query!$B$10="",ISNUMBER(SEARCH(Query!$B$10,'Compliance Database'!$D219&amp;" "&amp;'Compliance Database'!$L219&amp;" "&amp;'Compliance Database'!$M219&amp;" "&amp;'Compliance Database'!$N219&amp;" "&amp;'Compliance Database'!$O219)))),1,0)</f>
        <v/>
      </c>
      <c r="B219">
        <f>IF($A219=1,SUM($A$2:$A219),"")</f>
        <v/>
      </c>
      <c r="C219">
        <f>IF($A219=1,SUM($A$2:$A219),0)</f>
        <v/>
      </c>
    </row>
    <row r="220">
      <c r="A220">
        <f>IF(AND(OR(Query!$B$4="All",'Compliance Database'!$A220=Query!$B$4),OR(Query!$B$5="All",'Compliance Database'!$F220=Query!$B$5),OR(Query!$B$6="All",ISNUMBER(SEARCH(Query!$B$6,'Compliance Database'!$I220))),OR(Query!$B$7="All",ISNUMBER(SEARCH(Query!$B$7,'Compliance Database'!$J220))),OR(Query!$B$8="All",'Compliance Database'!$G220=Query!$B$8),OR(Query!$B$9="All",'Compliance Database'!$K220=Query!$B$9),OR(Query!$B$10="",ISNUMBER(SEARCH(Query!$B$10,'Compliance Database'!$D220&amp;" "&amp;'Compliance Database'!$L220&amp;" "&amp;'Compliance Database'!$M220&amp;" "&amp;'Compliance Database'!$N220&amp;" "&amp;'Compliance Database'!$O220)))),1,0)</f>
        <v/>
      </c>
      <c r="B220">
        <f>IF($A220=1,SUM($A$2:$A220),"")</f>
        <v/>
      </c>
      <c r="C220">
        <f>IF($A220=1,SUM($A$2:$A220),0)</f>
        <v/>
      </c>
    </row>
    <row r="221">
      <c r="A221">
        <f>IF(AND(OR(Query!$B$4="All",'Compliance Database'!$A221=Query!$B$4),OR(Query!$B$5="All",'Compliance Database'!$F221=Query!$B$5),OR(Query!$B$6="All",ISNUMBER(SEARCH(Query!$B$6,'Compliance Database'!$I221))),OR(Query!$B$7="All",ISNUMBER(SEARCH(Query!$B$7,'Compliance Database'!$J221))),OR(Query!$B$8="All",'Compliance Database'!$G221=Query!$B$8),OR(Query!$B$9="All",'Compliance Database'!$K221=Query!$B$9),OR(Query!$B$10="",ISNUMBER(SEARCH(Query!$B$10,'Compliance Database'!$D221&amp;" "&amp;'Compliance Database'!$L221&amp;" "&amp;'Compliance Database'!$M221&amp;" "&amp;'Compliance Database'!$N221&amp;" "&amp;'Compliance Database'!$O221)))),1,0)</f>
        <v/>
      </c>
      <c r="B221">
        <f>IF($A221=1,SUM($A$2:$A221),"")</f>
        <v/>
      </c>
      <c r="C221">
        <f>IF($A221=1,SUM($A$2:$A221),0)</f>
        <v/>
      </c>
    </row>
    <row r="222">
      <c r="A222">
        <f>IF(AND(OR(Query!$B$4="All",'Compliance Database'!$A222=Query!$B$4),OR(Query!$B$5="All",'Compliance Database'!$F222=Query!$B$5),OR(Query!$B$6="All",ISNUMBER(SEARCH(Query!$B$6,'Compliance Database'!$I222))),OR(Query!$B$7="All",ISNUMBER(SEARCH(Query!$B$7,'Compliance Database'!$J222))),OR(Query!$B$8="All",'Compliance Database'!$G222=Query!$B$8),OR(Query!$B$9="All",'Compliance Database'!$K222=Query!$B$9),OR(Query!$B$10="",ISNUMBER(SEARCH(Query!$B$10,'Compliance Database'!$D222&amp;" "&amp;'Compliance Database'!$L222&amp;" "&amp;'Compliance Database'!$M222&amp;" "&amp;'Compliance Database'!$N222&amp;" "&amp;'Compliance Database'!$O222)))),1,0)</f>
        <v/>
      </c>
      <c r="B222">
        <f>IF($A222=1,SUM($A$2:$A222),"")</f>
        <v/>
      </c>
      <c r="C222">
        <f>IF($A222=1,SUM($A$2:$A222),0)</f>
        <v/>
      </c>
    </row>
    <row r="223">
      <c r="A223">
        <f>IF(AND(OR(Query!$B$4="All",'Compliance Database'!$A223=Query!$B$4),OR(Query!$B$5="All",'Compliance Database'!$F223=Query!$B$5),OR(Query!$B$6="All",ISNUMBER(SEARCH(Query!$B$6,'Compliance Database'!$I223))),OR(Query!$B$7="All",ISNUMBER(SEARCH(Query!$B$7,'Compliance Database'!$J223))),OR(Query!$B$8="All",'Compliance Database'!$G223=Query!$B$8),OR(Query!$B$9="All",'Compliance Database'!$K223=Query!$B$9),OR(Query!$B$10="",ISNUMBER(SEARCH(Query!$B$10,'Compliance Database'!$D223&amp;" "&amp;'Compliance Database'!$L223&amp;" "&amp;'Compliance Database'!$M223&amp;" "&amp;'Compliance Database'!$N223&amp;" "&amp;'Compliance Database'!$O223)))),1,0)</f>
        <v/>
      </c>
      <c r="B223">
        <f>IF($A223=1,SUM($A$2:$A223),"")</f>
        <v/>
      </c>
      <c r="C223">
        <f>IF($A223=1,SUM($A$2:$A223),0)</f>
        <v/>
      </c>
    </row>
    <row r="224">
      <c r="A224">
        <f>IF(AND(OR(Query!$B$4="All",'Compliance Database'!$A224=Query!$B$4),OR(Query!$B$5="All",'Compliance Database'!$F224=Query!$B$5),OR(Query!$B$6="All",ISNUMBER(SEARCH(Query!$B$6,'Compliance Database'!$I224))),OR(Query!$B$7="All",ISNUMBER(SEARCH(Query!$B$7,'Compliance Database'!$J224))),OR(Query!$B$8="All",'Compliance Database'!$G224=Query!$B$8),OR(Query!$B$9="All",'Compliance Database'!$K224=Query!$B$9),OR(Query!$B$10="",ISNUMBER(SEARCH(Query!$B$10,'Compliance Database'!$D224&amp;" "&amp;'Compliance Database'!$L224&amp;" "&amp;'Compliance Database'!$M224&amp;" "&amp;'Compliance Database'!$N224&amp;" "&amp;'Compliance Database'!$O224)))),1,0)</f>
        <v/>
      </c>
      <c r="B224">
        <f>IF($A224=1,SUM($A$2:$A224),"")</f>
        <v/>
      </c>
      <c r="C224">
        <f>IF($A224=1,SUM($A$2:$A224),0)</f>
        <v/>
      </c>
    </row>
    <row r="225">
      <c r="A225">
        <f>IF(AND(OR(Query!$B$4="All",'Compliance Database'!$A225=Query!$B$4),OR(Query!$B$5="All",'Compliance Database'!$F225=Query!$B$5),OR(Query!$B$6="All",ISNUMBER(SEARCH(Query!$B$6,'Compliance Database'!$I225))),OR(Query!$B$7="All",ISNUMBER(SEARCH(Query!$B$7,'Compliance Database'!$J225))),OR(Query!$B$8="All",'Compliance Database'!$G225=Query!$B$8),OR(Query!$B$9="All",'Compliance Database'!$K225=Query!$B$9),OR(Query!$B$10="",ISNUMBER(SEARCH(Query!$B$10,'Compliance Database'!$D225&amp;" "&amp;'Compliance Database'!$L225&amp;" "&amp;'Compliance Database'!$M225&amp;" "&amp;'Compliance Database'!$N225&amp;" "&amp;'Compliance Database'!$O225)))),1,0)</f>
        <v/>
      </c>
      <c r="B225">
        <f>IF($A225=1,SUM($A$2:$A225),"")</f>
        <v/>
      </c>
      <c r="C225">
        <f>IF($A225=1,SUM($A$2:$A225),0)</f>
        <v/>
      </c>
    </row>
    <row r="226">
      <c r="A226">
        <f>IF(AND(OR(Query!$B$4="All",'Compliance Database'!$A226=Query!$B$4),OR(Query!$B$5="All",'Compliance Database'!$F226=Query!$B$5),OR(Query!$B$6="All",ISNUMBER(SEARCH(Query!$B$6,'Compliance Database'!$I226))),OR(Query!$B$7="All",ISNUMBER(SEARCH(Query!$B$7,'Compliance Database'!$J226))),OR(Query!$B$8="All",'Compliance Database'!$G226=Query!$B$8),OR(Query!$B$9="All",'Compliance Database'!$K226=Query!$B$9),OR(Query!$B$10="",ISNUMBER(SEARCH(Query!$B$10,'Compliance Database'!$D226&amp;" "&amp;'Compliance Database'!$L226&amp;" "&amp;'Compliance Database'!$M226&amp;" "&amp;'Compliance Database'!$N226&amp;" "&amp;'Compliance Database'!$O226)))),1,0)</f>
        <v/>
      </c>
      <c r="B226">
        <f>IF($A226=1,SUM($A$2:$A226),"")</f>
        <v/>
      </c>
      <c r="C226">
        <f>IF($A226=1,SUM($A$2:$A226),0)</f>
        <v/>
      </c>
    </row>
    <row r="227">
      <c r="A227">
        <f>IF(AND(OR(Query!$B$4="All",'Compliance Database'!$A227=Query!$B$4),OR(Query!$B$5="All",'Compliance Database'!$F227=Query!$B$5),OR(Query!$B$6="All",ISNUMBER(SEARCH(Query!$B$6,'Compliance Database'!$I227))),OR(Query!$B$7="All",ISNUMBER(SEARCH(Query!$B$7,'Compliance Database'!$J227))),OR(Query!$B$8="All",'Compliance Database'!$G227=Query!$B$8),OR(Query!$B$9="All",'Compliance Database'!$K227=Query!$B$9),OR(Query!$B$10="",ISNUMBER(SEARCH(Query!$B$10,'Compliance Database'!$D227&amp;" "&amp;'Compliance Database'!$L227&amp;" "&amp;'Compliance Database'!$M227&amp;" "&amp;'Compliance Database'!$N227&amp;" "&amp;'Compliance Database'!$O227)))),1,0)</f>
        <v/>
      </c>
      <c r="B227">
        <f>IF($A227=1,SUM($A$2:$A227),"")</f>
        <v/>
      </c>
      <c r="C227">
        <f>IF($A227=1,SUM($A$2:$A227),0)</f>
        <v/>
      </c>
    </row>
    <row r="228">
      <c r="A228">
        <f>IF(AND(OR(Query!$B$4="All",'Compliance Database'!$A228=Query!$B$4),OR(Query!$B$5="All",'Compliance Database'!$F228=Query!$B$5),OR(Query!$B$6="All",ISNUMBER(SEARCH(Query!$B$6,'Compliance Database'!$I228))),OR(Query!$B$7="All",ISNUMBER(SEARCH(Query!$B$7,'Compliance Database'!$J228))),OR(Query!$B$8="All",'Compliance Database'!$G228=Query!$B$8),OR(Query!$B$9="All",'Compliance Database'!$K228=Query!$B$9),OR(Query!$B$10="",ISNUMBER(SEARCH(Query!$B$10,'Compliance Database'!$D228&amp;" "&amp;'Compliance Database'!$L228&amp;" "&amp;'Compliance Database'!$M228&amp;" "&amp;'Compliance Database'!$N228&amp;" "&amp;'Compliance Database'!$O228)))),1,0)</f>
        <v/>
      </c>
      <c r="B228">
        <f>IF($A228=1,SUM($A$2:$A228),"")</f>
        <v/>
      </c>
      <c r="C228">
        <f>IF($A228=1,SUM($A$2:$A228),0)</f>
        <v/>
      </c>
    </row>
    <row r="229">
      <c r="A229">
        <f>IF(AND(OR(Query!$B$4="All",'Compliance Database'!$A229=Query!$B$4),OR(Query!$B$5="All",'Compliance Database'!$F229=Query!$B$5),OR(Query!$B$6="All",ISNUMBER(SEARCH(Query!$B$6,'Compliance Database'!$I229))),OR(Query!$B$7="All",ISNUMBER(SEARCH(Query!$B$7,'Compliance Database'!$J229))),OR(Query!$B$8="All",'Compliance Database'!$G229=Query!$B$8),OR(Query!$B$9="All",'Compliance Database'!$K229=Query!$B$9),OR(Query!$B$10="",ISNUMBER(SEARCH(Query!$B$10,'Compliance Database'!$D229&amp;" "&amp;'Compliance Database'!$L229&amp;" "&amp;'Compliance Database'!$M229&amp;" "&amp;'Compliance Database'!$N229&amp;" "&amp;'Compliance Database'!$O229)))),1,0)</f>
        <v/>
      </c>
      <c r="B229">
        <f>IF($A229=1,SUM($A$2:$A229),"")</f>
        <v/>
      </c>
      <c r="C229">
        <f>IF($A229=1,SUM($A$2:$A229),0)</f>
        <v/>
      </c>
    </row>
    <row r="230">
      <c r="A230">
        <f>IF(AND(OR(Query!$B$4="All",'Compliance Database'!$A230=Query!$B$4),OR(Query!$B$5="All",'Compliance Database'!$F230=Query!$B$5),OR(Query!$B$6="All",ISNUMBER(SEARCH(Query!$B$6,'Compliance Database'!$I230))),OR(Query!$B$7="All",ISNUMBER(SEARCH(Query!$B$7,'Compliance Database'!$J230))),OR(Query!$B$8="All",'Compliance Database'!$G230=Query!$B$8),OR(Query!$B$9="All",'Compliance Database'!$K230=Query!$B$9),OR(Query!$B$10="",ISNUMBER(SEARCH(Query!$B$10,'Compliance Database'!$D230&amp;" "&amp;'Compliance Database'!$L230&amp;" "&amp;'Compliance Database'!$M230&amp;" "&amp;'Compliance Database'!$N230&amp;" "&amp;'Compliance Database'!$O230)))),1,0)</f>
        <v/>
      </c>
      <c r="B230">
        <f>IF($A230=1,SUM($A$2:$A230),"")</f>
        <v/>
      </c>
      <c r="C230">
        <f>IF($A230=1,SUM($A$2:$A230),0)</f>
        <v/>
      </c>
    </row>
    <row r="231">
      <c r="A231">
        <f>IF(AND(OR(Query!$B$4="All",'Compliance Database'!$A231=Query!$B$4),OR(Query!$B$5="All",'Compliance Database'!$F231=Query!$B$5),OR(Query!$B$6="All",ISNUMBER(SEARCH(Query!$B$6,'Compliance Database'!$I231))),OR(Query!$B$7="All",ISNUMBER(SEARCH(Query!$B$7,'Compliance Database'!$J231))),OR(Query!$B$8="All",'Compliance Database'!$G231=Query!$B$8),OR(Query!$B$9="All",'Compliance Database'!$K231=Query!$B$9),OR(Query!$B$10="",ISNUMBER(SEARCH(Query!$B$10,'Compliance Database'!$D231&amp;" "&amp;'Compliance Database'!$L231&amp;" "&amp;'Compliance Database'!$M231&amp;" "&amp;'Compliance Database'!$N231&amp;" "&amp;'Compliance Database'!$O231)))),1,0)</f>
        <v/>
      </c>
      <c r="B231">
        <f>IF($A231=1,SUM($A$2:$A231),"")</f>
        <v/>
      </c>
      <c r="C231">
        <f>IF($A231=1,SUM($A$2:$A231),0)</f>
        <v/>
      </c>
    </row>
    <row r="232">
      <c r="A232">
        <f>IF(AND(OR(Query!$B$4="All",'Compliance Database'!$A232=Query!$B$4),OR(Query!$B$5="All",'Compliance Database'!$F232=Query!$B$5),OR(Query!$B$6="All",ISNUMBER(SEARCH(Query!$B$6,'Compliance Database'!$I232))),OR(Query!$B$7="All",ISNUMBER(SEARCH(Query!$B$7,'Compliance Database'!$J232))),OR(Query!$B$8="All",'Compliance Database'!$G232=Query!$B$8),OR(Query!$B$9="All",'Compliance Database'!$K232=Query!$B$9),OR(Query!$B$10="",ISNUMBER(SEARCH(Query!$B$10,'Compliance Database'!$D232&amp;" "&amp;'Compliance Database'!$L232&amp;" "&amp;'Compliance Database'!$M232&amp;" "&amp;'Compliance Database'!$N232&amp;" "&amp;'Compliance Database'!$O232)))),1,0)</f>
        <v/>
      </c>
      <c r="B232">
        <f>IF($A232=1,SUM($A$2:$A232),"")</f>
        <v/>
      </c>
      <c r="C232">
        <f>IF($A232=1,SUM($A$2:$A232),0)</f>
        <v/>
      </c>
    </row>
    <row r="233">
      <c r="A233">
        <f>IF(AND(OR(Query!$B$4="All",'Compliance Database'!$A233=Query!$B$4),OR(Query!$B$5="All",'Compliance Database'!$F233=Query!$B$5),OR(Query!$B$6="All",ISNUMBER(SEARCH(Query!$B$6,'Compliance Database'!$I233))),OR(Query!$B$7="All",ISNUMBER(SEARCH(Query!$B$7,'Compliance Database'!$J233))),OR(Query!$B$8="All",'Compliance Database'!$G233=Query!$B$8),OR(Query!$B$9="All",'Compliance Database'!$K233=Query!$B$9),OR(Query!$B$10="",ISNUMBER(SEARCH(Query!$B$10,'Compliance Database'!$D233&amp;" "&amp;'Compliance Database'!$L233&amp;" "&amp;'Compliance Database'!$M233&amp;" "&amp;'Compliance Database'!$N233&amp;" "&amp;'Compliance Database'!$O233)))),1,0)</f>
        <v/>
      </c>
      <c r="B233">
        <f>IF($A233=1,SUM($A$2:$A233),"")</f>
        <v/>
      </c>
      <c r="C233">
        <f>IF($A233=1,SUM($A$2:$A233),0)</f>
        <v/>
      </c>
    </row>
    <row r="234">
      <c r="A234">
        <f>IF(AND(OR(Query!$B$4="All",'Compliance Database'!$A234=Query!$B$4),OR(Query!$B$5="All",'Compliance Database'!$F234=Query!$B$5),OR(Query!$B$6="All",ISNUMBER(SEARCH(Query!$B$6,'Compliance Database'!$I234))),OR(Query!$B$7="All",ISNUMBER(SEARCH(Query!$B$7,'Compliance Database'!$J234))),OR(Query!$B$8="All",'Compliance Database'!$G234=Query!$B$8),OR(Query!$B$9="All",'Compliance Database'!$K234=Query!$B$9),OR(Query!$B$10="",ISNUMBER(SEARCH(Query!$B$10,'Compliance Database'!$D234&amp;" "&amp;'Compliance Database'!$L234&amp;" "&amp;'Compliance Database'!$M234&amp;" "&amp;'Compliance Database'!$N234&amp;" "&amp;'Compliance Database'!$O234)))),1,0)</f>
        <v/>
      </c>
      <c r="B234">
        <f>IF($A234=1,SUM($A$2:$A234),"")</f>
        <v/>
      </c>
      <c r="C234">
        <f>IF($A234=1,SUM($A$2:$A234),0)</f>
        <v/>
      </c>
    </row>
    <row r="235">
      <c r="A235">
        <f>IF(AND(OR(Query!$B$4="All",'Compliance Database'!$A235=Query!$B$4),OR(Query!$B$5="All",'Compliance Database'!$F235=Query!$B$5),OR(Query!$B$6="All",ISNUMBER(SEARCH(Query!$B$6,'Compliance Database'!$I235))),OR(Query!$B$7="All",ISNUMBER(SEARCH(Query!$B$7,'Compliance Database'!$J235))),OR(Query!$B$8="All",'Compliance Database'!$G235=Query!$B$8),OR(Query!$B$9="All",'Compliance Database'!$K235=Query!$B$9),OR(Query!$B$10="",ISNUMBER(SEARCH(Query!$B$10,'Compliance Database'!$D235&amp;" "&amp;'Compliance Database'!$L235&amp;" "&amp;'Compliance Database'!$M235&amp;" "&amp;'Compliance Database'!$N235&amp;" "&amp;'Compliance Database'!$O235)))),1,0)</f>
        <v/>
      </c>
      <c r="B235">
        <f>IF($A235=1,SUM($A$2:$A235),"")</f>
        <v/>
      </c>
      <c r="C235">
        <f>IF($A235=1,SUM($A$2:$A235),0)</f>
        <v/>
      </c>
    </row>
    <row r="236">
      <c r="A236">
        <f>IF(AND(OR(Query!$B$4="All",'Compliance Database'!$A236=Query!$B$4),OR(Query!$B$5="All",'Compliance Database'!$F236=Query!$B$5),OR(Query!$B$6="All",ISNUMBER(SEARCH(Query!$B$6,'Compliance Database'!$I236))),OR(Query!$B$7="All",ISNUMBER(SEARCH(Query!$B$7,'Compliance Database'!$J236))),OR(Query!$B$8="All",'Compliance Database'!$G236=Query!$B$8),OR(Query!$B$9="All",'Compliance Database'!$K236=Query!$B$9),OR(Query!$B$10="",ISNUMBER(SEARCH(Query!$B$10,'Compliance Database'!$D236&amp;" "&amp;'Compliance Database'!$L236&amp;" "&amp;'Compliance Database'!$M236&amp;" "&amp;'Compliance Database'!$N236&amp;" "&amp;'Compliance Database'!$O236)))),1,0)</f>
        <v/>
      </c>
      <c r="B236">
        <f>IF($A236=1,SUM($A$2:$A236),"")</f>
        <v/>
      </c>
      <c r="C236">
        <f>IF($A236=1,SUM($A$2:$A236),0)</f>
        <v/>
      </c>
    </row>
    <row r="237">
      <c r="A237">
        <f>IF(AND(OR(Query!$B$4="All",'Compliance Database'!$A237=Query!$B$4),OR(Query!$B$5="All",'Compliance Database'!$F237=Query!$B$5),OR(Query!$B$6="All",ISNUMBER(SEARCH(Query!$B$6,'Compliance Database'!$I237))),OR(Query!$B$7="All",ISNUMBER(SEARCH(Query!$B$7,'Compliance Database'!$J237))),OR(Query!$B$8="All",'Compliance Database'!$G237=Query!$B$8),OR(Query!$B$9="All",'Compliance Database'!$K237=Query!$B$9),OR(Query!$B$10="",ISNUMBER(SEARCH(Query!$B$10,'Compliance Database'!$D237&amp;" "&amp;'Compliance Database'!$L237&amp;" "&amp;'Compliance Database'!$M237&amp;" "&amp;'Compliance Database'!$N237&amp;" "&amp;'Compliance Database'!$O237)))),1,0)</f>
        <v/>
      </c>
      <c r="B237">
        <f>IF($A237=1,SUM($A$2:$A237),"")</f>
        <v/>
      </c>
      <c r="C237">
        <f>IF($A237=1,SUM($A$2:$A237),0)</f>
        <v/>
      </c>
    </row>
    <row r="238">
      <c r="A238">
        <f>IF(AND(OR(Query!$B$4="All",'Compliance Database'!$A238=Query!$B$4),OR(Query!$B$5="All",'Compliance Database'!$F238=Query!$B$5),OR(Query!$B$6="All",ISNUMBER(SEARCH(Query!$B$6,'Compliance Database'!$I238))),OR(Query!$B$7="All",ISNUMBER(SEARCH(Query!$B$7,'Compliance Database'!$J238))),OR(Query!$B$8="All",'Compliance Database'!$G238=Query!$B$8),OR(Query!$B$9="All",'Compliance Database'!$K238=Query!$B$9),OR(Query!$B$10="",ISNUMBER(SEARCH(Query!$B$10,'Compliance Database'!$D238&amp;" "&amp;'Compliance Database'!$L238&amp;" "&amp;'Compliance Database'!$M238&amp;" "&amp;'Compliance Database'!$N238&amp;" "&amp;'Compliance Database'!$O238)))),1,0)</f>
        <v/>
      </c>
      <c r="B238">
        <f>IF($A238=1,SUM($A$2:$A238),"")</f>
        <v/>
      </c>
      <c r="C238">
        <f>IF($A238=1,SUM($A$2:$A238),0)</f>
        <v/>
      </c>
    </row>
    <row r="239">
      <c r="A239">
        <f>IF(AND(OR(Query!$B$4="All",'Compliance Database'!$A239=Query!$B$4),OR(Query!$B$5="All",'Compliance Database'!$F239=Query!$B$5),OR(Query!$B$6="All",ISNUMBER(SEARCH(Query!$B$6,'Compliance Database'!$I239))),OR(Query!$B$7="All",ISNUMBER(SEARCH(Query!$B$7,'Compliance Database'!$J239))),OR(Query!$B$8="All",'Compliance Database'!$G239=Query!$B$8),OR(Query!$B$9="All",'Compliance Database'!$K239=Query!$B$9),OR(Query!$B$10="",ISNUMBER(SEARCH(Query!$B$10,'Compliance Database'!$D239&amp;" "&amp;'Compliance Database'!$L239&amp;" "&amp;'Compliance Database'!$M239&amp;" "&amp;'Compliance Database'!$N239&amp;" "&amp;'Compliance Database'!$O239)))),1,0)</f>
        <v/>
      </c>
      <c r="B239">
        <f>IF($A239=1,SUM($A$2:$A239),"")</f>
        <v/>
      </c>
      <c r="C239">
        <f>IF($A239=1,SUM($A$2:$A239),0)</f>
        <v/>
      </c>
    </row>
    <row r="240">
      <c r="A240">
        <f>IF(AND(OR(Query!$B$4="All",'Compliance Database'!$A240=Query!$B$4),OR(Query!$B$5="All",'Compliance Database'!$F240=Query!$B$5),OR(Query!$B$6="All",ISNUMBER(SEARCH(Query!$B$6,'Compliance Database'!$I240))),OR(Query!$B$7="All",ISNUMBER(SEARCH(Query!$B$7,'Compliance Database'!$J240))),OR(Query!$B$8="All",'Compliance Database'!$G240=Query!$B$8),OR(Query!$B$9="All",'Compliance Database'!$K240=Query!$B$9),OR(Query!$B$10="",ISNUMBER(SEARCH(Query!$B$10,'Compliance Database'!$D240&amp;" "&amp;'Compliance Database'!$L240&amp;" "&amp;'Compliance Database'!$M240&amp;" "&amp;'Compliance Database'!$N240&amp;" "&amp;'Compliance Database'!$O240)))),1,0)</f>
        <v/>
      </c>
      <c r="B240">
        <f>IF($A240=1,SUM($A$2:$A240),"")</f>
        <v/>
      </c>
      <c r="C240">
        <f>IF($A240=1,SUM($A$2:$A240),0)</f>
        <v/>
      </c>
    </row>
    <row r="241">
      <c r="A241">
        <f>IF(AND(OR(Query!$B$4="All",'Compliance Database'!$A241=Query!$B$4),OR(Query!$B$5="All",'Compliance Database'!$F241=Query!$B$5),OR(Query!$B$6="All",ISNUMBER(SEARCH(Query!$B$6,'Compliance Database'!$I241))),OR(Query!$B$7="All",ISNUMBER(SEARCH(Query!$B$7,'Compliance Database'!$J241))),OR(Query!$B$8="All",'Compliance Database'!$G241=Query!$B$8),OR(Query!$B$9="All",'Compliance Database'!$K241=Query!$B$9),OR(Query!$B$10="",ISNUMBER(SEARCH(Query!$B$10,'Compliance Database'!$D241&amp;" "&amp;'Compliance Database'!$L241&amp;" "&amp;'Compliance Database'!$M241&amp;" "&amp;'Compliance Database'!$N241&amp;" "&amp;'Compliance Database'!$O241)))),1,0)</f>
        <v/>
      </c>
      <c r="B241">
        <f>IF($A241=1,SUM($A$2:$A241),"")</f>
        <v/>
      </c>
      <c r="C241">
        <f>IF($A241=1,SUM($A$2:$A241),0)</f>
        <v/>
      </c>
    </row>
    <row r="242">
      <c r="A242">
        <f>IF(AND(OR(Query!$B$4="All",'Compliance Database'!$A242=Query!$B$4),OR(Query!$B$5="All",'Compliance Database'!$F242=Query!$B$5),OR(Query!$B$6="All",ISNUMBER(SEARCH(Query!$B$6,'Compliance Database'!$I242))),OR(Query!$B$7="All",ISNUMBER(SEARCH(Query!$B$7,'Compliance Database'!$J242))),OR(Query!$B$8="All",'Compliance Database'!$G242=Query!$B$8),OR(Query!$B$9="All",'Compliance Database'!$K242=Query!$B$9),OR(Query!$B$10="",ISNUMBER(SEARCH(Query!$B$10,'Compliance Database'!$D242&amp;" "&amp;'Compliance Database'!$L242&amp;" "&amp;'Compliance Database'!$M242&amp;" "&amp;'Compliance Database'!$N242&amp;" "&amp;'Compliance Database'!$O242)))),1,0)</f>
        <v/>
      </c>
      <c r="B242">
        <f>IF($A242=1,SUM($A$2:$A242),"")</f>
        <v/>
      </c>
      <c r="C242">
        <f>IF($A242=1,SUM($A$2:$A242),0)</f>
        <v/>
      </c>
    </row>
    <row r="243">
      <c r="A243">
        <f>IF(AND(OR(Query!$B$4="All",'Compliance Database'!$A243=Query!$B$4),OR(Query!$B$5="All",'Compliance Database'!$F243=Query!$B$5),OR(Query!$B$6="All",ISNUMBER(SEARCH(Query!$B$6,'Compliance Database'!$I243))),OR(Query!$B$7="All",ISNUMBER(SEARCH(Query!$B$7,'Compliance Database'!$J243))),OR(Query!$B$8="All",'Compliance Database'!$G243=Query!$B$8),OR(Query!$B$9="All",'Compliance Database'!$K243=Query!$B$9),OR(Query!$B$10="",ISNUMBER(SEARCH(Query!$B$10,'Compliance Database'!$D243&amp;" "&amp;'Compliance Database'!$L243&amp;" "&amp;'Compliance Database'!$M243&amp;" "&amp;'Compliance Database'!$N243&amp;" "&amp;'Compliance Database'!$O243)))),1,0)</f>
        <v/>
      </c>
      <c r="B243">
        <f>IF($A243=1,SUM($A$2:$A243),"")</f>
        <v/>
      </c>
      <c r="C243">
        <f>IF($A243=1,SUM($A$2:$A243),0)</f>
        <v/>
      </c>
    </row>
    <row r="244">
      <c r="A244">
        <f>IF(AND(OR(Query!$B$4="All",'Compliance Database'!$A244=Query!$B$4),OR(Query!$B$5="All",'Compliance Database'!$F244=Query!$B$5),OR(Query!$B$6="All",ISNUMBER(SEARCH(Query!$B$6,'Compliance Database'!$I244))),OR(Query!$B$7="All",ISNUMBER(SEARCH(Query!$B$7,'Compliance Database'!$J244))),OR(Query!$B$8="All",'Compliance Database'!$G244=Query!$B$8),OR(Query!$B$9="All",'Compliance Database'!$K244=Query!$B$9),OR(Query!$B$10="",ISNUMBER(SEARCH(Query!$B$10,'Compliance Database'!$D244&amp;" "&amp;'Compliance Database'!$L244&amp;" "&amp;'Compliance Database'!$M244&amp;" "&amp;'Compliance Database'!$N244&amp;" "&amp;'Compliance Database'!$O244)))),1,0)</f>
        <v/>
      </c>
      <c r="B244">
        <f>IF($A244=1,SUM($A$2:$A244),"")</f>
        <v/>
      </c>
      <c r="C244">
        <f>IF($A244=1,SUM($A$2:$A244),0)</f>
        <v/>
      </c>
    </row>
    <row r="245">
      <c r="A245">
        <f>IF(AND(OR(Query!$B$4="All",'Compliance Database'!$A245=Query!$B$4),OR(Query!$B$5="All",'Compliance Database'!$F245=Query!$B$5),OR(Query!$B$6="All",ISNUMBER(SEARCH(Query!$B$6,'Compliance Database'!$I245))),OR(Query!$B$7="All",ISNUMBER(SEARCH(Query!$B$7,'Compliance Database'!$J245))),OR(Query!$B$8="All",'Compliance Database'!$G245=Query!$B$8),OR(Query!$B$9="All",'Compliance Database'!$K245=Query!$B$9),OR(Query!$B$10="",ISNUMBER(SEARCH(Query!$B$10,'Compliance Database'!$D245&amp;" "&amp;'Compliance Database'!$L245&amp;" "&amp;'Compliance Database'!$M245&amp;" "&amp;'Compliance Database'!$N245&amp;" "&amp;'Compliance Database'!$O245)))),1,0)</f>
        <v/>
      </c>
      <c r="B245">
        <f>IF($A245=1,SUM($A$2:$A245),"")</f>
        <v/>
      </c>
      <c r="C245">
        <f>IF($A245=1,SUM($A$2:$A245),0)</f>
        <v/>
      </c>
    </row>
    <row r="246">
      <c r="A246">
        <f>IF(AND(OR(Query!$B$4="All",'Compliance Database'!$A246=Query!$B$4),OR(Query!$B$5="All",'Compliance Database'!$F246=Query!$B$5),OR(Query!$B$6="All",ISNUMBER(SEARCH(Query!$B$6,'Compliance Database'!$I246))),OR(Query!$B$7="All",ISNUMBER(SEARCH(Query!$B$7,'Compliance Database'!$J246))),OR(Query!$B$8="All",'Compliance Database'!$G246=Query!$B$8),OR(Query!$B$9="All",'Compliance Database'!$K246=Query!$B$9),OR(Query!$B$10="",ISNUMBER(SEARCH(Query!$B$10,'Compliance Database'!$D246&amp;" "&amp;'Compliance Database'!$L246&amp;" "&amp;'Compliance Database'!$M246&amp;" "&amp;'Compliance Database'!$N246&amp;" "&amp;'Compliance Database'!$O246)))),1,0)</f>
        <v/>
      </c>
      <c r="B246">
        <f>IF($A246=1,SUM($A$2:$A246),"")</f>
        <v/>
      </c>
      <c r="C246">
        <f>IF($A246=1,SUM($A$2:$A246),0)</f>
        <v/>
      </c>
    </row>
    <row r="247">
      <c r="A247">
        <f>IF(AND(OR(Query!$B$4="All",'Compliance Database'!$A247=Query!$B$4),OR(Query!$B$5="All",'Compliance Database'!$F247=Query!$B$5),OR(Query!$B$6="All",ISNUMBER(SEARCH(Query!$B$6,'Compliance Database'!$I247))),OR(Query!$B$7="All",ISNUMBER(SEARCH(Query!$B$7,'Compliance Database'!$J247))),OR(Query!$B$8="All",'Compliance Database'!$G247=Query!$B$8),OR(Query!$B$9="All",'Compliance Database'!$K247=Query!$B$9),OR(Query!$B$10="",ISNUMBER(SEARCH(Query!$B$10,'Compliance Database'!$D247&amp;" "&amp;'Compliance Database'!$L247&amp;" "&amp;'Compliance Database'!$M247&amp;" "&amp;'Compliance Database'!$N247&amp;" "&amp;'Compliance Database'!$O247)))),1,0)</f>
        <v/>
      </c>
      <c r="B247">
        <f>IF($A247=1,SUM($A$2:$A247),"")</f>
        <v/>
      </c>
      <c r="C247">
        <f>IF($A247=1,SUM($A$2:$A247),0)</f>
        <v/>
      </c>
    </row>
    <row r="248">
      <c r="A248">
        <f>IF(AND(OR(Query!$B$4="All",'Compliance Database'!$A248=Query!$B$4),OR(Query!$B$5="All",'Compliance Database'!$F248=Query!$B$5),OR(Query!$B$6="All",ISNUMBER(SEARCH(Query!$B$6,'Compliance Database'!$I248))),OR(Query!$B$7="All",ISNUMBER(SEARCH(Query!$B$7,'Compliance Database'!$J248))),OR(Query!$B$8="All",'Compliance Database'!$G248=Query!$B$8),OR(Query!$B$9="All",'Compliance Database'!$K248=Query!$B$9),OR(Query!$B$10="",ISNUMBER(SEARCH(Query!$B$10,'Compliance Database'!$D248&amp;" "&amp;'Compliance Database'!$L248&amp;" "&amp;'Compliance Database'!$M248&amp;" "&amp;'Compliance Database'!$N248&amp;" "&amp;'Compliance Database'!$O248)))),1,0)</f>
        <v/>
      </c>
      <c r="B248">
        <f>IF($A248=1,SUM($A$2:$A248),"")</f>
        <v/>
      </c>
      <c r="C248">
        <f>IF($A248=1,SUM($A$2:$A248),0)</f>
        <v/>
      </c>
    </row>
    <row r="249">
      <c r="A249">
        <f>IF(AND(OR(Query!$B$4="All",'Compliance Database'!$A249=Query!$B$4),OR(Query!$B$5="All",'Compliance Database'!$F249=Query!$B$5),OR(Query!$B$6="All",ISNUMBER(SEARCH(Query!$B$6,'Compliance Database'!$I249))),OR(Query!$B$7="All",ISNUMBER(SEARCH(Query!$B$7,'Compliance Database'!$J249))),OR(Query!$B$8="All",'Compliance Database'!$G249=Query!$B$8),OR(Query!$B$9="All",'Compliance Database'!$K249=Query!$B$9),OR(Query!$B$10="",ISNUMBER(SEARCH(Query!$B$10,'Compliance Database'!$D249&amp;" "&amp;'Compliance Database'!$L249&amp;" "&amp;'Compliance Database'!$M249&amp;" "&amp;'Compliance Database'!$N249&amp;" "&amp;'Compliance Database'!$O249)))),1,0)</f>
        <v/>
      </c>
      <c r="B249">
        <f>IF($A249=1,SUM($A$2:$A249),"")</f>
        <v/>
      </c>
      <c r="C249">
        <f>IF($A249=1,SUM($A$2:$A249),0)</f>
        <v/>
      </c>
    </row>
    <row r="250">
      <c r="A250">
        <f>IF(AND(OR(Query!$B$4="All",'Compliance Database'!$A250=Query!$B$4),OR(Query!$B$5="All",'Compliance Database'!$F250=Query!$B$5),OR(Query!$B$6="All",ISNUMBER(SEARCH(Query!$B$6,'Compliance Database'!$I250))),OR(Query!$B$7="All",ISNUMBER(SEARCH(Query!$B$7,'Compliance Database'!$J250))),OR(Query!$B$8="All",'Compliance Database'!$G250=Query!$B$8),OR(Query!$B$9="All",'Compliance Database'!$K250=Query!$B$9),OR(Query!$B$10="",ISNUMBER(SEARCH(Query!$B$10,'Compliance Database'!$D250&amp;" "&amp;'Compliance Database'!$L250&amp;" "&amp;'Compliance Database'!$M250&amp;" "&amp;'Compliance Database'!$N250&amp;" "&amp;'Compliance Database'!$O250)))),1,0)</f>
        <v/>
      </c>
      <c r="B250">
        <f>IF($A250=1,SUM($A$2:$A250),"")</f>
        <v/>
      </c>
      <c r="C250">
        <f>IF($A250=1,SUM($A$2:$A250),0)</f>
        <v/>
      </c>
    </row>
    <row r="251">
      <c r="A251">
        <f>IF(AND(OR(Query!$B$4="All",'Compliance Database'!$A251=Query!$B$4),OR(Query!$B$5="All",'Compliance Database'!$F251=Query!$B$5),OR(Query!$B$6="All",ISNUMBER(SEARCH(Query!$B$6,'Compliance Database'!$I251))),OR(Query!$B$7="All",ISNUMBER(SEARCH(Query!$B$7,'Compliance Database'!$J251))),OR(Query!$B$8="All",'Compliance Database'!$G251=Query!$B$8),OR(Query!$B$9="All",'Compliance Database'!$K251=Query!$B$9),OR(Query!$B$10="",ISNUMBER(SEARCH(Query!$B$10,'Compliance Database'!$D251&amp;" "&amp;'Compliance Database'!$L251&amp;" "&amp;'Compliance Database'!$M251&amp;" "&amp;'Compliance Database'!$N251&amp;" "&amp;'Compliance Database'!$O251)))),1,0)</f>
        <v/>
      </c>
      <c r="B251">
        <f>IF($A251=1,SUM($A$2:$A251),"")</f>
        <v/>
      </c>
      <c r="C251">
        <f>IF($A251=1,SUM($A$2:$A251),0)</f>
        <v/>
      </c>
    </row>
    <row r="252">
      <c r="A252">
        <f>IF(AND(OR(Query!$B$4="All",'Compliance Database'!$A252=Query!$B$4),OR(Query!$B$5="All",'Compliance Database'!$F252=Query!$B$5),OR(Query!$B$6="All",ISNUMBER(SEARCH(Query!$B$6,'Compliance Database'!$I252))),OR(Query!$B$7="All",ISNUMBER(SEARCH(Query!$B$7,'Compliance Database'!$J252))),OR(Query!$B$8="All",'Compliance Database'!$G252=Query!$B$8),OR(Query!$B$9="All",'Compliance Database'!$K252=Query!$B$9),OR(Query!$B$10="",ISNUMBER(SEARCH(Query!$B$10,'Compliance Database'!$D252&amp;" "&amp;'Compliance Database'!$L252&amp;" "&amp;'Compliance Database'!$M252&amp;" "&amp;'Compliance Database'!$N252&amp;" "&amp;'Compliance Database'!$O252)))),1,0)</f>
        <v/>
      </c>
      <c r="B252">
        <f>IF($A252=1,SUM($A$2:$A252),"")</f>
        <v/>
      </c>
      <c r="C252">
        <f>IF($A252=1,SUM($A$2:$A252),0)</f>
        <v/>
      </c>
    </row>
    <row r="253">
      <c r="A253">
        <f>IF(AND(OR(Query!$B$4="All",'Compliance Database'!$A253=Query!$B$4),OR(Query!$B$5="All",'Compliance Database'!$F253=Query!$B$5),OR(Query!$B$6="All",ISNUMBER(SEARCH(Query!$B$6,'Compliance Database'!$I253))),OR(Query!$B$7="All",ISNUMBER(SEARCH(Query!$B$7,'Compliance Database'!$J253))),OR(Query!$B$8="All",'Compliance Database'!$G253=Query!$B$8),OR(Query!$B$9="All",'Compliance Database'!$K253=Query!$B$9),OR(Query!$B$10="",ISNUMBER(SEARCH(Query!$B$10,'Compliance Database'!$D253&amp;" "&amp;'Compliance Database'!$L253&amp;" "&amp;'Compliance Database'!$M253&amp;" "&amp;'Compliance Database'!$N253&amp;" "&amp;'Compliance Database'!$O253)))),1,0)</f>
        <v/>
      </c>
      <c r="B253">
        <f>IF($A253=1,SUM($A$2:$A253),"")</f>
        <v/>
      </c>
      <c r="C253">
        <f>IF($A253=1,SUM($A$2:$A253),0)</f>
        <v/>
      </c>
    </row>
    <row r="254">
      <c r="A254">
        <f>IF(AND(OR(Query!$B$4="All",'Compliance Database'!$A254=Query!$B$4),OR(Query!$B$5="All",'Compliance Database'!$F254=Query!$B$5),OR(Query!$B$6="All",ISNUMBER(SEARCH(Query!$B$6,'Compliance Database'!$I254))),OR(Query!$B$7="All",ISNUMBER(SEARCH(Query!$B$7,'Compliance Database'!$J254))),OR(Query!$B$8="All",'Compliance Database'!$G254=Query!$B$8),OR(Query!$B$9="All",'Compliance Database'!$K254=Query!$B$9),OR(Query!$B$10="",ISNUMBER(SEARCH(Query!$B$10,'Compliance Database'!$D254&amp;" "&amp;'Compliance Database'!$L254&amp;" "&amp;'Compliance Database'!$M254&amp;" "&amp;'Compliance Database'!$N254&amp;" "&amp;'Compliance Database'!$O254)))),1,0)</f>
        <v/>
      </c>
      <c r="B254">
        <f>IF($A254=1,SUM($A$2:$A254),"")</f>
        <v/>
      </c>
      <c r="C254">
        <f>IF($A254=1,SUM($A$2:$A254),0)</f>
        <v/>
      </c>
    </row>
    <row r="255">
      <c r="A255">
        <f>IF(AND(OR(Query!$B$4="All",'Compliance Database'!$A255=Query!$B$4),OR(Query!$B$5="All",'Compliance Database'!$F255=Query!$B$5),OR(Query!$B$6="All",ISNUMBER(SEARCH(Query!$B$6,'Compliance Database'!$I255))),OR(Query!$B$7="All",ISNUMBER(SEARCH(Query!$B$7,'Compliance Database'!$J255))),OR(Query!$B$8="All",'Compliance Database'!$G255=Query!$B$8),OR(Query!$B$9="All",'Compliance Database'!$K255=Query!$B$9),OR(Query!$B$10="",ISNUMBER(SEARCH(Query!$B$10,'Compliance Database'!$D255&amp;" "&amp;'Compliance Database'!$L255&amp;" "&amp;'Compliance Database'!$M255&amp;" "&amp;'Compliance Database'!$N255&amp;" "&amp;'Compliance Database'!$O255)))),1,0)</f>
        <v/>
      </c>
      <c r="B255">
        <f>IF($A255=1,SUM($A$2:$A255),"")</f>
        <v/>
      </c>
      <c r="C255">
        <f>IF($A255=1,SUM($A$2:$A255),0)</f>
        <v/>
      </c>
    </row>
    <row r="256">
      <c r="A256">
        <f>IF(AND(OR(Query!$B$4="All",'Compliance Database'!$A256=Query!$B$4),OR(Query!$B$5="All",'Compliance Database'!$F256=Query!$B$5),OR(Query!$B$6="All",ISNUMBER(SEARCH(Query!$B$6,'Compliance Database'!$I256))),OR(Query!$B$7="All",ISNUMBER(SEARCH(Query!$B$7,'Compliance Database'!$J256))),OR(Query!$B$8="All",'Compliance Database'!$G256=Query!$B$8),OR(Query!$B$9="All",'Compliance Database'!$K256=Query!$B$9),OR(Query!$B$10="",ISNUMBER(SEARCH(Query!$B$10,'Compliance Database'!$D256&amp;" "&amp;'Compliance Database'!$L256&amp;" "&amp;'Compliance Database'!$M256&amp;" "&amp;'Compliance Database'!$N256&amp;" "&amp;'Compliance Database'!$O256)))),1,0)</f>
        <v/>
      </c>
      <c r="B256">
        <f>IF($A256=1,SUM($A$2:$A256),"")</f>
        <v/>
      </c>
      <c r="C256">
        <f>IF($A256=1,SUM($A$2:$A256),0)</f>
        <v/>
      </c>
    </row>
    <row r="257">
      <c r="A257">
        <f>IF(AND(OR(Query!$B$4="All",'Compliance Database'!$A257=Query!$B$4),OR(Query!$B$5="All",'Compliance Database'!$F257=Query!$B$5),OR(Query!$B$6="All",ISNUMBER(SEARCH(Query!$B$6,'Compliance Database'!$I257))),OR(Query!$B$7="All",ISNUMBER(SEARCH(Query!$B$7,'Compliance Database'!$J257))),OR(Query!$B$8="All",'Compliance Database'!$G257=Query!$B$8),OR(Query!$B$9="All",'Compliance Database'!$K257=Query!$B$9),OR(Query!$B$10="",ISNUMBER(SEARCH(Query!$B$10,'Compliance Database'!$D257&amp;" "&amp;'Compliance Database'!$L257&amp;" "&amp;'Compliance Database'!$M257&amp;" "&amp;'Compliance Database'!$N257&amp;" "&amp;'Compliance Database'!$O257)))),1,0)</f>
        <v/>
      </c>
      <c r="B257">
        <f>IF($A257=1,SUM($A$2:$A257),"")</f>
        <v/>
      </c>
      <c r="C257">
        <f>IF($A257=1,SUM($A$2:$A257),0)</f>
        <v/>
      </c>
    </row>
    <row r="258">
      <c r="A258">
        <f>IF(AND(OR(Query!$B$4="All",'Compliance Database'!$A258=Query!$B$4),OR(Query!$B$5="All",'Compliance Database'!$F258=Query!$B$5),OR(Query!$B$6="All",ISNUMBER(SEARCH(Query!$B$6,'Compliance Database'!$I258))),OR(Query!$B$7="All",ISNUMBER(SEARCH(Query!$B$7,'Compliance Database'!$J258))),OR(Query!$B$8="All",'Compliance Database'!$G258=Query!$B$8),OR(Query!$B$9="All",'Compliance Database'!$K258=Query!$B$9),OR(Query!$B$10="",ISNUMBER(SEARCH(Query!$B$10,'Compliance Database'!$D258&amp;" "&amp;'Compliance Database'!$L258&amp;" "&amp;'Compliance Database'!$M258&amp;" "&amp;'Compliance Database'!$N258&amp;" "&amp;'Compliance Database'!$O258)))),1,0)</f>
        <v/>
      </c>
      <c r="B258">
        <f>IF($A258=1,SUM($A$2:$A258),"")</f>
        <v/>
      </c>
      <c r="C258">
        <f>IF($A258=1,SUM($A$2:$A258),0)</f>
        <v/>
      </c>
    </row>
    <row r="259">
      <c r="A259">
        <f>IF(AND(OR(Query!$B$4="All",'Compliance Database'!$A259=Query!$B$4),OR(Query!$B$5="All",'Compliance Database'!$F259=Query!$B$5),OR(Query!$B$6="All",ISNUMBER(SEARCH(Query!$B$6,'Compliance Database'!$I259))),OR(Query!$B$7="All",ISNUMBER(SEARCH(Query!$B$7,'Compliance Database'!$J259))),OR(Query!$B$8="All",'Compliance Database'!$G259=Query!$B$8),OR(Query!$B$9="All",'Compliance Database'!$K259=Query!$B$9),OR(Query!$B$10="",ISNUMBER(SEARCH(Query!$B$10,'Compliance Database'!$D259&amp;" "&amp;'Compliance Database'!$L259&amp;" "&amp;'Compliance Database'!$M259&amp;" "&amp;'Compliance Database'!$N259&amp;" "&amp;'Compliance Database'!$O259)))),1,0)</f>
        <v/>
      </c>
      <c r="B259">
        <f>IF($A259=1,SUM($A$2:$A259),"")</f>
        <v/>
      </c>
      <c r="C259">
        <f>IF($A259=1,SUM($A$2:$A259),0)</f>
        <v/>
      </c>
    </row>
    <row r="260">
      <c r="A260">
        <f>IF(AND(OR(Query!$B$4="All",'Compliance Database'!$A260=Query!$B$4),OR(Query!$B$5="All",'Compliance Database'!$F260=Query!$B$5),OR(Query!$B$6="All",ISNUMBER(SEARCH(Query!$B$6,'Compliance Database'!$I260))),OR(Query!$B$7="All",ISNUMBER(SEARCH(Query!$B$7,'Compliance Database'!$J260))),OR(Query!$B$8="All",'Compliance Database'!$G260=Query!$B$8),OR(Query!$B$9="All",'Compliance Database'!$K260=Query!$B$9),OR(Query!$B$10="",ISNUMBER(SEARCH(Query!$B$10,'Compliance Database'!$D260&amp;" "&amp;'Compliance Database'!$L260&amp;" "&amp;'Compliance Database'!$M260&amp;" "&amp;'Compliance Database'!$N260&amp;" "&amp;'Compliance Database'!$O260)))),1,0)</f>
        <v/>
      </c>
      <c r="B260">
        <f>IF($A260=1,SUM($A$2:$A260),"")</f>
        <v/>
      </c>
      <c r="C260">
        <f>IF($A260=1,SUM($A$2:$A260),0)</f>
        <v/>
      </c>
    </row>
    <row r="261">
      <c r="A261">
        <f>IF(AND(OR(Query!$B$4="All",'Compliance Database'!$A261=Query!$B$4),OR(Query!$B$5="All",'Compliance Database'!$F261=Query!$B$5),OR(Query!$B$6="All",ISNUMBER(SEARCH(Query!$B$6,'Compliance Database'!$I261))),OR(Query!$B$7="All",ISNUMBER(SEARCH(Query!$B$7,'Compliance Database'!$J261))),OR(Query!$B$8="All",'Compliance Database'!$G261=Query!$B$8),OR(Query!$B$9="All",'Compliance Database'!$K261=Query!$B$9),OR(Query!$B$10="",ISNUMBER(SEARCH(Query!$B$10,'Compliance Database'!$D261&amp;" "&amp;'Compliance Database'!$L261&amp;" "&amp;'Compliance Database'!$M261&amp;" "&amp;'Compliance Database'!$N261&amp;" "&amp;'Compliance Database'!$O261)))),1,0)</f>
        <v/>
      </c>
      <c r="B261">
        <f>IF($A261=1,SUM($A$2:$A261),"")</f>
        <v/>
      </c>
      <c r="C261">
        <f>IF($A261=1,SUM($A$2:$A261),0)</f>
        <v/>
      </c>
    </row>
    <row r="262">
      <c r="A262">
        <f>IF(AND(OR(Query!$B$4="All",'Compliance Database'!$A262=Query!$B$4),OR(Query!$B$5="All",'Compliance Database'!$F262=Query!$B$5),OR(Query!$B$6="All",ISNUMBER(SEARCH(Query!$B$6,'Compliance Database'!$I262))),OR(Query!$B$7="All",ISNUMBER(SEARCH(Query!$B$7,'Compliance Database'!$J262))),OR(Query!$B$8="All",'Compliance Database'!$G262=Query!$B$8),OR(Query!$B$9="All",'Compliance Database'!$K262=Query!$B$9),OR(Query!$B$10="",ISNUMBER(SEARCH(Query!$B$10,'Compliance Database'!$D262&amp;" "&amp;'Compliance Database'!$L262&amp;" "&amp;'Compliance Database'!$M262&amp;" "&amp;'Compliance Database'!$N262&amp;" "&amp;'Compliance Database'!$O262)))),1,0)</f>
        <v/>
      </c>
      <c r="B262">
        <f>IF($A262=1,SUM($A$2:$A262),"")</f>
        <v/>
      </c>
      <c r="C262">
        <f>IF($A262=1,SUM($A$2:$A262),0)</f>
        <v/>
      </c>
    </row>
    <row r="263">
      <c r="A263">
        <f>IF(AND(OR(Query!$B$4="All",'Compliance Database'!$A263=Query!$B$4),OR(Query!$B$5="All",'Compliance Database'!$F263=Query!$B$5),OR(Query!$B$6="All",ISNUMBER(SEARCH(Query!$B$6,'Compliance Database'!$I263))),OR(Query!$B$7="All",ISNUMBER(SEARCH(Query!$B$7,'Compliance Database'!$J263))),OR(Query!$B$8="All",'Compliance Database'!$G263=Query!$B$8),OR(Query!$B$9="All",'Compliance Database'!$K263=Query!$B$9),OR(Query!$B$10="",ISNUMBER(SEARCH(Query!$B$10,'Compliance Database'!$D263&amp;" "&amp;'Compliance Database'!$L263&amp;" "&amp;'Compliance Database'!$M263&amp;" "&amp;'Compliance Database'!$N263&amp;" "&amp;'Compliance Database'!$O263)))),1,0)</f>
        <v/>
      </c>
      <c r="B263">
        <f>IF($A263=1,SUM($A$2:$A263),"")</f>
        <v/>
      </c>
      <c r="C263">
        <f>IF($A263=1,SUM($A$2:$A263),0)</f>
        <v/>
      </c>
    </row>
    <row r="264">
      <c r="A264">
        <f>IF(AND(OR(Query!$B$4="All",'Compliance Database'!$A264=Query!$B$4),OR(Query!$B$5="All",'Compliance Database'!$F264=Query!$B$5),OR(Query!$B$6="All",ISNUMBER(SEARCH(Query!$B$6,'Compliance Database'!$I264))),OR(Query!$B$7="All",ISNUMBER(SEARCH(Query!$B$7,'Compliance Database'!$J264))),OR(Query!$B$8="All",'Compliance Database'!$G264=Query!$B$8),OR(Query!$B$9="All",'Compliance Database'!$K264=Query!$B$9),OR(Query!$B$10="",ISNUMBER(SEARCH(Query!$B$10,'Compliance Database'!$D264&amp;" "&amp;'Compliance Database'!$L264&amp;" "&amp;'Compliance Database'!$M264&amp;" "&amp;'Compliance Database'!$N264&amp;" "&amp;'Compliance Database'!$O264)))),1,0)</f>
        <v/>
      </c>
      <c r="B264">
        <f>IF($A264=1,SUM($A$2:$A264),"")</f>
        <v/>
      </c>
      <c r="C264">
        <f>IF($A264=1,SUM($A$2:$A264),0)</f>
        <v/>
      </c>
    </row>
    <row r="265">
      <c r="A265">
        <f>IF(AND(OR(Query!$B$4="All",'Compliance Database'!$A265=Query!$B$4),OR(Query!$B$5="All",'Compliance Database'!$F265=Query!$B$5),OR(Query!$B$6="All",ISNUMBER(SEARCH(Query!$B$6,'Compliance Database'!$I265))),OR(Query!$B$7="All",ISNUMBER(SEARCH(Query!$B$7,'Compliance Database'!$J265))),OR(Query!$B$8="All",'Compliance Database'!$G265=Query!$B$8),OR(Query!$B$9="All",'Compliance Database'!$K265=Query!$B$9),OR(Query!$B$10="",ISNUMBER(SEARCH(Query!$B$10,'Compliance Database'!$D265&amp;" "&amp;'Compliance Database'!$L265&amp;" "&amp;'Compliance Database'!$M265&amp;" "&amp;'Compliance Database'!$N265&amp;" "&amp;'Compliance Database'!$O265)))),1,0)</f>
        <v/>
      </c>
      <c r="B265">
        <f>IF($A265=1,SUM($A$2:$A265),"")</f>
        <v/>
      </c>
      <c r="C265">
        <f>IF($A265=1,SUM($A$2:$A265),0)</f>
        <v/>
      </c>
    </row>
    <row r="266">
      <c r="A266">
        <f>IF(AND(OR(Query!$B$4="All",'Compliance Database'!$A266=Query!$B$4),OR(Query!$B$5="All",'Compliance Database'!$F266=Query!$B$5),OR(Query!$B$6="All",ISNUMBER(SEARCH(Query!$B$6,'Compliance Database'!$I266))),OR(Query!$B$7="All",ISNUMBER(SEARCH(Query!$B$7,'Compliance Database'!$J266))),OR(Query!$B$8="All",'Compliance Database'!$G266=Query!$B$8),OR(Query!$B$9="All",'Compliance Database'!$K266=Query!$B$9),OR(Query!$B$10="",ISNUMBER(SEARCH(Query!$B$10,'Compliance Database'!$D266&amp;" "&amp;'Compliance Database'!$L266&amp;" "&amp;'Compliance Database'!$M266&amp;" "&amp;'Compliance Database'!$N266&amp;" "&amp;'Compliance Database'!$O266)))),1,0)</f>
        <v/>
      </c>
      <c r="B266">
        <f>IF($A266=1,SUM($A$2:$A266),"")</f>
        <v/>
      </c>
      <c r="C266">
        <f>IF($A266=1,SUM($A$2:$A266),0)</f>
        <v/>
      </c>
    </row>
    <row r="267">
      <c r="A267">
        <f>IF(AND(OR(Query!$B$4="All",'Compliance Database'!$A267=Query!$B$4),OR(Query!$B$5="All",'Compliance Database'!$F267=Query!$B$5),OR(Query!$B$6="All",ISNUMBER(SEARCH(Query!$B$6,'Compliance Database'!$I267))),OR(Query!$B$7="All",ISNUMBER(SEARCH(Query!$B$7,'Compliance Database'!$J267))),OR(Query!$B$8="All",'Compliance Database'!$G267=Query!$B$8),OR(Query!$B$9="All",'Compliance Database'!$K267=Query!$B$9),OR(Query!$B$10="",ISNUMBER(SEARCH(Query!$B$10,'Compliance Database'!$D267&amp;" "&amp;'Compliance Database'!$L267&amp;" "&amp;'Compliance Database'!$M267&amp;" "&amp;'Compliance Database'!$N267&amp;" "&amp;'Compliance Database'!$O267)))),1,0)</f>
        <v/>
      </c>
      <c r="B267">
        <f>IF($A267=1,SUM($A$2:$A267),"")</f>
        <v/>
      </c>
      <c r="C267">
        <f>IF($A267=1,SUM($A$2:$A267),0)</f>
        <v/>
      </c>
    </row>
    <row r="268">
      <c r="A268">
        <f>IF(AND(OR(Query!$B$4="All",'Compliance Database'!$A268=Query!$B$4),OR(Query!$B$5="All",'Compliance Database'!$F268=Query!$B$5),OR(Query!$B$6="All",ISNUMBER(SEARCH(Query!$B$6,'Compliance Database'!$I268))),OR(Query!$B$7="All",ISNUMBER(SEARCH(Query!$B$7,'Compliance Database'!$J268))),OR(Query!$B$8="All",'Compliance Database'!$G268=Query!$B$8),OR(Query!$B$9="All",'Compliance Database'!$K268=Query!$B$9),OR(Query!$B$10="",ISNUMBER(SEARCH(Query!$B$10,'Compliance Database'!$D268&amp;" "&amp;'Compliance Database'!$L268&amp;" "&amp;'Compliance Database'!$M268&amp;" "&amp;'Compliance Database'!$N268&amp;" "&amp;'Compliance Database'!$O268)))),1,0)</f>
        <v/>
      </c>
      <c r="B268">
        <f>IF($A268=1,SUM($A$2:$A268),"")</f>
        <v/>
      </c>
      <c r="C268">
        <f>IF($A268=1,SUM($A$2:$A268),0)</f>
        <v/>
      </c>
    </row>
    <row r="269">
      <c r="A269">
        <f>IF(AND(OR(Query!$B$4="All",'Compliance Database'!$A269=Query!$B$4),OR(Query!$B$5="All",'Compliance Database'!$F269=Query!$B$5),OR(Query!$B$6="All",ISNUMBER(SEARCH(Query!$B$6,'Compliance Database'!$I269))),OR(Query!$B$7="All",ISNUMBER(SEARCH(Query!$B$7,'Compliance Database'!$J269))),OR(Query!$B$8="All",'Compliance Database'!$G269=Query!$B$8),OR(Query!$B$9="All",'Compliance Database'!$K269=Query!$B$9),OR(Query!$B$10="",ISNUMBER(SEARCH(Query!$B$10,'Compliance Database'!$D269&amp;" "&amp;'Compliance Database'!$L269&amp;" "&amp;'Compliance Database'!$M269&amp;" "&amp;'Compliance Database'!$N269&amp;" "&amp;'Compliance Database'!$O269)))),1,0)</f>
        <v/>
      </c>
      <c r="B269">
        <f>IF($A269=1,SUM($A$2:$A269),"")</f>
        <v/>
      </c>
      <c r="C269">
        <f>IF($A269=1,SUM($A$2:$A269),0)</f>
        <v/>
      </c>
    </row>
    <row r="270">
      <c r="A270">
        <f>IF(AND(OR(Query!$B$4="All",'Compliance Database'!$A270=Query!$B$4),OR(Query!$B$5="All",'Compliance Database'!$F270=Query!$B$5),OR(Query!$B$6="All",ISNUMBER(SEARCH(Query!$B$6,'Compliance Database'!$I270))),OR(Query!$B$7="All",ISNUMBER(SEARCH(Query!$B$7,'Compliance Database'!$J270))),OR(Query!$B$8="All",'Compliance Database'!$G270=Query!$B$8),OR(Query!$B$9="All",'Compliance Database'!$K270=Query!$B$9),OR(Query!$B$10="",ISNUMBER(SEARCH(Query!$B$10,'Compliance Database'!$D270&amp;" "&amp;'Compliance Database'!$L270&amp;" "&amp;'Compliance Database'!$M270&amp;" "&amp;'Compliance Database'!$N270&amp;" "&amp;'Compliance Database'!$O270)))),1,0)</f>
        <v/>
      </c>
      <c r="B270">
        <f>IF($A270=1,SUM($A$2:$A270),"")</f>
        <v/>
      </c>
      <c r="C270">
        <f>IF($A270=1,SUM($A$2:$A270),0)</f>
        <v/>
      </c>
    </row>
    <row r="271">
      <c r="A271">
        <f>IF(AND(OR(Query!$B$4="All",'Compliance Database'!$A271=Query!$B$4),OR(Query!$B$5="All",'Compliance Database'!$F271=Query!$B$5),OR(Query!$B$6="All",ISNUMBER(SEARCH(Query!$B$6,'Compliance Database'!$I271))),OR(Query!$B$7="All",ISNUMBER(SEARCH(Query!$B$7,'Compliance Database'!$J271))),OR(Query!$B$8="All",'Compliance Database'!$G271=Query!$B$8),OR(Query!$B$9="All",'Compliance Database'!$K271=Query!$B$9),OR(Query!$B$10="",ISNUMBER(SEARCH(Query!$B$10,'Compliance Database'!$D271&amp;" "&amp;'Compliance Database'!$L271&amp;" "&amp;'Compliance Database'!$M271&amp;" "&amp;'Compliance Database'!$N271&amp;" "&amp;'Compliance Database'!$O271)))),1,0)</f>
        <v/>
      </c>
      <c r="B271">
        <f>IF($A271=1,SUM($A$2:$A271),"")</f>
        <v/>
      </c>
      <c r="C271">
        <f>IF($A271=1,SUM($A$2:$A271),0)</f>
        <v/>
      </c>
    </row>
    <row r="272">
      <c r="A272">
        <f>IF(AND(OR(Query!$B$4="All",'Compliance Database'!$A272=Query!$B$4),OR(Query!$B$5="All",'Compliance Database'!$F272=Query!$B$5),OR(Query!$B$6="All",ISNUMBER(SEARCH(Query!$B$6,'Compliance Database'!$I272))),OR(Query!$B$7="All",ISNUMBER(SEARCH(Query!$B$7,'Compliance Database'!$J272))),OR(Query!$B$8="All",'Compliance Database'!$G272=Query!$B$8),OR(Query!$B$9="All",'Compliance Database'!$K272=Query!$B$9),OR(Query!$B$10="",ISNUMBER(SEARCH(Query!$B$10,'Compliance Database'!$D272&amp;" "&amp;'Compliance Database'!$L272&amp;" "&amp;'Compliance Database'!$M272&amp;" "&amp;'Compliance Database'!$N272&amp;" "&amp;'Compliance Database'!$O272)))),1,0)</f>
        <v/>
      </c>
      <c r="B272">
        <f>IF($A272=1,SUM($A$2:$A272),"")</f>
        <v/>
      </c>
      <c r="C272">
        <f>IF($A272=1,SUM($A$2:$A272),0)</f>
        <v/>
      </c>
    </row>
    <row r="273">
      <c r="A273">
        <f>IF(AND(OR(Query!$B$4="All",'Compliance Database'!$A273=Query!$B$4),OR(Query!$B$5="All",'Compliance Database'!$F273=Query!$B$5),OR(Query!$B$6="All",ISNUMBER(SEARCH(Query!$B$6,'Compliance Database'!$I273))),OR(Query!$B$7="All",ISNUMBER(SEARCH(Query!$B$7,'Compliance Database'!$J273))),OR(Query!$B$8="All",'Compliance Database'!$G273=Query!$B$8),OR(Query!$B$9="All",'Compliance Database'!$K273=Query!$B$9),OR(Query!$B$10="",ISNUMBER(SEARCH(Query!$B$10,'Compliance Database'!$D273&amp;" "&amp;'Compliance Database'!$L273&amp;" "&amp;'Compliance Database'!$M273&amp;" "&amp;'Compliance Database'!$N273&amp;" "&amp;'Compliance Database'!$O273)))),1,0)</f>
        <v/>
      </c>
      <c r="B273">
        <f>IF($A273=1,SUM($A$2:$A273),"")</f>
        <v/>
      </c>
      <c r="C273">
        <f>IF($A273=1,SUM($A$2:$A273),0)</f>
        <v/>
      </c>
    </row>
    <row r="274">
      <c r="A274">
        <f>IF(AND(OR(Query!$B$4="All",'Compliance Database'!$A274=Query!$B$4),OR(Query!$B$5="All",'Compliance Database'!$F274=Query!$B$5),OR(Query!$B$6="All",ISNUMBER(SEARCH(Query!$B$6,'Compliance Database'!$I274))),OR(Query!$B$7="All",ISNUMBER(SEARCH(Query!$B$7,'Compliance Database'!$J274))),OR(Query!$B$8="All",'Compliance Database'!$G274=Query!$B$8),OR(Query!$B$9="All",'Compliance Database'!$K274=Query!$B$9),OR(Query!$B$10="",ISNUMBER(SEARCH(Query!$B$10,'Compliance Database'!$D274&amp;" "&amp;'Compliance Database'!$L274&amp;" "&amp;'Compliance Database'!$M274&amp;" "&amp;'Compliance Database'!$N274&amp;" "&amp;'Compliance Database'!$O274)))),1,0)</f>
        <v/>
      </c>
      <c r="B274">
        <f>IF($A274=1,SUM($A$2:$A274),"")</f>
        <v/>
      </c>
      <c r="C274">
        <f>IF($A274=1,SUM($A$2:$A274),0)</f>
        <v/>
      </c>
    </row>
    <row r="275">
      <c r="A275">
        <f>IF(AND(OR(Query!$B$4="All",'Compliance Database'!$A275=Query!$B$4),OR(Query!$B$5="All",'Compliance Database'!$F275=Query!$B$5),OR(Query!$B$6="All",ISNUMBER(SEARCH(Query!$B$6,'Compliance Database'!$I275))),OR(Query!$B$7="All",ISNUMBER(SEARCH(Query!$B$7,'Compliance Database'!$J275))),OR(Query!$B$8="All",'Compliance Database'!$G275=Query!$B$8),OR(Query!$B$9="All",'Compliance Database'!$K275=Query!$B$9),OR(Query!$B$10="",ISNUMBER(SEARCH(Query!$B$10,'Compliance Database'!$D275&amp;" "&amp;'Compliance Database'!$L275&amp;" "&amp;'Compliance Database'!$M275&amp;" "&amp;'Compliance Database'!$N275&amp;" "&amp;'Compliance Database'!$O275)))),1,0)</f>
        <v/>
      </c>
      <c r="B275">
        <f>IF($A275=1,SUM($A$2:$A275),"")</f>
        <v/>
      </c>
      <c r="C275">
        <f>IF($A275=1,SUM($A$2:$A275),0)</f>
        <v/>
      </c>
    </row>
    <row r="276">
      <c r="A276">
        <f>IF(AND(OR(Query!$B$4="All",'Compliance Database'!$A276=Query!$B$4),OR(Query!$B$5="All",'Compliance Database'!$F276=Query!$B$5),OR(Query!$B$6="All",ISNUMBER(SEARCH(Query!$B$6,'Compliance Database'!$I276))),OR(Query!$B$7="All",ISNUMBER(SEARCH(Query!$B$7,'Compliance Database'!$J276))),OR(Query!$B$8="All",'Compliance Database'!$G276=Query!$B$8),OR(Query!$B$9="All",'Compliance Database'!$K276=Query!$B$9),OR(Query!$B$10="",ISNUMBER(SEARCH(Query!$B$10,'Compliance Database'!$D276&amp;" "&amp;'Compliance Database'!$L276&amp;" "&amp;'Compliance Database'!$M276&amp;" "&amp;'Compliance Database'!$N276&amp;" "&amp;'Compliance Database'!$O276)))),1,0)</f>
        <v/>
      </c>
      <c r="B276">
        <f>IF($A276=1,SUM($A$2:$A276),"")</f>
        <v/>
      </c>
      <c r="C276">
        <f>IF($A276=1,SUM($A$2:$A276),0)</f>
        <v/>
      </c>
    </row>
    <row r="277">
      <c r="A277">
        <f>IF(AND(OR(Query!$B$4="All",'Compliance Database'!$A277=Query!$B$4),OR(Query!$B$5="All",'Compliance Database'!$F277=Query!$B$5),OR(Query!$B$6="All",ISNUMBER(SEARCH(Query!$B$6,'Compliance Database'!$I277))),OR(Query!$B$7="All",ISNUMBER(SEARCH(Query!$B$7,'Compliance Database'!$J277))),OR(Query!$B$8="All",'Compliance Database'!$G277=Query!$B$8),OR(Query!$B$9="All",'Compliance Database'!$K277=Query!$B$9),OR(Query!$B$10="",ISNUMBER(SEARCH(Query!$B$10,'Compliance Database'!$D277&amp;" "&amp;'Compliance Database'!$L277&amp;" "&amp;'Compliance Database'!$M277&amp;" "&amp;'Compliance Database'!$N277&amp;" "&amp;'Compliance Database'!$O277)))),1,0)</f>
        <v/>
      </c>
      <c r="B277">
        <f>IF($A277=1,SUM($A$2:$A277),"")</f>
        <v/>
      </c>
      <c r="C277">
        <f>IF($A277=1,SUM($A$2:$A277),0)</f>
        <v/>
      </c>
    </row>
    <row r="278">
      <c r="A278">
        <f>IF(AND(OR(Query!$B$4="All",'Compliance Database'!$A278=Query!$B$4),OR(Query!$B$5="All",'Compliance Database'!$F278=Query!$B$5),OR(Query!$B$6="All",ISNUMBER(SEARCH(Query!$B$6,'Compliance Database'!$I278))),OR(Query!$B$7="All",ISNUMBER(SEARCH(Query!$B$7,'Compliance Database'!$J278))),OR(Query!$B$8="All",'Compliance Database'!$G278=Query!$B$8),OR(Query!$B$9="All",'Compliance Database'!$K278=Query!$B$9),OR(Query!$B$10="",ISNUMBER(SEARCH(Query!$B$10,'Compliance Database'!$D278&amp;" "&amp;'Compliance Database'!$L278&amp;" "&amp;'Compliance Database'!$M278&amp;" "&amp;'Compliance Database'!$N278&amp;" "&amp;'Compliance Database'!$O278)))),1,0)</f>
        <v/>
      </c>
      <c r="B278">
        <f>IF($A278=1,SUM($A$2:$A278),"")</f>
        <v/>
      </c>
      <c r="C278">
        <f>IF($A278=1,SUM($A$2:$A278),0)</f>
        <v/>
      </c>
    </row>
    <row r="279">
      <c r="A279">
        <f>IF(AND(OR(Query!$B$4="All",'Compliance Database'!$A279=Query!$B$4),OR(Query!$B$5="All",'Compliance Database'!$F279=Query!$B$5),OR(Query!$B$6="All",ISNUMBER(SEARCH(Query!$B$6,'Compliance Database'!$I279))),OR(Query!$B$7="All",ISNUMBER(SEARCH(Query!$B$7,'Compliance Database'!$J279))),OR(Query!$B$8="All",'Compliance Database'!$G279=Query!$B$8),OR(Query!$B$9="All",'Compliance Database'!$K279=Query!$B$9),OR(Query!$B$10="",ISNUMBER(SEARCH(Query!$B$10,'Compliance Database'!$D279&amp;" "&amp;'Compliance Database'!$L279&amp;" "&amp;'Compliance Database'!$M279&amp;" "&amp;'Compliance Database'!$N279&amp;" "&amp;'Compliance Database'!$O279)))),1,0)</f>
        <v/>
      </c>
      <c r="B279">
        <f>IF($A279=1,SUM($A$2:$A279),"")</f>
        <v/>
      </c>
      <c r="C279">
        <f>IF($A279=1,SUM($A$2:$A279),0)</f>
        <v/>
      </c>
    </row>
    <row r="280">
      <c r="A280">
        <f>IF(AND(OR(Query!$B$4="All",'Compliance Database'!$A280=Query!$B$4),OR(Query!$B$5="All",'Compliance Database'!$F280=Query!$B$5),OR(Query!$B$6="All",ISNUMBER(SEARCH(Query!$B$6,'Compliance Database'!$I280))),OR(Query!$B$7="All",ISNUMBER(SEARCH(Query!$B$7,'Compliance Database'!$J280))),OR(Query!$B$8="All",'Compliance Database'!$G280=Query!$B$8),OR(Query!$B$9="All",'Compliance Database'!$K280=Query!$B$9),OR(Query!$B$10="",ISNUMBER(SEARCH(Query!$B$10,'Compliance Database'!$D280&amp;" "&amp;'Compliance Database'!$L280&amp;" "&amp;'Compliance Database'!$M280&amp;" "&amp;'Compliance Database'!$N280&amp;" "&amp;'Compliance Database'!$O280)))),1,0)</f>
        <v/>
      </c>
      <c r="B280">
        <f>IF($A280=1,SUM($A$2:$A280),"")</f>
        <v/>
      </c>
      <c r="C280">
        <f>IF($A280=1,SUM($A$2:$A280),0)</f>
        <v/>
      </c>
    </row>
    <row r="281">
      <c r="A281">
        <f>IF(AND(OR(Query!$B$4="All",'Compliance Database'!$A281=Query!$B$4),OR(Query!$B$5="All",'Compliance Database'!$F281=Query!$B$5),OR(Query!$B$6="All",ISNUMBER(SEARCH(Query!$B$6,'Compliance Database'!$I281))),OR(Query!$B$7="All",ISNUMBER(SEARCH(Query!$B$7,'Compliance Database'!$J281))),OR(Query!$B$8="All",'Compliance Database'!$G281=Query!$B$8),OR(Query!$B$9="All",'Compliance Database'!$K281=Query!$B$9),OR(Query!$B$10="",ISNUMBER(SEARCH(Query!$B$10,'Compliance Database'!$D281&amp;" "&amp;'Compliance Database'!$L281&amp;" "&amp;'Compliance Database'!$M281&amp;" "&amp;'Compliance Database'!$N281&amp;" "&amp;'Compliance Database'!$O281)))),1,0)</f>
        <v/>
      </c>
      <c r="B281">
        <f>IF($A281=1,SUM($A$2:$A281),"")</f>
        <v/>
      </c>
      <c r="C281">
        <f>IF($A281=1,SUM($A$2:$A281),0)</f>
        <v/>
      </c>
    </row>
    <row r="282">
      <c r="A282">
        <f>IF(AND(OR(Query!$B$4="All",'Compliance Database'!$A282=Query!$B$4),OR(Query!$B$5="All",'Compliance Database'!$F282=Query!$B$5),OR(Query!$B$6="All",ISNUMBER(SEARCH(Query!$B$6,'Compliance Database'!$I282))),OR(Query!$B$7="All",ISNUMBER(SEARCH(Query!$B$7,'Compliance Database'!$J282))),OR(Query!$B$8="All",'Compliance Database'!$G282=Query!$B$8),OR(Query!$B$9="All",'Compliance Database'!$K282=Query!$B$9),OR(Query!$B$10="",ISNUMBER(SEARCH(Query!$B$10,'Compliance Database'!$D282&amp;" "&amp;'Compliance Database'!$L282&amp;" "&amp;'Compliance Database'!$M282&amp;" "&amp;'Compliance Database'!$N282&amp;" "&amp;'Compliance Database'!$O282)))),1,0)</f>
        <v/>
      </c>
      <c r="B282">
        <f>IF($A282=1,SUM($A$2:$A282),"")</f>
        <v/>
      </c>
      <c r="C282">
        <f>IF($A282=1,SUM($A$2:$A282),0)</f>
        <v/>
      </c>
    </row>
    <row r="283">
      <c r="A283">
        <f>IF(AND(OR(Query!$B$4="All",'Compliance Database'!$A283=Query!$B$4),OR(Query!$B$5="All",'Compliance Database'!$F283=Query!$B$5),OR(Query!$B$6="All",ISNUMBER(SEARCH(Query!$B$6,'Compliance Database'!$I283))),OR(Query!$B$7="All",ISNUMBER(SEARCH(Query!$B$7,'Compliance Database'!$J283))),OR(Query!$B$8="All",'Compliance Database'!$G283=Query!$B$8),OR(Query!$B$9="All",'Compliance Database'!$K283=Query!$B$9),OR(Query!$B$10="",ISNUMBER(SEARCH(Query!$B$10,'Compliance Database'!$D283&amp;" "&amp;'Compliance Database'!$L283&amp;" "&amp;'Compliance Database'!$M283&amp;" "&amp;'Compliance Database'!$N283&amp;" "&amp;'Compliance Database'!$O283)))),1,0)</f>
        <v/>
      </c>
      <c r="B283">
        <f>IF($A283=1,SUM($A$2:$A283),"")</f>
        <v/>
      </c>
      <c r="C283">
        <f>IF($A283=1,SUM($A$2:$A283),0)</f>
        <v/>
      </c>
    </row>
    <row r="284">
      <c r="A284">
        <f>IF(AND(OR(Query!$B$4="All",'Compliance Database'!$A284=Query!$B$4),OR(Query!$B$5="All",'Compliance Database'!$F284=Query!$B$5),OR(Query!$B$6="All",ISNUMBER(SEARCH(Query!$B$6,'Compliance Database'!$I284))),OR(Query!$B$7="All",ISNUMBER(SEARCH(Query!$B$7,'Compliance Database'!$J284))),OR(Query!$B$8="All",'Compliance Database'!$G284=Query!$B$8),OR(Query!$B$9="All",'Compliance Database'!$K284=Query!$B$9),OR(Query!$B$10="",ISNUMBER(SEARCH(Query!$B$10,'Compliance Database'!$D284&amp;" "&amp;'Compliance Database'!$L284&amp;" "&amp;'Compliance Database'!$M284&amp;" "&amp;'Compliance Database'!$N284&amp;" "&amp;'Compliance Database'!$O284)))),1,0)</f>
        <v/>
      </c>
      <c r="B284">
        <f>IF($A284=1,SUM($A$2:$A284),"")</f>
        <v/>
      </c>
      <c r="C284">
        <f>IF($A284=1,SUM($A$2:$A284),0)</f>
        <v/>
      </c>
    </row>
    <row r="285">
      <c r="A285">
        <f>IF(AND(OR(Query!$B$4="All",'Compliance Database'!$A285=Query!$B$4),OR(Query!$B$5="All",'Compliance Database'!$F285=Query!$B$5),OR(Query!$B$6="All",ISNUMBER(SEARCH(Query!$B$6,'Compliance Database'!$I285))),OR(Query!$B$7="All",ISNUMBER(SEARCH(Query!$B$7,'Compliance Database'!$J285))),OR(Query!$B$8="All",'Compliance Database'!$G285=Query!$B$8),OR(Query!$B$9="All",'Compliance Database'!$K285=Query!$B$9),OR(Query!$B$10="",ISNUMBER(SEARCH(Query!$B$10,'Compliance Database'!$D285&amp;" "&amp;'Compliance Database'!$L285&amp;" "&amp;'Compliance Database'!$M285&amp;" "&amp;'Compliance Database'!$N285&amp;" "&amp;'Compliance Database'!$O285)))),1,0)</f>
        <v/>
      </c>
      <c r="B285">
        <f>IF($A285=1,SUM($A$2:$A285),"")</f>
        <v/>
      </c>
      <c r="C285">
        <f>IF($A285=1,SUM($A$2:$A285),0)</f>
        <v/>
      </c>
    </row>
    <row r="286">
      <c r="A286">
        <f>IF(AND(OR(Query!$B$4="All",'Compliance Database'!$A286=Query!$B$4),OR(Query!$B$5="All",'Compliance Database'!$F286=Query!$B$5),OR(Query!$B$6="All",ISNUMBER(SEARCH(Query!$B$6,'Compliance Database'!$I286))),OR(Query!$B$7="All",ISNUMBER(SEARCH(Query!$B$7,'Compliance Database'!$J286))),OR(Query!$B$8="All",'Compliance Database'!$G286=Query!$B$8),OR(Query!$B$9="All",'Compliance Database'!$K286=Query!$B$9),OR(Query!$B$10="",ISNUMBER(SEARCH(Query!$B$10,'Compliance Database'!$D286&amp;" "&amp;'Compliance Database'!$L286&amp;" "&amp;'Compliance Database'!$M286&amp;" "&amp;'Compliance Database'!$N286&amp;" "&amp;'Compliance Database'!$O286)))),1,0)</f>
        <v/>
      </c>
      <c r="B286">
        <f>IF($A286=1,SUM($A$2:$A286),"")</f>
        <v/>
      </c>
      <c r="C286">
        <f>IF($A286=1,SUM($A$2:$A286),0)</f>
        <v/>
      </c>
    </row>
    <row r="287">
      <c r="A287">
        <f>IF(AND(OR(Query!$B$4="All",'Compliance Database'!$A287=Query!$B$4),OR(Query!$B$5="All",'Compliance Database'!$F287=Query!$B$5),OR(Query!$B$6="All",ISNUMBER(SEARCH(Query!$B$6,'Compliance Database'!$I287))),OR(Query!$B$7="All",ISNUMBER(SEARCH(Query!$B$7,'Compliance Database'!$J287))),OR(Query!$B$8="All",'Compliance Database'!$G287=Query!$B$8),OR(Query!$B$9="All",'Compliance Database'!$K287=Query!$B$9),OR(Query!$B$10="",ISNUMBER(SEARCH(Query!$B$10,'Compliance Database'!$D287&amp;" "&amp;'Compliance Database'!$L287&amp;" "&amp;'Compliance Database'!$M287&amp;" "&amp;'Compliance Database'!$N287&amp;" "&amp;'Compliance Database'!$O287)))),1,0)</f>
        <v/>
      </c>
      <c r="B287">
        <f>IF($A287=1,SUM($A$2:$A287),"")</f>
        <v/>
      </c>
      <c r="C287">
        <f>IF($A287=1,SUM($A$2:$A287),0)</f>
        <v/>
      </c>
    </row>
    <row r="288">
      <c r="A288">
        <f>IF(AND(OR(Query!$B$4="All",'Compliance Database'!$A288=Query!$B$4),OR(Query!$B$5="All",'Compliance Database'!$F288=Query!$B$5),OR(Query!$B$6="All",ISNUMBER(SEARCH(Query!$B$6,'Compliance Database'!$I288))),OR(Query!$B$7="All",ISNUMBER(SEARCH(Query!$B$7,'Compliance Database'!$J288))),OR(Query!$B$8="All",'Compliance Database'!$G288=Query!$B$8),OR(Query!$B$9="All",'Compliance Database'!$K288=Query!$B$9),OR(Query!$B$10="",ISNUMBER(SEARCH(Query!$B$10,'Compliance Database'!$D288&amp;" "&amp;'Compliance Database'!$L288&amp;" "&amp;'Compliance Database'!$M288&amp;" "&amp;'Compliance Database'!$N288&amp;" "&amp;'Compliance Database'!$O288)))),1,0)</f>
        <v/>
      </c>
      <c r="B288">
        <f>IF($A288=1,SUM($A$2:$A288),"")</f>
        <v/>
      </c>
      <c r="C288">
        <f>IF($A288=1,SUM($A$2:$A288),0)</f>
        <v/>
      </c>
    </row>
    <row r="289">
      <c r="A289">
        <f>IF(AND(OR(Query!$B$4="All",'Compliance Database'!$A289=Query!$B$4),OR(Query!$B$5="All",'Compliance Database'!$F289=Query!$B$5),OR(Query!$B$6="All",ISNUMBER(SEARCH(Query!$B$6,'Compliance Database'!$I289))),OR(Query!$B$7="All",ISNUMBER(SEARCH(Query!$B$7,'Compliance Database'!$J289))),OR(Query!$B$8="All",'Compliance Database'!$G289=Query!$B$8),OR(Query!$B$9="All",'Compliance Database'!$K289=Query!$B$9),OR(Query!$B$10="",ISNUMBER(SEARCH(Query!$B$10,'Compliance Database'!$D289&amp;" "&amp;'Compliance Database'!$L289&amp;" "&amp;'Compliance Database'!$M289&amp;" "&amp;'Compliance Database'!$N289&amp;" "&amp;'Compliance Database'!$O289)))),1,0)</f>
        <v/>
      </c>
      <c r="B289">
        <f>IF($A289=1,SUM($A$2:$A289),"")</f>
        <v/>
      </c>
      <c r="C289">
        <f>IF($A289=1,SUM($A$2:$A289),0)</f>
        <v/>
      </c>
    </row>
    <row r="290">
      <c r="A290">
        <f>IF(AND(OR(Query!$B$4="All",'Compliance Database'!$A290=Query!$B$4),OR(Query!$B$5="All",'Compliance Database'!$F290=Query!$B$5),OR(Query!$B$6="All",ISNUMBER(SEARCH(Query!$B$6,'Compliance Database'!$I290))),OR(Query!$B$7="All",ISNUMBER(SEARCH(Query!$B$7,'Compliance Database'!$J290))),OR(Query!$B$8="All",'Compliance Database'!$G290=Query!$B$8),OR(Query!$B$9="All",'Compliance Database'!$K290=Query!$B$9),OR(Query!$B$10="",ISNUMBER(SEARCH(Query!$B$10,'Compliance Database'!$D290&amp;" "&amp;'Compliance Database'!$L290&amp;" "&amp;'Compliance Database'!$M290&amp;" "&amp;'Compliance Database'!$N290&amp;" "&amp;'Compliance Database'!$O290)))),1,0)</f>
        <v/>
      </c>
      <c r="B290">
        <f>IF($A290=1,SUM($A$2:$A290),"")</f>
        <v/>
      </c>
      <c r="C290">
        <f>IF($A290=1,SUM($A$2:$A290),0)</f>
        <v/>
      </c>
    </row>
    <row r="291">
      <c r="A291">
        <f>IF(AND(OR(Query!$B$4="All",'Compliance Database'!$A291=Query!$B$4),OR(Query!$B$5="All",'Compliance Database'!$F291=Query!$B$5),OR(Query!$B$6="All",ISNUMBER(SEARCH(Query!$B$6,'Compliance Database'!$I291))),OR(Query!$B$7="All",ISNUMBER(SEARCH(Query!$B$7,'Compliance Database'!$J291))),OR(Query!$B$8="All",'Compliance Database'!$G291=Query!$B$8),OR(Query!$B$9="All",'Compliance Database'!$K291=Query!$B$9),OR(Query!$B$10="",ISNUMBER(SEARCH(Query!$B$10,'Compliance Database'!$D291&amp;" "&amp;'Compliance Database'!$L291&amp;" "&amp;'Compliance Database'!$M291&amp;" "&amp;'Compliance Database'!$N291&amp;" "&amp;'Compliance Database'!$O291)))),1,0)</f>
        <v/>
      </c>
      <c r="B291">
        <f>IF($A291=1,SUM($A$2:$A291),"")</f>
        <v/>
      </c>
      <c r="C291">
        <f>IF($A291=1,SUM($A$2:$A291),0)</f>
        <v/>
      </c>
    </row>
    <row r="292">
      <c r="A292">
        <f>IF(AND(OR(Query!$B$4="All",'Compliance Database'!$A292=Query!$B$4),OR(Query!$B$5="All",'Compliance Database'!$F292=Query!$B$5),OR(Query!$B$6="All",ISNUMBER(SEARCH(Query!$B$6,'Compliance Database'!$I292))),OR(Query!$B$7="All",ISNUMBER(SEARCH(Query!$B$7,'Compliance Database'!$J292))),OR(Query!$B$8="All",'Compliance Database'!$G292=Query!$B$8),OR(Query!$B$9="All",'Compliance Database'!$K292=Query!$B$9),OR(Query!$B$10="",ISNUMBER(SEARCH(Query!$B$10,'Compliance Database'!$D292&amp;" "&amp;'Compliance Database'!$L292&amp;" "&amp;'Compliance Database'!$M292&amp;" "&amp;'Compliance Database'!$N292&amp;" "&amp;'Compliance Database'!$O292)))),1,0)</f>
        <v/>
      </c>
      <c r="B292">
        <f>IF($A292=1,SUM($A$2:$A292),"")</f>
        <v/>
      </c>
      <c r="C292">
        <f>IF($A292=1,SUM($A$2:$A292),0)</f>
        <v/>
      </c>
    </row>
    <row r="293">
      <c r="A293">
        <f>IF(AND(OR(Query!$B$4="All",'Compliance Database'!$A293=Query!$B$4),OR(Query!$B$5="All",'Compliance Database'!$F293=Query!$B$5),OR(Query!$B$6="All",ISNUMBER(SEARCH(Query!$B$6,'Compliance Database'!$I293))),OR(Query!$B$7="All",ISNUMBER(SEARCH(Query!$B$7,'Compliance Database'!$J293))),OR(Query!$B$8="All",'Compliance Database'!$G293=Query!$B$8),OR(Query!$B$9="All",'Compliance Database'!$K293=Query!$B$9),OR(Query!$B$10="",ISNUMBER(SEARCH(Query!$B$10,'Compliance Database'!$D293&amp;" "&amp;'Compliance Database'!$L293&amp;" "&amp;'Compliance Database'!$M293&amp;" "&amp;'Compliance Database'!$N293&amp;" "&amp;'Compliance Database'!$O293)))),1,0)</f>
        <v/>
      </c>
      <c r="B293">
        <f>IF($A293=1,SUM($A$2:$A293),"")</f>
        <v/>
      </c>
      <c r="C293">
        <f>IF($A293=1,SUM($A$2:$A293),0)</f>
        <v/>
      </c>
    </row>
    <row r="294">
      <c r="A294">
        <f>IF(AND(OR(Query!$B$4="All",'Compliance Database'!$A294=Query!$B$4),OR(Query!$B$5="All",'Compliance Database'!$F294=Query!$B$5),OR(Query!$B$6="All",ISNUMBER(SEARCH(Query!$B$6,'Compliance Database'!$I294))),OR(Query!$B$7="All",ISNUMBER(SEARCH(Query!$B$7,'Compliance Database'!$J294))),OR(Query!$B$8="All",'Compliance Database'!$G294=Query!$B$8),OR(Query!$B$9="All",'Compliance Database'!$K294=Query!$B$9),OR(Query!$B$10="",ISNUMBER(SEARCH(Query!$B$10,'Compliance Database'!$D294&amp;" "&amp;'Compliance Database'!$L294&amp;" "&amp;'Compliance Database'!$M294&amp;" "&amp;'Compliance Database'!$N294&amp;" "&amp;'Compliance Database'!$O294)))),1,0)</f>
        <v/>
      </c>
      <c r="B294">
        <f>IF($A294=1,SUM($A$2:$A294),"")</f>
        <v/>
      </c>
      <c r="C294">
        <f>IF($A294=1,SUM($A$2:$A294),0)</f>
        <v/>
      </c>
    </row>
    <row r="295">
      <c r="A295">
        <f>IF(AND(OR(Query!$B$4="All",'Compliance Database'!$A295=Query!$B$4),OR(Query!$B$5="All",'Compliance Database'!$F295=Query!$B$5),OR(Query!$B$6="All",ISNUMBER(SEARCH(Query!$B$6,'Compliance Database'!$I295))),OR(Query!$B$7="All",ISNUMBER(SEARCH(Query!$B$7,'Compliance Database'!$J295))),OR(Query!$B$8="All",'Compliance Database'!$G295=Query!$B$8),OR(Query!$B$9="All",'Compliance Database'!$K295=Query!$B$9),OR(Query!$B$10="",ISNUMBER(SEARCH(Query!$B$10,'Compliance Database'!$D295&amp;" "&amp;'Compliance Database'!$L295&amp;" "&amp;'Compliance Database'!$M295&amp;" "&amp;'Compliance Database'!$N295&amp;" "&amp;'Compliance Database'!$O295)))),1,0)</f>
        <v/>
      </c>
      <c r="B295">
        <f>IF($A295=1,SUM($A$2:$A295),"")</f>
        <v/>
      </c>
      <c r="C295">
        <f>IF($A295=1,SUM($A$2:$A295),0)</f>
        <v/>
      </c>
    </row>
    <row r="296">
      <c r="A296">
        <f>IF(AND(OR(Query!$B$4="All",'Compliance Database'!$A296=Query!$B$4),OR(Query!$B$5="All",'Compliance Database'!$F296=Query!$B$5),OR(Query!$B$6="All",ISNUMBER(SEARCH(Query!$B$6,'Compliance Database'!$I296))),OR(Query!$B$7="All",ISNUMBER(SEARCH(Query!$B$7,'Compliance Database'!$J296))),OR(Query!$B$8="All",'Compliance Database'!$G296=Query!$B$8),OR(Query!$B$9="All",'Compliance Database'!$K296=Query!$B$9),OR(Query!$B$10="",ISNUMBER(SEARCH(Query!$B$10,'Compliance Database'!$D296&amp;" "&amp;'Compliance Database'!$L296&amp;" "&amp;'Compliance Database'!$M296&amp;" "&amp;'Compliance Database'!$N296&amp;" "&amp;'Compliance Database'!$O296)))),1,0)</f>
        <v/>
      </c>
      <c r="B296">
        <f>IF($A296=1,SUM($A$2:$A296),"")</f>
        <v/>
      </c>
      <c r="C296">
        <f>IF($A296=1,SUM($A$2:$A296),0)</f>
        <v/>
      </c>
    </row>
    <row r="297">
      <c r="A297">
        <f>IF(AND(OR(Query!$B$4="All",'Compliance Database'!$A297=Query!$B$4),OR(Query!$B$5="All",'Compliance Database'!$F297=Query!$B$5),OR(Query!$B$6="All",ISNUMBER(SEARCH(Query!$B$6,'Compliance Database'!$I297))),OR(Query!$B$7="All",ISNUMBER(SEARCH(Query!$B$7,'Compliance Database'!$J297))),OR(Query!$B$8="All",'Compliance Database'!$G297=Query!$B$8),OR(Query!$B$9="All",'Compliance Database'!$K297=Query!$B$9),OR(Query!$B$10="",ISNUMBER(SEARCH(Query!$B$10,'Compliance Database'!$D297&amp;" "&amp;'Compliance Database'!$L297&amp;" "&amp;'Compliance Database'!$M297&amp;" "&amp;'Compliance Database'!$N297&amp;" "&amp;'Compliance Database'!$O297)))),1,0)</f>
        <v/>
      </c>
      <c r="B297">
        <f>IF($A297=1,SUM($A$2:$A297),"")</f>
        <v/>
      </c>
      <c r="C297">
        <f>IF($A297=1,SUM($A$2:$A297),0)</f>
        <v/>
      </c>
    </row>
    <row r="298">
      <c r="A298">
        <f>IF(AND(OR(Query!$B$4="All",'Compliance Database'!$A298=Query!$B$4),OR(Query!$B$5="All",'Compliance Database'!$F298=Query!$B$5),OR(Query!$B$6="All",ISNUMBER(SEARCH(Query!$B$6,'Compliance Database'!$I298))),OR(Query!$B$7="All",ISNUMBER(SEARCH(Query!$B$7,'Compliance Database'!$J298))),OR(Query!$B$8="All",'Compliance Database'!$G298=Query!$B$8),OR(Query!$B$9="All",'Compliance Database'!$K298=Query!$B$9),OR(Query!$B$10="",ISNUMBER(SEARCH(Query!$B$10,'Compliance Database'!$D298&amp;" "&amp;'Compliance Database'!$L298&amp;" "&amp;'Compliance Database'!$M298&amp;" "&amp;'Compliance Database'!$N298&amp;" "&amp;'Compliance Database'!$O298)))),1,0)</f>
        <v/>
      </c>
      <c r="B298">
        <f>IF($A298=1,SUM($A$2:$A298),"")</f>
        <v/>
      </c>
      <c r="C298">
        <f>IF($A298=1,SUM($A$2:$A298),0)</f>
        <v/>
      </c>
    </row>
    <row r="299">
      <c r="A299">
        <f>IF(AND(OR(Query!$B$4="All",'Compliance Database'!$A299=Query!$B$4),OR(Query!$B$5="All",'Compliance Database'!$F299=Query!$B$5),OR(Query!$B$6="All",ISNUMBER(SEARCH(Query!$B$6,'Compliance Database'!$I299))),OR(Query!$B$7="All",ISNUMBER(SEARCH(Query!$B$7,'Compliance Database'!$J299))),OR(Query!$B$8="All",'Compliance Database'!$G299=Query!$B$8),OR(Query!$B$9="All",'Compliance Database'!$K299=Query!$B$9),OR(Query!$B$10="",ISNUMBER(SEARCH(Query!$B$10,'Compliance Database'!$D299&amp;" "&amp;'Compliance Database'!$L299&amp;" "&amp;'Compliance Database'!$M299&amp;" "&amp;'Compliance Database'!$N299&amp;" "&amp;'Compliance Database'!$O299)))),1,0)</f>
        <v/>
      </c>
      <c r="B299">
        <f>IF($A299=1,SUM($A$2:$A299),"")</f>
        <v/>
      </c>
      <c r="C299">
        <f>IF($A299=1,SUM($A$2:$A299),0)</f>
        <v/>
      </c>
    </row>
    <row r="300">
      <c r="A300">
        <f>IF(AND(OR(Query!$B$4="All",'Compliance Database'!$A300=Query!$B$4),OR(Query!$B$5="All",'Compliance Database'!$F300=Query!$B$5),OR(Query!$B$6="All",ISNUMBER(SEARCH(Query!$B$6,'Compliance Database'!$I300))),OR(Query!$B$7="All",ISNUMBER(SEARCH(Query!$B$7,'Compliance Database'!$J300))),OR(Query!$B$8="All",'Compliance Database'!$G300=Query!$B$8),OR(Query!$B$9="All",'Compliance Database'!$K300=Query!$B$9),OR(Query!$B$10="",ISNUMBER(SEARCH(Query!$B$10,'Compliance Database'!$D300&amp;" "&amp;'Compliance Database'!$L300&amp;" "&amp;'Compliance Database'!$M300&amp;" "&amp;'Compliance Database'!$N300&amp;" "&amp;'Compliance Database'!$O300)))),1,0)</f>
        <v/>
      </c>
      <c r="B300">
        <f>IF($A300=1,SUM($A$2:$A300),"")</f>
        <v/>
      </c>
      <c r="C300">
        <f>IF($A300=1,SUM($A$2:$A300),0)</f>
        <v/>
      </c>
    </row>
    <row r="301">
      <c r="A301">
        <f>IF(AND(OR(Query!$B$4="All",'Compliance Database'!$A301=Query!$B$4),OR(Query!$B$5="All",'Compliance Database'!$F301=Query!$B$5),OR(Query!$B$6="All",ISNUMBER(SEARCH(Query!$B$6,'Compliance Database'!$I301))),OR(Query!$B$7="All",ISNUMBER(SEARCH(Query!$B$7,'Compliance Database'!$J301))),OR(Query!$B$8="All",'Compliance Database'!$G301=Query!$B$8),OR(Query!$B$9="All",'Compliance Database'!$K301=Query!$B$9),OR(Query!$B$10="",ISNUMBER(SEARCH(Query!$B$10,'Compliance Database'!$D301&amp;" "&amp;'Compliance Database'!$L301&amp;" "&amp;'Compliance Database'!$M301&amp;" "&amp;'Compliance Database'!$N301&amp;" "&amp;'Compliance Database'!$O301)))),1,0)</f>
        <v/>
      </c>
      <c r="B301">
        <f>IF($A301=1,SUM($A$2:$A301),"")</f>
        <v/>
      </c>
      <c r="C301">
        <f>IF($A301=1,SUM($A$2:$A301),0)</f>
        <v/>
      </c>
    </row>
    <row r="302">
      <c r="A302">
        <f>IF(AND(OR(Query!$B$4="All",'Compliance Database'!$A302=Query!$B$4),OR(Query!$B$5="All",'Compliance Database'!$F302=Query!$B$5),OR(Query!$B$6="All",ISNUMBER(SEARCH(Query!$B$6,'Compliance Database'!$I302))),OR(Query!$B$7="All",ISNUMBER(SEARCH(Query!$B$7,'Compliance Database'!$J302))),OR(Query!$B$8="All",'Compliance Database'!$G302=Query!$B$8),OR(Query!$B$9="All",'Compliance Database'!$K302=Query!$B$9),OR(Query!$B$10="",ISNUMBER(SEARCH(Query!$B$10,'Compliance Database'!$D302&amp;" "&amp;'Compliance Database'!$L302&amp;" "&amp;'Compliance Database'!$M302&amp;" "&amp;'Compliance Database'!$N302&amp;" "&amp;'Compliance Database'!$O302)))),1,0)</f>
        <v/>
      </c>
      <c r="B302">
        <f>IF($A302=1,SUM($A$2:$A302),"")</f>
        <v/>
      </c>
      <c r="C302">
        <f>IF($A302=1,SUM($A$2:$A302),0)</f>
        <v/>
      </c>
    </row>
    <row r="303">
      <c r="A303">
        <f>IF(AND(OR(Query!$B$4="All",'Compliance Database'!$A303=Query!$B$4),OR(Query!$B$5="All",'Compliance Database'!$F303=Query!$B$5),OR(Query!$B$6="All",ISNUMBER(SEARCH(Query!$B$6,'Compliance Database'!$I303))),OR(Query!$B$7="All",ISNUMBER(SEARCH(Query!$B$7,'Compliance Database'!$J303))),OR(Query!$B$8="All",'Compliance Database'!$G303=Query!$B$8),OR(Query!$B$9="All",'Compliance Database'!$K303=Query!$B$9),OR(Query!$B$10="",ISNUMBER(SEARCH(Query!$B$10,'Compliance Database'!$D303&amp;" "&amp;'Compliance Database'!$L303&amp;" "&amp;'Compliance Database'!$M303&amp;" "&amp;'Compliance Database'!$N303&amp;" "&amp;'Compliance Database'!$O303)))),1,0)</f>
        <v/>
      </c>
      <c r="B303">
        <f>IF($A303=1,SUM($A$2:$A303),"")</f>
        <v/>
      </c>
      <c r="C303">
        <f>IF($A303=1,SUM($A$2:$A303),0)</f>
        <v/>
      </c>
    </row>
    <row r="304">
      <c r="A304">
        <f>IF(AND(OR(Query!$B$4="All",'Compliance Database'!$A304=Query!$B$4),OR(Query!$B$5="All",'Compliance Database'!$F304=Query!$B$5),OR(Query!$B$6="All",ISNUMBER(SEARCH(Query!$B$6,'Compliance Database'!$I304))),OR(Query!$B$7="All",ISNUMBER(SEARCH(Query!$B$7,'Compliance Database'!$J304))),OR(Query!$B$8="All",'Compliance Database'!$G304=Query!$B$8),OR(Query!$B$9="All",'Compliance Database'!$K304=Query!$B$9),OR(Query!$B$10="",ISNUMBER(SEARCH(Query!$B$10,'Compliance Database'!$D304&amp;" "&amp;'Compliance Database'!$L304&amp;" "&amp;'Compliance Database'!$M304&amp;" "&amp;'Compliance Database'!$N304&amp;" "&amp;'Compliance Database'!$O304)))),1,0)</f>
        <v/>
      </c>
      <c r="B304">
        <f>IF($A304=1,SUM($A$2:$A304),"")</f>
        <v/>
      </c>
      <c r="C304">
        <f>IF($A304=1,SUM($A$2:$A304),0)</f>
        <v/>
      </c>
    </row>
    <row r="305">
      <c r="A305">
        <f>IF(AND(OR(Query!$B$4="All",'Compliance Database'!$A305=Query!$B$4),OR(Query!$B$5="All",'Compliance Database'!$F305=Query!$B$5),OR(Query!$B$6="All",ISNUMBER(SEARCH(Query!$B$6,'Compliance Database'!$I305))),OR(Query!$B$7="All",ISNUMBER(SEARCH(Query!$B$7,'Compliance Database'!$J305))),OR(Query!$B$8="All",'Compliance Database'!$G305=Query!$B$8),OR(Query!$B$9="All",'Compliance Database'!$K305=Query!$B$9),OR(Query!$B$10="",ISNUMBER(SEARCH(Query!$B$10,'Compliance Database'!$D305&amp;" "&amp;'Compliance Database'!$L305&amp;" "&amp;'Compliance Database'!$M305&amp;" "&amp;'Compliance Database'!$N305&amp;" "&amp;'Compliance Database'!$O305)))),1,0)</f>
        <v/>
      </c>
      <c r="B305">
        <f>IF($A305=1,SUM($A$2:$A305),"")</f>
        <v/>
      </c>
      <c r="C305">
        <f>IF($A305=1,SUM($A$2:$A305),0)</f>
        <v/>
      </c>
    </row>
    <row r="306">
      <c r="A306">
        <f>IF(AND(OR(Query!$B$4="All",'Compliance Database'!$A306=Query!$B$4),OR(Query!$B$5="All",'Compliance Database'!$F306=Query!$B$5),OR(Query!$B$6="All",ISNUMBER(SEARCH(Query!$B$6,'Compliance Database'!$I306))),OR(Query!$B$7="All",ISNUMBER(SEARCH(Query!$B$7,'Compliance Database'!$J306))),OR(Query!$B$8="All",'Compliance Database'!$G306=Query!$B$8),OR(Query!$B$9="All",'Compliance Database'!$K306=Query!$B$9),OR(Query!$B$10="",ISNUMBER(SEARCH(Query!$B$10,'Compliance Database'!$D306&amp;" "&amp;'Compliance Database'!$L306&amp;" "&amp;'Compliance Database'!$M306&amp;" "&amp;'Compliance Database'!$N306&amp;" "&amp;'Compliance Database'!$O306)))),1,0)</f>
        <v/>
      </c>
      <c r="B306">
        <f>IF($A306=1,SUM($A$2:$A306),"")</f>
        <v/>
      </c>
      <c r="C306">
        <f>IF($A306=1,SUM($A$2:$A306),0)</f>
        <v/>
      </c>
    </row>
    <row r="307">
      <c r="A307">
        <f>IF(AND(OR(Query!$B$4="All",'Compliance Database'!$A307=Query!$B$4),OR(Query!$B$5="All",'Compliance Database'!$F307=Query!$B$5),OR(Query!$B$6="All",ISNUMBER(SEARCH(Query!$B$6,'Compliance Database'!$I307))),OR(Query!$B$7="All",ISNUMBER(SEARCH(Query!$B$7,'Compliance Database'!$J307))),OR(Query!$B$8="All",'Compliance Database'!$G307=Query!$B$8),OR(Query!$B$9="All",'Compliance Database'!$K307=Query!$B$9),OR(Query!$B$10="",ISNUMBER(SEARCH(Query!$B$10,'Compliance Database'!$D307&amp;" "&amp;'Compliance Database'!$L307&amp;" "&amp;'Compliance Database'!$M307&amp;" "&amp;'Compliance Database'!$N307&amp;" "&amp;'Compliance Database'!$O307)))),1,0)</f>
        <v/>
      </c>
      <c r="B307">
        <f>IF($A307=1,SUM($A$2:$A307),"")</f>
        <v/>
      </c>
      <c r="C307">
        <f>IF($A307=1,SUM($A$2:$A307),0)</f>
        <v/>
      </c>
    </row>
    <row r="308">
      <c r="A308">
        <f>IF(AND(OR(Query!$B$4="All",'Compliance Database'!$A308=Query!$B$4),OR(Query!$B$5="All",'Compliance Database'!$F308=Query!$B$5),OR(Query!$B$6="All",ISNUMBER(SEARCH(Query!$B$6,'Compliance Database'!$I308))),OR(Query!$B$7="All",ISNUMBER(SEARCH(Query!$B$7,'Compliance Database'!$J308))),OR(Query!$B$8="All",'Compliance Database'!$G308=Query!$B$8),OR(Query!$B$9="All",'Compliance Database'!$K308=Query!$B$9),OR(Query!$B$10="",ISNUMBER(SEARCH(Query!$B$10,'Compliance Database'!$D308&amp;" "&amp;'Compliance Database'!$L308&amp;" "&amp;'Compliance Database'!$M308&amp;" "&amp;'Compliance Database'!$N308&amp;" "&amp;'Compliance Database'!$O308)))),1,0)</f>
        <v/>
      </c>
      <c r="B308">
        <f>IF($A308=1,SUM($A$2:$A308),"")</f>
        <v/>
      </c>
      <c r="C308">
        <f>IF($A308=1,SUM($A$2:$A308),0)</f>
        <v/>
      </c>
    </row>
    <row r="309">
      <c r="A309">
        <f>IF(AND(OR(Query!$B$4="All",'Compliance Database'!$A309=Query!$B$4),OR(Query!$B$5="All",'Compliance Database'!$F309=Query!$B$5),OR(Query!$B$6="All",ISNUMBER(SEARCH(Query!$B$6,'Compliance Database'!$I309))),OR(Query!$B$7="All",ISNUMBER(SEARCH(Query!$B$7,'Compliance Database'!$J309))),OR(Query!$B$8="All",'Compliance Database'!$G309=Query!$B$8),OR(Query!$B$9="All",'Compliance Database'!$K309=Query!$B$9),OR(Query!$B$10="",ISNUMBER(SEARCH(Query!$B$10,'Compliance Database'!$D309&amp;" "&amp;'Compliance Database'!$L309&amp;" "&amp;'Compliance Database'!$M309&amp;" "&amp;'Compliance Database'!$N309&amp;" "&amp;'Compliance Database'!$O309)))),1,0)</f>
        <v/>
      </c>
      <c r="B309">
        <f>IF($A309=1,SUM($A$2:$A309),"")</f>
        <v/>
      </c>
      <c r="C309">
        <f>IF($A309=1,SUM($A$2:$A309),0)</f>
        <v/>
      </c>
    </row>
    <row r="310">
      <c r="A310">
        <f>IF(AND(OR(Query!$B$4="All",'Compliance Database'!$A310=Query!$B$4),OR(Query!$B$5="All",'Compliance Database'!$F310=Query!$B$5),OR(Query!$B$6="All",ISNUMBER(SEARCH(Query!$B$6,'Compliance Database'!$I310))),OR(Query!$B$7="All",ISNUMBER(SEARCH(Query!$B$7,'Compliance Database'!$J310))),OR(Query!$B$8="All",'Compliance Database'!$G310=Query!$B$8),OR(Query!$B$9="All",'Compliance Database'!$K310=Query!$B$9),OR(Query!$B$10="",ISNUMBER(SEARCH(Query!$B$10,'Compliance Database'!$D310&amp;" "&amp;'Compliance Database'!$L310&amp;" "&amp;'Compliance Database'!$M310&amp;" "&amp;'Compliance Database'!$N310&amp;" "&amp;'Compliance Database'!$O310)))),1,0)</f>
        <v/>
      </c>
      <c r="B310">
        <f>IF($A310=1,SUM($A$2:$A310),"")</f>
        <v/>
      </c>
      <c r="C310">
        <f>IF($A310=1,SUM($A$2:$A310),0)</f>
        <v/>
      </c>
    </row>
    <row r="311">
      <c r="A311">
        <f>IF(AND(OR(Query!$B$4="All",'Compliance Database'!$A311=Query!$B$4),OR(Query!$B$5="All",'Compliance Database'!$F311=Query!$B$5),OR(Query!$B$6="All",ISNUMBER(SEARCH(Query!$B$6,'Compliance Database'!$I311))),OR(Query!$B$7="All",ISNUMBER(SEARCH(Query!$B$7,'Compliance Database'!$J311))),OR(Query!$B$8="All",'Compliance Database'!$G311=Query!$B$8),OR(Query!$B$9="All",'Compliance Database'!$K311=Query!$B$9),OR(Query!$B$10="",ISNUMBER(SEARCH(Query!$B$10,'Compliance Database'!$D311&amp;" "&amp;'Compliance Database'!$L311&amp;" "&amp;'Compliance Database'!$M311&amp;" "&amp;'Compliance Database'!$N311&amp;" "&amp;'Compliance Database'!$O311)))),1,0)</f>
        <v/>
      </c>
      <c r="B311">
        <f>IF($A311=1,SUM($A$2:$A311),"")</f>
        <v/>
      </c>
      <c r="C311">
        <f>IF($A311=1,SUM($A$2:$A311),0)</f>
        <v/>
      </c>
    </row>
    <row r="312">
      <c r="A312">
        <f>IF(AND(OR(Query!$B$4="All",'Compliance Database'!$A312=Query!$B$4),OR(Query!$B$5="All",'Compliance Database'!$F312=Query!$B$5),OR(Query!$B$6="All",ISNUMBER(SEARCH(Query!$B$6,'Compliance Database'!$I312))),OR(Query!$B$7="All",ISNUMBER(SEARCH(Query!$B$7,'Compliance Database'!$J312))),OR(Query!$B$8="All",'Compliance Database'!$G312=Query!$B$8),OR(Query!$B$9="All",'Compliance Database'!$K312=Query!$B$9),OR(Query!$B$10="",ISNUMBER(SEARCH(Query!$B$10,'Compliance Database'!$D312&amp;" "&amp;'Compliance Database'!$L312&amp;" "&amp;'Compliance Database'!$M312&amp;" "&amp;'Compliance Database'!$N312&amp;" "&amp;'Compliance Database'!$O312)))),1,0)</f>
        <v/>
      </c>
      <c r="B312">
        <f>IF($A312=1,SUM($A$2:$A312),"")</f>
        <v/>
      </c>
      <c r="C312">
        <f>IF($A312=1,SUM($A$2:$A312),0)</f>
        <v/>
      </c>
    </row>
    <row r="313">
      <c r="A313">
        <f>IF(AND(OR(Query!$B$4="All",'Compliance Database'!$A313=Query!$B$4),OR(Query!$B$5="All",'Compliance Database'!$F313=Query!$B$5),OR(Query!$B$6="All",ISNUMBER(SEARCH(Query!$B$6,'Compliance Database'!$I313))),OR(Query!$B$7="All",ISNUMBER(SEARCH(Query!$B$7,'Compliance Database'!$J313))),OR(Query!$B$8="All",'Compliance Database'!$G313=Query!$B$8),OR(Query!$B$9="All",'Compliance Database'!$K313=Query!$B$9),OR(Query!$B$10="",ISNUMBER(SEARCH(Query!$B$10,'Compliance Database'!$D313&amp;" "&amp;'Compliance Database'!$L313&amp;" "&amp;'Compliance Database'!$M313&amp;" "&amp;'Compliance Database'!$N313&amp;" "&amp;'Compliance Database'!$O313)))),1,0)</f>
        <v/>
      </c>
      <c r="B313">
        <f>IF($A313=1,SUM($A$2:$A313),"")</f>
        <v/>
      </c>
      <c r="C313">
        <f>IF($A313=1,SUM($A$2:$A313),0)</f>
        <v/>
      </c>
    </row>
    <row r="314">
      <c r="A314">
        <f>IF(AND(OR(Query!$B$4="All",'Compliance Database'!$A314=Query!$B$4),OR(Query!$B$5="All",'Compliance Database'!$F314=Query!$B$5),OR(Query!$B$6="All",ISNUMBER(SEARCH(Query!$B$6,'Compliance Database'!$I314))),OR(Query!$B$7="All",ISNUMBER(SEARCH(Query!$B$7,'Compliance Database'!$J314))),OR(Query!$B$8="All",'Compliance Database'!$G314=Query!$B$8),OR(Query!$B$9="All",'Compliance Database'!$K314=Query!$B$9),OR(Query!$B$10="",ISNUMBER(SEARCH(Query!$B$10,'Compliance Database'!$D314&amp;" "&amp;'Compliance Database'!$L314&amp;" "&amp;'Compliance Database'!$M314&amp;" "&amp;'Compliance Database'!$N314&amp;" "&amp;'Compliance Database'!$O314)))),1,0)</f>
        <v/>
      </c>
      <c r="B314">
        <f>IF($A314=1,SUM($A$2:$A314),"")</f>
        <v/>
      </c>
      <c r="C314">
        <f>IF($A314=1,SUM($A$2:$A314),0)</f>
        <v/>
      </c>
    </row>
    <row r="315">
      <c r="A315">
        <f>IF(AND(OR(Query!$B$4="All",'Compliance Database'!$A315=Query!$B$4),OR(Query!$B$5="All",'Compliance Database'!$F315=Query!$B$5),OR(Query!$B$6="All",ISNUMBER(SEARCH(Query!$B$6,'Compliance Database'!$I315))),OR(Query!$B$7="All",ISNUMBER(SEARCH(Query!$B$7,'Compliance Database'!$J315))),OR(Query!$B$8="All",'Compliance Database'!$G315=Query!$B$8),OR(Query!$B$9="All",'Compliance Database'!$K315=Query!$B$9),OR(Query!$B$10="",ISNUMBER(SEARCH(Query!$B$10,'Compliance Database'!$D315&amp;" "&amp;'Compliance Database'!$L315&amp;" "&amp;'Compliance Database'!$M315&amp;" "&amp;'Compliance Database'!$N315&amp;" "&amp;'Compliance Database'!$O315)))),1,0)</f>
        <v/>
      </c>
      <c r="B315">
        <f>IF($A315=1,SUM($A$2:$A315),"")</f>
        <v/>
      </c>
      <c r="C315">
        <f>IF($A315=1,SUM($A$2:$A315),0)</f>
        <v/>
      </c>
    </row>
    <row r="316">
      <c r="A316">
        <f>IF(AND(OR(Query!$B$4="All",'Compliance Database'!$A316=Query!$B$4),OR(Query!$B$5="All",'Compliance Database'!$F316=Query!$B$5),OR(Query!$B$6="All",ISNUMBER(SEARCH(Query!$B$6,'Compliance Database'!$I316))),OR(Query!$B$7="All",ISNUMBER(SEARCH(Query!$B$7,'Compliance Database'!$J316))),OR(Query!$B$8="All",'Compliance Database'!$G316=Query!$B$8),OR(Query!$B$9="All",'Compliance Database'!$K316=Query!$B$9),OR(Query!$B$10="",ISNUMBER(SEARCH(Query!$B$10,'Compliance Database'!$D316&amp;" "&amp;'Compliance Database'!$L316&amp;" "&amp;'Compliance Database'!$M316&amp;" "&amp;'Compliance Database'!$N316&amp;" "&amp;'Compliance Database'!$O316)))),1,0)</f>
        <v/>
      </c>
      <c r="B316">
        <f>IF($A316=1,SUM($A$2:$A316),"")</f>
        <v/>
      </c>
      <c r="C316">
        <f>IF($A316=1,SUM($A$2:$A316),0)</f>
        <v/>
      </c>
    </row>
    <row r="317">
      <c r="A317">
        <f>IF(AND(OR(Query!$B$4="All",'Compliance Database'!$A317=Query!$B$4),OR(Query!$B$5="All",'Compliance Database'!$F317=Query!$B$5),OR(Query!$B$6="All",ISNUMBER(SEARCH(Query!$B$6,'Compliance Database'!$I317))),OR(Query!$B$7="All",ISNUMBER(SEARCH(Query!$B$7,'Compliance Database'!$J317))),OR(Query!$B$8="All",'Compliance Database'!$G317=Query!$B$8),OR(Query!$B$9="All",'Compliance Database'!$K317=Query!$B$9),OR(Query!$B$10="",ISNUMBER(SEARCH(Query!$B$10,'Compliance Database'!$D317&amp;" "&amp;'Compliance Database'!$L317&amp;" "&amp;'Compliance Database'!$M317&amp;" "&amp;'Compliance Database'!$N317&amp;" "&amp;'Compliance Database'!$O317)))),1,0)</f>
        <v/>
      </c>
      <c r="B317">
        <f>IF($A317=1,SUM($A$2:$A317),"")</f>
        <v/>
      </c>
      <c r="C317">
        <f>IF($A317=1,SUM($A$2:$A317),0)</f>
        <v/>
      </c>
    </row>
    <row r="318">
      <c r="A318">
        <f>IF(AND(OR(Query!$B$4="All",'Compliance Database'!$A318=Query!$B$4),OR(Query!$B$5="All",'Compliance Database'!$F318=Query!$B$5),OR(Query!$B$6="All",ISNUMBER(SEARCH(Query!$B$6,'Compliance Database'!$I318))),OR(Query!$B$7="All",ISNUMBER(SEARCH(Query!$B$7,'Compliance Database'!$J318))),OR(Query!$B$8="All",'Compliance Database'!$G318=Query!$B$8),OR(Query!$B$9="All",'Compliance Database'!$K318=Query!$B$9),OR(Query!$B$10="",ISNUMBER(SEARCH(Query!$B$10,'Compliance Database'!$D318&amp;" "&amp;'Compliance Database'!$L318&amp;" "&amp;'Compliance Database'!$M318&amp;" "&amp;'Compliance Database'!$N318&amp;" "&amp;'Compliance Database'!$O318)))),1,0)</f>
        <v/>
      </c>
      <c r="B318">
        <f>IF($A318=1,SUM($A$2:$A318),"")</f>
        <v/>
      </c>
      <c r="C318">
        <f>IF($A318=1,SUM($A$2:$A318),0)</f>
        <v/>
      </c>
    </row>
    <row r="319">
      <c r="A319">
        <f>IF(AND(OR(Query!$B$4="All",'Compliance Database'!$A319=Query!$B$4),OR(Query!$B$5="All",'Compliance Database'!$F319=Query!$B$5),OR(Query!$B$6="All",ISNUMBER(SEARCH(Query!$B$6,'Compliance Database'!$I319))),OR(Query!$B$7="All",ISNUMBER(SEARCH(Query!$B$7,'Compliance Database'!$J319))),OR(Query!$B$8="All",'Compliance Database'!$G319=Query!$B$8),OR(Query!$B$9="All",'Compliance Database'!$K319=Query!$B$9),OR(Query!$B$10="",ISNUMBER(SEARCH(Query!$B$10,'Compliance Database'!$D319&amp;" "&amp;'Compliance Database'!$L319&amp;" "&amp;'Compliance Database'!$M319&amp;" "&amp;'Compliance Database'!$N319&amp;" "&amp;'Compliance Database'!$O319)))),1,0)</f>
        <v/>
      </c>
      <c r="B319">
        <f>IF($A319=1,SUM($A$2:$A319),"")</f>
        <v/>
      </c>
      <c r="C319">
        <f>IF($A319=1,SUM($A$2:$A319),0)</f>
        <v/>
      </c>
    </row>
    <row r="320">
      <c r="A320">
        <f>IF(AND(OR(Query!$B$4="All",'Compliance Database'!$A320=Query!$B$4),OR(Query!$B$5="All",'Compliance Database'!$F320=Query!$B$5),OR(Query!$B$6="All",ISNUMBER(SEARCH(Query!$B$6,'Compliance Database'!$I320))),OR(Query!$B$7="All",ISNUMBER(SEARCH(Query!$B$7,'Compliance Database'!$J320))),OR(Query!$B$8="All",'Compliance Database'!$G320=Query!$B$8),OR(Query!$B$9="All",'Compliance Database'!$K320=Query!$B$9),OR(Query!$B$10="",ISNUMBER(SEARCH(Query!$B$10,'Compliance Database'!$D320&amp;" "&amp;'Compliance Database'!$L320&amp;" "&amp;'Compliance Database'!$M320&amp;" "&amp;'Compliance Database'!$N320&amp;" "&amp;'Compliance Database'!$O320)))),1,0)</f>
        <v/>
      </c>
      <c r="B320">
        <f>IF($A320=1,SUM($A$2:$A320),"")</f>
        <v/>
      </c>
      <c r="C320">
        <f>IF($A320=1,SUM($A$2:$A320),0)</f>
        <v/>
      </c>
    </row>
    <row r="321">
      <c r="A321">
        <f>IF(AND(OR(Query!$B$4="All",'Compliance Database'!$A321=Query!$B$4),OR(Query!$B$5="All",'Compliance Database'!$F321=Query!$B$5),OR(Query!$B$6="All",ISNUMBER(SEARCH(Query!$B$6,'Compliance Database'!$I321))),OR(Query!$B$7="All",ISNUMBER(SEARCH(Query!$B$7,'Compliance Database'!$J321))),OR(Query!$B$8="All",'Compliance Database'!$G321=Query!$B$8),OR(Query!$B$9="All",'Compliance Database'!$K321=Query!$B$9),OR(Query!$B$10="",ISNUMBER(SEARCH(Query!$B$10,'Compliance Database'!$D321&amp;" "&amp;'Compliance Database'!$L321&amp;" "&amp;'Compliance Database'!$M321&amp;" "&amp;'Compliance Database'!$N321&amp;" "&amp;'Compliance Database'!$O321)))),1,0)</f>
        <v/>
      </c>
      <c r="B321">
        <f>IF($A321=1,SUM($A$2:$A321),"")</f>
        <v/>
      </c>
      <c r="C321">
        <f>IF($A321=1,SUM($A$2:$A321),0)</f>
        <v/>
      </c>
    </row>
    <row r="322">
      <c r="A322">
        <f>IF(AND(OR(Query!$B$4="All",'Compliance Database'!$A322=Query!$B$4),OR(Query!$B$5="All",'Compliance Database'!$F322=Query!$B$5),OR(Query!$B$6="All",ISNUMBER(SEARCH(Query!$B$6,'Compliance Database'!$I322))),OR(Query!$B$7="All",ISNUMBER(SEARCH(Query!$B$7,'Compliance Database'!$J322))),OR(Query!$B$8="All",'Compliance Database'!$G322=Query!$B$8),OR(Query!$B$9="All",'Compliance Database'!$K322=Query!$B$9),OR(Query!$B$10="",ISNUMBER(SEARCH(Query!$B$10,'Compliance Database'!$D322&amp;" "&amp;'Compliance Database'!$L322&amp;" "&amp;'Compliance Database'!$M322&amp;" "&amp;'Compliance Database'!$N322&amp;" "&amp;'Compliance Database'!$O322)))),1,0)</f>
        <v/>
      </c>
      <c r="B322">
        <f>IF($A322=1,SUM($A$2:$A322),"")</f>
        <v/>
      </c>
      <c r="C322">
        <f>IF($A322=1,SUM($A$2:$A322),0)</f>
        <v/>
      </c>
    </row>
    <row r="323">
      <c r="A323">
        <f>IF(AND(OR(Query!$B$4="All",'Compliance Database'!$A323=Query!$B$4),OR(Query!$B$5="All",'Compliance Database'!$F323=Query!$B$5),OR(Query!$B$6="All",ISNUMBER(SEARCH(Query!$B$6,'Compliance Database'!$I323))),OR(Query!$B$7="All",ISNUMBER(SEARCH(Query!$B$7,'Compliance Database'!$J323))),OR(Query!$B$8="All",'Compliance Database'!$G323=Query!$B$8),OR(Query!$B$9="All",'Compliance Database'!$K323=Query!$B$9),OR(Query!$B$10="",ISNUMBER(SEARCH(Query!$B$10,'Compliance Database'!$D323&amp;" "&amp;'Compliance Database'!$L323&amp;" "&amp;'Compliance Database'!$M323&amp;" "&amp;'Compliance Database'!$N323&amp;" "&amp;'Compliance Database'!$O323)))),1,0)</f>
        <v/>
      </c>
      <c r="B323">
        <f>IF($A323=1,SUM($A$2:$A323),"")</f>
        <v/>
      </c>
      <c r="C323">
        <f>IF($A323=1,SUM($A$2:$A323),0)</f>
        <v/>
      </c>
    </row>
    <row r="324">
      <c r="A324">
        <f>IF(AND(OR(Query!$B$4="All",'Compliance Database'!$A324=Query!$B$4),OR(Query!$B$5="All",'Compliance Database'!$F324=Query!$B$5),OR(Query!$B$6="All",ISNUMBER(SEARCH(Query!$B$6,'Compliance Database'!$I324))),OR(Query!$B$7="All",ISNUMBER(SEARCH(Query!$B$7,'Compliance Database'!$J324))),OR(Query!$B$8="All",'Compliance Database'!$G324=Query!$B$8),OR(Query!$B$9="All",'Compliance Database'!$K324=Query!$B$9),OR(Query!$B$10="",ISNUMBER(SEARCH(Query!$B$10,'Compliance Database'!$D324&amp;" "&amp;'Compliance Database'!$L324&amp;" "&amp;'Compliance Database'!$M324&amp;" "&amp;'Compliance Database'!$N324&amp;" "&amp;'Compliance Database'!$O324)))),1,0)</f>
        <v/>
      </c>
      <c r="B324">
        <f>IF($A324=1,SUM($A$2:$A324),"")</f>
        <v/>
      </c>
      <c r="C324">
        <f>IF($A324=1,SUM($A$2:$A324),0)</f>
        <v/>
      </c>
    </row>
    <row r="325">
      <c r="A325">
        <f>IF(AND(OR(Query!$B$4="All",'Compliance Database'!$A325=Query!$B$4),OR(Query!$B$5="All",'Compliance Database'!$F325=Query!$B$5),OR(Query!$B$6="All",ISNUMBER(SEARCH(Query!$B$6,'Compliance Database'!$I325))),OR(Query!$B$7="All",ISNUMBER(SEARCH(Query!$B$7,'Compliance Database'!$J325))),OR(Query!$B$8="All",'Compliance Database'!$G325=Query!$B$8),OR(Query!$B$9="All",'Compliance Database'!$K325=Query!$B$9),OR(Query!$B$10="",ISNUMBER(SEARCH(Query!$B$10,'Compliance Database'!$D325&amp;" "&amp;'Compliance Database'!$L325&amp;" "&amp;'Compliance Database'!$M325&amp;" "&amp;'Compliance Database'!$N325&amp;" "&amp;'Compliance Database'!$O325)))),1,0)</f>
        <v/>
      </c>
      <c r="B325">
        <f>IF($A325=1,SUM($A$2:$A325),"")</f>
        <v/>
      </c>
      <c r="C325">
        <f>IF($A325=1,SUM($A$2:$A325),0)</f>
        <v/>
      </c>
    </row>
    <row r="326">
      <c r="A326">
        <f>IF(AND(OR(Query!$B$4="All",'Compliance Database'!$A326=Query!$B$4),OR(Query!$B$5="All",'Compliance Database'!$F326=Query!$B$5),OR(Query!$B$6="All",ISNUMBER(SEARCH(Query!$B$6,'Compliance Database'!$I326))),OR(Query!$B$7="All",ISNUMBER(SEARCH(Query!$B$7,'Compliance Database'!$J326))),OR(Query!$B$8="All",'Compliance Database'!$G326=Query!$B$8),OR(Query!$B$9="All",'Compliance Database'!$K326=Query!$B$9),OR(Query!$B$10="",ISNUMBER(SEARCH(Query!$B$10,'Compliance Database'!$D326&amp;" "&amp;'Compliance Database'!$L326&amp;" "&amp;'Compliance Database'!$M326&amp;" "&amp;'Compliance Database'!$N326&amp;" "&amp;'Compliance Database'!$O326)))),1,0)</f>
        <v/>
      </c>
      <c r="B326">
        <f>IF($A326=1,SUM($A$2:$A326),"")</f>
        <v/>
      </c>
      <c r="C326">
        <f>IF($A326=1,SUM($A$2:$A326),0)</f>
        <v/>
      </c>
    </row>
    <row r="327">
      <c r="A327">
        <f>IF(AND(OR(Query!$B$4="All",'Compliance Database'!$A327=Query!$B$4),OR(Query!$B$5="All",'Compliance Database'!$F327=Query!$B$5),OR(Query!$B$6="All",ISNUMBER(SEARCH(Query!$B$6,'Compliance Database'!$I327))),OR(Query!$B$7="All",ISNUMBER(SEARCH(Query!$B$7,'Compliance Database'!$J327))),OR(Query!$B$8="All",'Compliance Database'!$G327=Query!$B$8),OR(Query!$B$9="All",'Compliance Database'!$K327=Query!$B$9),OR(Query!$B$10="",ISNUMBER(SEARCH(Query!$B$10,'Compliance Database'!$D327&amp;" "&amp;'Compliance Database'!$L327&amp;" "&amp;'Compliance Database'!$M327&amp;" "&amp;'Compliance Database'!$N327&amp;" "&amp;'Compliance Database'!$O327)))),1,0)</f>
        <v/>
      </c>
      <c r="B327">
        <f>IF($A327=1,SUM($A$2:$A327),"")</f>
        <v/>
      </c>
      <c r="C327">
        <f>IF($A327=1,SUM($A$2:$A327),0)</f>
        <v/>
      </c>
    </row>
    <row r="328">
      <c r="A328">
        <f>IF(AND(OR(Query!$B$4="All",'Compliance Database'!$A328=Query!$B$4),OR(Query!$B$5="All",'Compliance Database'!$F328=Query!$B$5),OR(Query!$B$6="All",ISNUMBER(SEARCH(Query!$B$6,'Compliance Database'!$I328))),OR(Query!$B$7="All",ISNUMBER(SEARCH(Query!$B$7,'Compliance Database'!$J328))),OR(Query!$B$8="All",'Compliance Database'!$G328=Query!$B$8),OR(Query!$B$9="All",'Compliance Database'!$K328=Query!$B$9),OR(Query!$B$10="",ISNUMBER(SEARCH(Query!$B$10,'Compliance Database'!$D328&amp;" "&amp;'Compliance Database'!$L328&amp;" "&amp;'Compliance Database'!$M328&amp;" "&amp;'Compliance Database'!$N328&amp;" "&amp;'Compliance Database'!$O328)))),1,0)</f>
        <v/>
      </c>
      <c r="B328">
        <f>IF($A328=1,SUM($A$2:$A328),"")</f>
        <v/>
      </c>
      <c r="C328">
        <f>IF($A328=1,SUM($A$2:$A328),0)</f>
        <v/>
      </c>
    </row>
    <row r="329">
      <c r="A329">
        <f>IF(AND(OR(Query!$B$4="All",'Compliance Database'!$A329=Query!$B$4),OR(Query!$B$5="All",'Compliance Database'!$F329=Query!$B$5),OR(Query!$B$6="All",ISNUMBER(SEARCH(Query!$B$6,'Compliance Database'!$I329))),OR(Query!$B$7="All",ISNUMBER(SEARCH(Query!$B$7,'Compliance Database'!$J329))),OR(Query!$B$8="All",'Compliance Database'!$G329=Query!$B$8),OR(Query!$B$9="All",'Compliance Database'!$K329=Query!$B$9),OR(Query!$B$10="",ISNUMBER(SEARCH(Query!$B$10,'Compliance Database'!$D329&amp;" "&amp;'Compliance Database'!$L329&amp;" "&amp;'Compliance Database'!$M329&amp;" "&amp;'Compliance Database'!$N329&amp;" "&amp;'Compliance Database'!$O329)))),1,0)</f>
        <v/>
      </c>
      <c r="B329">
        <f>IF($A329=1,SUM($A$2:$A329),"")</f>
        <v/>
      </c>
      <c r="C329">
        <f>IF($A329=1,SUM($A$2:$A329),0)</f>
        <v/>
      </c>
    </row>
    <row r="330">
      <c r="A330">
        <f>IF(AND(OR(Query!$B$4="All",'Compliance Database'!$A330=Query!$B$4),OR(Query!$B$5="All",'Compliance Database'!$F330=Query!$B$5),OR(Query!$B$6="All",ISNUMBER(SEARCH(Query!$B$6,'Compliance Database'!$I330))),OR(Query!$B$7="All",ISNUMBER(SEARCH(Query!$B$7,'Compliance Database'!$J330))),OR(Query!$B$8="All",'Compliance Database'!$G330=Query!$B$8),OR(Query!$B$9="All",'Compliance Database'!$K330=Query!$B$9),OR(Query!$B$10="",ISNUMBER(SEARCH(Query!$B$10,'Compliance Database'!$D330&amp;" "&amp;'Compliance Database'!$L330&amp;" "&amp;'Compliance Database'!$M330&amp;" "&amp;'Compliance Database'!$N330&amp;" "&amp;'Compliance Database'!$O330)))),1,0)</f>
        <v/>
      </c>
      <c r="B330">
        <f>IF($A330=1,SUM($A$2:$A330),"")</f>
        <v/>
      </c>
      <c r="C330">
        <f>IF($A330=1,SUM($A$2:$A330),0)</f>
        <v/>
      </c>
    </row>
    <row r="331">
      <c r="A331">
        <f>IF(AND(OR(Query!$B$4="All",'Compliance Database'!$A331=Query!$B$4),OR(Query!$B$5="All",'Compliance Database'!$F331=Query!$B$5),OR(Query!$B$6="All",ISNUMBER(SEARCH(Query!$B$6,'Compliance Database'!$I331))),OR(Query!$B$7="All",ISNUMBER(SEARCH(Query!$B$7,'Compliance Database'!$J331))),OR(Query!$B$8="All",'Compliance Database'!$G331=Query!$B$8),OR(Query!$B$9="All",'Compliance Database'!$K331=Query!$B$9),OR(Query!$B$10="",ISNUMBER(SEARCH(Query!$B$10,'Compliance Database'!$D331&amp;" "&amp;'Compliance Database'!$L331&amp;" "&amp;'Compliance Database'!$M331&amp;" "&amp;'Compliance Database'!$N331&amp;" "&amp;'Compliance Database'!$O331)))),1,0)</f>
        <v/>
      </c>
      <c r="B331">
        <f>IF($A331=1,SUM($A$2:$A331),"")</f>
        <v/>
      </c>
      <c r="C331">
        <f>IF($A331=1,SUM($A$2:$A331),0)</f>
        <v/>
      </c>
    </row>
    <row r="332">
      <c r="A332">
        <f>IF(AND(OR(Query!$B$4="All",'Compliance Database'!$A332=Query!$B$4),OR(Query!$B$5="All",'Compliance Database'!$F332=Query!$B$5),OR(Query!$B$6="All",ISNUMBER(SEARCH(Query!$B$6,'Compliance Database'!$I332))),OR(Query!$B$7="All",ISNUMBER(SEARCH(Query!$B$7,'Compliance Database'!$J332))),OR(Query!$B$8="All",'Compliance Database'!$G332=Query!$B$8),OR(Query!$B$9="All",'Compliance Database'!$K332=Query!$B$9),OR(Query!$B$10="",ISNUMBER(SEARCH(Query!$B$10,'Compliance Database'!$D332&amp;" "&amp;'Compliance Database'!$L332&amp;" "&amp;'Compliance Database'!$M332&amp;" "&amp;'Compliance Database'!$N332&amp;" "&amp;'Compliance Database'!$O332)))),1,0)</f>
        <v/>
      </c>
      <c r="B332">
        <f>IF($A332=1,SUM($A$2:$A332),"")</f>
        <v/>
      </c>
      <c r="C332">
        <f>IF($A332=1,SUM($A$2:$A332),0)</f>
        <v/>
      </c>
    </row>
    <row r="333">
      <c r="A333">
        <f>IF(AND(OR(Query!$B$4="All",'Compliance Database'!$A333=Query!$B$4),OR(Query!$B$5="All",'Compliance Database'!$F333=Query!$B$5),OR(Query!$B$6="All",ISNUMBER(SEARCH(Query!$B$6,'Compliance Database'!$I333))),OR(Query!$B$7="All",ISNUMBER(SEARCH(Query!$B$7,'Compliance Database'!$J333))),OR(Query!$B$8="All",'Compliance Database'!$G333=Query!$B$8),OR(Query!$B$9="All",'Compliance Database'!$K333=Query!$B$9),OR(Query!$B$10="",ISNUMBER(SEARCH(Query!$B$10,'Compliance Database'!$D333&amp;" "&amp;'Compliance Database'!$L333&amp;" "&amp;'Compliance Database'!$M333&amp;" "&amp;'Compliance Database'!$N333&amp;" "&amp;'Compliance Database'!$O333)))),1,0)</f>
        <v/>
      </c>
      <c r="B333">
        <f>IF($A333=1,SUM($A$2:$A333),"")</f>
        <v/>
      </c>
      <c r="C333">
        <f>IF($A333=1,SUM($A$2:$A333),0)</f>
        <v/>
      </c>
    </row>
    <row r="334">
      <c r="A334">
        <f>IF(AND(OR(Query!$B$4="All",'Compliance Database'!$A334=Query!$B$4),OR(Query!$B$5="All",'Compliance Database'!$F334=Query!$B$5),OR(Query!$B$6="All",ISNUMBER(SEARCH(Query!$B$6,'Compliance Database'!$I334))),OR(Query!$B$7="All",ISNUMBER(SEARCH(Query!$B$7,'Compliance Database'!$J334))),OR(Query!$B$8="All",'Compliance Database'!$G334=Query!$B$8),OR(Query!$B$9="All",'Compliance Database'!$K334=Query!$B$9),OR(Query!$B$10="",ISNUMBER(SEARCH(Query!$B$10,'Compliance Database'!$D334&amp;" "&amp;'Compliance Database'!$L334&amp;" "&amp;'Compliance Database'!$M334&amp;" "&amp;'Compliance Database'!$N334&amp;" "&amp;'Compliance Database'!$O334)))),1,0)</f>
        <v/>
      </c>
      <c r="B334">
        <f>IF($A334=1,SUM($A$2:$A334),"")</f>
        <v/>
      </c>
      <c r="C334">
        <f>IF($A334=1,SUM($A$2:$A334),0)</f>
        <v/>
      </c>
    </row>
    <row r="335">
      <c r="A335">
        <f>IF(AND(OR(Query!$B$4="All",'Compliance Database'!$A335=Query!$B$4),OR(Query!$B$5="All",'Compliance Database'!$F335=Query!$B$5),OR(Query!$B$6="All",ISNUMBER(SEARCH(Query!$B$6,'Compliance Database'!$I335))),OR(Query!$B$7="All",ISNUMBER(SEARCH(Query!$B$7,'Compliance Database'!$J335))),OR(Query!$B$8="All",'Compliance Database'!$G335=Query!$B$8),OR(Query!$B$9="All",'Compliance Database'!$K335=Query!$B$9),OR(Query!$B$10="",ISNUMBER(SEARCH(Query!$B$10,'Compliance Database'!$D335&amp;" "&amp;'Compliance Database'!$L335&amp;" "&amp;'Compliance Database'!$M335&amp;" "&amp;'Compliance Database'!$N335&amp;" "&amp;'Compliance Database'!$O335)))),1,0)</f>
        <v/>
      </c>
      <c r="B335">
        <f>IF($A335=1,SUM($A$2:$A335),"")</f>
        <v/>
      </c>
      <c r="C335">
        <f>IF($A335=1,SUM($A$2:$A335),0)</f>
        <v/>
      </c>
    </row>
    <row r="336">
      <c r="A336">
        <f>IF(AND(OR(Query!$B$4="All",'Compliance Database'!$A336=Query!$B$4),OR(Query!$B$5="All",'Compliance Database'!$F336=Query!$B$5),OR(Query!$B$6="All",ISNUMBER(SEARCH(Query!$B$6,'Compliance Database'!$I336))),OR(Query!$B$7="All",ISNUMBER(SEARCH(Query!$B$7,'Compliance Database'!$J336))),OR(Query!$B$8="All",'Compliance Database'!$G336=Query!$B$8),OR(Query!$B$9="All",'Compliance Database'!$K336=Query!$B$9),OR(Query!$B$10="",ISNUMBER(SEARCH(Query!$B$10,'Compliance Database'!$D336&amp;" "&amp;'Compliance Database'!$L336&amp;" "&amp;'Compliance Database'!$M336&amp;" "&amp;'Compliance Database'!$N336&amp;" "&amp;'Compliance Database'!$O336)))),1,0)</f>
        <v/>
      </c>
      <c r="B336">
        <f>IF($A336=1,SUM($A$2:$A336),"")</f>
        <v/>
      </c>
      <c r="C336">
        <f>IF($A336=1,SUM($A$2:$A336),0)</f>
        <v/>
      </c>
    </row>
    <row r="337">
      <c r="A337">
        <f>IF(AND(OR(Query!$B$4="All",'Compliance Database'!$A337=Query!$B$4),OR(Query!$B$5="All",'Compliance Database'!$F337=Query!$B$5),OR(Query!$B$6="All",ISNUMBER(SEARCH(Query!$B$6,'Compliance Database'!$I337))),OR(Query!$B$7="All",ISNUMBER(SEARCH(Query!$B$7,'Compliance Database'!$J337))),OR(Query!$B$8="All",'Compliance Database'!$G337=Query!$B$8),OR(Query!$B$9="All",'Compliance Database'!$K337=Query!$B$9),OR(Query!$B$10="",ISNUMBER(SEARCH(Query!$B$10,'Compliance Database'!$D337&amp;" "&amp;'Compliance Database'!$L337&amp;" "&amp;'Compliance Database'!$M337&amp;" "&amp;'Compliance Database'!$N337&amp;" "&amp;'Compliance Database'!$O337)))),1,0)</f>
        <v/>
      </c>
      <c r="B337">
        <f>IF($A337=1,SUM($A$2:$A337),"")</f>
        <v/>
      </c>
      <c r="C337">
        <f>IF($A337=1,SUM($A$2:$A337),0)</f>
        <v/>
      </c>
    </row>
    <row r="338">
      <c r="A338">
        <f>IF(AND(OR(Query!$B$4="All",'Compliance Database'!$A338=Query!$B$4),OR(Query!$B$5="All",'Compliance Database'!$F338=Query!$B$5),OR(Query!$B$6="All",ISNUMBER(SEARCH(Query!$B$6,'Compliance Database'!$I338))),OR(Query!$B$7="All",ISNUMBER(SEARCH(Query!$B$7,'Compliance Database'!$J338))),OR(Query!$B$8="All",'Compliance Database'!$G338=Query!$B$8),OR(Query!$B$9="All",'Compliance Database'!$K338=Query!$B$9),OR(Query!$B$10="",ISNUMBER(SEARCH(Query!$B$10,'Compliance Database'!$D338&amp;" "&amp;'Compliance Database'!$L338&amp;" "&amp;'Compliance Database'!$M338&amp;" "&amp;'Compliance Database'!$N338&amp;" "&amp;'Compliance Database'!$O338)))),1,0)</f>
        <v/>
      </c>
      <c r="B338">
        <f>IF($A338=1,SUM($A$2:$A338),"")</f>
        <v/>
      </c>
      <c r="C338">
        <f>IF($A338=1,SUM($A$2:$A338),0)</f>
        <v/>
      </c>
    </row>
    <row r="339">
      <c r="A339">
        <f>IF(AND(OR(Query!$B$4="All",'Compliance Database'!$A339=Query!$B$4),OR(Query!$B$5="All",'Compliance Database'!$F339=Query!$B$5),OR(Query!$B$6="All",ISNUMBER(SEARCH(Query!$B$6,'Compliance Database'!$I339))),OR(Query!$B$7="All",ISNUMBER(SEARCH(Query!$B$7,'Compliance Database'!$J339))),OR(Query!$B$8="All",'Compliance Database'!$G339=Query!$B$8),OR(Query!$B$9="All",'Compliance Database'!$K339=Query!$B$9),OR(Query!$B$10="",ISNUMBER(SEARCH(Query!$B$10,'Compliance Database'!$D339&amp;" "&amp;'Compliance Database'!$L339&amp;" "&amp;'Compliance Database'!$M339&amp;" "&amp;'Compliance Database'!$N339&amp;" "&amp;'Compliance Database'!$O339)))),1,0)</f>
        <v/>
      </c>
      <c r="B339">
        <f>IF($A339=1,SUM($A$2:$A339),"")</f>
        <v/>
      </c>
      <c r="C339">
        <f>IF($A339=1,SUM($A$2:$A339),0)</f>
        <v/>
      </c>
    </row>
    <row r="340">
      <c r="A340">
        <f>IF(AND(OR(Query!$B$4="All",'Compliance Database'!$A340=Query!$B$4),OR(Query!$B$5="All",'Compliance Database'!$F340=Query!$B$5),OR(Query!$B$6="All",ISNUMBER(SEARCH(Query!$B$6,'Compliance Database'!$I340))),OR(Query!$B$7="All",ISNUMBER(SEARCH(Query!$B$7,'Compliance Database'!$J340))),OR(Query!$B$8="All",'Compliance Database'!$G340=Query!$B$8),OR(Query!$B$9="All",'Compliance Database'!$K340=Query!$B$9),OR(Query!$B$10="",ISNUMBER(SEARCH(Query!$B$10,'Compliance Database'!$D340&amp;" "&amp;'Compliance Database'!$L340&amp;" "&amp;'Compliance Database'!$M340&amp;" "&amp;'Compliance Database'!$N340&amp;" "&amp;'Compliance Database'!$O340)))),1,0)</f>
        <v/>
      </c>
      <c r="B340">
        <f>IF($A340=1,SUM($A$2:$A340),"")</f>
        <v/>
      </c>
      <c r="C340">
        <f>IF($A340=1,SUM($A$2:$A340),0)</f>
        <v/>
      </c>
    </row>
    <row r="341">
      <c r="A341">
        <f>IF(AND(OR(Query!$B$4="All",'Compliance Database'!$A341=Query!$B$4),OR(Query!$B$5="All",'Compliance Database'!$F341=Query!$B$5),OR(Query!$B$6="All",ISNUMBER(SEARCH(Query!$B$6,'Compliance Database'!$I341))),OR(Query!$B$7="All",ISNUMBER(SEARCH(Query!$B$7,'Compliance Database'!$J341))),OR(Query!$B$8="All",'Compliance Database'!$G341=Query!$B$8),OR(Query!$B$9="All",'Compliance Database'!$K341=Query!$B$9),OR(Query!$B$10="",ISNUMBER(SEARCH(Query!$B$10,'Compliance Database'!$D341&amp;" "&amp;'Compliance Database'!$L341&amp;" "&amp;'Compliance Database'!$M341&amp;" "&amp;'Compliance Database'!$N341&amp;" "&amp;'Compliance Database'!$O341)))),1,0)</f>
        <v/>
      </c>
      <c r="B341">
        <f>IF($A341=1,SUM($A$2:$A341),"")</f>
        <v/>
      </c>
      <c r="C341">
        <f>IF($A341=1,SUM($A$2:$A341),0)</f>
        <v/>
      </c>
    </row>
    <row r="342">
      <c r="A342">
        <f>IF(AND(OR(Query!$B$4="All",'Compliance Database'!$A342=Query!$B$4),OR(Query!$B$5="All",'Compliance Database'!$F342=Query!$B$5),OR(Query!$B$6="All",ISNUMBER(SEARCH(Query!$B$6,'Compliance Database'!$I342))),OR(Query!$B$7="All",ISNUMBER(SEARCH(Query!$B$7,'Compliance Database'!$J342))),OR(Query!$B$8="All",'Compliance Database'!$G342=Query!$B$8),OR(Query!$B$9="All",'Compliance Database'!$K342=Query!$B$9),OR(Query!$B$10="",ISNUMBER(SEARCH(Query!$B$10,'Compliance Database'!$D342&amp;" "&amp;'Compliance Database'!$L342&amp;" "&amp;'Compliance Database'!$M342&amp;" "&amp;'Compliance Database'!$N342&amp;" "&amp;'Compliance Database'!$O342)))),1,0)</f>
        <v/>
      </c>
      <c r="B342">
        <f>IF($A342=1,SUM($A$2:$A342),"")</f>
        <v/>
      </c>
      <c r="C342">
        <f>IF($A342=1,SUM($A$2:$A342),0)</f>
        <v/>
      </c>
    </row>
    <row r="343">
      <c r="A343">
        <f>IF(AND(OR(Query!$B$4="All",'Compliance Database'!$A343=Query!$B$4),OR(Query!$B$5="All",'Compliance Database'!$F343=Query!$B$5),OR(Query!$B$6="All",ISNUMBER(SEARCH(Query!$B$6,'Compliance Database'!$I343))),OR(Query!$B$7="All",ISNUMBER(SEARCH(Query!$B$7,'Compliance Database'!$J343))),OR(Query!$B$8="All",'Compliance Database'!$G343=Query!$B$8),OR(Query!$B$9="All",'Compliance Database'!$K343=Query!$B$9),OR(Query!$B$10="",ISNUMBER(SEARCH(Query!$B$10,'Compliance Database'!$D343&amp;" "&amp;'Compliance Database'!$L343&amp;" "&amp;'Compliance Database'!$M343&amp;" "&amp;'Compliance Database'!$N343&amp;" "&amp;'Compliance Database'!$O343)))),1,0)</f>
        <v/>
      </c>
      <c r="B343">
        <f>IF($A343=1,SUM($A$2:$A343),"")</f>
        <v/>
      </c>
      <c r="C343">
        <f>IF($A343=1,SUM($A$2:$A343),0)</f>
        <v/>
      </c>
    </row>
    <row r="344">
      <c r="A344">
        <f>IF(AND(OR(Query!$B$4="All",'Compliance Database'!$A344=Query!$B$4),OR(Query!$B$5="All",'Compliance Database'!$F344=Query!$B$5),OR(Query!$B$6="All",ISNUMBER(SEARCH(Query!$B$6,'Compliance Database'!$I344))),OR(Query!$B$7="All",ISNUMBER(SEARCH(Query!$B$7,'Compliance Database'!$J344))),OR(Query!$B$8="All",'Compliance Database'!$G344=Query!$B$8),OR(Query!$B$9="All",'Compliance Database'!$K344=Query!$B$9),OR(Query!$B$10="",ISNUMBER(SEARCH(Query!$B$10,'Compliance Database'!$D344&amp;" "&amp;'Compliance Database'!$L344&amp;" "&amp;'Compliance Database'!$M344&amp;" "&amp;'Compliance Database'!$N344&amp;" "&amp;'Compliance Database'!$O344)))),1,0)</f>
        <v/>
      </c>
      <c r="B344">
        <f>IF($A344=1,SUM($A$2:$A344),"")</f>
        <v/>
      </c>
      <c r="C344">
        <f>IF($A344=1,SUM($A$2:$A344),0)</f>
        <v/>
      </c>
    </row>
    <row r="345">
      <c r="A345">
        <f>IF(AND(OR(Query!$B$4="All",'Compliance Database'!$A345=Query!$B$4),OR(Query!$B$5="All",'Compliance Database'!$F345=Query!$B$5),OR(Query!$B$6="All",ISNUMBER(SEARCH(Query!$B$6,'Compliance Database'!$I345))),OR(Query!$B$7="All",ISNUMBER(SEARCH(Query!$B$7,'Compliance Database'!$J345))),OR(Query!$B$8="All",'Compliance Database'!$G345=Query!$B$8),OR(Query!$B$9="All",'Compliance Database'!$K345=Query!$B$9),OR(Query!$B$10="",ISNUMBER(SEARCH(Query!$B$10,'Compliance Database'!$D345&amp;" "&amp;'Compliance Database'!$L345&amp;" "&amp;'Compliance Database'!$M345&amp;" "&amp;'Compliance Database'!$N345&amp;" "&amp;'Compliance Database'!$O345)))),1,0)</f>
        <v/>
      </c>
      <c r="B345">
        <f>IF($A345=1,SUM($A$2:$A345),"")</f>
        <v/>
      </c>
      <c r="C345">
        <f>IF($A345=1,SUM($A$2:$A345),0)</f>
        <v/>
      </c>
    </row>
    <row r="346">
      <c r="A346">
        <f>IF(AND(OR(Query!$B$4="All",'Compliance Database'!$A346=Query!$B$4),OR(Query!$B$5="All",'Compliance Database'!$F346=Query!$B$5),OR(Query!$B$6="All",ISNUMBER(SEARCH(Query!$B$6,'Compliance Database'!$I346))),OR(Query!$B$7="All",ISNUMBER(SEARCH(Query!$B$7,'Compliance Database'!$J346))),OR(Query!$B$8="All",'Compliance Database'!$G346=Query!$B$8),OR(Query!$B$9="All",'Compliance Database'!$K346=Query!$B$9),OR(Query!$B$10="",ISNUMBER(SEARCH(Query!$B$10,'Compliance Database'!$D346&amp;" "&amp;'Compliance Database'!$L346&amp;" "&amp;'Compliance Database'!$M346&amp;" "&amp;'Compliance Database'!$N346&amp;" "&amp;'Compliance Database'!$O346)))),1,0)</f>
        <v/>
      </c>
      <c r="B346">
        <f>IF($A346=1,SUM($A$2:$A346),"")</f>
        <v/>
      </c>
      <c r="C346">
        <f>IF($A346=1,SUM($A$2:$A346),0)</f>
        <v/>
      </c>
    </row>
    <row r="347">
      <c r="A347">
        <f>IF(AND(OR(Query!$B$4="All",'Compliance Database'!$A347=Query!$B$4),OR(Query!$B$5="All",'Compliance Database'!$F347=Query!$B$5),OR(Query!$B$6="All",ISNUMBER(SEARCH(Query!$B$6,'Compliance Database'!$I347))),OR(Query!$B$7="All",ISNUMBER(SEARCH(Query!$B$7,'Compliance Database'!$J347))),OR(Query!$B$8="All",'Compliance Database'!$G347=Query!$B$8),OR(Query!$B$9="All",'Compliance Database'!$K347=Query!$B$9),OR(Query!$B$10="",ISNUMBER(SEARCH(Query!$B$10,'Compliance Database'!$D347&amp;" "&amp;'Compliance Database'!$L347&amp;" "&amp;'Compliance Database'!$M347&amp;" "&amp;'Compliance Database'!$N347&amp;" "&amp;'Compliance Database'!$O347)))),1,0)</f>
        <v/>
      </c>
      <c r="B347">
        <f>IF($A347=1,SUM($A$2:$A347),"")</f>
        <v/>
      </c>
      <c r="C347">
        <f>IF($A347=1,SUM($A$2:$A347),0)</f>
        <v/>
      </c>
    </row>
    <row r="348">
      <c r="A348">
        <f>IF(AND(OR(Query!$B$4="All",'Compliance Database'!$A348=Query!$B$4),OR(Query!$B$5="All",'Compliance Database'!$F348=Query!$B$5),OR(Query!$B$6="All",ISNUMBER(SEARCH(Query!$B$6,'Compliance Database'!$I348))),OR(Query!$B$7="All",ISNUMBER(SEARCH(Query!$B$7,'Compliance Database'!$J348))),OR(Query!$B$8="All",'Compliance Database'!$G348=Query!$B$8),OR(Query!$B$9="All",'Compliance Database'!$K348=Query!$B$9),OR(Query!$B$10="",ISNUMBER(SEARCH(Query!$B$10,'Compliance Database'!$D348&amp;" "&amp;'Compliance Database'!$L348&amp;" "&amp;'Compliance Database'!$M348&amp;" "&amp;'Compliance Database'!$N348&amp;" "&amp;'Compliance Database'!$O348)))),1,0)</f>
        <v/>
      </c>
      <c r="B348">
        <f>IF($A348=1,SUM($A$2:$A348),"")</f>
        <v/>
      </c>
      <c r="C348">
        <f>IF($A348=1,SUM($A$2:$A348),0)</f>
        <v/>
      </c>
    </row>
    <row r="349">
      <c r="A349">
        <f>IF(AND(OR(Query!$B$4="All",'Compliance Database'!$A349=Query!$B$4),OR(Query!$B$5="All",'Compliance Database'!$F349=Query!$B$5),OR(Query!$B$6="All",ISNUMBER(SEARCH(Query!$B$6,'Compliance Database'!$I349))),OR(Query!$B$7="All",ISNUMBER(SEARCH(Query!$B$7,'Compliance Database'!$J349))),OR(Query!$B$8="All",'Compliance Database'!$G349=Query!$B$8),OR(Query!$B$9="All",'Compliance Database'!$K349=Query!$B$9),OR(Query!$B$10="",ISNUMBER(SEARCH(Query!$B$10,'Compliance Database'!$D349&amp;" "&amp;'Compliance Database'!$L349&amp;" "&amp;'Compliance Database'!$M349&amp;" "&amp;'Compliance Database'!$N349&amp;" "&amp;'Compliance Database'!$O349)))),1,0)</f>
        <v/>
      </c>
      <c r="B349">
        <f>IF($A349=1,SUM($A$2:$A349),"")</f>
        <v/>
      </c>
      <c r="C349">
        <f>IF($A349=1,SUM($A$2:$A349),0)</f>
        <v/>
      </c>
    </row>
    <row r="350">
      <c r="A350">
        <f>IF(AND(OR(Query!$B$4="All",'Compliance Database'!$A350=Query!$B$4),OR(Query!$B$5="All",'Compliance Database'!$F350=Query!$B$5),OR(Query!$B$6="All",ISNUMBER(SEARCH(Query!$B$6,'Compliance Database'!$I350))),OR(Query!$B$7="All",ISNUMBER(SEARCH(Query!$B$7,'Compliance Database'!$J350))),OR(Query!$B$8="All",'Compliance Database'!$G350=Query!$B$8),OR(Query!$B$9="All",'Compliance Database'!$K350=Query!$B$9),OR(Query!$B$10="",ISNUMBER(SEARCH(Query!$B$10,'Compliance Database'!$D350&amp;" "&amp;'Compliance Database'!$L350&amp;" "&amp;'Compliance Database'!$M350&amp;" "&amp;'Compliance Database'!$N350&amp;" "&amp;'Compliance Database'!$O350)))),1,0)</f>
        <v/>
      </c>
      <c r="B350">
        <f>IF($A350=1,SUM($A$2:$A350),"")</f>
        <v/>
      </c>
      <c r="C350">
        <f>IF($A350=1,SUM($A$2:$A350),0)</f>
        <v/>
      </c>
    </row>
    <row r="351">
      <c r="A351">
        <f>IF(AND(OR(Query!$B$4="All",'Compliance Database'!$A351=Query!$B$4),OR(Query!$B$5="All",'Compliance Database'!$F351=Query!$B$5),OR(Query!$B$6="All",ISNUMBER(SEARCH(Query!$B$6,'Compliance Database'!$I351))),OR(Query!$B$7="All",ISNUMBER(SEARCH(Query!$B$7,'Compliance Database'!$J351))),OR(Query!$B$8="All",'Compliance Database'!$G351=Query!$B$8),OR(Query!$B$9="All",'Compliance Database'!$K351=Query!$B$9),OR(Query!$B$10="",ISNUMBER(SEARCH(Query!$B$10,'Compliance Database'!$D351&amp;" "&amp;'Compliance Database'!$L351&amp;" "&amp;'Compliance Database'!$M351&amp;" "&amp;'Compliance Database'!$N351&amp;" "&amp;'Compliance Database'!$O351)))),1,0)</f>
        <v/>
      </c>
      <c r="B351">
        <f>IF($A351=1,SUM($A$2:$A351),"")</f>
        <v/>
      </c>
      <c r="C351">
        <f>IF($A351=1,SUM($A$2:$A351),0)</f>
        <v/>
      </c>
    </row>
    <row r="352">
      <c r="A352">
        <f>IF(AND(OR(Query!$B$4="All",'Compliance Database'!$A352=Query!$B$4),OR(Query!$B$5="All",'Compliance Database'!$F352=Query!$B$5),OR(Query!$B$6="All",ISNUMBER(SEARCH(Query!$B$6,'Compliance Database'!$I352))),OR(Query!$B$7="All",ISNUMBER(SEARCH(Query!$B$7,'Compliance Database'!$J352))),OR(Query!$B$8="All",'Compliance Database'!$G352=Query!$B$8),OR(Query!$B$9="All",'Compliance Database'!$K352=Query!$B$9),OR(Query!$B$10="",ISNUMBER(SEARCH(Query!$B$10,'Compliance Database'!$D352&amp;" "&amp;'Compliance Database'!$L352&amp;" "&amp;'Compliance Database'!$M352&amp;" "&amp;'Compliance Database'!$N352&amp;" "&amp;'Compliance Database'!$O352)))),1,0)</f>
        <v/>
      </c>
      <c r="B352">
        <f>IF($A352=1,SUM($A$2:$A352),"")</f>
        <v/>
      </c>
      <c r="C352">
        <f>IF($A352=1,SUM($A$2:$A352),0)</f>
        <v/>
      </c>
    </row>
    <row r="353">
      <c r="A353">
        <f>IF(AND(OR(Query!$B$4="All",'Compliance Database'!$A353=Query!$B$4),OR(Query!$B$5="All",'Compliance Database'!$F353=Query!$B$5),OR(Query!$B$6="All",ISNUMBER(SEARCH(Query!$B$6,'Compliance Database'!$I353))),OR(Query!$B$7="All",ISNUMBER(SEARCH(Query!$B$7,'Compliance Database'!$J353))),OR(Query!$B$8="All",'Compliance Database'!$G353=Query!$B$8),OR(Query!$B$9="All",'Compliance Database'!$K353=Query!$B$9),OR(Query!$B$10="",ISNUMBER(SEARCH(Query!$B$10,'Compliance Database'!$D353&amp;" "&amp;'Compliance Database'!$L353&amp;" "&amp;'Compliance Database'!$M353&amp;" "&amp;'Compliance Database'!$N353&amp;" "&amp;'Compliance Database'!$O353)))),1,0)</f>
        <v/>
      </c>
      <c r="B353">
        <f>IF($A353=1,SUM($A$2:$A353),"")</f>
        <v/>
      </c>
      <c r="C353">
        <f>IF($A353=1,SUM($A$2:$A353),0)</f>
        <v/>
      </c>
    </row>
    <row r="354">
      <c r="A354">
        <f>IF(AND(OR(Query!$B$4="All",'Compliance Database'!$A354=Query!$B$4),OR(Query!$B$5="All",'Compliance Database'!$F354=Query!$B$5),OR(Query!$B$6="All",ISNUMBER(SEARCH(Query!$B$6,'Compliance Database'!$I354))),OR(Query!$B$7="All",ISNUMBER(SEARCH(Query!$B$7,'Compliance Database'!$J354))),OR(Query!$B$8="All",'Compliance Database'!$G354=Query!$B$8),OR(Query!$B$9="All",'Compliance Database'!$K354=Query!$B$9),OR(Query!$B$10="",ISNUMBER(SEARCH(Query!$B$10,'Compliance Database'!$D354&amp;" "&amp;'Compliance Database'!$L354&amp;" "&amp;'Compliance Database'!$M354&amp;" "&amp;'Compliance Database'!$N354&amp;" "&amp;'Compliance Database'!$O354)))),1,0)</f>
        <v/>
      </c>
      <c r="B354">
        <f>IF($A354=1,SUM($A$2:$A354),"")</f>
        <v/>
      </c>
      <c r="C354">
        <f>IF($A354=1,SUM($A$2:$A354),0)</f>
        <v/>
      </c>
    </row>
    <row r="355">
      <c r="A355">
        <f>IF(AND(OR(Query!$B$4="All",'Compliance Database'!$A355=Query!$B$4),OR(Query!$B$5="All",'Compliance Database'!$F355=Query!$B$5),OR(Query!$B$6="All",ISNUMBER(SEARCH(Query!$B$6,'Compliance Database'!$I355))),OR(Query!$B$7="All",ISNUMBER(SEARCH(Query!$B$7,'Compliance Database'!$J355))),OR(Query!$B$8="All",'Compliance Database'!$G355=Query!$B$8),OR(Query!$B$9="All",'Compliance Database'!$K355=Query!$B$9),OR(Query!$B$10="",ISNUMBER(SEARCH(Query!$B$10,'Compliance Database'!$D355&amp;" "&amp;'Compliance Database'!$L355&amp;" "&amp;'Compliance Database'!$M355&amp;" "&amp;'Compliance Database'!$N355&amp;" "&amp;'Compliance Database'!$O355)))),1,0)</f>
        <v/>
      </c>
      <c r="B355">
        <f>IF($A355=1,SUM($A$2:$A355),"")</f>
        <v/>
      </c>
      <c r="C355">
        <f>IF($A355=1,SUM($A$2:$A355),0)</f>
        <v/>
      </c>
    </row>
    <row r="356">
      <c r="A356">
        <f>IF(AND(OR(Query!$B$4="All",'Compliance Database'!$A356=Query!$B$4),OR(Query!$B$5="All",'Compliance Database'!$F356=Query!$B$5),OR(Query!$B$6="All",ISNUMBER(SEARCH(Query!$B$6,'Compliance Database'!$I356))),OR(Query!$B$7="All",ISNUMBER(SEARCH(Query!$B$7,'Compliance Database'!$J356))),OR(Query!$B$8="All",'Compliance Database'!$G356=Query!$B$8),OR(Query!$B$9="All",'Compliance Database'!$K356=Query!$B$9),OR(Query!$B$10="",ISNUMBER(SEARCH(Query!$B$10,'Compliance Database'!$D356&amp;" "&amp;'Compliance Database'!$L356&amp;" "&amp;'Compliance Database'!$M356&amp;" "&amp;'Compliance Database'!$N356&amp;" "&amp;'Compliance Database'!$O356)))),1,0)</f>
        <v/>
      </c>
      <c r="B356">
        <f>IF($A356=1,SUM($A$2:$A356),"")</f>
        <v/>
      </c>
      <c r="C356">
        <f>IF($A356=1,SUM($A$2:$A356),0)</f>
        <v/>
      </c>
    </row>
    <row r="357">
      <c r="A357">
        <f>IF(AND(OR(Query!$B$4="All",'Compliance Database'!$A357=Query!$B$4),OR(Query!$B$5="All",'Compliance Database'!$F357=Query!$B$5),OR(Query!$B$6="All",ISNUMBER(SEARCH(Query!$B$6,'Compliance Database'!$I357))),OR(Query!$B$7="All",ISNUMBER(SEARCH(Query!$B$7,'Compliance Database'!$J357))),OR(Query!$B$8="All",'Compliance Database'!$G357=Query!$B$8),OR(Query!$B$9="All",'Compliance Database'!$K357=Query!$B$9),OR(Query!$B$10="",ISNUMBER(SEARCH(Query!$B$10,'Compliance Database'!$D357&amp;" "&amp;'Compliance Database'!$L357&amp;" "&amp;'Compliance Database'!$M357&amp;" "&amp;'Compliance Database'!$N357&amp;" "&amp;'Compliance Database'!$O357)))),1,0)</f>
        <v/>
      </c>
      <c r="B357">
        <f>IF($A357=1,SUM($A$2:$A357),"")</f>
        <v/>
      </c>
      <c r="C357">
        <f>IF($A357=1,SUM($A$2:$A357),0)</f>
        <v/>
      </c>
    </row>
    <row r="358">
      <c r="A358">
        <f>IF(AND(OR(Query!$B$4="All",'Compliance Database'!$A358=Query!$B$4),OR(Query!$B$5="All",'Compliance Database'!$F358=Query!$B$5),OR(Query!$B$6="All",ISNUMBER(SEARCH(Query!$B$6,'Compliance Database'!$I358))),OR(Query!$B$7="All",ISNUMBER(SEARCH(Query!$B$7,'Compliance Database'!$J358))),OR(Query!$B$8="All",'Compliance Database'!$G358=Query!$B$8),OR(Query!$B$9="All",'Compliance Database'!$K358=Query!$B$9),OR(Query!$B$10="",ISNUMBER(SEARCH(Query!$B$10,'Compliance Database'!$D358&amp;" "&amp;'Compliance Database'!$L358&amp;" "&amp;'Compliance Database'!$M358&amp;" "&amp;'Compliance Database'!$N358&amp;" "&amp;'Compliance Database'!$O358)))),1,0)</f>
        <v/>
      </c>
      <c r="B358">
        <f>IF($A358=1,SUM($A$2:$A358),"")</f>
        <v/>
      </c>
      <c r="C358">
        <f>IF($A358=1,SUM($A$2:$A358),0)</f>
        <v/>
      </c>
    </row>
    <row r="359">
      <c r="A359">
        <f>IF(AND(OR(Query!$B$4="All",'Compliance Database'!$A359=Query!$B$4),OR(Query!$B$5="All",'Compliance Database'!$F359=Query!$B$5),OR(Query!$B$6="All",ISNUMBER(SEARCH(Query!$B$6,'Compliance Database'!$I359))),OR(Query!$B$7="All",ISNUMBER(SEARCH(Query!$B$7,'Compliance Database'!$J359))),OR(Query!$B$8="All",'Compliance Database'!$G359=Query!$B$8),OR(Query!$B$9="All",'Compliance Database'!$K359=Query!$B$9),OR(Query!$B$10="",ISNUMBER(SEARCH(Query!$B$10,'Compliance Database'!$D359&amp;" "&amp;'Compliance Database'!$L359&amp;" "&amp;'Compliance Database'!$M359&amp;" "&amp;'Compliance Database'!$N359&amp;" "&amp;'Compliance Database'!$O359)))),1,0)</f>
        <v/>
      </c>
      <c r="B359">
        <f>IF($A359=1,SUM($A$2:$A359),"")</f>
        <v/>
      </c>
      <c r="C359">
        <f>IF($A359=1,SUM($A$2:$A359),0)</f>
        <v/>
      </c>
    </row>
    <row r="360">
      <c r="A360">
        <f>IF(AND(OR(Query!$B$4="All",'Compliance Database'!$A360=Query!$B$4),OR(Query!$B$5="All",'Compliance Database'!$F360=Query!$B$5),OR(Query!$B$6="All",ISNUMBER(SEARCH(Query!$B$6,'Compliance Database'!$I360))),OR(Query!$B$7="All",ISNUMBER(SEARCH(Query!$B$7,'Compliance Database'!$J360))),OR(Query!$B$8="All",'Compliance Database'!$G360=Query!$B$8),OR(Query!$B$9="All",'Compliance Database'!$K360=Query!$B$9),OR(Query!$B$10="",ISNUMBER(SEARCH(Query!$B$10,'Compliance Database'!$D360&amp;" "&amp;'Compliance Database'!$L360&amp;" "&amp;'Compliance Database'!$M360&amp;" "&amp;'Compliance Database'!$N360&amp;" "&amp;'Compliance Database'!$O360)))),1,0)</f>
        <v/>
      </c>
      <c r="B360">
        <f>IF($A360=1,SUM($A$2:$A360),"")</f>
        <v/>
      </c>
      <c r="C360">
        <f>IF($A360=1,SUM($A$2:$A360),0)</f>
        <v/>
      </c>
    </row>
    <row r="361">
      <c r="A361">
        <f>IF(AND(OR(Query!$B$4="All",'Compliance Database'!$A361=Query!$B$4),OR(Query!$B$5="All",'Compliance Database'!$F361=Query!$B$5),OR(Query!$B$6="All",ISNUMBER(SEARCH(Query!$B$6,'Compliance Database'!$I361))),OR(Query!$B$7="All",ISNUMBER(SEARCH(Query!$B$7,'Compliance Database'!$J361))),OR(Query!$B$8="All",'Compliance Database'!$G361=Query!$B$8),OR(Query!$B$9="All",'Compliance Database'!$K361=Query!$B$9),OR(Query!$B$10="",ISNUMBER(SEARCH(Query!$B$10,'Compliance Database'!$D361&amp;" "&amp;'Compliance Database'!$L361&amp;" "&amp;'Compliance Database'!$M361&amp;" "&amp;'Compliance Database'!$N361&amp;" "&amp;'Compliance Database'!$O361)))),1,0)</f>
        <v/>
      </c>
      <c r="B361">
        <f>IF($A361=1,SUM($A$2:$A361),"")</f>
        <v/>
      </c>
      <c r="C361">
        <f>IF($A361=1,SUM($A$2:$A361),0)</f>
        <v/>
      </c>
    </row>
    <row r="362">
      <c r="A362">
        <f>IF(AND(OR(Query!$B$4="All",'Compliance Database'!$A362=Query!$B$4),OR(Query!$B$5="All",'Compliance Database'!$F362=Query!$B$5),OR(Query!$B$6="All",ISNUMBER(SEARCH(Query!$B$6,'Compliance Database'!$I362))),OR(Query!$B$7="All",ISNUMBER(SEARCH(Query!$B$7,'Compliance Database'!$J362))),OR(Query!$B$8="All",'Compliance Database'!$G362=Query!$B$8),OR(Query!$B$9="All",'Compliance Database'!$K362=Query!$B$9),OR(Query!$B$10="",ISNUMBER(SEARCH(Query!$B$10,'Compliance Database'!$D362&amp;" "&amp;'Compliance Database'!$L362&amp;" "&amp;'Compliance Database'!$M362&amp;" "&amp;'Compliance Database'!$N362&amp;" "&amp;'Compliance Database'!$O362)))),1,0)</f>
        <v/>
      </c>
      <c r="B362">
        <f>IF($A362=1,SUM($A$2:$A362),"")</f>
        <v/>
      </c>
      <c r="C362">
        <f>IF($A362=1,SUM($A$2:$A362),0)</f>
        <v/>
      </c>
    </row>
    <row r="363">
      <c r="A363">
        <f>IF(AND(OR(Query!$B$4="All",'Compliance Database'!$A363=Query!$B$4),OR(Query!$B$5="All",'Compliance Database'!$F363=Query!$B$5),OR(Query!$B$6="All",ISNUMBER(SEARCH(Query!$B$6,'Compliance Database'!$I363))),OR(Query!$B$7="All",ISNUMBER(SEARCH(Query!$B$7,'Compliance Database'!$J363))),OR(Query!$B$8="All",'Compliance Database'!$G363=Query!$B$8),OR(Query!$B$9="All",'Compliance Database'!$K363=Query!$B$9),OR(Query!$B$10="",ISNUMBER(SEARCH(Query!$B$10,'Compliance Database'!$D363&amp;" "&amp;'Compliance Database'!$L363&amp;" "&amp;'Compliance Database'!$M363&amp;" "&amp;'Compliance Database'!$N363&amp;" "&amp;'Compliance Database'!$O363)))),1,0)</f>
        <v/>
      </c>
      <c r="B363">
        <f>IF($A363=1,SUM($A$2:$A363),"")</f>
        <v/>
      </c>
      <c r="C363">
        <f>IF($A363=1,SUM($A$2:$A363),0)</f>
        <v/>
      </c>
    </row>
    <row r="364">
      <c r="A364">
        <f>IF(AND(OR(Query!$B$4="All",'Compliance Database'!$A364=Query!$B$4),OR(Query!$B$5="All",'Compliance Database'!$F364=Query!$B$5),OR(Query!$B$6="All",ISNUMBER(SEARCH(Query!$B$6,'Compliance Database'!$I364))),OR(Query!$B$7="All",ISNUMBER(SEARCH(Query!$B$7,'Compliance Database'!$J364))),OR(Query!$B$8="All",'Compliance Database'!$G364=Query!$B$8),OR(Query!$B$9="All",'Compliance Database'!$K364=Query!$B$9),OR(Query!$B$10="",ISNUMBER(SEARCH(Query!$B$10,'Compliance Database'!$D364&amp;" "&amp;'Compliance Database'!$L364&amp;" "&amp;'Compliance Database'!$M364&amp;" "&amp;'Compliance Database'!$N364&amp;" "&amp;'Compliance Database'!$O364)))),1,0)</f>
        <v/>
      </c>
      <c r="B364">
        <f>IF($A364=1,SUM($A$2:$A364),"")</f>
        <v/>
      </c>
      <c r="C364">
        <f>IF($A364=1,SUM($A$2:$A364),0)</f>
        <v/>
      </c>
    </row>
    <row r="365">
      <c r="A365">
        <f>IF(AND(OR(Query!$B$4="All",'Compliance Database'!$A365=Query!$B$4),OR(Query!$B$5="All",'Compliance Database'!$F365=Query!$B$5),OR(Query!$B$6="All",ISNUMBER(SEARCH(Query!$B$6,'Compliance Database'!$I365))),OR(Query!$B$7="All",ISNUMBER(SEARCH(Query!$B$7,'Compliance Database'!$J365))),OR(Query!$B$8="All",'Compliance Database'!$G365=Query!$B$8),OR(Query!$B$9="All",'Compliance Database'!$K365=Query!$B$9),OR(Query!$B$10="",ISNUMBER(SEARCH(Query!$B$10,'Compliance Database'!$D365&amp;" "&amp;'Compliance Database'!$L365&amp;" "&amp;'Compliance Database'!$M365&amp;" "&amp;'Compliance Database'!$N365&amp;" "&amp;'Compliance Database'!$O365)))),1,0)</f>
        <v/>
      </c>
      <c r="B365">
        <f>IF($A365=1,SUM($A$2:$A365),"")</f>
        <v/>
      </c>
      <c r="C365">
        <f>IF($A365=1,SUM($A$2:$A365),0)</f>
        <v/>
      </c>
    </row>
    <row r="366">
      <c r="A366">
        <f>IF(AND(OR(Query!$B$4="All",'Compliance Database'!$A366=Query!$B$4),OR(Query!$B$5="All",'Compliance Database'!$F366=Query!$B$5),OR(Query!$B$6="All",ISNUMBER(SEARCH(Query!$B$6,'Compliance Database'!$I366))),OR(Query!$B$7="All",ISNUMBER(SEARCH(Query!$B$7,'Compliance Database'!$J366))),OR(Query!$B$8="All",'Compliance Database'!$G366=Query!$B$8),OR(Query!$B$9="All",'Compliance Database'!$K366=Query!$B$9),OR(Query!$B$10="",ISNUMBER(SEARCH(Query!$B$10,'Compliance Database'!$D366&amp;" "&amp;'Compliance Database'!$L366&amp;" "&amp;'Compliance Database'!$M366&amp;" "&amp;'Compliance Database'!$N366&amp;" "&amp;'Compliance Database'!$O366)))),1,0)</f>
        <v/>
      </c>
      <c r="B366">
        <f>IF($A366=1,SUM($A$2:$A366),"")</f>
        <v/>
      </c>
      <c r="C366">
        <f>IF($A366=1,SUM($A$2:$A366),0)</f>
        <v/>
      </c>
    </row>
    <row r="367">
      <c r="A367">
        <f>IF(AND(OR(Query!$B$4="All",'Compliance Database'!$A367=Query!$B$4),OR(Query!$B$5="All",'Compliance Database'!$F367=Query!$B$5),OR(Query!$B$6="All",ISNUMBER(SEARCH(Query!$B$6,'Compliance Database'!$I367))),OR(Query!$B$7="All",ISNUMBER(SEARCH(Query!$B$7,'Compliance Database'!$J367))),OR(Query!$B$8="All",'Compliance Database'!$G367=Query!$B$8),OR(Query!$B$9="All",'Compliance Database'!$K367=Query!$B$9),OR(Query!$B$10="",ISNUMBER(SEARCH(Query!$B$10,'Compliance Database'!$D367&amp;" "&amp;'Compliance Database'!$L367&amp;" "&amp;'Compliance Database'!$M367&amp;" "&amp;'Compliance Database'!$N367&amp;" "&amp;'Compliance Database'!$O367)))),1,0)</f>
        <v/>
      </c>
      <c r="B367">
        <f>IF($A367=1,SUM($A$2:$A367),"")</f>
        <v/>
      </c>
      <c r="C367">
        <f>IF($A367=1,SUM($A$2:$A367),0)</f>
        <v/>
      </c>
    </row>
    <row r="368">
      <c r="A368">
        <f>IF(AND(OR(Query!$B$4="All",'Compliance Database'!$A368=Query!$B$4),OR(Query!$B$5="All",'Compliance Database'!$F368=Query!$B$5),OR(Query!$B$6="All",ISNUMBER(SEARCH(Query!$B$6,'Compliance Database'!$I368))),OR(Query!$B$7="All",ISNUMBER(SEARCH(Query!$B$7,'Compliance Database'!$J368))),OR(Query!$B$8="All",'Compliance Database'!$G368=Query!$B$8),OR(Query!$B$9="All",'Compliance Database'!$K368=Query!$B$9),OR(Query!$B$10="",ISNUMBER(SEARCH(Query!$B$10,'Compliance Database'!$D368&amp;" "&amp;'Compliance Database'!$L368&amp;" "&amp;'Compliance Database'!$M368&amp;" "&amp;'Compliance Database'!$N368&amp;" "&amp;'Compliance Database'!$O368)))),1,0)</f>
        <v/>
      </c>
      <c r="B368">
        <f>IF($A368=1,SUM($A$2:$A368),"")</f>
        <v/>
      </c>
      <c r="C368">
        <f>IF($A368=1,SUM($A$2:$A368),0)</f>
        <v/>
      </c>
    </row>
    <row r="369">
      <c r="A369">
        <f>IF(AND(OR(Query!$B$4="All",'Compliance Database'!$A369=Query!$B$4),OR(Query!$B$5="All",'Compliance Database'!$F369=Query!$B$5),OR(Query!$B$6="All",ISNUMBER(SEARCH(Query!$B$6,'Compliance Database'!$I369))),OR(Query!$B$7="All",ISNUMBER(SEARCH(Query!$B$7,'Compliance Database'!$J369))),OR(Query!$B$8="All",'Compliance Database'!$G369=Query!$B$8),OR(Query!$B$9="All",'Compliance Database'!$K369=Query!$B$9),OR(Query!$B$10="",ISNUMBER(SEARCH(Query!$B$10,'Compliance Database'!$D369&amp;" "&amp;'Compliance Database'!$L369&amp;" "&amp;'Compliance Database'!$M369&amp;" "&amp;'Compliance Database'!$N369&amp;" "&amp;'Compliance Database'!$O369)))),1,0)</f>
        <v/>
      </c>
      <c r="B369">
        <f>IF($A369=1,SUM($A$2:$A369),"")</f>
        <v/>
      </c>
      <c r="C369">
        <f>IF($A369=1,SUM($A$2:$A369),0)</f>
        <v/>
      </c>
    </row>
    <row r="370">
      <c r="A370">
        <f>IF(AND(OR(Query!$B$4="All",'Compliance Database'!$A370=Query!$B$4),OR(Query!$B$5="All",'Compliance Database'!$F370=Query!$B$5),OR(Query!$B$6="All",ISNUMBER(SEARCH(Query!$B$6,'Compliance Database'!$I370))),OR(Query!$B$7="All",ISNUMBER(SEARCH(Query!$B$7,'Compliance Database'!$J370))),OR(Query!$B$8="All",'Compliance Database'!$G370=Query!$B$8),OR(Query!$B$9="All",'Compliance Database'!$K370=Query!$B$9),OR(Query!$B$10="",ISNUMBER(SEARCH(Query!$B$10,'Compliance Database'!$D370&amp;" "&amp;'Compliance Database'!$L370&amp;" "&amp;'Compliance Database'!$M370&amp;" "&amp;'Compliance Database'!$N370&amp;" "&amp;'Compliance Database'!$O370)))),1,0)</f>
        <v/>
      </c>
      <c r="B370">
        <f>IF($A370=1,SUM($A$2:$A370),"")</f>
        <v/>
      </c>
      <c r="C370">
        <f>IF($A370=1,SUM($A$2:$A370),0)</f>
        <v/>
      </c>
    </row>
    <row r="371">
      <c r="A371">
        <f>IF(AND(OR(Query!$B$4="All",'Compliance Database'!$A371=Query!$B$4),OR(Query!$B$5="All",'Compliance Database'!$F371=Query!$B$5),OR(Query!$B$6="All",ISNUMBER(SEARCH(Query!$B$6,'Compliance Database'!$I371))),OR(Query!$B$7="All",ISNUMBER(SEARCH(Query!$B$7,'Compliance Database'!$J371))),OR(Query!$B$8="All",'Compliance Database'!$G371=Query!$B$8),OR(Query!$B$9="All",'Compliance Database'!$K371=Query!$B$9),OR(Query!$B$10="",ISNUMBER(SEARCH(Query!$B$10,'Compliance Database'!$D371&amp;" "&amp;'Compliance Database'!$L371&amp;" "&amp;'Compliance Database'!$M371&amp;" "&amp;'Compliance Database'!$N371&amp;" "&amp;'Compliance Database'!$O371)))),1,0)</f>
        <v/>
      </c>
      <c r="B371">
        <f>IF($A371=1,SUM($A$2:$A371),"")</f>
        <v/>
      </c>
      <c r="C371">
        <f>IF($A371=1,SUM($A$2:$A371),0)</f>
        <v/>
      </c>
    </row>
    <row r="372">
      <c r="A372">
        <f>IF(AND(OR(Query!$B$4="All",'Compliance Database'!$A372=Query!$B$4),OR(Query!$B$5="All",'Compliance Database'!$F372=Query!$B$5),OR(Query!$B$6="All",ISNUMBER(SEARCH(Query!$B$6,'Compliance Database'!$I372))),OR(Query!$B$7="All",ISNUMBER(SEARCH(Query!$B$7,'Compliance Database'!$J372))),OR(Query!$B$8="All",'Compliance Database'!$G372=Query!$B$8),OR(Query!$B$9="All",'Compliance Database'!$K372=Query!$B$9),OR(Query!$B$10="",ISNUMBER(SEARCH(Query!$B$10,'Compliance Database'!$D372&amp;" "&amp;'Compliance Database'!$L372&amp;" "&amp;'Compliance Database'!$M372&amp;" "&amp;'Compliance Database'!$N372&amp;" "&amp;'Compliance Database'!$O372)))),1,0)</f>
        <v/>
      </c>
      <c r="B372">
        <f>IF($A372=1,SUM($A$2:$A372),"")</f>
        <v/>
      </c>
      <c r="C372">
        <f>IF($A372=1,SUM($A$2:$A372),0)</f>
        <v/>
      </c>
    </row>
    <row r="373">
      <c r="A373">
        <f>IF(AND(OR(Query!$B$4="All",'Compliance Database'!$A373=Query!$B$4),OR(Query!$B$5="All",'Compliance Database'!$F373=Query!$B$5),OR(Query!$B$6="All",ISNUMBER(SEARCH(Query!$B$6,'Compliance Database'!$I373))),OR(Query!$B$7="All",ISNUMBER(SEARCH(Query!$B$7,'Compliance Database'!$J373))),OR(Query!$B$8="All",'Compliance Database'!$G373=Query!$B$8),OR(Query!$B$9="All",'Compliance Database'!$K373=Query!$B$9),OR(Query!$B$10="",ISNUMBER(SEARCH(Query!$B$10,'Compliance Database'!$D373&amp;" "&amp;'Compliance Database'!$L373&amp;" "&amp;'Compliance Database'!$M373&amp;" "&amp;'Compliance Database'!$N373&amp;" "&amp;'Compliance Database'!$O373)))),1,0)</f>
        <v/>
      </c>
      <c r="B373">
        <f>IF($A373=1,SUM($A$2:$A373),"")</f>
        <v/>
      </c>
      <c r="C373">
        <f>IF($A373=1,SUM($A$2:$A373),0)</f>
        <v/>
      </c>
    </row>
    <row r="374">
      <c r="A374">
        <f>IF(AND(OR(Query!$B$4="All",'Compliance Database'!$A374=Query!$B$4),OR(Query!$B$5="All",'Compliance Database'!$F374=Query!$B$5),OR(Query!$B$6="All",ISNUMBER(SEARCH(Query!$B$6,'Compliance Database'!$I374))),OR(Query!$B$7="All",ISNUMBER(SEARCH(Query!$B$7,'Compliance Database'!$J374))),OR(Query!$B$8="All",'Compliance Database'!$G374=Query!$B$8),OR(Query!$B$9="All",'Compliance Database'!$K374=Query!$B$9),OR(Query!$B$10="",ISNUMBER(SEARCH(Query!$B$10,'Compliance Database'!$D374&amp;" "&amp;'Compliance Database'!$L374&amp;" "&amp;'Compliance Database'!$M374&amp;" "&amp;'Compliance Database'!$N374&amp;" "&amp;'Compliance Database'!$O374)))),1,0)</f>
        <v/>
      </c>
      <c r="B374">
        <f>IF($A374=1,SUM($A$2:$A374),"")</f>
        <v/>
      </c>
      <c r="C374">
        <f>IF($A374=1,SUM($A$2:$A374),0)</f>
        <v/>
      </c>
    </row>
    <row r="375">
      <c r="A375">
        <f>IF(AND(OR(Query!$B$4="All",'Compliance Database'!$A375=Query!$B$4),OR(Query!$B$5="All",'Compliance Database'!$F375=Query!$B$5),OR(Query!$B$6="All",ISNUMBER(SEARCH(Query!$B$6,'Compliance Database'!$I375))),OR(Query!$B$7="All",ISNUMBER(SEARCH(Query!$B$7,'Compliance Database'!$J375))),OR(Query!$B$8="All",'Compliance Database'!$G375=Query!$B$8),OR(Query!$B$9="All",'Compliance Database'!$K375=Query!$B$9),OR(Query!$B$10="",ISNUMBER(SEARCH(Query!$B$10,'Compliance Database'!$D375&amp;" "&amp;'Compliance Database'!$L375&amp;" "&amp;'Compliance Database'!$M375&amp;" "&amp;'Compliance Database'!$N375&amp;" "&amp;'Compliance Database'!$O375)))),1,0)</f>
        <v/>
      </c>
      <c r="B375">
        <f>IF($A375=1,SUM($A$2:$A375),"")</f>
        <v/>
      </c>
      <c r="C375">
        <f>IF($A375=1,SUM($A$2:$A375),0)</f>
        <v/>
      </c>
    </row>
    <row r="376">
      <c r="A376">
        <f>IF(AND(OR(Query!$B$4="All",'Compliance Database'!$A376=Query!$B$4),OR(Query!$B$5="All",'Compliance Database'!$F376=Query!$B$5),OR(Query!$B$6="All",ISNUMBER(SEARCH(Query!$B$6,'Compliance Database'!$I376))),OR(Query!$B$7="All",ISNUMBER(SEARCH(Query!$B$7,'Compliance Database'!$J376))),OR(Query!$B$8="All",'Compliance Database'!$G376=Query!$B$8),OR(Query!$B$9="All",'Compliance Database'!$K376=Query!$B$9),OR(Query!$B$10="",ISNUMBER(SEARCH(Query!$B$10,'Compliance Database'!$D376&amp;" "&amp;'Compliance Database'!$L376&amp;" "&amp;'Compliance Database'!$M376&amp;" "&amp;'Compliance Database'!$N376&amp;" "&amp;'Compliance Database'!$O376)))),1,0)</f>
        <v/>
      </c>
      <c r="B376">
        <f>IF($A376=1,SUM($A$2:$A376),"")</f>
        <v/>
      </c>
      <c r="C376">
        <f>IF($A376=1,SUM($A$2:$A376),0)</f>
        <v/>
      </c>
    </row>
    <row r="377">
      <c r="A377">
        <f>IF(AND(OR(Query!$B$4="All",'Compliance Database'!$A377=Query!$B$4),OR(Query!$B$5="All",'Compliance Database'!$F377=Query!$B$5),OR(Query!$B$6="All",ISNUMBER(SEARCH(Query!$B$6,'Compliance Database'!$I377))),OR(Query!$B$7="All",ISNUMBER(SEARCH(Query!$B$7,'Compliance Database'!$J377))),OR(Query!$B$8="All",'Compliance Database'!$G377=Query!$B$8),OR(Query!$B$9="All",'Compliance Database'!$K377=Query!$B$9),OR(Query!$B$10="",ISNUMBER(SEARCH(Query!$B$10,'Compliance Database'!$D377&amp;" "&amp;'Compliance Database'!$L377&amp;" "&amp;'Compliance Database'!$M377&amp;" "&amp;'Compliance Database'!$N377&amp;" "&amp;'Compliance Database'!$O377)))),1,0)</f>
        <v/>
      </c>
      <c r="B377">
        <f>IF($A377=1,SUM($A$2:$A377),"")</f>
        <v/>
      </c>
      <c r="C377">
        <f>IF($A377=1,SUM($A$2:$A377),0)</f>
        <v/>
      </c>
    </row>
    <row r="378">
      <c r="A378">
        <f>IF(AND(OR(Query!$B$4="All",'Compliance Database'!$A378=Query!$B$4),OR(Query!$B$5="All",'Compliance Database'!$F378=Query!$B$5),OR(Query!$B$6="All",ISNUMBER(SEARCH(Query!$B$6,'Compliance Database'!$I378))),OR(Query!$B$7="All",ISNUMBER(SEARCH(Query!$B$7,'Compliance Database'!$J378))),OR(Query!$B$8="All",'Compliance Database'!$G378=Query!$B$8),OR(Query!$B$9="All",'Compliance Database'!$K378=Query!$B$9),OR(Query!$B$10="",ISNUMBER(SEARCH(Query!$B$10,'Compliance Database'!$D378&amp;" "&amp;'Compliance Database'!$L378&amp;" "&amp;'Compliance Database'!$M378&amp;" "&amp;'Compliance Database'!$N378&amp;" "&amp;'Compliance Database'!$O378)))),1,0)</f>
        <v/>
      </c>
      <c r="B378">
        <f>IF($A378=1,SUM($A$2:$A378),"")</f>
        <v/>
      </c>
      <c r="C378">
        <f>IF($A378=1,SUM($A$2:$A378),0)</f>
        <v/>
      </c>
    </row>
    <row r="379">
      <c r="A379">
        <f>IF(AND(OR(Query!$B$4="All",'Compliance Database'!$A379=Query!$B$4),OR(Query!$B$5="All",'Compliance Database'!$F379=Query!$B$5),OR(Query!$B$6="All",ISNUMBER(SEARCH(Query!$B$6,'Compliance Database'!$I379))),OR(Query!$B$7="All",ISNUMBER(SEARCH(Query!$B$7,'Compliance Database'!$J379))),OR(Query!$B$8="All",'Compliance Database'!$G379=Query!$B$8),OR(Query!$B$9="All",'Compliance Database'!$K379=Query!$B$9),OR(Query!$B$10="",ISNUMBER(SEARCH(Query!$B$10,'Compliance Database'!$D379&amp;" "&amp;'Compliance Database'!$L379&amp;" "&amp;'Compliance Database'!$M379&amp;" "&amp;'Compliance Database'!$N379&amp;" "&amp;'Compliance Database'!$O379)))),1,0)</f>
        <v/>
      </c>
      <c r="B379">
        <f>IF($A379=1,SUM($A$2:$A379),"")</f>
        <v/>
      </c>
      <c r="C379">
        <f>IF($A379=1,SUM($A$2:$A379),0)</f>
        <v/>
      </c>
    </row>
    <row r="380">
      <c r="A380">
        <f>IF(AND(OR(Query!$B$4="All",'Compliance Database'!$A380=Query!$B$4),OR(Query!$B$5="All",'Compliance Database'!$F380=Query!$B$5),OR(Query!$B$6="All",ISNUMBER(SEARCH(Query!$B$6,'Compliance Database'!$I380))),OR(Query!$B$7="All",ISNUMBER(SEARCH(Query!$B$7,'Compliance Database'!$J380))),OR(Query!$B$8="All",'Compliance Database'!$G380=Query!$B$8),OR(Query!$B$9="All",'Compliance Database'!$K380=Query!$B$9),OR(Query!$B$10="",ISNUMBER(SEARCH(Query!$B$10,'Compliance Database'!$D380&amp;" "&amp;'Compliance Database'!$L380&amp;" "&amp;'Compliance Database'!$M380&amp;" "&amp;'Compliance Database'!$N380&amp;" "&amp;'Compliance Database'!$O380)))),1,0)</f>
        <v/>
      </c>
      <c r="B380">
        <f>IF($A380=1,SUM($A$2:$A380),"")</f>
        <v/>
      </c>
      <c r="C380">
        <f>IF($A380=1,SUM($A$2:$A380),0)</f>
        <v/>
      </c>
    </row>
    <row r="381">
      <c r="A381">
        <f>IF(AND(OR(Query!$B$4="All",'Compliance Database'!$A381=Query!$B$4),OR(Query!$B$5="All",'Compliance Database'!$F381=Query!$B$5),OR(Query!$B$6="All",ISNUMBER(SEARCH(Query!$B$6,'Compliance Database'!$I381))),OR(Query!$B$7="All",ISNUMBER(SEARCH(Query!$B$7,'Compliance Database'!$J381))),OR(Query!$B$8="All",'Compliance Database'!$G381=Query!$B$8),OR(Query!$B$9="All",'Compliance Database'!$K381=Query!$B$9),OR(Query!$B$10="",ISNUMBER(SEARCH(Query!$B$10,'Compliance Database'!$D381&amp;" "&amp;'Compliance Database'!$L381&amp;" "&amp;'Compliance Database'!$M381&amp;" "&amp;'Compliance Database'!$N381&amp;" "&amp;'Compliance Database'!$O381)))),1,0)</f>
        <v/>
      </c>
      <c r="B381">
        <f>IF($A381=1,SUM($A$2:$A381),"")</f>
        <v/>
      </c>
      <c r="C381">
        <f>IF($A381=1,SUM($A$2:$A381),0)</f>
        <v/>
      </c>
    </row>
    <row r="382">
      <c r="A382">
        <f>IF(AND(OR(Query!$B$4="All",'Compliance Database'!$A382=Query!$B$4),OR(Query!$B$5="All",'Compliance Database'!$F382=Query!$B$5),OR(Query!$B$6="All",ISNUMBER(SEARCH(Query!$B$6,'Compliance Database'!$I382))),OR(Query!$B$7="All",ISNUMBER(SEARCH(Query!$B$7,'Compliance Database'!$J382))),OR(Query!$B$8="All",'Compliance Database'!$G382=Query!$B$8),OR(Query!$B$9="All",'Compliance Database'!$K382=Query!$B$9),OR(Query!$B$10="",ISNUMBER(SEARCH(Query!$B$10,'Compliance Database'!$D382&amp;" "&amp;'Compliance Database'!$L382&amp;" "&amp;'Compliance Database'!$M382&amp;" "&amp;'Compliance Database'!$N382&amp;" "&amp;'Compliance Database'!$O382)))),1,0)</f>
        <v/>
      </c>
      <c r="B382">
        <f>IF($A382=1,SUM($A$2:$A382),"")</f>
        <v/>
      </c>
      <c r="C382">
        <f>IF($A382=1,SUM($A$2:$A382),0)</f>
        <v/>
      </c>
    </row>
    <row r="383">
      <c r="A383">
        <f>IF(AND(OR(Query!$B$4="All",'Compliance Database'!$A383=Query!$B$4),OR(Query!$B$5="All",'Compliance Database'!$F383=Query!$B$5),OR(Query!$B$6="All",ISNUMBER(SEARCH(Query!$B$6,'Compliance Database'!$I383))),OR(Query!$B$7="All",ISNUMBER(SEARCH(Query!$B$7,'Compliance Database'!$J383))),OR(Query!$B$8="All",'Compliance Database'!$G383=Query!$B$8),OR(Query!$B$9="All",'Compliance Database'!$K383=Query!$B$9),OR(Query!$B$10="",ISNUMBER(SEARCH(Query!$B$10,'Compliance Database'!$D383&amp;" "&amp;'Compliance Database'!$L383&amp;" "&amp;'Compliance Database'!$M383&amp;" "&amp;'Compliance Database'!$N383&amp;" "&amp;'Compliance Database'!$O383)))),1,0)</f>
        <v/>
      </c>
      <c r="B383">
        <f>IF($A383=1,SUM($A$2:$A383),"")</f>
        <v/>
      </c>
      <c r="C383">
        <f>IF($A383=1,SUM($A$2:$A383),0)</f>
        <v/>
      </c>
    </row>
    <row r="384">
      <c r="A384">
        <f>IF(AND(OR(Query!$B$4="All",'Compliance Database'!$A384=Query!$B$4),OR(Query!$B$5="All",'Compliance Database'!$F384=Query!$B$5),OR(Query!$B$6="All",ISNUMBER(SEARCH(Query!$B$6,'Compliance Database'!$I384))),OR(Query!$B$7="All",ISNUMBER(SEARCH(Query!$B$7,'Compliance Database'!$J384))),OR(Query!$B$8="All",'Compliance Database'!$G384=Query!$B$8),OR(Query!$B$9="All",'Compliance Database'!$K384=Query!$B$9),OR(Query!$B$10="",ISNUMBER(SEARCH(Query!$B$10,'Compliance Database'!$D384&amp;" "&amp;'Compliance Database'!$L384&amp;" "&amp;'Compliance Database'!$M384&amp;" "&amp;'Compliance Database'!$N384&amp;" "&amp;'Compliance Database'!$O384)))),1,0)</f>
        <v/>
      </c>
      <c r="B384">
        <f>IF($A384=1,SUM($A$2:$A384),"")</f>
        <v/>
      </c>
      <c r="C384">
        <f>IF($A384=1,SUM($A$2:$A384),0)</f>
        <v/>
      </c>
    </row>
    <row r="385">
      <c r="A385">
        <f>IF(AND(OR(Query!$B$4="All",'Compliance Database'!$A385=Query!$B$4),OR(Query!$B$5="All",'Compliance Database'!$F385=Query!$B$5),OR(Query!$B$6="All",ISNUMBER(SEARCH(Query!$B$6,'Compliance Database'!$I385))),OR(Query!$B$7="All",ISNUMBER(SEARCH(Query!$B$7,'Compliance Database'!$J385))),OR(Query!$B$8="All",'Compliance Database'!$G385=Query!$B$8),OR(Query!$B$9="All",'Compliance Database'!$K385=Query!$B$9),OR(Query!$B$10="",ISNUMBER(SEARCH(Query!$B$10,'Compliance Database'!$D385&amp;" "&amp;'Compliance Database'!$L385&amp;" "&amp;'Compliance Database'!$M385&amp;" "&amp;'Compliance Database'!$N385&amp;" "&amp;'Compliance Database'!$O385)))),1,0)</f>
        <v/>
      </c>
      <c r="B385">
        <f>IF($A385=1,SUM($A$2:$A385),"")</f>
        <v/>
      </c>
      <c r="C385">
        <f>IF($A385=1,SUM($A$2:$A385),0)</f>
        <v/>
      </c>
    </row>
    <row r="386">
      <c r="A386">
        <f>IF(AND(OR(Query!$B$4="All",'Compliance Database'!$A386=Query!$B$4),OR(Query!$B$5="All",'Compliance Database'!$F386=Query!$B$5),OR(Query!$B$6="All",ISNUMBER(SEARCH(Query!$B$6,'Compliance Database'!$I386))),OR(Query!$B$7="All",ISNUMBER(SEARCH(Query!$B$7,'Compliance Database'!$J386))),OR(Query!$B$8="All",'Compliance Database'!$G386=Query!$B$8),OR(Query!$B$9="All",'Compliance Database'!$K386=Query!$B$9),OR(Query!$B$10="",ISNUMBER(SEARCH(Query!$B$10,'Compliance Database'!$D386&amp;" "&amp;'Compliance Database'!$L386&amp;" "&amp;'Compliance Database'!$M386&amp;" "&amp;'Compliance Database'!$N386&amp;" "&amp;'Compliance Database'!$O386)))),1,0)</f>
        <v/>
      </c>
      <c r="B386">
        <f>IF($A386=1,SUM($A$2:$A386),"")</f>
        <v/>
      </c>
      <c r="C386">
        <f>IF($A386=1,SUM($A$2:$A386),0)</f>
        <v/>
      </c>
    </row>
    <row r="387">
      <c r="A387">
        <f>IF(AND(OR(Query!$B$4="All",'Compliance Database'!$A387=Query!$B$4),OR(Query!$B$5="All",'Compliance Database'!$F387=Query!$B$5),OR(Query!$B$6="All",ISNUMBER(SEARCH(Query!$B$6,'Compliance Database'!$I387))),OR(Query!$B$7="All",ISNUMBER(SEARCH(Query!$B$7,'Compliance Database'!$J387))),OR(Query!$B$8="All",'Compliance Database'!$G387=Query!$B$8),OR(Query!$B$9="All",'Compliance Database'!$K387=Query!$B$9),OR(Query!$B$10="",ISNUMBER(SEARCH(Query!$B$10,'Compliance Database'!$D387&amp;" "&amp;'Compliance Database'!$L387&amp;" "&amp;'Compliance Database'!$M387&amp;" "&amp;'Compliance Database'!$N387&amp;" "&amp;'Compliance Database'!$O387)))),1,0)</f>
        <v/>
      </c>
      <c r="B387">
        <f>IF($A387=1,SUM($A$2:$A387),"")</f>
        <v/>
      </c>
      <c r="C387">
        <f>IF($A387=1,SUM($A$2:$A387),0)</f>
        <v/>
      </c>
    </row>
    <row r="388">
      <c r="A388">
        <f>IF(AND(OR(Query!$B$4="All",'Compliance Database'!$A388=Query!$B$4),OR(Query!$B$5="All",'Compliance Database'!$F388=Query!$B$5),OR(Query!$B$6="All",ISNUMBER(SEARCH(Query!$B$6,'Compliance Database'!$I388))),OR(Query!$B$7="All",ISNUMBER(SEARCH(Query!$B$7,'Compliance Database'!$J388))),OR(Query!$B$8="All",'Compliance Database'!$G388=Query!$B$8),OR(Query!$B$9="All",'Compliance Database'!$K388=Query!$B$9),OR(Query!$B$10="",ISNUMBER(SEARCH(Query!$B$10,'Compliance Database'!$D388&amp;" "&amp;'Compliance Database'!$L388&amp;" "&amp;'Compliance Database'!$M388&amp;" "&amp;'Compliance Database'!$N388&amp;" "&amp;'Compliance Database'!$O388)))),1,0)</f>
        <v/>
      </c>
      <c r="B388">
        <f>IF($A388=1,SUM($A$2:$A388),"")</f>
        <v/>
      </c>
      <c r="C388">
        <f>IF($A388=1,SUM($A$2:$A388),0)</f>
        <v/>
      </c>
    </row>
    <row r="389">
      <c r="A389">
        <f>IF(AND(OR(Query!$B$4="All",'Compliance Database'!$A389=Query!$B$4),OR(Query!$B$5="All",'Compliance Database'!$F389=Query!$B$5),OR(Query!$B$6="All",ISNUMBER(SEARCH(Query!$B$6,'Compliance Database'!$I389))),OR(Query!$B$7="All",ISNUMBER(SEARCH(Query!$B$7,'Compliance Database'!$J389))),OR(Query!$B$8="All",'Compliance Database'!$G389=Query!$B$8),OR(Query!$B$9="All",'Compliance Database'!$K389=Query!$B$9),OR(Query!$B$10="",ISNUMBER(SEARCH(Query!$B$10,'Compliance Database'!$D389&amp;" "&amp;'Compliance Database'!$L389&amp;" "&amp;'Compliance Database'!$M389&amp;" "&amp;'Compliance Database'!$N389&amp;" "&amp;'Compliance Database'!$O389)))),1,0)</f>
        <v/>
      </c>
      <c r="B389">
        <f>IF($A389=1,SUM($A$2:$A389),"")</f>
        <v/>
      </c>
      <c r="C389">
        <f>IF($A389=1,SUM($A$2:$A389),0)</f>
        <v/>
      </c>
    </row>
    <row r="390">
      <c r="A390">
        <f>IF(AND(OR(Query!$B$4="All",'Compliance Database'!$A390=Query!$B$4),OR(Query!$B$5="All",'Compliance Database'!$F390=Query!$B$5),OR(Query!$B$6="All",ISNUMBER(SEARCH(Query!$B$6,'Compliance Database'!$I390))),OR(Query!$B$7="All",ISNUMBER(SEARCH(Query!$B$7,'Compliance Database'!$J390))),OR(Query!$B$8="All",'Compliance Database'!$G390=Query!$B$8),OR(Query!$B$9="All",'Compliance Database'!$K390=Query!$B$9),OR(Query!$B$10="",ISNUMBER(SEARCH(Query!$B$10,'Compliance Database'!$D390&amp;" "&amp;'Compliance Database'!$L390&amp;" "&amp;'Compliance Database'!$M390&amp;" "&amp;'Compliance Database'!$N390&amp;" "&amp;'Compliance Database'!$O390)))),1,0)</f>
        <v/>
      </c>
      <c r="B390">
        <f>IF($A390=1,SUM($A$2:$A390),"")</f>
        <v/>
      </c>
      <c r="C390">
        <f>IF($A390=1,SUM($A$2:$A390),0)</f>
        <v/>
      </c>
    </row>
    <row r="391">
      <c r="A391">
        <f>IF(AND(OR(Query!$B$4="All",'Compliance Database'!$A391=Query!$B$4),OR(Query!$B$5="All",'Compliance Database'!$F391=Query!$B$5),OR(Query!$B$6="All",ISNUMBER(SEARCH(Query!$B$6,'Compliance Database'!$I391))),OR(Query!$B$7="All",ISNUMBER(SEARCH(Query!$B$7,'Compliance Database'!$J391))),OR(Query!$B$8="All",'Compliance Database'!$G391=Query!$B$8),OR(Query!$B$9="All",'Compliance Database'!$K391=Query!$B$9),OR(Query!$B$10="",ISNUMBER(SEARCH(Query!$B$10,'Compliance Database'!$D391&amp;" "&amp;'Compliance Database'!$L391&amp;" "&amp;'Compliance Database'!$M391&amp;" "&amp;'Compliance Database'!$N391&amp;" "&amp;'Compliance Database'!$O391)))),1,0)</f>
        <v/>
      </c>
      <c r="B391">
        <f>IF($A391=1,SUM($A$2:$A391),"")</f>
        <v/>
      </c>
      <c r="C391">
        <f>IF($A391=1,SUM($A$2:$A391),0)</f>
        <v/>
      </c>
    </row>
    <row r="392">
      <c r="A392">
        <f>IF(AND(OR(Query!$B$4="All",'Compliance Database'!$A392=Query!$B$4),OR(Query!$B$5="All",'Compliance Database'!$F392=Query!$B$5),OR(Query!$B$6="All",ISNUMBER(SEARCH(Query!$B$6,'Compliance Database'!$I392))),OR(Query!$B$7="All",ISNUMBER(SEARCH(Query!$B$7,'Compliance Database'!$J392))),OR(Query!$B$8="All",'Compliance Database'!$G392=Query!$B$8),OR(Query!$B$9="All",'Compliance Database'!$K392=Query!$B$9),OR(Query!$B$10="",ISNUMBER(SEARCH(Query!$B$10,'Compliance Database'!$D392&amp;" "&amp;'Compliance Database'!$L392&amp;" "&amp;'Compliance Database'!$M392&amp;" "&amp;'Compliance Database'!$N392&amp;" "&amp;'Compliance Database'!$O392)))),1,0)</f>
        <v/>
      </c>
      <c r="B392">
        <f>IF($A392=1,SUM($A$2:$A392),"")</f>
        <v/>
      </c>
      <c r="C392">
        <f>IF($A392=1,SUM($A$2:$A392),0)</f>
        <v/>
      </c>
    </row>
    <row r="393">
      <c r="A393">
        <f>IF(AND(OR(Query!$B$4="All",'Compliance Database'!$A393=Query!$B$4),OR(Query!$B$5="All",'Compliance Database'!$F393=Query!$B$5),OR(Query!$B$6="All",ISNUMBER(SEARCH(Query!$B$6,'Compliance Database'!$I393))),OR(Query!$B$7="All",ISNUMBER(SEARCH(Query!$B$7,'Compliance Database'!$J393))),OR(Query!$B$8="All",'Compliance Database'!$G393=Query!$B$8),OR(Query!$B$9="All",'Compliance Database'!$K393=Query!$B$9),OR(Query!$B$10="",ISNUMBER(SEARCH(Query!$B$10,'Compliance Database'!$D393&amp;" "&amp;'Compliance Database'!$L393&amp;" "&amp;'Compliance Database'!$M393&amp;" "&amp;'Compliance Database'!$N393&amp;" "&amp;'Compliance Database'!$O393)))),1,0)</f>
        <v/>
      </c>
      <c r="B393">
        <f>IF($A393=1,SUM($A$2:$A393),"")</f>
        <v/>
      </c>
      <c r="C393">
        <f>IF($A393=1,SUM($A$2:$A393),0)</f>
        <v/>
      </c>
    </row>
    <row r="394">
      <c r="A394">
        <f>IF(AND(OR(Query!$B$4="All",'Compliance Database'!$A394=Query!$B$4),OR(Query!$B$5="All",'Compliance Database'!$F394=Query!$B$5),OR(Query!$B$6="All",ISNUMBER(SEARCH(Query!$B$6,'Compliance Database'!$I394))),OR(Query!$B$7="All",ISNUMBER(SEARCH(Query!$B$7,'Compliance Database'!$J394))),OR(Query!$B$8="All",'Compliance Database'!$G394=Query!$B$8),OR(Query!$B$9="All",'Compliance Database'!$K394=Query!$B$9),OR(Query!$B$10="",ISNUMBER(SEARCH(Query!$B$10,'Compliance Database'!$D394&amp;" "&amp;'Compliance Database'!$L394&amp;" "&amp;'Compliance Database'!$M394&amp;" "&amp;'Compliance Database'!$N394&amp;" "&amp;'Compliance Database'!$O394)))),1,0)</f>
        <v/>
      </c>
      <c r="B394">
        <f>IF($A394=1,SUM($A$2:$A394),"")</f>
        <v/>
      </c>
      <c r="C394">
        <f>IF($A394=1,SUM($A$2:$A394),0)</f>
        <v/>
      </c>
    </row>
    <row r="395">
      <c r="A395">
        <f>IF(AND(OR(Query!$B$4="All",'Compliance Database'!$A395=Query!$B$4),OR(Query!$B$5="All",'Compliance Database'!$F395=Query!$B$5),OR(Query!$B$6="All",ISNUMBER(SEARCH(Query!$B$6,'Compliance Database'!$I395))),OR(Query!$B$7="All",ISNUMBER(SEARCH(Query!$B$7,'Compliance Database'!$J395))),OR(Query!$B$8="All",'Compliance Database'!$G395=Query!$B$8),OR(Query!$B$9="All",'Compliance Database'!$K395=Query!$B$9),OR(Query!$B$10="",ISNUMBER(SEARCH(Query!$B$10,'Compliance Database'!$D395&amp;" "&amp;'Compliance Database'!$L395&amp;" "&amp;'Compliance Database'!$M395&amp;" "&amp;'Compliance Database'!$N395&amp;" "&amp;'Compliance Database'!$O395)))),1,0)</f>
        <v/>
      </c>
      <c r="B395">
        <f>IF($A395=1,SUM($A$2:$A395),"")</f>
        <v/>
      </c>
      <c r="C395">
        <f>IF($A395=1,SUM($A$2:$A395),0)</f>
        <v/>
      </c>
    </row>
    <row r="396">
      <c r="A396">
        <f>IF(AND(OR(Query!$B$4="All",'Compliance Database'!$A396=Query!$B$4),OR(Query!$B$5="All",'Compliance Database'!$F396=Query!$B$5),OR(Query!$B$6="All",ISNUMBER(SEARCH(Query!$B$6,'Compliance Database'!$I396))),OR(Query!$B$7="All",ISNUMBER(SEARCH(Query!$B$7,'Compliance Database'!$J396))),OR(Query!$B$8="All",'Compliance Database'!$G396=Query!$B$8),OR(Query!$B$9="All",'Compliance Database'!$K396=Query!$B$9),OR(Query!$B$10="",ISNUMBER(SEARCH(Query!$B$10,'Compliance Database'!$D396&amp;" "&amp;'Compliance Database'!$L396&amp;" "&amp;'Compliance Database'!$M396&amp;" "&amp;'Compliance Database'!$N396&amp;" "&amp;'Compliance Database'!$O396)))),1,0)</f>
        <v/>
      </c>
      <c r="B396">
        <f>IF($A396=1,SUM($A$2:$A396),"")</f>
        <v/>
      </c>
      <c r="C396">
        <f>IF($A396=1,SUM($A$2:$A396),0)</f>
        <v/>
      </c>
    </row>
    <row r="397">
      <c r="A397">
        <f>IF(AND(OR(Query!$B$4="All",'Compliance Database'!$A397=Query!$B$4),OR(Query!$B$5="All",'Compliance Database'!$F397=Query!$B$5),OR(Query!$B$6="All",ISNUMBER(SEARCH(Query!$B$6,'Compliance Database'!$I397))),OR(Query!$B$7="All",ISNUMBER(SEARCH(Query!$B$7,'Compliance Database'!$J397))),OR(Query!$B$8="All",'Compliance Database'!$G397=Query!$B$8),OR(Query!$B$9="All",'Compliance Database'!$K397=Query!$B$9),OR(Query!$B$10="",ISNUMBER(SEARCH(Query!$B$10,'Compliance Database'!$D397&amp;" "&amp;'Compliance Database'!$L397&amp;" "&amp;'Compliance Database'!$M397&amp;" "&amp;'Compliance Database'!$N397&amp;" "&amp;'Compliance Database'!$O397)))),1,0)</f>
        <v/>
      </c>
      <c r="B397">
        <f>IF($A397=1,SUM($A$2:$A397),"")</f>
        <v/>
      </c>
      <c r="C397">
        <f>IF($A397=1,SUM($A$2:$A397),0)</f>
        <v/>
      </c>
    </row>
    <row r="398">
      <c r="A398">
        <f>IF(AND(OR(Query!$B$4="All",'Compliance Database'!$A398=Query!$B$4),OR(Query!$B$5="All",'Compliance Database'!$F398=Query!$B$5),OR(Query!$B$6="All",ISNUMBER(SEARCH(Query!$B$6,'Compliance Database'!$I398))),OR(Query!$B$7="All",ISNUMBER(SEARCH(Query!$B$7,'Compliance Database'!$J398))),OR(Query!$B$8="All",'Compliance Database'!$G398=Query!$B$8),OR(Query!$B$9="All",'Compliance Database'!$K398=Query!$B$9),OR(Query!$B$10="",ISNUMBER(SEARCH(Query!$B$10,'Compliance Database'!$D398&amp;" "&amp;'Compliance Database'!$L398&amp;" "&amp;'Compliance Database'!$M398&amp;" "&amp;'Compliance Database'!$N398&amp;" "&amp;'Compliance Database'!$O398)))),1,0)</f>
        <v/>
      </c>
      <c r="B398">
        <f>IF($A398=1,SUM($A$2:$A398),"")</f>
        <v/>
      </c>
      <c r="C398">
        <f>IF($A398=1,SUM($A$2:$A398),0)</f>
        <v/>
      </c>
    </row>
    <row r="399">
      <c r="A399">
        <f>IF(AND(OR(Query!$B$4="All",'Compliance Database'!$A399=Query!$B$4),OR(Query!$B$5="All",'Compliance Database'!$F399=Query!$B$5),OR(Query!$B$6="All",ISNUMBER(SEARCH(Query!$B$6,'Compliance Database'!$I399))),OR(Query!$B$7="All",ISNUMBER(SEARCH(Query!$B$7,'Compliance Database'!$J399))),OR(Query!$B$8="All",'Compliance Database'!$G399=Query!$B$8),OR(Query!$B$9="All",'Compliance Database'!$K399=Query!$B$9),OR(Query!$B$10="",ISNUMBER(SEARCH(Query!$B$10,'Compliance Database'!$D399&amp;" "&amp;'Compliance Database'!$L399&amp;" "&amp;'Compliance Database'!$M399&amp;" "&amp;'Compliance Database'!$N399&amp;" "&amp;'Compliance Database'!$O399)))),1,0)</f>
        <v/>
      </c>
      <c r="B399">
        <f>IF($A399=1,SUM($A$2:$A399),"")</f>
        <v/>
      </c>
      <c r="C399">
        <f>IF($A399=1,SUM($A$2:$A399),0)</f>
        <v/>
      </c>
    </row>
    <row r="400">
      <c r="A400">
        <f>IF(AND(OR(Query!$B$4="All",'Compliance Database'!$A400=Query!$B$4),OR(Query!$B$5="All",'Compliance Database'!$F400=Query!$B$5),OR(Query!$B$6="All",ISNUMBER(SEARCH(Query!$B$6,'Compliance Database'!$I400))),OR(Query!$B$7="All",ISNUMBER(SEARCH(Query!$B$7,'Compliance Database'!$J400))),OR(Query!$B$8="All",'Compliance Database'!$G400=Query!$B$8),OR(Query!$B$9="All",'Compliance Database'!$K400=Query!$B$9),OR(Query!$B$10="",ISNUMBER(SEARCH(Query!$B$10,'Compliance Database'!$D400&amp;" "&amp;'Compliance Database'!$L400&amp;" "&amp;'Compliance Database'!$M400&amp;" "&amp;'Compliance Database'!$N400&amp;" "&amp;'Compliance Database'!$O400)))),1,0)</f>
        <v/>
      </c>
      <c r="B400">
        <f>IF($A400=1,SUM($A$2:$A400),"")</f>
        <v/>
      </c>
      <c r="C400">
        <f>IF($A400=1,SUM($A$2:$A400),0)</f>
        <v/>
      </c>
    </row>
    <row r="401">
      <c r="A401">
        <f>IF(AND(OR(Query!$B$4="All",'Compliance Database'!$A401=Query!$B$4),OR(Query!$B$5="All",'Compliance Database'!$F401=Query!$B$5),OR(Query!$B$6="All",ISNUMBER(SEARCH(Query!$B$6,'Compliance Database'!$I401))),OR(Query!$B$7="All",ISNUMBER(SEARCH(Query!$B$7,'Compliance Database'!$J401))),OR(Query!$B$8="All",'Compliance Database'!$G401=Query!$B$8),OR(Query!$B$9="All",'Compliance Database'!$K401=Query!$B$9),OR(Query!$B$10="",ISNUMBER(SEARCH(Query!$B$10,'Compliance Database'!$D401&amp;" "&amp;'Compliance Database'!$L401&amp;" "&amp;'Compliance Database'!$M401&amp;" "&amp;'Compliance Database'!$N401&amp;" "&amp;'Compliance Database'!$O401)))),1,0)</f>
        <v/>
      </c>
      <c r="B401">
        <f>IF($A401=1,SUM($A$2:$A401),"")</f>
        <v/>
      </c>
      <c r="C401">
        <f>IF($A401=1,SUM($A$2:$A401),0)</f>
        <v/>
      </c>
    </row>
    <row r="402">
      <c r="A402">
        <f>IF(AND(OR(Query!$B$4="All",'Compliance Database'!$A402=Query!$B$4),OR(Query!$B$5="All",'Compliance Database'!$F402=Query!$B$5),OR(Query!$B$6="All",ISNUMBER(SEARCH(Query!$B$6,'Compliance Database'!$I402))),OR(Query!$B$7="All",ISNUMBER(SEARCH(Query!$B$7,'Compliance Database'!$J402))),OR(Query!$B$8="All",'Compliance Database'!$G402=Query!$B$8),OR(Query!$B$9="All",'Compliance Database'!$K402=Query!$B$9),OR(Query!$B$10="",ISNUMBER(SEARCH(Query!$B$10,'Compliance Database'!$D402&amp;" "&amp;'Compliance Database'!$L402&amp;" "&amp;'Compliance Database'!$M402&amp;" "&amp;'Compliance Database'!$N402&amp;" "&amp;'Compliance Database'!$O402)))),1,0)</f>
        <v/>
      </c>
      <c r="B402">
        <f>IF($A402=1,SUM($A$2:$A402),"")</f>
        <v/>
      </c>
      <c r="C402">
        <f>IF($A402=1,SUM($A$2:$A402),0)</f>
        <v/>
      </c>
    </row>
    <row r="403">
      <c r="A403">
        <f>IF(AND(OR(Query!$B$4="All",'Compliance Database'!$A403=Query!$B$4),OR(Query!$B$5="All",'Compliance Database'!$F403=Query!$B$5),OR(Query!$B$6="All",ISNUMBER(SEARCH(Query!$B$6,'Compliance Database'!$I403))),OR(Query!$B$7="All",ISNUMBER(SEARCH(Query!$B$7,'Compliance Database'!$J403))),OR(Query!$B$8="All",'Compliance Database'!$G403=Query!$B$8),OR(Query!$B$9="All",'Compliance Database'!$K403=Query!$B$9),OR(Query!$B$10="",ISNUMBER(SEARCH(Query!$B$10,'Compliance Database'!$D403&amp;" "&amp;'Compliance Database'!$L403&amp;" "&amp;'Compliance Database'!$M403&amp;" "&amp;'Compliance Database'!$N403&amp;" "&amp;'Compliance Database'!$O403)))),1,0)</f>
        <v/>
      </c>
      <c r="B403">
        <f>IF($A403=1,SUM($A$2:$A403),"")</f>
        <v/>
      </c>
      <c r="C403">
        <f>IF($A403=1,SUM($A$2:$A403),0)</f>
        <v/>
      </c>
    </row>
    <row r="404">
      <c r="A404">
        <f>IF(AND(OR(Query!$B$4="All",'Compliance Database'!$A404=Query!$B$4),OR(Query!$B$5="All",'Compliance Database'!$F404=Query!$B$5),OR(Query!$B$6="All",ISNUMBER(SEARCH(Query!$B$6,'Compliance Database'!$I404))),OR(Query!$B$7="All",ISNUMBER(SEARCH(Query!$B$7,'Compliance Database'!$J404))),OR(Query!$B$8="All",'Compliance Database'!$G404=Query!$B$8),OR(Query!$B$9="All",'Compliance Database'!$K404=Query!$B$9),OR(Query!$B$10="",ISNUMBER(SEARCH(Query!$B$10,'Compliance Database'!$D404&amp;" "&amp;'Compliance Database'!$L404&amp;" "&amp;'Compliance Database'!$M404&amp;" "&amp;'Compliance Database'!$N404&amp;" "&amp;'Compliance Database'!$O404)))),1,0)</f>
        <v/>
      </c>
      <c r="B404">
        <f>IF($A404=1,SUM($A$2:$A404),"")</f>
        <v/>
      </c>
      <c r="C404">
        <f>IF($A404=1,SUM($A$2:$A404),0)</f>
        <v/>
      </c>
    </row>
    <row r="405">
      <c r="A405">
        <f>IF(AND(OR(Query!$B$4="All",'Compliance Database'!$A405=Query!$B$4),OR(Query!$B$5="All",'Compliance Database'!$F405=Query!$B$5),OR(Query!$B$6="All",ISNUMBER(SEARCH(Query!$B$6,'Compliance Database'!$I405))),OR(Query!$B$7="All",ISNUMBER(SEARCH(Query!$B$7,'Compliance Database'!$J405))),OR(Query!$B$8="All",'Compliance Database'!$G405=Query!$B$8),OR(Query!$B$9="All",'Compliance Database'!$K405=Query!$B$9),OR(Query!$B$10="",ISNUMBER(SEARCH(Query!$B$10,'Compliance Database'!$D405&amp;" "&amp;'Compliance Database'!$L405&amp;" "&amp;'Compliance Database'!$M405&amp;" "&amp;'Compliance Database'!$N405&amp;" "&amp;'Compliance Database'!$O405)))),1,0)</f>
        <v/>
      </c>
      <c r="B405">
        <f>IF($A405=1,SUM($A$2:$A405),"")</f>
        <v/>
      </c>
      <c r="C405">
        <f>IF($A405=1,SUM($A$2:$A405),0)</f>
        <v/>
      </c>
    </row>
    <row r="406">
      <c r="A406">
        <f>IF(AND(OR(Query!$B$4="All",'Compliance Database'!$A406=Query!$B$4),OR(Query!$B$5="All",'Compliance Database'!$F406=Query!$B$5),OR(Query!$B$6="All",ISNUMBER(SEARCH(Query!$B$6,'Compliance Database'!$I406))),OR(Query!$B$7="All",ISNUMBER(SEARCH(Query!$B$7,'Compliance Database'!$J406))),OR(Query!$B$8="All",'Compliance Database'!$G406=Query!$B$8),OR(Query!$B$9="All",'Compliance Database'!$K406=Query!$B$9),OR(Query!$B$10="",ISNUMBER(SEARCH(Query!$B$10,'Compliance Database'!$D406&amp;" "&amp;'Compliance Database'!$L406&amp;" "&amp;'Compliance Database'!$M406&amp;" "&amp;'Compliance Database'!$N406&amp;" "&amp;'Compliance Database'!$O406)))),1,0)</f>
        <v/>
      </c>
      <c r="B406">
        <f>IF($A406=1,SUM($A$2:$A406),"")</f>
        <v/>
      </c>
      <c r="C406">
        <f>IF($A406=1,SUM($A$2:$A406),0)</f>
        <v/>
      </c>
    </row>
    <row r="407">
      <c r="A407">
        <f>IF(AND(OR(Query!$B$4="All",'Compliance Database'!$A407=Query!$B$4),OR(Query!$B$5="All",'Compliance Database'!$F407=Query!$B$5),OR(Query!$B$6="All",ISNUMBER(SEARCH(Query!$B$6,'Compliance Database'!$I407))),OR(Query!$B$7="All",ISNUMBER(SEARCH(Query!$B$7,'Compliance Database'!$J407))),OR(Query!$B$8="All",'Compliance Database'!$G407=Query!$B$8),OR(Query!$B$9="All",'Compliance Database'!$K407=Query!$B$9),OR(Query!$B$10="",ISNUMBER(SEARCH(Query!$B$10,'Compliance Database'!$D407&amp;" "&amp;'Compliance Database'!$L407&amp;" "&amp;'Compliance Database'!$M407&amp;" "&amp;'Compliance Database'!$N407&amp;" "&amp;'Compliance Database'!$O407)))),1,0)</f>
        <v/>
      </c>
      <c r="B407">
        <f>IF($A407=1,SUM($A$2:$A407),"")</f>
        <v/>
      </c>
      <c r="C407">
        <f>IF($A407=1,SUM($A$2:$A407),0)</f>
        <v/>
      </c>
    </row>
    <row r="408">
      <c r="A408">
        <f>IF(AND(OR(Query!$B$4="All",'Compliance Database'!$A408=Query!$B$4),OR(Query!$B$5="All",'Compliance Database'!$F408=Query!$B$5),OR(Query!$B$6="All",ISNUMBER(SEARCH(Query!$B$6,'Compliance Database'!$I408))),OR(Query!$B$7="All",ISNUMBER(SEARCH(Query!$B$7,'Compliance Database'!$J408))),OR(Query!$B$8="All",'Compliance Database'!$G408=Query!$B$8),OR(Query!$B$9="All",'Compliance Database'!$K408=Query!$B$9),OR(Query!$B$10="",ISNUMBER(SEARCH(Query!$B$10,'Compliance Database'!$D408&amp;" "&amp;'Compliance Database'!$L408&amp;" "&amp;'Compliance Database'!$M408&amp;" "&amp;'Compliance Database'!$N408&amp;" "&amp;'Compliance Database'!$O408)))),1,0)</f>
        <v/>
      </c>
      <c r="B408">
        <f>IF($A408=1,SUM($A$2:$A408),"")</f>
        <v/>
      </c>
      <c r="C408">
        <f>IF($A408=1,SUM($A$2:$A408),0)</f>
        <v/>
      </c>
    </row>
    <row r="409">
      <c r="A409">
        <f>IF(AND(OR(Query!$B$4="All",'Compliance Database'!$A409=Query!$B$4),OR(Query!$B$5="All",'Compliance Database'!$F409=Query!$B$5),OR(Query!$B$6="All",ISNUMBER(SEARCH(Query!$B$6,'Compliance Database'!$I409))),OR(Query!$B$7="All",ISNUMBER(SEARCH(Query!$B$7,'Compliance Database'!$J409))),OR(Query!$B$8="All",'Compliance Database'!$G409=Query!$B$8),OR(Query!$B$9="All",'Compliance Database'!$K409=Query!$B$9),OR(Query!$B$10="",ISNUMBER(SEARCH(Query!$B$10,'Compliance Database'!$D409&amp;" "&amp;'Compliance Database'!$L409&amp;" "&amp;'Compliance Database'!$M409&amp;" "&amp;'Compliance Database'!$N409&amp;" "&amp;'Compliance Database'!$O409)))),1,0)</f>
        <v/>
      </c>
      <c r="B409">
        <f>IF($A409=1,SUM($A$2:$A409),"")</f>
        <v/>
      </c>
      <c r="C409">
        <f>IF($A409=1,SUM($A$2:$A409),0)</f>
        <v/>
      </c>
    </row>
    <row r="410">
      <c r="A410">
        <f>IF(AND(OR(Query!$B$4="All",'Compliance Database'!$A410=Query!$B$4),OR(Query!$B$5="All",'Compliance Database'!$F410=Query!$B$5),OR(Query!$B$6="All",ISNUMBER(SEARCH(Query!$B$6,'Compliance Database'!$I410))),OR(Query!$B$7="All",ISNUMBER(SEARCH(Query!$B$7,'Compliance Database'!$J410))),OR(Query!$B$8="All",'Compliance Database'!$G410=Query!$B$8),OR(Query!$B$9="All",'Compliance Database'!$K410=Query!$B$9),OR(Query!$B$10="",ISNUMBER(SEARCH(Query!$B$10,'Compliance Database'!$D410&amp;" "&amp;'Compliance Database'!$L410&amp;" "&amp;'Compliance Database'!$M410&amp;" "&amp;'Compliance Database'!$N410&amp;" "&amp;'Compliance Database'!$O410)))),1,0)</f>
        <v/>
      </c>
      <c r="B410">
        <f>IF($A410=1,SUM($A$2:$A410),"")</f>
        <v/>
      </c>
      <c r="C410">
        <f>IF($A410=1,SUM($A$2:$A410),0)</f>
        <v/>
      </c>
    </row>
    <row r="411">
      <c r="A411">
        <f>IF(AND(OR(Query!$B$4="All",'Compliance Database'!$A411=Query!$B$4),OR(Query!$B$5="All",'Compliance Database'!$F411=Query!$B$5),OR(Query!$B$6="All",ISNUMBER(SEARCH(Query!$B$6,'Compliance Database'!$I411))),OR(Query!$B$7="All",ISNUMBER(SEARCH(Query!$B$7,'Compliance Database'!$J411))),OR(Query!$B$8="All",'Compliance Database'!$G411=Query!$B$8),OR(Query!$B$9="All",'Compliance Database'!$K411=Query!$B$9),OR(Query!$B$10="",ISNUMBER(SEARCH(Query!$B$10,'Compliance Database'!$D411&amp;" "&amp;'Compliance Database'!$L411&amp;" "&amp;'Compliance Database'!$M411&amp;" "&amp;'Compliance Database'!$N411&amp;" "&amp;'Compliance Database'!$O411)))),1,0)</f>
        <v/>
      </c>
      <c r="B411">
        <f>IF($A411=1,SUM($A$2:$A411),"")</f>
        <v/>
      </c>
      <c r="C411">
        <f>IF($A411=1,SUM($A$2:$A411),0)</f>
        <v/>
      </c>
    </row>
    <row r="412">
      <c r="A412">
        <f>IF(AND(OR(Query!$B$4="All",'Compliance Database'!$A412=Query!$B$4),OR(Query!$B$5="All",'Compliance Database'!$F412=Query!$B$5),OR(Query!$B$6="All",ISNUMBER(SEARCH(Query!$B$6,'Compliance Database'!$I412))),OR(Query!$B$7="All",ISNUMBER(SEARCH(Query!$B$7,'Compliance Database'!$J412))),OR(Query!$B$8="All",'Compliance Database'!$G412=Query!$B$8),OR(Query!$B$9="All",'Compliance Database'!$K412=Query!$B$9),OR(Query!$B$10="",ISNUMBER(SEARCH(Query!$B$10,'Compliance Database'!$D412&amp;" "&amp;'Compliance Database'!$L412&amp;" "&amp;'Compliance Database'!$M412&amp;" "&amp;'Compliance Database'!$N412&amp;" "&amp;'Compliance Database'!$O412)))),1,0)</f>
        <v/>
      </c>
      <c r="B412">
        <f>IF($A412=1,SUM($A$2:$A412),"")</f>
        <v/>
      </c>
      <c r="C412">
        <f>IF($A412=1,SUM($A$2:$A412),0)</f>
        <v/>
      </c>
    </row>
    <row r="413">
      <c r="A413">
        <f>IF(AND(OR(Query!$B$4="All",'Compliance Database'!$A413=Query!$B$4),OR(Query!$B$5="All",'Compliance Database'!$F413=Query!$B$5),OR(Query!$B$6="All",ISNUMBER(SEARCH(Query!$B$6,'Compliance Database'!$I413))),OR(Query!$B$7="All",ISNUMBER(SEARCH(Query!$B$7,'Compliance Database'!$J413))),OR(Query!$B$8="All",'Compliance Database'!$G413=Query!$B$8),OR(Query!$B$9="All",'Compliance Database'!$K413=Query!$B$9),OR(Query!$B$10="",ISNUMBER(SEARCH(Query!$B$10,'Compliance Database'!$D413&amp;" "&amp;'Compliance Database'!$L413&amp;" "&amp;'Compliance Database'!$M413&amp;" "&amp;'Compliance Database'!$N413&amp;" "&amp;'Compliance Database'!$O413)))),1,0)</f>
        <v/>
      </c>
      <c r="B413">
        <f>IF($A413=1,SUM($A$2:$A413),"")</f>
        <v/>
      </c>
      <c r="C413">
        <f>IF($A413=1,SUM($A$2:$A413),0)</f>
        <v/>
      </c>
    </row>
    <row r="414">
      <c r="A414">
        <f>IF(AND(OR(Query!$B$4="All",'Compliance Database'!$A414=Query!$B$4),OR(Query!$B$5="All",'Compliance Database'!$F414=Query!$B$5),OR(Query!$B$6="All",ISNUMBER(SEARCH(Query!$B$6,'Compliance Database'!$I414))),OR(Query!$B$7="All",ISNUMBER(SEARCH(Query!$B$7,'Compliance Database'!$J414))),OR(Query!$B$8="All",'Compliance Database'!$G414=Query!$B$8),OR(Query!$B$9="All",'Compliance Database'!$K414=Query!$B$9),OR(Query!$B$10="",ISNUMBER(SEARCH(Query!$B$10,'Compliance Database'!$D414&amp;" "&amp;'Compliance Database'!$L414&amp;" "&amp;'Compliance Database'!$M414&amp;" "&amp;'Compliance Database'!$N414&amp;" "&amp;'Compliance Database'!$O414)))),1,0)</f>
        <v/>
      </c>
      <c r="B414">
        <f>IF($A414=1,SUM($A$2:$A414),"")</f>
        <v/>
      </c>
      <c r="C414">
        <f>IF($A414=1,SUM($A$2:$A414),0)</f>
        <v/>
      </c>
    </row>
    <row r="415">
      <c r="A415">
        <f>IF(AND(OR(Query!$B$4="All",'Compliance Database'!$A415=Query!$B$4),OR(Query!$B$5="All",'Compliance Database'!$F415=Query!$B$5),OR(Query!$B$6="All",ISNUMBER(SEARCH(Query!$B$6,'Compliance Database'!$I415))),OR(Query!$B$7="All",ISNUMBER(SEARCH(Query!$B$7,'Compliance Database'!$J415))),OR(Query!$B$8="All",'Compliance Database'!$G415=Query!$B$8),OR(Query!$B$9="All",'Compliance Database'!$K415=Query!$B$9),OR(Query!$B$10="",ISNUMBER(SEARCH(Query!$B$10,'Compliance Database'!$D415&amp;" "&amp;'Compliance Database'!$L415&amp;" "&amp;'Compliance Database'!$M415&amp;" "&amp;'Compliance Database'!$N415&amp;" "&amp;'Compliance Database'!$O415)))),1,0)</f>
        <v/>
      </c>
      <c r="B415">
        <f>IF($A415=1,SUM($A$2:$A415),"")</f>
        <v/>
      </c>
      <c r="C415">
        <f>IF($A415=1,SUM($A$2:$A415),0)</f>
        <v/>
      </c>
    </row>
    <row r="416">
      <c r="A416">
        <f>IF(AND(OR(Query!$B$4="All",'Compliance Database'!$A416=Query!$B$4),OR(Query!$B$5="All",'Compliance Database'!$F416=Query!$B$5),OR(Query!$B$6="All",ISNUMBER(SEARCH(Query!$B$6,'Compliance Database'!$I416))),OR(Query!$B$7="All",ISNUMBER(SEARCH(Query!$B$7,'Compliance Database'!$J416))),OR(Query!$B$8="All",'Compliance Database'!$G416=Query!$B$8),OR(Query!$B$9="All",'Compliance Database'!$K416=Query!$B$9),OR(Query!$B$10="",ISNUMBER(SEARCH(Query!$B$10,'Compliance Database'!$D416&amp;" "&amp;'Compliance Database'!$L416&amp;" "&amp;'Compliance Database'!$M416&amp;" "&amp;'Compliance Database'!$N416&amp;" "&amp;'Compliance Database'!$O416)))),1,0)</f>
        <v/>
      </c>
      <c r="B416">
        <f>IF($A416=1,SUM($A$2:$A416),"")</f>
        <v/>
      </c>
      <c r="C416">
        <f>IF($A416=1,SUM($A$2:$A416),0)</f>
        <v/>
      </c>
    </row>
    <row r="417">
      <c r="A417">
        <f>IF(AND(OR(Query!$B$4="All",'Compliance Database'!$A417=Query!$B$4),OR(Query!$B$5="All",'Compliance Database'!$F417=Query!$B$5),OR(Query!$B$6="All",ISNUMBER(SEARCH(Query!$B$6,'Compliance Database'!$I417))),OR(Query!$B$7="All",ISNUMBER(SEARCH(Query!$B$7,'Compliance Database'!$J417))),OR(Query!$B$8="All",'Compliance Database'!$G417=Query!$B$8),OR(Query!$B$9="All",'Compliance Database'!$K417=Query!$B$9),OR(Query!$B$10="",ISNUMBER(SEARCH(Query!$B$10,'Compliance Database'!$D417&amp;" "&amp;'Compliance Database'!$L417&amp;" "&amp;'Compliance Database'!$M417&amp;" "&amp;'Compliance Database'!$N417&amp;" "&amp;'Compliance Database'!$O417)))),1,0)</f>
        <v/>
      </c>
      <c r="B417">
        <f>IF($A417=1,SUM($A$2:$A417),"")</f>
        <v/>
      </c>
      <c r="C417">
        <f>IF($A417=1,SUM($A$2:$A417),0)</f>
        <v/>
      </c>
    </row>
    <row r="418">
      <c r="A418">
        <f>IF(AND(OR(Query!$B$4="All",'Compliance Database'!$A418=Query!$B$4),OR(Query!$B$5="All",'Compliance Database'!$F418=Query!$B$5),OR(Query!$B$6="All",ISNUMBER(SEARCH(Query!$B$6,'Compliance Database'!$I418))),OR(Query!$B$7="All",ISNUMBER(SEARCH(Query!$B$7,'Compliance Database'!$J418))),OR(Query!$B$8="All",'Compliance Database'!$G418=Query!$B$8),OR(Query!$B$9="All",'Compliance Database'!$K418=Query!$B$9),OR(Query!$B$10="",ISNUMBER(SEARCH(Query!$B$10,'Compliance Database'!$D418&amp;" "&amp;'Compliance Database'!$L418&amp;" "&amp;'Compliance Database'!$M418&amp;" "&amp;'Compliance Database'!$N418&amp;" "&amp;'Compliance Database'!$O418)))),1,0)</f>
        <v/>
      </c>
      <c r="B418">
        <f>IF($A418=1,SUM($A$2:$A418),"")</f>
        <v/>
      </c>
      <c r="C418">
        <f>IF($A418=1,SUM($A$2:$A418),0)</f>
        <v/>
      </c>
    </row>
    <row r="419">
      <c r="A419">
        <f>IF(AND(OR(Query!$B$4="All",'Compliance Database'!$A419=Query!$B$4),OR(Query!$B$5="All",'Compliance Database'!$F419=Query!$B$5),OR(Query!$B$6="All",ISNUMBER(SEARCH(Query!$B$6,'Compliance Database'!$I419))),OR(Query!$B$7="All",ISNUMBER(SEARCH(Query!$B$7,'Compliance Database'!$J419))),OR(Query!$B$8="All",'Compliance Database'!$G419=Query!$B$8),OR(Query!$B$9="All",'Compliance Database'!$K419=Query!$B$9),OR(Query!$B$10="",ISNUMBER(SEARCH(Query!$B$10,'Compliance Database'!$D419&amp;" "&amp;'Compliance Database'!$L419&amp;" "&amp;'Compliance Database'!$M419&amp;" "&amp;'Compliance Database'!$N419&amp;" "&amp;'Compliance Database'!$O419)))),1,0)</f>
        <v/>
      </c>
      <c r="B419">
        <f>IF($A419=1,SUM($A$2:$A419),"")</f>
        <v/>
      </c>
      <c r="C419">
        <f>IF($A419=1,SUM($A$2:$A419),0)</f>
        <v/>
      </c>
    </row>
    <row r="420">
      <c r="A420">
        <f>IF(AND(OR(Query!$B$4="All",'Compliance Database'!$A420=Query!$B$4),OR(Query!$B$5="All",'Compliance Database'!$F420=Query!$B$5),OR(Query!$B$6="All",ISNUMBER(SEARCH(Query!$B$6,'Compliance Database'!$I420))),OR(Query!$B$7="All",ISNUMBER(SEARCH(Query!$B$7,'Compliance Database'!$J420))),OR(Query!$B$8="All",'Compliance Database'!$G420=Query!$B$8),OR(Query!$B$9="All",'Compliance Database'!$K420=Query!$B$9),OR(Query!$B$10="",ISNUMBER(SEARCH(Query!$B$10,'Compliance Database'!$D420&amp;" "&amp;'Compliance Database'!$L420&amp;" "&amp;'Compliance Database'!$M420&amp;" "&amp;'Compliance Database'!$N420&amp;" "&amp;'Compliance Database'!$O420)))),1,0)</f>
        <v/>
      </c>
      <c r="B420">
        <f>IF($A420=1,SUM($A$2:$A420),"")</f>
        <v/>
      </c>
      <c r="C420">
        <f>IF($A420=1,SUM($A$2:$A420),0)</f>
        <v/>
      </c>
    </row>
    <row r="421">
      <c r="A421">
        <f>IF(AND(OR(Query!$B$4="All",'Compliance Database'!$A421=Query!$B$4),OR(Query!$B$5="All",'Compliance Database'!$F421=Query!$B$5),OR(Query!$B$6="All",ISNUMBER(SEARCH(Query!$B$6,'Compliance Database'!$I421))),OR(Query!$B$7="All",ISNUMBER(SEARCH(Query!$B$7,'Compliance Database'!$J421))),OR(Query!$B$8="All",'Compliance Database'!$G421=Query!$B$8),OR(Query!$B$9="All",'Compliance Database'!$K421=Query!$B$9),OR(Query!$B$10="",ISNUMBER(SEARCH(Query!$B$10,'Compliance Database'!$D421&amp;" "&amp;'Compliance Database'!$L421&amp;" "&amp;'Compliance Database'!$M421&amp;" "&amp;'Compliance Database'!$N421&amp;" "&amp;'Compliance Database'!$O421)))),1,0)</f>
        <v/>
      </c>
      <c r="B421">
        <f>IF($A421=1,SUM($A$2:$A421),"")</f>
        <v/>
      </c>
      <c r="C421">
        <f>IF($A421=1,SUM($A$2:$A421),0)</f>
        <v/>
      </c>
    </row>
    <row r="422">
      <c r="A422">
        <f>IF(AND(OR(Query!$B$4="All",'Compliance Database'!$A422=Query!$B$4),OR(Query!$B$5="All",'Compliance Database'!$F422=Query!$B$5),OR(Query!$B$6="All",ISNUMBER(SEARCH(Query!$B$6,'Compliance Database'!$I422))),OR(Query!$B$7="All",ISNUMBER(SEARCH(Query!$B$7,'Compliance Database'!$J422))),OR(Query!$B$8="All",'Compliance Database'!$G422=Query!$B$8),OR(Query!$B$9="All",'Compliance Database'!$K422=Query!$B$9),OR(Query!$B$10="",ISNUMBER(SEARCH(Query!$B$10,'Compliance Database'!$D422&amp;" "&amp;'Compliance Database'!$L422&amp;" "&amp;'Compliance Database'!$M422&amp;" "&amp;'Compliance Database'!$N422&amp;" "&amp;'Compliance Database'!$O422)))),1,0)</f>
        <v/>
      </c>
      <c r="B422">
        <f>IF($A422=1,SUM($A$2:$A422),"")</f>
        <v/>
      </c>
      <c r="C422">
        <f>IF($A422=1,SUM($A$2:$A422),0)</f>
        <v/>
      </c>
    </row>
    <row r="423">
      <c r="A423">
        <f>IF(AND(OR(Query!$B$4="All",'Compliance Database'!$A423=Query!$B$4),OR(Query!$B$5="All",'Compliance Database'!$F423=Query!$B$5),OR(Query!$B$6="All",ISNUMBER(SEARCH(Query!$B$6,'Compliance Database'!$I423))),OR(Query!$B$7="All",ISNUMBER(SEARCH(Query!$B$7,'Compliance Database'!$J423))),OR(Query!$B$8="All",'Compliance Database'!$G423=Query!$B$8),OR(Query!$B$9="All",'Compliance Database'!$K423=Query!$B$9),OR(Query!$B$10="",ISNUMBER(SEARCH(Query!$B$10,'Compliance Database'!$D423&amp;" "&amp;'Compliance Database'!$L423&amp;" "&amp;'Compliance Database'!$M423&amp;" "&amp;'Compliance Database'!$N423&amp;" "&amp;'Compliance Database'!$O423)))),1,0)</f>
        <v/>
      </c>
      <c r="B423">
        <f>IF($A423=1,SUM($A$2:$A423),"")</f>
        <v/>
      </c>
      <c r="C423">
        <f>IF($A423=1,SUM($A$2:$A423),0)</f>
        <v/>
      </c>
    </row>
    <row r="424">
      <c r="A424">
        <f>IF(AND(OR(Query!$B$4="All",'Compliance Database'!$A424=Query!$B$4),OR(Query!$B$5="All",'Compliance Database'!$F424=Query!$B$5),OR(Query!$B$6="All",ISNUMBER(SEARCH(Query!$B$6,'Compliance Database'!$I424))),OR(Query!$B$7="All",ISNUMBER(SEARCH(Query!$B$7,'Compliance Database'!$J424))),OR(Query!$B$8="All",'Compliance Database'!$G424=Query!$B$8),OR(Query!$B$9="All",'Compliance Database'!$K424=Query!$B$9),OR(Query!$B$10="",ISNUMBER(SEARCH(Query!$B$10,'Compliance Database'!$D424&amp;" "&amp;'Compliance Database'!$L424&amp;" "&amp;'Compliance Database'!$M424&amp;" "&amp;'Compliance Database'!$N424&amp;" "&amp;'Compliance Database'!$O424)))),1,0)</f>
        <v/>
      </c>
      <c r="B424">
        <f>IF($A424=1,SUM($A$2:$A424),"")</f>
        <v/>
      </c>
      <c r="C424">
        <f>IF($A424=1,SUM($A$2:$A424),0)</f>
        <v/>
      </c>
    </row>
    <row r="425">
      <c r="A425">
        <f>IF(AND(OR(Query!$B$4="All",'Compliance Database'!$A425=Query!$B$4),OR(Query!$B$5="All",'Compliance Database'!$F425=Query!$B$5),OR(Query!$B$6="All",ISNUMBER(SEARCH(Query!$B$6,'Compliance Database'!$I425))),OR(Query!$B$7="All",ISNUMBER(SEARCH(Query!$B$7,'Compliance Database'!$J425))),OR(Query!$B$8="All",'Compliance Database'!$G425=Query!$B$8),OR(Query!$B$9="All",'Compliance Database'!$K425=Query!$B$9),OR(Query!$B$10="",ISNUMBER(SEARCH(Query!$B$10,'Compliance Database'!$D425&amp;" "&amp;'Compliance Database'!$L425&amp;" "&amp;'Compliance Database'!$M425&amp;" "&amp;'Compliance Database'!$N425&amp;" "&amp;'Compliance Database'!$O425)))),1,0)</f>
        <v/>
      </c>
      <c r="B425">
        <f>IF($A425=1,SUM($A$2:$A425),"")</f>
        <v/>
      </c>
      <c r="C425">
        <f>IF($A425=1,SUM($A$2:$A425),0)</f>
        <v/>
      </c>
    </row>
    <row r="426">
      <c r="A426">
        <f>IF(AND(OR(Query!$B$4="All",'Compliance Database'!$A426=Query!$B$4),OR(Query!$B$5="All",'Compliance Database'!$F426=Query!$B$5),OR(Query!$B$6="All",ISNUMBER(SEARCH(Query!$B$6,'Compliance Database'!$I426))),OR(Query!$B$7="All",ISNUMBER(SEARCH(Query!$B$7,'Compliance Database'!$J426))),OR(Query!$B$8="All",'Compliance Database'!$G426=Query!$B$8),OR(Query!$B$9="All",'Compliance Database'!$K426=Query!$B$9),OR(Query!$B$10="",ISNUMBER(SEARCH(Query!$B$10,'Compliance Database'!$D426&amp;" "&amp;'Compliance Database'!$L426&amp;" "&amp;'Compliance Database'!$M426&amp;" "&amp;'Compliance Database'!$N426&amp;" "&amp;'Compliance Database'!$O426)))),1,0)</f>
        <v/>
      </c>
      <c r="B426">
        <f>IF($A426=1,SUM($A$2:$A426),"")</f>
        <v/>
      </c>
      <c r="C426">
        <f>IF($A426=1,SUM($A$2:$A426),0)</f>
        <v/>
      </c>
    </row>
    <row r="427">
      <c r="A427">
        <f>IF(AND(OR(Query!$B$4="All",'Compliance Database'!$A427=Query!$B$4),OR(Query!$B$5="All",'Compliance Database'!$F427=Query!$B$5),OR(Query!$B$6="All",ISNUMBER(SEARCH(Query!$B$6,'Compliance Database'!$I427))),OR(Query!$B$7="All",ISNUMBER(SEARCH(Query!$B$7,'Compliance Database'!$J427))),OR(Query!$B$8="All",'Compliance Database'!$G427=Query!$B$8),OR(Query!$B$9="All",'Compliance Database'!$K427=Query!$B$9),OR(Query!$B$10="",ISNUMBER(SEARCH(Query!$B$10,'Compliance Database'!$D427&amp;" "&amp;'Compliance Database'!$L427&amp;" "&amp;'Compliance Database'!$M427&amp;" "&amp;'Compliance Database'!$N427&amp;" "&amp;'Compliance Database'!$O427)))),1,0)</f>
        <v/>
      </c>
      <c r="B427">
        <f>IF($A427=1,SUM($A$2:$A427),"")</f>
        <v/>
      </c>
      <c r="C427">
        <f>IF($A427=1,SUM($A$2:$A427),0)</f>
        <v/>
      </c>
    </row>
    <row r="428">
      <c r="A428">
        <f>IF(AND(OR(Query!$B$4="All",'Compliance Database'!$A428=Query!$B$4),OR(Query!$B$5="All",'Compliance Database'!$F428=Query!$B$5),OR(Query!$B$6="All",ISNUMBER(SEARCH(Query!$B$6,'Compliance Database'!$I428))),OR(Query!$B$7="All",ISNUMBER(SEARCH(Query!$B$7,'Compliance Database'!$J428))),OR(Query!$B$8="All",'Compliance Database'!$G428=Query!$B$8),OR(Query!$B$9="All",'Compliance Database'!$K428=Query!$B$9),OR(Query!$B$10="",ISNUMBER(SEARCH(Query!$B$10,'Compliance Database'!$D428&amp;" "&amp;'Compliance Database'!$L428&amp;" "&amp;'Compliance Database'!$M428&amp;" "&amp;'Compliance Database'!$N428&amp;" "&amp;'Compliance Database'!$O428)))),1,0)</f>
        <v/>
      </c>
      <c r="B428">
        <f>IF($A428=1,SUM($A$2:$A428),"")</f>
        <v/>
      </c>
      <c r="C428">
        <f>IF($A428=1,SUM($A$2:$A428),0)</f>
        <v/>
      </c>
    </row>
    <row r="429">
      <c r="A429">
        <f>IF(AND(OR(Query!$B$4="All",'Compliance Database'!$A429=Query!$B$4),OR(Query!$B$5="All",'Compliance Database'!$F429=Query!$B$5),OR(Query!$B$6="All",ISNUMBER(SEARCH(Query!$B$6,'Compliance Database'!$I429))),OR(Query!$B$7="All",ISNUMBER(SEARCH(Query!$B$7,'Compliance Database'!$J429))),OR(Query!$B$8="All",'Compliance Database'!$G429=Query!$B$8),OR(Query!$B$9="All",'Compliance Database'!$K429=Query!$B$9),OR(Query!$B$10="",ISNUMBER(SEARCH(Query!$B$10,'Compliance Database'!$D429&amp;" "&amp;'Compliance Database'!$L429&amp;" "&amp;'Compliance Database'!$M429&amp;" "&amp;'Compliance Database'!$N429&amp;" "&amp;'Compliance Database'!$O429)))),1,0)</f>
        <v/>
      </c>
      <c r="B429">
        <f>IF($A429=1,SUM($A$2:$A429),"")</f>
        <v/>
      </c>
      <c r="C429">
        <f>IF($A429=1,SUM($A$2:$A429),0)</f>
        <v/>
      </c>
    </row>
    <row r="430">
      <c r="A430">
        <f>IF(AND(OR(Query!$B$4="All",'Compliance Database'!$A430=Query!$B$4),OR(Query!$B$5="All",'Compliance Database'!$F430=Query!$B$5),OR(Query!$B$6="All",ISNUMBER(SEARCH(Query!$B$6,'Compliance Database'!$I430))),OR(Query!$B$7="All",ISNUMBER(SEARCH(Query!$B$7,'Compliance Database'!$J430))),OR(Query!$B$8="All",'Compliance Database'!$G430=Query!$B$8),OR(Query!$B$9="All",'Compliance Database'!$K430=Query!$B$9),OR(Query!$B$10="",ISNUMBER(SEARCH(Query!$B$10,'Compliance Database'!$D430&amp;" "&amp;'Compliance Database'!$L430&amp;" "&amp;'Compliance Database'!$M430&amp;" "&amp;'Compliance Database'!$N430&amp;" "&amp;'Compliance Database'!$O430)))),1,0)</f>
        <v/>
      </c>
      <c r="B430">
        <f>IF($A430=1,SUM($A$2:$A430),"")</f>
        <v/>
      </c>
      <c r="C430">
        <f>IF($A430=1,SUM($A$2:$A430),0)</f>
        <v/>
      </c>
    </row>
    <row r="431">
      <c r="A431">
        <f>IF(AND(OR(Query!$B$4="All",'Compliance Database'!$A431=Query!$B$4),OR(Query!$B$5="All",'Compliance Database'!$F431=Query!$B$5),OR(Query!$B$6="All",ISNUMBER(SEARCH(Query!$B$6,'Compliance Database'!$I431))),OR(Query!$B$7="All",ISNUMBER(SEARCH(Query!$B$7,'Compliance Database'!$J431))),OR(Query!$B$8="All",'Compliance Database'!$G431=Query!$B$8),OR(Query!$B$9="All",'Compliance Database'!$K431=Query!$B$9),OR(Query!$B$10="",ISNUMBER(SEARCH(Query!$B$10,'Compliance Database'!$D431&amp;" "&amp;'Compliance Database'!$L431&amp;" "&amp;'Compliance Database'!$M431&amp;" "&amp;'Compliance Database'!$N431&amp;" "&amp;'Compliance Database'!$O431)))),1,0)</f>
        <v/>
      </c>
      <c r="B431">
        <f>IF($A431=1,SUM($A$2:$A431),"")</f>
        <v/>
      </c>
      <c r="C431">
        <f>IF($A431=1,SUM($A$2:$A431),0)</f>
        <v/>
      </c>
    </row>
    <row r="432">
      <c r="A432">
        <f>IF(AND(OR(Query!$B$4="All",'Compliance Database'!$A432=Query!$B$4),OR(Query!$B$5="All",'Compliance Database'!$F432=Query!$B$5),OR(Query!$B$6="All",ISNUMBER(SEARCH(Query!$B$6,'Compliance Database'!$I432))),OR(Query!$B$7="All",ISNUMBER(SEARCH(Query!$B$7,'Compliance Database'!$J432))),OR(Query!$B$8="All",'Compliance Database'!$G432=Query!$B$8),OR(Query!$B$9="All",'Compliance Database'!$K432=Query!$B$9),OR(Query!$B$10="",ISNUMBER(SEARCH(Query!$B$10,'Compliance Database'!$D432&amp;" "&amp;'Compliance Database'!$L432&amp;" "&amp;'Compliance Database'!$M432&amp;" "&amp;'Compliance Database'!$N432&amp;" "&amp;'Compliance Database'!$O432)))),1,0)</f>
        <v/>
      </c>
      <c r="B432">
        <f>IF($A432=1,SUM($A$2:$A432),"")</f>
        <v/>
      </c>
      <c r="C432">
        <f>IF($A432=1,SUM($A$2:$A432),0)</f>
        <v/>
      </c>
    </row>
    <row r="433">
      <c r="A433">
        <f>IF(AND(OR(Query!$B$4="All",'Compliance Database'!$A433=Query!$B$4),OR(Query!$B$5="All",'Compliance Database'!$F433=Query!$B$5),OR(Query!$B$6="All",ISNUMBER(SEARCH(Query!$B$6,'Compliance Database'!$I433))),OR(Query!$B$7="All",ISNUMBER(SEARCH(Query!$B$7,'Compliance Database'!$J433))),OR(Query!$B$8="All",'Compliance Database'!$G433=Query!$B$8),OR(Query!$B$9="All",'Compliance Database'!$K433=Query!$B$9),OR(Query!$B$10="",ISNUMBER(SEARCH(Query!$B$10,'Compliance Database'!$D433&amp;" "&amp;'Compliance Database'!$L433&amp;" "&amp;'Compliance Database'!$M433&amp;" "&amp;'Compliance Database'!$N433&amp;" "&amp;'Compliance Database'!$O433)))),1,0)</f>
        <v/>
      </c>
      <c r="B433">
        <f>IF($A433=1,SUM($A$2:$A433),"")</f>
        <v/>
      </c>
      <c r="C433">
        <f>IF($A433=1,SUM($A$2:$A433),0)</f>
        <v/>
      </c>
    </row>
    <row r="434">
      <c r="A434">
        <f>IF(AND(OR(Query!$B$4="All",'Compliance Database'!$A434=Query!$B$4),OR(Query!$B$5="All",'Compliance Database'!$F434=Query!$B$5),OR(Query!$B$6="All",ISNUMBER(SEARCH(Query!$B$6,'Compliance Database'!$I434))),OR(Query!$B$7="All",ISNUMBER(SEARCH(Query!$B$7,'Compliance Database'!$J434))),OR(Query!$B$8="All",'Compliance Database'!$G434=Query!$B$8),OR(Query!$B$9="All",'Compliance Database'!$K434=Query!$B$9),OR(Query!$B$10="",ISNUMBER(SEARCH(Query!$B$10,'Compliance Database'!$D434&amp;" "&amp;'Compliance Database'!$L434&amp;" "&amp;'Compliance Database'!$M434&amp;" "&amp;'Compliance Database'!$N434&amp;" "&amp;'Compliance Database'!$O434)))),1,0)</f>
        <v/>
      </c>
      <c r="B434">
        <f>IF($A434=1,SUM($A$2:$A434),"")</f>
        <v/>
      </c>
      <c r="C434">
        <f>IF($A434=1,SUM($A$2:$A434),0)</f>
        <v/>
      </c>
    </row>
    <row r="435">
      <c r="A435">
        <f>IF(AND(OR(Query!$B$4="All",'Compliance Database'!$A435=Query!$B$4),OR(Query!$B$5="All",'Compliance Database'!$F435=Query!$B$5),OR(Query!$B$6="All",ISNUMBER(SEARCH(Query!$B$6,'Compliance Database'!$I435))),OR(Query!$B$7="All",ISNUMBER(SEARCH(Query!$B$7,'Compliance Database'!$J435))),OR(Query!$B$8="All",'Compliance Database'!$G435=Query!$B$8),OR(Query!$B$9="All",'Compliance Database'!$K435=Query!$B$9),OR(Query!$B$10="",ISNUMBER(SEARCH(Query!$B$10,'Compliance Database'!$D435&amp;" "&amp;'Compliance Database'!$L435&amp;" "&amp;'Compliance Database'!$M435&amp;" "&amp;'Compliance Database'!$N435&amp;" "&amp;'Compliance Database'!$O435)))),1,0)</f>
        <v/>
      </c>
      <c r="B435">
        <f>IF($A435=1,SUM($A$2:$A435),"")</f>
        <v/>
      </c>
      <c r="C435">
        <f>IF($A435=1,SUM($A$2:$A435),0)</f>
        <v/>
      </c>
    </row>
    <row r="436">
      <c r="A436">
        <f>IF(AND(OR(Query!$B$4="All",'Compliance Database'!$A436=Query!$B$4),OR(Query!$B$5="All",'Compliance Database'!$F436=Query!$B$5),OR(Query!$B$6="All",ISNUMBER(SEARCH(Query!$B$6,'Compliance Database'!$I436))),OR(Query!$B$7="All",ISNUMBER(SEARCH(Query!$B$7,'Compliance Database'!$J436))),OR(Query!$B$8="All",'Compliance Database'!$G436=Query!$B$8),OR(Query!$B$9="All",'Compliance Database'!$K436=Query!$B$9),OR(Query!$B$10="",ISNUMBER(SEARCH(Query!$B$10,'Compliance Database'!$D436&amp;" "&amp;'Compliance Database'!$L436&amp;" "&amp;'Compliance Database'!$M436&amp;" "&amp;'Compliance Database'!$N436&amp;" "&amp;'Compliance Database'!$O436)))),1,0)</f>
        <v/>
      </c>
      <c r="B436">
        <f>IF($A436=1,SUM($A$2:$A436),"")</f>
        <v/>
      </c>
      <c r="C436">
        <f>IF($A436=1,SUM($A$2:$A436),0)</f>
        <v/>
      </c>
    </row>
    <row r="437">
      <c r="A437">
        <f>IF(AND(OR(Query!$B$4="All",'Compliance Database'!$A437=Query!$B$4),OR(Query!$B$5="All",'Compliance Database'!$F437=Query!$B$5),OR(Query!$B$6="All",ISNUMBER(SEARCH(Query!$B$6,'Compliance Database'!$I437))),OR(Query!$B$7="All",ISNUMBER(SEARCH(Query!$B$7,'Compliance Database'!$J437))),OR(Query!$B$8="All",'Compliance Database'!$G437=Query!$B$8),OR(Query!$B$9="All",'Compliance Database'!$K437=Query!$B$9),OR(Query!$B$10="",ISNUMBER(SEARCH(Query!$B$10,'Compliance Database'!$D437&amp;" "&amp;'Compliance Database'!$L437&amp;" "&amp;'Compliance Database'!$M437&amp;" "&amp;'Compliance Database'!$N437&amp;" "&amp;'Compliance Database'!$O437)))),1,0)</f>
        <v/>
      </c>
      <c r="B437">
        <f>IF($A437=1,SUM($A$2:$A437),"")</f>
        <v/>
      </c>
      <c r="C437">
        <f>IF($A437=1,SUM($A$2:$A437),0)</f>
        <v/>
      </c>
    </row>
    <row r="438">
      <c r="A438">
        <f>IF(AND(OR(Query!$B$4="All",'Compliance Database'!$A438=Query!$B$4),OR(Query!$B$5="All",'Compliance Database'!$F438=Query!$B$5),OR(Query!$B$6="All",ISNUMBER(SEARCH(Query!$B$6,'Compliance Database'!$I438))),OR(Query!$B$7="All",ISNUMBER(SEARCH(Query!$B$7,'Compliance Database'!$J438))),OR(Query!$B$8="All",'Compliance Database'!$G438=Query!$B$8),OR(Query!$B$9="All",'Compliance Database'!$K438=Query!$B$9),OR(Query!$B$10="",ISNUMBER(SEARCH(Query!$B$10,'Compliance Database'!$D438&amp;" "&amp;'Compliance Database'!$L438&amp;" "&amp;'Compliance Database'!$M438&amp;" "&amp;'Compliance Database'!$N438&amp;" "&amp;'Compliance Database'!$O438)))),1,0)</f>
        <v/>
      </c>
      <c r="B438">
        <f>IF($A438=1,SUM($A$2:$A438),"")</f>
        <v/>
      </c>
      <c r="C438">
        <f>IF($A438=1,SUM($A$2:$A438),0)</f>
        <v/>
      </c>
    </row>
    <row r="439">
      <c r="A439">
        <f>IF(AND(OR(Query!$B$4="All",'Compliance Database'!$A439=Query!$B$4),OR(Query!$B$5="All",'Compliance Database'!$F439=Query!$B$5),OR(Query!$B$6="All",ISNUMBER(SEARCH(Query!$B$6,'Compliance Database'!$I439))),OR(Query!$B$7="All",ISNUMBER(SEARCH(Query!$B$7,'Compliance Database'!$J439))),OR(Query!$B$8="All",'Compliance Database'!$G439=Query!$B$8),OR(Query!$B$9="All",'Compliance Database'!$K439=Query!$B$9),OR(Query!$B$10="",ISNUMBER(SEARCH(Query!$B$10,'Compliance Database'!$D439&amp;" "&amp;'Compliance Database'!$L439&amp;" "&amp;'Compliance Database'!$M439&amp;" "&amp;'Compliance Database'!$N439&amp;" "&amp;'Compliance Database'!$O439)))),1,0)</f>
        <v/>
      </c>
      <c r="B439">
        <f>IF($A439=1,SUM($A$2:$A439),"")</f>
        <v/>
      </c>
      <c r="C439">
        <f>IF($A439=1,SUM($A$2:$A439),0)</f>
        <v/>
      </c>
    </row>
    <row r="440">
      <c r="A440">
        <f>IF(AND(OR(Query!$B$4="All",'Compliance Database'!$A440=Query!$B$4),OR(Query!$B$5="All",'Compliance Database'!$F440=Query!$B$5),OR(Query!$B$6="All",ISNUMBER(SEARCH(Query!$B$6,'Compliance Database'!$I440))),OR(Query!$B$7="All",ISNUMBER(SEARCH(Query!$B$7,'Compliance Database'!$J440))),OR(Query!$B$8="All",'Compliance Database'!$G440=Query!$B$8),OR(Query!$B$9="All",'Compliance Database'!$K440=Query!$B$9),OR(Query!$B$10="",ISNUMBER(SEARCH(Query!$B$10,'Compliance Database'!$D440&amp;" "&amp;'Compliance Database'!$L440&amp;" "&amp;'Compliance Database'!$M440&amp;" "&amp;'Compliance Database'!$N440&amp;" "&amp;'Compliance Database'!$O440)))),1,0)</f>
        <v/>
      </c>
      <c r="B440">
        <f>IF($A440=1,SUM($A$2:$A440),"")</f>
        <v/>
      </c>
      <c r="C440">
        <f>IF($A440=1,SUM($A$2:$A440),0)</f>
        <v/>
      </c>
    </row>
    <row r="441">
      <c r="A441">
        <f>IF(AND(OR(Query!$B$4="All",'Compliance Database'!$A441=Query!$B$4),OR(Query!$B$5="All",'Compliance Database'!$F441=Query!$B$5),OR(Query!$B$6="All",ISNUMBER(SEARCH(Query!$B$6,'Compliance Database'!$I441))),OR(Query!$B$7="All",ISNUMBER(SEARCH(Query!$B$7,'Compliance Database'!$J441))),OR(Query!$B$8="All",'Compliance Database'!$G441=Query!$B$8),OR(Query!$B$9="All",'Compliance Database'!$K441=Query!$B$9),OR(Query!$B$10="",ISNUMBER(SEARCH(Query!$B$10,'Compliance Database'!$D441&amp;" "&amp;'Compliance Database'!$L441&amp;" "&amp;'Compliance Database'!$M441&amp;" "&amp;'Compliance Database'!$N441&amp;" "&amp;'Compliance Database'!$O441)))),1,0)</f>
        <v/>
      </c>
      <c r="B441">
        <f>IF($A441=1,SUM($A$2:$A441),"")</f>
        <v/>
      </c>
      <c r="C441">
        <f>IF($A441=1,SUM($A$2:$A441),0)</f>
        <v/>
      </c>
    </row>
    <row r="442">
      <c r="A442">
        <f>IF(AND(OR(Query!$B$4="All",'Compliance Database'!$A442=Query!$B$4),OR(Query!$B$5="All",'Compliance Database'!$F442=Query!$B$5),OR(Query!$B$6="All",ISNUMBER(SEARCH(Query!$B$6,'Compliance Database'!$I442))),OR(Query!$B$7="All",ISNUMBER(SEARCH(Query!$B$7,'Compliance Database'!$J442))),OR(Query!$B$8="All",'Compliance Database'!$G442=Query!$B$8),OR(Query!$B$9="All",'Compliance Database'!$K442=Query!$B$9),OR(Query!$B$10="",ISNUMBER(SEARCH(Query!$B$10,'Compliance Database'!$D442&amp;" "&amp;'Compliance Database'!$L442&amp;" "&amp;'Compliance Database'!$M442&amp;" "&amp;'Compliance Database'!$N442&amp;" "&amp;'Compliance Database'!$O442)))),1,0)</f>
        <v/>
      </c>
      <c r="B442">
        <f>IF($A442=1,SUM($A$2:$A442),"")</f>
        <v/>
      </c>
      <c r="C442">
        <f>IF($A442=1,SUM($A$2:$A442),0)</f>
        <v/>
      </c>
    </row>
    <row r="443">
      <c r="A443">
        <f>IF(AND(OR(Query!$B$4="All",'Compliance Database'!$A443=Query!$B$4),OR(Query!$B$5="All",'Compliance Database'!$F443=Query!$B$5),OR(Query!$B$6="All",ISNUMBER(SEARCH(Query!$B$6,'Compliance Database'!$I443))),OR(Query!$B$7="All",ISNUMBER(SEARCH(Query!$B$7,'Compliance Database'!$J443))),OR(Query!$B$8="All",'Compliance Database'!$G443=Query!$B$8),OR(Query!$B$9="All",'Compliance Database'!$K443=Query!$B$9),OR(Query!$B$10="",ISNUMBER(SEARCH(Query!$B$10,'Compliance Database'!$D443&amp;" "&amp;'Compliance Database'!$L443&amp;" "&amp;'Compliance Database'!$M443&amp;" "&amp;'Compliance Database'!$N443&amp;" "&amp;'Compliance Database'!$O443)))),1,0)</f>
        <v/>
      </c>
      <c r="B443">
        <f>IF($A443=1,SUM($A$2:$A443),"")</f>
        <v/>
      </c>
      <c r="C443">
        <f>IF($A443=1,SUM($A$2:$A443),0)</f>
        <v/>
      </c>
    </row>
    <row r="444">
      <c r="A444">
        <f>IF(AND(OR(Query!$B$4="All",'Compliance Database'!$A444=Query!$B$4),OR(Query!$B$5="All",'Compliance Database'!$F444=Query!$B$5),OR(Query!$B$6="All",ISNUMBER(SEARCH(Query!$B$6,'Compliance Database'!$I444))),OR(Query!$B$7="All",ISNUMBER(SEARCH(Query!$B$7,'Compliance Database'!$J444))),OR(Query!$B$8="All",'Compliance Database'!$G444=Query!$B$8),OR(Query!$B$9="All",'Compliance Database'!$K444=Query!$B$9),OR(Query!$B$10="",ISNUMBER(SEARCH(Query!$B$10,'Compliance Database'!$D444&amp;" "&amp;'Compliance Database'!$L444&amp;" "&amp;'Compliance Database'!$M444&amp;" "&amp;'Compliance Database'!$N444&amp;" "&amp;'Compliance Database'!$O444)))),1,0)</f>
        <v/>
      </c>
      <c r="B444">
        <f>IF($A444=1,SUM($A$2:$A444),"")</f>
        <v/>
      </c>
      <c r="C444">
        <f>IF($A444=1,SUM($A$2:$A444),0)</f>
        <v/>
      </c>
    </row>
    <row r="445">
      <c r="A445">
        <f>IF(AND(OR(Query!$B$4="All",'Compliance Database'!$A445=Query!$B$4),OR(Query!$B$5="All",'Compliance Database'!$F445=Query!$B$5),OR(Query!$B$6="All",ISNUMBER(SEARCH(Query!$B$6,'Compliance Database'!$I445))),OR(Query!$B$7="All",ISNUMBER(SEARCH(Query!$B$7,'Compliance Database'!$J445))),OR(Query!$B$8="All",'Compliance Database'!$G445=Query!$B$8),OR(Query!$B$9="All",'Compliance Database'!$K445=Query!$B$9),OR(Query!$B$10="",ISNUMBER(SEARCH(Query!$B$10,'Compliance Database'!$D445&amp;" "&amp;'Compliance Database'!$L445&amp;" "&amp;'Compliance Database'!$M445&amp;" "&amp;'Compliance Database'!$N445&amp;" "&amp;'Compliance Database'!$O445)))),1,0)</f>
        <v/>
      </c>
      <c r="B445">
        <f>IF($A445=1,SUM($A$2:$A445),"")</f>
        <v/>
      </c>
      <c r="C445">
        <f>IF($A445=1,SUM($A$2:$A445),0)</f>
        <v/>
      </c>
    </row>
    <row r="446">
      <c r="A446">
        <f>IF(AND(OR(Query!$B$4="All",'Compliance Database'!$A446=Query!$B$4),OR(Query!$B$5="All",'Compliance Database'!$F446=Query!$B$5),OR(Query!$B$6="All",ISNUMBER(SEARCH(Query!$B$6,'Compliance Database'!$I446))),OR(Query!$B$7="All",ISNUMBER(SEARCH(Query!$B$7,'Compliance Database'!$J446))),OR(Query!$B$8="All",'Compliance Database'!$G446=Query!$B$8),OR(Query!$B$9="All",'Compliance Database'!$K446=Query!$B$9),OR(Query!$B$10="",ISNUMBER(SEARCH(Query!$B$10,'Compliance Database'!$D446&amp;" "&amp;'Compliance Database'!$L446&amp;" "&amp;'Compliance Database'!$M446&amp;" "&amp;'Compliance Database'!$N446&amp;" "&amp;'Compliance Database'!$O446)))),1,0)</f>
        <v/>
      </c>
      <c r="B446">
        <f>IF($A446=1,SUM($A$2:$A446),"")</f>
        <v/>
      </c>
      <c r="C446">
        <f>IF($A446=1,SUM($A$2:$A446),0)</f>
        <v/>
      </c>
    </row>
    <row r="447">
      <c r="A447">
        <f>IF(AND(OR(Query!$B$4="All",'Compliance Database'!$A447=Query!$B$4),OR(Query!$B$5="All",'Compliance Database'!$F447=Query!$B$5),OR(Query!$B$6="All",ISNUMBER(SEARCH(Query!$B$6,'Compliance Database'!$I447))),OR(Query!$B$7="All",ISNUMBER(SEARCH(Query!$B$7,'Compliance Database'!$J447))),OR(Query!$B$8="All",'Compliance Database'!$G447=Query!$B$8),OR(Query!$B$9="All",'Compliance Database'!$K447=Query!$B$9),OR(Query!$B$10="",ISNUMBER(SEARCH(Query!$B$10,'Compliance Database'!$D447&amp;" "&amp;'Compliance Database'!$L447&amp;" "&amp;'Compliance Database'!$M447&amp;" "&amp;'Compliance Database'!$N447&amp;" "&amp;'Compliance Database'!$O447)))),1,0)</f>
        <v/>
      </c>
      <c r="B447">
        <f>IF($A447=1,SUM($A$2:$A447),"")</f>
        <v/>
      </c>
      <c r="C447">
        <f>IF($A447=1,SUM($A$2:$A447),0)</f>
        <v/>
      </c>
    </row>
    <row r="448">
      <c r="A448">
        <f>IF(AND(OR(Query!$B$4="All",'Compliance Database'!$A448=Query!$B$4),OR(Query!$B$5="All",'Compliance Database'!$F448=Query!$B$5),OR(Query!$B$6="All",ISNUMBER(SEARCH(Query!$B$6,'Compliance Database'!$I448))),OR(Query!$B$7="All",ISNUMBER(SEARCH(Query!$B$7,'Compliance Database'!$J448))),OR(Query!$B$8="All",'Compliance Database'!$G448=Query!$B$8),OR(Query!$B$9="All",'Compliance Database'!$K448=Query!$B$9),OR(Query!$B$10="",ISNUMBER(SEARCH(Query!$B$10,'Compliance Database'!$D448&amp;" "&amp;'Compliance Database'!$L448&amp;" "&amp;'Compliance Database'!$M448&amp;" "&amp;'Compliance Database'!$N448&amp;" "&amp;'Compliance Database'!$O448)))),1,0)</f>
        <v/>
      </c>
      <c r="B448">
        <f>IF($A448=1,SUM($A$2:$A448),"")</f>
        <v/>
      </c>
      <c r="C448">
        <f>IF($A448=1,SUM($A$2:$A448),0)</f>
        <v/>
      </c>
    </row>
    <row r="449">
      <c r="A449">
        <f>IF(AND(OR(Query!$B$4="All",'Compliance Database'!$A449=Query!$B$4),OR(Query!$B$5="All",'Compliance Database'!$F449=Query!$B$5),OR(Query!$B$6="All",ISNUMBER(SEARCH(Query!$B$6,'Compliance Database'!$I449))),OR(Query!$B$7="All",ISNUMBER(SEARCH(Query!$B$7,'Compliance Database'!$J449))),OR(Query!$B$8="All",'Compliance Database'!$G449=Query!$B$8),OR(Query!$B$9="All",'Compliance Database'!$K449=Query!$B$9),OR(Query!$B$10="",ISNUMBER(SEARCH(Query!$B$10,'Compliance Database'!$D449&amp;" "&amp;'Compliance Database'!$L449&amp;" "&amp;'Compliance Database'!$M449&amp;" "&amp;'Compliance Database'!$N449&amp;" "&amp;'Compliance Database'!$O449)))),1,0)</f>
        <v/>
      </c>
      <c r="B449">
        <f>IF($A449=1,SUM($A$2:$A449),"")</f>
        <v/>
      </c>
      <c r="C449">
        <f>IF($A449=1,SUM($A$2:$A449),0)</f>
        <v/>
      </c>
    </row>
    <row r="450">
      <c r="A450">
        <f>IF(AND(OR(Query!$B$4="All",'Compliance Database'!$A450=Query!$B$4),OR(Query!$B$5="All",'Compliance Database'!$F450=Query!$B$5),OR(Query!$B$6="All",ISNUMBER(SEARCH(Query!$B$6,'Compliance Database'!$I450))),OR(Query!$B$7="All",ISNUMBER(SEARCH(Query!$B$7,'Compliance Database'!$J450))),OR(Query!$B$8="All",'Compliance Database'!$G450=Query!$B$8),OR(Query!$B$9="All",'Compliance Database'!$K450=Query!$B$9),OR(Query!$B$10="",ISNUMBER(SEARCH(Query!$B$10,'Compliance Database'!$D450&amp;" "&amp;'Compliance Database'!$L450&amp;" "&amp;'Compliance Database'!$M450&amp;" "&amp;'Compliance Database'!$N450&amp;" "&amp;'Compliance Database'!$O450)))),1,0)</f>
        <v/>
      </c>
      <c r="B450">
        <f>IF($A450=1,SUM($A$2:$A450),"")</f>
        <v/>
      </c>
      <c r="C450">
        <f>IF($A450=1,SUM($A$2:$A450),0)</f>
        <v/>
      </c>
    </row>
    <row r="451">
      <c r="A451">
        <f>IF(AND(OR(Query!$B$4="All",'Compliance Database'!$A451=Query!$B$4),OR(Query!$B$5="All",'Compliance Database'!$F451=Query!$B$5),OR(Query!$B$6="All",ISNUMBER(SEARCH(Query!$B$6,'Compliance Database'!$I451))),OR(Query!$B$7="All",ISNUMBER(SEARCH(Query!$B$7,'Compliance Database'!$J451))),OR(Query!$B$8="All",'Compliance Database'!$G451=Query!$B$8),OR(Query!$B$9="All",'Compliance Database'!$K451=Query!$B$9),OR(Query!$B$10="",ISNUMBER(SEARCH(Query!$B$10,'Compliance Database'!$D451&amp;" "&amp;'Compliance Database'!$L451&amp;" "&amp;'Compliance Database'!$M451&amp;" "&amp;'Compliance Database'!$N451&amp;" "&amp;'Compliance Database'!$O451)))),1,0)</f>
        <v/>
      </c>
      <c r="B451">
        <f>IF($A451=1,SUM($A$2:$A451),"")</f>
        <v/>
      </c>
      <c r="C451">
        <f>IF($A451=1,SUM($A$2:$A451),0)</f>
        <v/>
      </c>
    </row>
    <row r="452">
      <c r="A452">
        <f>IF(AND(OR(Query!$B$4="All",'Compliance Database'!$A452=Query!$B$4),OR(Query!$B$5="All",'Compliance Database'!$F452=Query!$B$5),OR(Query!$B$6="All",ISNUMBER(SEARCH(Query!$B$6,'Compliance Database'!$I452))),OR(Query!$B$7="All",ISNUMBER(SEARCH(Query!$B$7,'Compliance Database'!$J452))),OR(Query!$B$8="All",'Compliance Database'!$G452=Query!$B$8),OR(Query!$B$9="All",'Compliance Database'!$K452=Query!$B$9),OR(Query!$B$10="",ISNUMBER(SEARCH(Query!$B$10,'Compliance Database'!$D452&amp;" "&amp;'Compliance Database'!$L452&amp;" "&amp;'Compliance Database'!$M452&amp;" "&amp;'Compliance Database'!$N452&amp;" "&amp;'Compliance Database'!$O452)))),1,0)</f>
        <v/>
      </c>
      <c r="B452">
        <f>IF($A452=1,SUM($A$2:$A452),"")</f>
        <v/>
      </c>
      <c r="C452">
        <f>IF($A452=1,SUM($A$2:$A452),0)</f>
        <v/>
      </c>
    </row>
    <row r="453">
      <c r="A453">
        <f>IF(AND(OR(Query!$B$4="All",'Compliance Database'!$A453=Query!$B$4),OR(Query!$B$5="All",'Compliance Database'!$F453=Query!$B$5),OR(Query!$B$6="All",ISNUMBER(SEARCH(Query!$B$6,'Compliance Database'!$I453))),OR(Query!$B$7="All",ISNUMBER(SEARCH(Query!$B$7,'Compliance Database'!$J453))),OR(Query!$B$8="All",'Compliance Database'!$G453=Query!$B$8),OR(Query!$B$9="All",'Compliance Database'!$K453=Query!$B$9),OR(Query!$B$10="",ISNUMBER(SEARCH(Query!$B$10,'Compliance Database'!$D453&amp;" "&amp;'Compliance Database'!$L453&amp;" "&amp;'Compliance Database'!$M453&amp;" "&amp;'Compliance Database'!$N453&amp;" "&amp;'Compliance Database'!$O453)))),1,0)</f>
        <v/>
      </c>
      <c r="B453">
        <f>IF($A453=1,SUM($A$2:$A453),"")</f>
        <v/>
      </c>
      <c r="C453">
        <f>IF($A453=1,SUM($A$2:$A453),0)</f>
        <v/>
      </c>
    </row>
    <row r="454">
      <c r="A454">
        <f>IF(AND(OR(Query!$B$4="All",'Compliance Database'!$A454=Query!$B$4),OR(Query!$B$5="All",'Compliance Database'!$F454=Query!$B$5),OR(Query!$B$6="All",ISNUMBER(SEARCH(Query!$B$6,'Compliance Database'!$I454))),OR(Query!$B$7="All",ISNUMBER(SEARCH(Query!$B$7,'Compliance Database'!$J454))),OR(Query!$B$8="All",'Compliance Database'!$G454=Query!$B$8),OR(Query!$B$9="All",'Compliance Database'!$K454=Query!$B$9),OR(Query!$B$10="",ISNUMBER(SEARCH(Query!$B$10,'Compliance Database'!$D454&amp;" "&amp;'Compliance Database'!$L454&amp;" "&amp;'Compliance Database'!$M454&amp;" "&amp;'Compliance Database'!$N454&amp;" "&amp;'Compliance Database'!$O454)))),1,0)</f>
        <v/>
      </c>
      <c r="B454">
        <f>IF($A454=1,SUM($A$2:$A454),"")</f>
        <v/>
      </c>
      <c r="C454">
        <f>IF($A454=1,SUM($A$2:$A454),0)</f>
        <v/>
      </c>
    </row>
    <row r="455">
      <c r="A455">
        <f>IF(AND(OR(Query!$B$4="All",'Compliance Database'!$A455=Query!$B$4),OR(Query!$B$5="All",'Compliance Database'!$F455=Query!$B$5),OR(Query!$B$6="All",ISNUMBER(SEARCH(Query!$B$6,'Compliance Database'!$I455))),OR(Query!$B$7="All",ISNUMBER(SEARCH(Query!$B$7,'Compliance Database'!$J455))),OR(Query!$B$8="All",'Compliance Database'!$G455=Query!$B$8),OR(Query!$B$9="All",'Compliance Database'!$K455=Query!$B$9),OR(Query!$B$10="",ISNUMBER(SEARCH(Query!$B$10,'Compliance Database'!$D455&amp;" "&amp;'Compliance Database'!$L455&amp;" "&amp;'Compliance Database'!$M455&amp;" "&amp;'Compliance Database'!$N455&amp;" "&amp;'Compliance Database'!$O455)))),1,0)</f>
        <v/>
      </c>
      <c r="B455">
        <f>IF($A455=1,SUM($A$2:$A455),"")</f>
        <v/>
      </c>
      <c r="C455">
        <f>IF($A455=1,SUM($A$2:$A455),0)</f>
        <v/>
      </c>
    </row>
    <row r="456">
      <c r="A456">
        <f>IF(AND(OR(Query!$B$4="All",'Compliance Database'!$A456=Query!$B$4),OR(Query!$B$5="All",'Compliance Database'!$F456=Query!$B$5),OR(Query!$B$6="All",ISNUMBER(SEARCH(Query!$B$6,'Compliance Database'!$I456))),OR(Query!$B$7="All",ISNUMBER(SEARCH(Query!$B$7,'Compliance Database'!$J456))),OR(Query!$B$8="All",'Compliance Database'!$G456=Query!$B$8),OR(Query!$B$9="All",'Compliance Database'!$K456=Query!$B$9),OR(Query!$B$10="",ISNUMBER(SEARCH(Query!$B$10,'Compliance Database'!$D456&amp;" "&amp;'Compliance Database'!$L456&amp;" "&amp;'Compliance Database'!$M456&amp;" "&amp;'Compliance Database'!$N456&amp;" "&amp;'Compliance Database'!$O456)))),1,0)</f>
        <v/>
      </c>
      <c r="B456">
        <f>IF($A456=1,SUM($A$2:$A456),"")</f>
        <v/>
      </c>
      <c r="C456">
        <f>IF($A456=1,SUM($A$2:$A456),0)</f>
        <v/>
      </c>
    </row>
    <row r="457">
      <c r="A457">
        <f>IF(AND(OR(Query!$B$4="All",'Compliance Database'!$A457=Query!$B$4),OR(Query!$B$5="All",'Compliance Database'!$F457=Query!$B$5),OR(Query!$B$6="All",ISNUMBER(SEARCH(Query!$B$6,'Compliance Database'!$I457))),OR(Query!$B$7="All",ISNUMBER(SEARCH(Query!$B$7,'Compliance Database'!$J457))),OR(Query!$B$8="All",'Compliance Database'!$G457=Query!$B$8),OR(Query!$B$9="All",'Compliance Database'!$K457=Query!$B$9),OR(Query!$B$10="",ISNUMBER(SEARCH(Query!$B$10,'Compliance Database'!$D457&amp;" "&amp;'Compliance Database'!$L457&amp;" "&amp;'Compliance Database'!$M457&amp;" "&amp;'Compliance Database'!$N457&amp;" "&amp;'Compliance Database'!$O457)))),1,0)</f>
        <v/>
      </c>
      <c r="B457">
        <f>IF($A457=1,SUM($A$2:$A457),"")</f>
        <v/>
      </c>
      <c r="C457">
        <f>IF($A457=1,SUM($A$2:$A457),0)</f>
        <v/>
      </c>
    </row>
    <row r="458">
      <c r="A458">
        <f>IF(AND(OR(Query!$B$4="All",'Compliance Database'!$A458=Query!$B$4),OR(Query!$B$5="All",'Compliance Database'!$F458=Query!$B$5),OR(Query!$B$6="All",ISNUMBER(SEARCH(Query!$B$6,'Compliance Database'!$I458))),OR(Query!$B$7="All",ISNUMBER(SEARCH(Query!$B$7,'Compliance Database'!$J458))),OR(Query!$B$8="All",'Compliance Database'!$G458=Query!$B$8),OR(Query!$B$9="All",'Compliance Database'!$K458=Query!$B$9),OR(Query!$B$10="",ISNUMBER(SEARCH(Query!$B$10,'Compliance Database'!$D458&amp;" "&amp;'Compliance Database'!$L458&amp;" "&amp;'Compliance Database'!$M458&amp;" "&amp;'Compliance Database'!$N458&amp;" "&amp;'Compliance Database'!$O458)))),1,0)</f>
        <v/>
      </c>
      <c r="B458">
        <f>IF($A458=1,SUM($A$2:$A458),"")</f>
        <v/>
      </c>
      <c r="C458">
        <f>IF($A458=1,SUM($A$2:$A458),0)</f>
        <v/>
      </c>
    </row>
    <row r="459">
      <c r="A459">
        <f>IF(AND(OR(Query!$B$4="All",'Compliance Database'!$A459=Query!$B$4),OR(Query!$B$5="All",'Compliance Database'!$F459=Query!$B$5),OR(Query!$B$6="All",ISNUMBER(SEARCH(Query!$B$6,'Compliance Database'!$I459))),OR(Query!$B$7="All",ISNUMBER(SEARCH(Query!$B$7,'Compliance Database'!$J459))),OR(Query!$B$8="All",'Compliance Database'!$G459=Query!$B$8),OR(Query!$B$9="All",'Compliance Database'!$K459=Query!$B$9),OR(Query!$B$10="",ISNUMBER(SEARCH(Query!$B$10,'Compliance Database'!$D459&amp;" "&amp;'Compliance Database'!$L459&amp;" "&amp;'Compliance Database'!$M459&amp;" "&amp;'Compliance Database'!$N459&amp;" "&amp;'Compliance Database'!$O459)))),1,0)</f>
        <v/>
      </c>
      <c r="B459">
        <f>IF($A459=1,SUM($A$2:$A459),"")</f>
        <v/>
      </c>
      <c r="C459">
        <f>IF($A459=1,SUM($A$2:$A459),0)</f>
        <v/>
      </c>
    </row>
    <row r="460">
      <c r="A460">
        <f>IF(AND(OR(Query!$B$4="All",'Compliance Database'!$A460=Query!$B$4),OR(Query!$B$5="All",'Compliance Database'!$F460=Query!$B$5),OR(Query!$B$6="All",ISNUMBER(SEARCH(Query!$B$6,'Compliance Database'!$I460))),OR(Query!$B$7="All",ISNUMBER(SEARCH(Query!$B$7,'Compliance Database'!$J460))),OR(Query!$B$8="All",'Compliance Database'!$G460=Query!$B$8),OR(Query!$B$9="All",'Compliance Database'!$K460=Query!$B$9),OR(Query!$B$10="",ISNUMBER(SEARCH(Query!$B$10,'Compliance Database'!$D460&amp;" "&amp;'Compliance Database'!$L460&amp;" "&amp;'Compliance Database'!$M460&amp;" "&amp;'Compliance Database'!$N460&amp;" "&amp;'Compliance Database'!$O460)))),1,0)</f>
        <v/>
      </c>
      <c r="B460">
        <f>IF($A460=1,SUM($A$2:$A460),"")</f>
        <v/>
      </c>
      <c r="C460">
        <f>IF($A460=1,SUM($A$2:$A460),0)</f>
        <v/>
      </c>
    </row>
    <row r="461">
      <c r="A461">
        <f>IF(AND(OR(Query!$B$4="All",'Compliance Database'!$A461=Query!$B$4),OR(Query!$B$5="All",'Compliance Database'!$F461=Query!$B$5),OR(Query!$B$6="All",ISNUMBER(SEARCH(Query!$B$6,'Compliance Database'!$I461))),OR(Query!$B$7="All",ISNUMBER(SEARCH(Query!$B$7,'Compliance Database'!$J461))),OR(Query!$B$8="All",'Compliance Database'!$G461=Query!$B$8),OR(Query!$B$9="All",'Compliance Database'!$K461=Query!$B$9),OR(Query!$B$10="",ISNUMBER(SEARCH(Query!$B$10,'Compliance Database'!$D461&amp;" "&amp;'Compliance Database'!$L461&amp;" "&amp;'Compliance Database'!$M461&amp;" "&amp;'Compliance Database'!$N461&amp;" "&amp;'Compliance Database'!$O461)))),1,0)</f>
        <v/>
      </c>
      <c r="B461">
        <f>IF($A461=1,SUM($A$2:$A461),"")</f>
        <v/>
      </c>
      <c r="C461">
        <f>IF($A461=1,SUM($A$2:$A461),0)</f>
        <v/>
      </c>
    </row>
    <row r="462">
      <c r="A462">
        <f>IF(AND(OR(Query!$B$4="All",'Compliance Database'!$A462=Query!$B$4),OR(Query!$B$5="All",'Compliance Database'!$F462=Query!$B$5),OR(Query!$B$6="All",ISNUMBER(SEARCH(Query!$B$6,'Compliance Database'!$I462))),OR(Query!$B$7="All",ISNUMBER(SEARCH(Query!$B$7,'Compliance Database'!$J462))),OR(Query!$B$8="All",'Compliance Database'!$G462=Query!$B$8),OR(Query!$B$9="All",'Compliance Database'!$K462=Query!$B$9),OR(Query!$B$10="",ISNUMBER(SEARCH(Query!$B$10,'Compliance Database'!$D462&amp;" "&amp;'Compliance Database'!$L462&amp;" "&amp;'Compliance Database'!$M462&amp;" "&amp;'Compliance Database'!$N462&amp;" "&amp;'Compliance Database'!$O462)))),1,0)</f>
        <v/>
      </c>
      <c r="B462">
        <f>IF($A462=1,SUM($A$2:$A462),"")</f>
        <v/>
      </c>
      <c r="C462">
        <f>IF($A462=1,SUM($A$2:$A462),0)</f>
        <v/>
      </c>
    </row>
    <row r="463">
      <c r="A463">
        <f>IF(AND(OR(Query!$B$4="All",'Compliance Database'!$A463=Query!$B$4),OR(Query!$B$5="All",'Compliance Database'!$F463=Query!$B$5),OR(Query!$B$6="All",ISNUMBER(SEARCH(Query!$B$6,'Compliance Database'!$I463))),OR(Query!$B$7="All",ISNUMBER(SEARCH(Query!$B$7,'Compliance Database'!$J463))),OR(Query!$B$8="All",'Compliance Database'!$G463=Query!$B$8),OR(Query!$B$9="All",'Compliance Database'!$K463=Query!$B$9),OR(Query!$B$10="",ISNUMBER(SEARCH(Query!$B$10,'Compliance Database'!$D463&amp;" "&amp;'Compliance Database'!$L463&amp;" "&amp;'Compliance Database'!$M463&amp;" "&amp;'Compliance Database'!$N463&amp;" "&amp;'Compliance Database'!$O463)))),1,0)</f>
        <v/>
      </c>
      <c r="B463">
        <f>IF($A463=1,SUM($A$2:$A463),"")</f>
        <v/>
      </c>
      <c r="C463">
        <f>IF($A463=1,SUM($A$2:$A463),0)</f>
        <v/>
      </c>
    </row>
    <row r="464">
      <c r="A464">
        <f>IF(AND(OR(Query!$B$4="All",'Compliance Database'!$A464=Query!$B$4),OR(Query!$B$5="All",'Compliance Database'!$F464=Query!$B$5),OR(Query!$B$6="All",ISNUMBER(SEARCH(Query!$B$6,'Compliance Database'!$I464))),OR(Query!$B$7="All",ISNUMBER(SEARCH(Query!$B$7,'Compliance Database'!$J464))),OR(Query!$B$8="All",'Compliance Database'!$G464=Query!$B$8),OR(Query!$B$9="All",'Compliance Database'!$K464=Query!$B$9),OR(Query!$B$10="",ISNUMBER(SEARCH(Query!$B$10,'Compliance Database'!$D464&amp;" "&amp;'Compliance Database'!$L464&amp;" "&amp;'Compliance Database'!$M464&amp;" "&amp;'Compliance Database'!$N464&amp;" "&amp;'Compliance Database'!$O464)))),1,0)</f>
        <v/>
      </c>
      <c r="B464">
        <f>IF($A464=1,SUM($A$2:$A464),"")</f>
        <v/>
      </c>
      <c r="C464">
        <f>IF($A464=1,SUM($A$2:$A464),0)</f>
        <v/>
      </c>
    </row>
    <row r="465">
      <c r="A465">
        <f>IF(AND(OR(Query!$B$4="All",'Compliance Database'!$A465=Query!$B$4),OR(Query!$B$5="All",'Compliance Database'!$F465=Query!$B$5),OR(Query!$B$6="All",ISNUMBER(SEARCH(Query!$B$6,'Compliance Database'!$I465))),OR(Query!$B$7="All",ISNUMBER(SEARCH(Query!$B$7,'Compliance Database'!$J465))),OR(Query!$B$8="All",'Compliance Database'!$G465=Query!$B$8),OR(Query!$B$9="All",'Compliance Database'!$K465=Query!$B$9),OR(Query!$B$10="",ISNUMBER(SEARCH(Query!$B$10,'Compliance Database'!$D465&amp;" "&amp;'Compliance Database'!$L465&amp;" "&amp;'Compliance Database'!$M465&amp;" "&amp;'Compliance Database'!$N465&amp;" "&amp;'Compliance Database'!$O465)))),1,0)</f>
        <v/>
      </c>
      <c r="B465">
        <f>IF($A465=1,SUM($A$2:$A465),"")</f>
        <v/>
      </c>
      <c r="C465">
        <f>IF($A465=1,SUM($A$2:$A465),0)</f>
        <v/>
      </c>
    </row>
    <row r="466">
      <c r="A466">
        <f>IF(AND(OR(Query!$B$4="All",'Compliance Database'!$A466=Query!$B$4),OR(Query!$B$5="All",'Compliance Database'!$F466=Query!$B$5),OR(Query!$B$6="All",ISNUMBER(SEARCH(Query!$B$6,'Compliance Database'!$I466))),OR(Query!$B$7="All",ISNUMBER(SEARCH(Query!$B$7,'Compliance Database'!$J466))),OR(Query!$B$8="All",'Compliance Database'!$G466=Query!$B$8),OR(Query!$B$9="All",'Compliance Database'!$K466=Query!$B$9),OR(Query!$B$10="",ISNUMBER(SEARCH(Query!$B$10,'Compliance Database'!$D466&amp;" "&amp;'Compliance Database'!$L466&amp;" "&amp;'Compliance Database'!$M466&amp;" "&amp;'Compliance Database'!$N466&amp;" "&amp;'Compliance Database'!$O466)))),1,0)</f>
        <v/>
      </c>
      <c r="B466">
        <f>IF($A466=1,SUM($A$2:$A466),"")</f>
        <v/>
      </c>
      <c r="C466">
        <f>IF($A466=1,SUM($A$2:$A466),0)</f>
        <v/>
      </c>
    </row>
    <row r="467">
      <c r="A467">
        <f>IF(AND(OR(Query!$B$4="All",'Compliance Database'!$A467=Query!$B$4),OR(Query!$B$5="All",'Compliance Database'!$F467=Query!$B$5),OR(Query!$B$6="All",ISNUMBER(SEARCH(Query!$B$6,'Compliance Database'!$I467))),OR(Query!$B$7="All",ISNUMBER(SEARCH(Query!$B$7,'Compliance Database'!$J467))),OR(Query!$B$8="All",'Compliance Database'!$G467=Query!$B$8),OR(Query!$B$9="All",'Compliance Database'!$K467=Query!$B$9),OR(Query!$B$10="",ISNUMBER(SEARCH(Query!$B$10,'Compliance Database'!$D467&amp;" "&amp;'Compliance Database'!$L467&amp;" "&amp;'Compliance Database'!$M467&amp;" "&amp;'Compliance Database'!$N467&amp;" "&amp;'Compliance Database'!$O467)))),1,0)</f>
        <v/>
      </c>
      <c r="B467">
        <f>IF($A467=1,SUM($A$2:$A467),"")</f>
        <v/>
      </c>
      <c r="C467">
        <f>IF($A467=1,SUM($A$2:$A467),0)</f>
        <v/>
      </c>
    </row>
    <row r="468">
      <c r="A468">
        <f>IF(AND(OR(Query!$B$4="All",'Compliance Database'!$A468=Query!$B$4),OR(Query!$B$5="All",'Compliance Database'!$F468=Query!$B$5),OR(Query!$B$6="All",ISNUMBER(SEARCH(Query!$B$6,'Compliance Database'!$I468))),OR(Query!$B$7="All",ISNUMBER(SEARCH(Query!$B$7,'Compliance Database'!$J468))),OR(Query!$B$8="All",'Compliance Database'!$G468=Query!$B$8),OR(Query!$B$9="All",'Compliance Database'!$K468=Query!$B$9),OR(Query!$B$10="",ISNUMBER(SEARCH(Query!$B$10,'Compliance Database'!$D468&amp;" "&amp;'Compliance Database'!$L468&amp;" "&amp;'Compliance Database'!$M468&amp;" "&amp;'Compliance Database'!$N468&amp;" "&amp;'Compliance Database'!$O468)))),1,0)</f>
        <v/>
      </c>
      <c r="B468">
        <f>IF($A468=1,SUM($A$2:$A468),"")</f>
        <v/>
      </c>
      <c r="C468">
        <f>IF($A468=1,SUM($A$2:$A468),0)</f>
        <v/>
      </c>
    </row>
    <row r="469">
      <c r="A469">
        <f>IF(AND(OR(Query!$B$4="All",'Compliance Database'!$A469=Query!$B$4),OR(Query!$B$5="All",'Compliance Database'!$F469=Query!$B$5),OR(Query!$B$6="All",ISNUMBER(SEARCH(Query!$B$6,'Compliance Database'!$I469))),OR(Query!$B$7="All",ISNUMBER(SEARCH(Query!$B$7,'Compliance Database'!$J469))),OR(Query!$B$8="All",'Compliance Database'!$G469=Query!$B$8),OR(Query!$B$9="All",'Compliance Database'!$K469=Query!$B$9),OR(Query!$B$10="",ISNUMBER(SEARCH(Query!$B$10,'Compliance Database'!$D469&amp;" "&amp;'Compliance Database'!$L469&amp;" "&amp;'Compliance Database'!$M469&amp;" "&amp;'Compliance Database'!$N469&amp;" "&amp;'Compliance Database'!$O469)))),1,0)</f>
        <v/>
      </c>
      <c r="B469">
        <f>IF($A469=1,SUM($A$2:$A469),"")</f>
        <v/>
      </c>
      <c r="C469">
        <f>IF($A469=1,SUM($A$2:$A469),0)</f>
        <v/>
      </c>
    </row>
    <row r="470">
      <c r="A470">
        <f>IF(AND(OR(Query!$B$4="All",'Compliance Database'!$A470=Query!$B$4),OR(Query!$B$5="All",'Compliance Database'!$F470=Query!$B$5),OR(Query!$B$6="All",ISNUMBER(SEARCH(Query!$B$6,'Compliance Database'!$I470))),OR(Query!$B$7="All",ISNUMBER(SEARCH(Query!$B$7,'Compliance Database'!$J470))),OR(Query!$B$8="All",'Compliance Database'!$G470=Query!$B$8),OR(Query!$B$9="All",'Compliance Database'!$K470=Query!$B$9),OR(Query!$B$10="",ISNUMBER(SEARCH(Query!$B$10,'Compliance Database'!$D470&amp;" "&amp;'Compliance Database'!$L470&amp;" "&amp;'Compliance Database'!$M470&amp;" "&amp;'Compliance Database'!$N470&amp;" "&amp;'Compliance Database'!$O470)))),1,0)</f>
        <v/>
      </c>
      <c r="B470">
        <f>IF($A470=1,SUM($A$2:$A470),"")</f>
        <v/>
      </c>
      <c r="C470">
        <f>IF($A470=1,SUM($A$2:$A470),0)</f>
        <v/>
      </c>
    </row>
    <row r="471">
      <c r="A471">
        <f>IF(AND(OR(Query!$B$4="All",'Compliance Database'!$A471=Query!$B$4),OR(Query!$B$5="All",'Compliance Database'!$F471=Query!$B$5),OR(Query!$B$6="All",ISNUMBER(SEARCH(Query!$B$6,'Compliance Database'!$I471))),OR(Query!$B$7="All",ISNUMBER(SEARCH(Query!$B$7,'Compliance Database'!$J471))),OR(Query!$B$8="All",'Compliance Database'!$G471=Query!$B$8),OR(Query!$B$9="All",'Compliance Database'!$K471=Query!$B$9),OR(Query!$B$10="",ISNUMBER(SEARCH(Query!$B$10,'Compliance Database'!$D471&amp;" "&amp;'Compliance Database'!$L471&amp;" "&amp;'Compliance Database'!$M471&amp;" "&amp;'Compliance Database'!$N471&amp;" "&amp;'Compliance Database'!$O471)))),1,0)</f>
        <v/>
      </c>
      <c r="B471">
        <f>IF($A471=1,SUM($A$2:$A471),"")</f>
        <v/>
      </c>
      <c r="C471">
        <f>IF($A471=1,SUM($A$2:$A471),0)</f>
        <v/>
      </c>
    </row>
    <row r="472">
      <c r="A472">
        <f>IF(AND(OR(Query!$B$4="All",'Compliance Database'!$A472=Query!$B$4),OR(Query!$B$5="All",'Compliance Database'!$F472=Query!$B$5),OR(Query!$B$6="All",ISNUMBER(SEARCH(Query!$B$6,'Compliance Database'!$I472))),OR(Query!$B$7="All",ISNUMBER(SEARCH(Query!$B$7,'Compliance Database'!$J472))),OR(Query!$B$8="All",'Compliance Database'!$G472=Query!$B$8),OR(Query!$B$9="All",'Compliance Database'!$K472=Query!$B$9),OR(Query!$B$10="",ISNUMBER(SEARCH(Query!$B$10,'Compliance Database'!$D472&amp;" "&amp;'Compliance Database'!$L472&amp;" "&amp;'Compliance Database'!$M472&amp;" "&amp;'Compliance Database'!$N472&amp;" "&amp;'Compliance Database'!$O472)))),1,0)</f>
        <v/>
      </c>
      <c r="B472">
        <f>IF($A472=1,SUM($A$2:$A472),"")</f>
        <v/>
      </c>
      <c r="C472">
        <f>IF($A472=1,SUM($A$2:$A472),0)</f>
        <v/>
      </c>
    </row>
    <row r="473">
      <c r="A473">
        <f>IF(AND(OR(Query!$B$4="All",'Compliance Database'!$A473=Query!$B$4),OR(Query!$B$5="All",'Compliance Database'!$F473=Query!$B$5),OR(Query!$B$6="All",ISNUMBER(SEARCH(Query!$B$6,'Compliance Database'!$I473))),OR(Query!$B$7="All",ISNUMBER(SEARCH(Query!$B$7,'Compliance Database'!$J473))),OR(Query!$B$8="All",'Compliance Database'!$G473=Query!$B$8),OR(Query!$B$9="All",'Compliance Database'!$K473=Query!$B$9),OR(Query!$B$10="",ISNUMBER(SEARCH(Query!$B$10,'Compliance Database'!$D473&amp;" "&amp;'Compliance Database'!$L473&amp;" "&amp;'Compliance Database'!$M473&amp;" "&amp;'Compliance Database'!$N473&amp;" "&amp;'Compliance Database'!$O473)))),1,0)</f>
        <v/>
      </c>
      <c r="B473">
        <f>IF($A473=1,SUM($A$2:$A473),"")</f>
        <v/>
      </c>
      <c r="C473">
        <f>IF($A473=1,SUM($A$2:$A473),0)</f>
        <v/>
      </c>
    </row>
    <row r="474">
      <c r="A474">
        <f>IF(AND(OR(Query!$B$4="All",'Compliance Database'!$A474=Query!$B$4),OR(Query!$B$5="All",'Compliance Database'!$F474=Query!$B$5),OR(Query!$B$6="All",ISNUMBER(SEARCH(Query!$B$6,'Compliance Database'!$I474))),OR(Query!$B$7="All",ISNUMBER(SEARCH(Query!$B$7,'Compliance Database'!$J474))),OR(Query!$B$8="All",'Compliance Database'!$G474=Query!$B$8),OR(Query!$B$9="All",'Compliance Database'!$K474=Query!$B$9),OR(Query!$B$10="",ISNUMBER(SEARCH(Query!$B$10,'Compliance Database'!$D474&amp;" "&amp;'Compliance Database'!$L474&amp;" "&amp;'Compliance Database'!$M474&amp;" "&amp;'Compliance Database'!$N474&amp;" "&amp;'Compliance Database'!$O474)))),1,0)</f>
        <v/>
      </c>
      <c r="B474">
        <f>IF($A474=1,SUM($A$2:$A474),"")</f>
        <v/>
      </c>
      <c r="C474">
        <f>IF($A474=1,SUM($A$2:$A474),0)</f>
        <v/>
      </c>
    </row>
    <row r="475">
      <c r="A475">
        <f>IF(AND(OR(Query!$B$4="All",'Compliance Database'!$A475=Query!$B$4),OR(Query!$B$5="All",'Compliance Database'!$F475=Query!$B$5),OR(Query!$B$6="All",ISNUMBER(SEARCH(Query!$B$6,'Compliance Database'!$I475))),OR(Query!$B$7="All",ISNUMBER(SEARCH(Query!$B$7,'Compliance Database'!$J475))),OR(Query!$B$8="All",'Compliance Database'!$G475=Query!$B$8),OR(Query!$B$9="All",'Compliance Database'!$K475=Query!$B$9),OR(Query!$B$10="",ISNUMBER(SEARCH(Query!$B$10,'Compliance Database'!$D475&amp;" "&amp;'Compliance Database'!$L475&amp;" "&amp;'Compliance Database'!$M475&amp;" "&amp;'Compliance Database'!$N475&amp;" "&amp;'Compliance Database'!$O475)))),1,0)</f>
        <v/>
      </c>
      <c r="B475">
        <f>IF($A475=1,SUM($A$2:$A475),"")</f>
        <v/>
      </c>
      <c r="C475">
        <f>IF($A475=1,SUM($A$2:$A475),0)</f>
        <v/>
      </c>
    </row>
    <row r="476">
      <c r="A476">
        <f>IF(AND(OR(Query!$B$4="All",'Compliance Database'!$A476=Query!$B$4),OR(Query!$B$5="All",'Compliance Database'!$F476=Query!$B$5),OR(Query!$B$6="All",ISNUMBER(SEARCH(Query!$B$6,'Compliance Database'!$I476))),OR(Query!$B$7="All",ISNUMBER(SEARCH(Query!$B$7,'Compliance Database'!$J476))),OR(Query!$B$8="All",'Compliance Database'!$G476=Query!$B$8),OR(Query!$B$9="All",'Compliance Database'!$K476=Query!$B$9),OR(Query!$B$10="",ISNUMBER(SEARCH(Query!$B$10,'Compliance Database'!$D476&amp;" "&amp;'Compliance Database'!$L476&amp;" "&amp;'Compliance Database'!$M476&amp;" "&amp;'Compliance Database'!$N476&amp;" "&amp;'Compliance Database'!$O476)))),1,0)</f>
        <v/>
      </c>
      <c r="B476">
        <f>IF($A476=1,SUM($A$2:$A476),"")</f>
        <v/>
      </c>
      <c r="C476">
        <f>IF($A476=1,SUM($A$2:$A476),0)</f>
        <v/>
      </c>
    </row>
    <row r="477">
      <c r="A477">
        <f>IF(AND(OR(Query!$B$4="All",'Compliance Database'!$A477=Query!$B$4),OR(Query!$B$5="All",'Compliance Database'!$F477=Query!$B$5),OR(Query!$B$6="All",ISNUMBER(SEARCH(Query!$B$6,'Compliance Database'!$I477))),OR(Query!$B$7="All",ISNUMBER(SEARCH(Query!$B$7,'Compliance Database'!$J477))),OR(Query!$B$8="All",'Compliance Database'!$G477=Query!$B$8),OR(Query!$B$9="All",'Compliance Database'!$K477=Query!$B$9),OR(Query!$B$10="",ISNUMBER(SEARCH(Query!$B$10,'Compliance Database'!$D477&amp;" "&amp;'Compliance Database'!$L477&amp;" "&amp;'Compliance Database'!$M477&amp;" "&amp;'Compliance Database'!$N477&amp;" "&amp;'Compliance Database'!$O477)))),1,0)</f>
        <v/>
      </c>
      <c r="B477">
        <f>IF($A477=1,SUM($A$2:$A477),"")</f>
        <v/>
      </c>
      <c r="C477">
        <f>IF($A477=1,SUM($A$2:$A477),0)</f>
        <v/>
      </c>
    </row>
    <row r="478">
      <c r="A478">
        <f>IF(AND(OR(Query!$B$4="All",'Compliance Database'!$A478=Query!$B$4),OR(Query!$B$5="All",'Compliance Database'!$F478=Query!$B$5),OR(Query!$B$6="All",ISNUMBER(SEARCH(Query!$B$6,'Compliance Database'!$I478))),OR(Query!$B$7="All",ISNUMBER(SEARCH(Query!$B$7,'Compliance Database'!$J478))),OR(Query!$B$8="All",'Compliance Database'!$G478=Query!$B$8),OR(Query!$B$9="All",'Compliance Database'!$K478=Query!$B$9),OR(Query!$B$10="",ISNUMBER(SEARCH(Query!$B$10,'Compliance Database'!$D478&amp;" "&amp;'Compliance Database'!$L478&amp;" "&amp;'Compliance Database'!$M478&amp;" "&amp;'Compliance Database'!$N478&amp;" "&amp;'Compliance Database'!$O478)))),1,0)</f>
        <v/>
      </c>
      <c r="B478">
        <f>IF($A478=1,SUM($A$2:$A478),"")</f>
        <v/>
      </c>
      <c r="C478">
        <f>IF($A478=1,SUM($A$2:$A478),0)</f>
        <v/>
      </c>
    </row>
    <row r="479">
      <c r="A479">
        <f>IF(AND(OR(Query!$B$4="All",'Compliance Database'!$A479=Query!$B$4),OR(Query!$B$5="All",'Compliance Database'!$F479=Query!$B$5),OR(Query!$B$6="All",ISNUMBER(SEARCH(Query!$B$6,'Compliance Database'!$I479))),OR(Query!$B$7="All",ISNUMBER(SEARCH(Query!$B$7,'Compliance Database'!$J479))),OR(Query!$B$8="All",'Compliance Database'!$G479=Query!$B$8),OR(Query!$B$9="All",'Compliance Database'!$K479=Query!$B$9),OR(Query!$B$10="",ISNUMBER(SEARCH(Query!$B$10,'Compliance Database'!$D479&amp;" "&amp;'Compliance Database'!$L479&amp;" "&amp;'Compliance Database'!$M479&amp;" "&amp;'Compliance Database'!$N479&amp;" "&amp;'Compliance Database'!$O479)))),1,0)</f>
        <v/>
      </c>
      <c r="B479">
        <f>IF($A479=1,SUM($A$2:$A479),"")</f>
        <v/>
      </c>
      <c r="C479">
        <f>IF($A479=1,SUM($A$2:$A479),0)</f>
        <v/>
      </c>
    </row>
    <row r="480">
      <c r="A480">
        <f>IF(AND(OR(Query!$B$4="All",'Compliance Database'!$A480=Query!$B$4),OR(Query!$B$5="All",'Compliance Database'!$F480=Query!$B$5),OR(Query!$B$6="All",ISNUMBER(SEARCH(Query!$B$6,'Compliance Database'!$I480))),OR(Query!$B$7="All",ISNUMBER(SEARCH(Query!$B$7,'Compliance Database'!$J480))),OR(Query!$B$8="All",'Compliance Database'!$G480=Query!$B$8),OR(Query!$B$9="All",'Compliance Database'!$K480=Query!$B$9),OR(Query!$B$10="",ISNUMBER(SEARCH(Query!$B$10,'Compliance Database'!$D480&amp;" "&amp;'Compliance Database'!$L480&amp;" "&amp;'Compliance Database'!$M480&amp;" "&amp;'Compliance Database'!$N480&amp;" "&amp;'Compliance Database'!$O480)))),1,0)</f>
        <v/>
      </c>
      <c r="B480">
        <f>IF($A480=1,SUM($A$2:$A480),"")</f>
        <v/>
      </c>
      <c r="C480">
        <f>IF($A480=1,SUM($A$2:$A480),0)</f>
        <v/>
      </c>
    </row>
    <row r="481">
      <c r="A481">
        <f>IF(AND(OR(Query!$B$4="All",'Compliance Database'!$A481=Query!$B$4),OR(Query!$B$5="All",'Compliance Database'!$F481=Query!$B$5),OR(Query!$B$6="All",ISNUMBER(SEARCH(Query!$B$6,'Compliance Database'!$I481))),OR(Query!$B$7="All",ISNUMBER(SEARCH(Query!$B$7,'Compliance Database'!$J481))),OR(Query!$B$8="All",'Compliance Database'!$G481=Query!$B$8),OR(Query!$B$9="All",'Compliance Database'!$K481=Query!$B$9),OR(Query!$B$10="",ISNUMBER(SEARCH(Query!$B$10,'Compliance Database'!$D481&amp;" "&amp;'Compliance Database'!$L481&amp;" "&amp;'Compliance Database'!$M481&amp;" "&amp;'Compliance Database'!$N481&amp;" "&amp;'Compliance Database'!$O481)))),1,0)</f>
        <v/>
      </c>
      <c r="B481">
        <f>IF($A481=1,SUM($A$2:$A481),"")</f>
        <v/>
      </c>
      <c r="C481">
        <f>IF($A481=1,SUM($A$2:$A481),0)</f>
        <v/>
      </c>
    </row>
    <row r="482">
      <c r="A482">
        <f>IF(AND(OR(Query!$B$4="All",'Compliance Database'!$A482=Query!$B$4),OR(Query!$B$5="All",'Compliance Database'!$F482=Query!$B$5),OR(Query!$B$6="All",ISNUMBER(SEARCH(Query!$B$6,'Compliance Database'!$I482))),OR(Query!$B$7="All",ISNUMBER(SEARCH(Query!$B$7,'Compliance Database'!$J482))),OR(Query!$B$8="All",'Compliance Database'!$G482=Query!$B$8),OR(Query!$B$9="All",'Compliance Database'!$K482=Query!$B$9),OR(Query!$B$10="",ISNUMBER(SEARCH(Query!$B$10,'Compliance Database'!$D482&amp;" "&amp;'Compliance Database'!$L482&amp;" "&amp;'Compliance Database'!$M482&amp;" "&amp;'Compliance Database'!$N482&amp;" "&amp;'Compliance Database'!$O482)))),1,0)</f>
        <v/>
      </c>
      <c r="B482">
        <f>IF($A482=1,SUM($A$2:$A482),"")</f>
        <v/>
      </c>
      <c r="C482">
        <f>IF($A482=1,SUM($A$2:$A482),0)</f>
        <v/>
      </c>
    </row>
    <row r="483">
      <c r="A483">
        <f>IF(AND(OR(Query!$B$4="All",'Compliance Database'!$A483=Query!$B$4),OR(Query!$B$5="All",'Compliance Database'!$F483=Query!$B$5),OR(Query!$B$6="All",ISNUMBER(SEARCH(Query!$B$6,'Compliance Database'!$I483))),OR(Query!$B$7="All",ISNUMBER(SEARCH(Query!$B$7,'Compliance Database'!$J483))),OR(Query!$B$8="All",'Compliance Database'!$G483=Query!$B$8),OR(Query!$B$9="All",'Compliance Database'!$K483=Query!$B$9),OR(Query!$B$10="",ISNUMBER(SEARCH(Query!$B$10,'Compliance Database'!$D483&amp;" "&amp;'Compliance Database'!$L483&amp;" "&amp;'Compliance Database'!$M483&amp;" "&amp;'Compliance Database'!$N483&amp;" "&amp;'Compliance Database'!$O483)))),1,0)</f>
        <v/>
      </c>
      <c r="B483">
        <f>IF($A483=1,SUM($A$2:$A483),"")</f>
        <v/>
      </c>
      <c r="C483">
        <f>IF($A483=1,SUM($A$2:$A483),0)</f>
        <v/>
      </c>
    </row>
    <row r="484">
      <c r="A484">
        <f>IF(AND(OR(Query!$B$4="All",'Compliance Database'!$A484=Query!$B$4),OR(Query!$B$5="All",'Compliance Database'!$F484=Query!$B$5),OR(Query!$B$6="All",ISNUMBER(SEARCH(Query!$B$6,'Compliance Database'!$I484))),OR(Query!$B$7="All",ISNUMBER(SEARCH(Query!$B$7,'Compliance Database'!$J484))),OR(Query!$B$8="All",'Compliance Database'!$G484=Query!$B$8),OR(Query!$B$9="All",'Compliance Database'!$K484=Query!$B$9),OR(Query!$B$10="",ISNUMBER(SEARCH(Query!$B$10,'Compliance Database'!$D484&amp;" "&amp;'Compliance Database'!$L484&amp;" "&amp;'Compliance Database'!$M484&amp;" "&amp;'Compliance Database'!$N484&amp;" "&amp;'Compliance Database'!$O484)))),1,0)</f>
        <v/>
      </c>
      <c r="B484">
        <f>IF($A484=1,SUM($A$2:$A484),"")</f>
        <v/>
      </c>
      <c r="C484">
        <f>IF($A484=1,SUM($A$2:$A484),0)</f>
        <v/>
      </c>
    </row>
    <row r="485">
      <c r="A485">
        <f>IF(AND(OR(Query!$B$4="All",'Compliance Database'!$A485=Query!$B$4),OR(Query!$B$5="All",'Compliance Database'!$F485=Query!$B$5),OR(Query!$B$6="All",ISNUMBER(SEARCH(Query!$B$6,'Compliance Database'!$I485))),OR(Query!$B$7="All",ISNUMBER(SEARCH(Query!$B$7,'Compliance Database'!$J485))),OR(Query!$B$8="All",'Compliance Database'!$G485=Query!$B$8),OR(Query!$B$9="All",'Compliance Database'!$K485=Query!$B$9),OR(Query!$B$10="",ISNUMBER(SEARCH(Query!$B$10,'Compliance Database'!$D485&amp;" "&amp;'Compliance Database'!$L485&amp;" "&amp;'Compliance Database'!$M485&amp;" "&amp;'Compliance Database'!$N485&amp;" "&amp;'Compliance Database'!$O485)))),1,0)</f>
        <v/>
      </c>
      <c r="B485">
        <f>IF($A485=1,SUM($A$2:$A485),"")</f>
        <v/>
      </c>
      <c r="C485">
        <f>IF($A485=1,SUM($A$2:$A485),0)</f>
        <v/>
      </c>
    </row>
    <row r="486">
      <c r="A486">
        <f>IF(AND(OR(Query!$B$4="All",'Compliance Database'!$A486=Query!$B$4),OR(Query!$B$5="All",'Compliance Database'!$F486=Query!$B$5),OR(Query!$B$6="All",ISNUMBER(SEARCH(Query!$B$6,'Compliance Database'!$I486))),OR(Query!$B$7="All",ISNUMBER(SEARCH(Query!$B$7,'Compliance Database'!$J486))),OR(Query!$B$8="All",'Compliance Database'!$G486=Query!$B$8),OR(Query!$B$9="All",'Compliance Database'!$K486=Query!$B$9),OR(Query!$B$10="",ISNUMBER(SEARCH(Query!$B$10,'Compliance Database'!$D486&amp;" "&amp;'Compliance Database'!$L486&amp;" "&amp;'Compliance Database'!$M486&amp;" "&amp;'Compliance Database'!$N486&amp;" "&amp;'Compliance Database'!$O486)))),1,0)</f>
        <v/>
      </c>
      <c r="B486">
        <f>IF($A486=1,SUM($A$2:$A486),"")</f>
        <v/>
      </c>
      <c r="C486">
        <f>IF($A486=1,SUM($A$2:$A486),0)</f>
        <v/>
      </c>
    </row>
    <row r="487">
      <c r="A487">
        <f>IF(AND(OR(Query!$B$4="All",'Compliance Database'!$A487=Query!$B$4),OR(Query!$B$5="All",'Compliance Database'!$F487=Query!$B$5),OR(Query!$B$6="All",ISNUMBER(SEARCH(Query!$B$6,'Compliance Database'!$I487))),OR(Query!$B$7="All",ISNUMBER(SEARCH(Query!$B$7,'Compliance Database'!$J487))),OR(Query!$B$8="All",'Compliance Database'!$G487=Query!$B$8),OR(Query!$B$9="All",'Compliance Database'!$K487=Query!$B$9),OR(Query!$B$10="",ISNUMBER(SEARCH(Query!$B$10,'Compliance Database'!$D487&amp;" "&amp;'Compliance Database'!$L487&amp;" "&amp;'Compliance Database'!$M487&amp;" "&amp;'Compliance Database'!$N487&amp;" "&amp;'Compliance Database'!$O487)))),1,0)</f>
        <v/>
      </c>
      <c r="B487">
        <f>IF($A487=1,SUM($A$2:$A487),"")</f>
        <v/>
      </c>
      <c r="C487">
        <f>IF($A487=1,SUM($A$2:$A487),0)</f>
        <v/>
      </c>
    </row>
    <row r="488">
      <c r="A488">
        <f>IF(AND(OR(Query!$B$4="All",'Compliance Database'!$A488=Query!$B$4),OR(Query!$B$5="All",'Compliance Database'!$F488=Query!$B$5),OR(Query!$B$6="All",ISNUMBER(SEARCH(Query!$B$6,'Compliance Database'!$I488))),OR(Query!$B$7="All",ISNUMBER(SEARCH(Query!$B$7,'Compliance Database'!$J488))),OR(Query!$B$8="All",'Compliance Database'!$G488=Query!$B$8),OR(Query!$B$9="All",'Compliance Database'!$K488=Query!$B$9),OR(Query!$B$10="",ISNUMBER(SEARCH(Query!$B$10,'Compliance Database'!$D488&amp;" "&amp;'Compliance Database'!$L488&amp;" "&amp;'Compliance Database'!$M488&amp;" "&amp;'Compliance Database'!$N488&amp;" "&amp;'Compliance Database'!$O488)))),1,0)</f>
        <v/>
      </c>
      <c r="B488">
        <f>IF($A488=1,SUM($A$2:$A488),"")</f>
        <v/>
      </c>
      <c r="C488">
        <f>IF($A488=1,SUM($A$2:$A488),0)</f>
        <v/>
      </c>
    </row>
    <row r="489">
      <c r="A489">
        <f>IF(AND(OR(Query!$B$4="All",'Compliance Database'!$A489=Query!$B$4),OR(Query!$B$5="All",'Compliance Database'!$F489=Query!$B$5),OR(Query!$B$6="All",ISNUMBER(SEARCH(Query!$B$6,'Compliance Database'!$I489))),OR(Query!$B$7="All",ISNUMBER(SEARCH(Query!$B$7,'Compliance Database'!$J489))),OR(Query!$B$8="All",'Compliance Database'!$G489=Query!$B$8),OR(Query!$B$9="All",'Compliance Database'!$K489=Query!$B$9),OR(Query!$B$10="",ISNUMBER(SEARCH(Query!$B$10,'Compliance Database'!$D489&amp;" "&amp;'Compliance Database'!$L489&amp;" "&amp;'Compliance Database'!$M489&amp;" "&amp;'Compliance Database'!$N489&amp;" "&amp;'Compliance Database'!$O489)))),1,0)</f>
        <v/>
      </c>
      <c r="B489">
        <f>IF($A489=1,SUM($A$2:$A489),"")</f>
        <v/>
      </c>
      <c r="C489">
        <f>IF($A489=1,SUM($A$2:$A489),0)</f>
        <v/>
      </c>
    </row>
    <row r="490">
      <c r="A490">
        <f>IF(AND(OR(Query!$B$4="All",'Compliance Database'!$A490=Query!$B$4),OR(Query!$B$5="All",'Compliance Database'!$F490=Query!$B$5),OR(Query!$B$6="All",ISNUMBER(SEARCH(Query!$B$6,'Compliance Database'!$I490))),OR(Query!$B$7="All",ISNUMBER(SEARCH(Query!$B$7,'Compliance Database'!$J490))),OR(Query!$B$8="All",'Compliance Database'!$G490=Query!$B$8),OR(Query!$B$9="All",'Compliance Database'!$K490=Query!$B$9),OR(Query!$B$10="",ISNUMBER(SEARCH(Query!$B$10,'Compliance Database'!$D490&amp;" "&amp;'Compliance Database'!$L490&amp;" "&amp;'Compliance Database'!$M490&amp;" "&amp;'Compliance Database'!$N490&amp;" "&amp;'Compliance Database'!$O490)))),1,0)</f>
        <v/>
      </c>
      <c r="B490">
        <f>IF($A490=1,SUM($A$2:$A490),"")</f>
        <v/>
      </c>
      <c r="C490">
        <f>IF($A490=1,SUM($A$2:$A490),0)</f>
        <v/>
      </c>
    </row>
    <row r="491">
      <c r="A491">
        <f>IF(AND(OR(Query!$B$4="All",'Compliance Database'!$A491=Query!$B$4),OR(Query!$B$5="All",'Compliance Database'!$F491=Query!$B$5),OR(Query!$B$6="All",ISNUMBER(SEARCH(Query!$B$6,'Compliance Database'!$I491))),OR(Query!$B$7="All",ISNUMBER(SEARCH(Query!$B$7,'Compliance Database'!$J491))),OR(Query!$B$8="All",'Compliance Database'!$G491=Query!$B$8),OR(Query!$B$9="All",'Compliance Database'!$K491=Query!$B$9),OR(Query!$B$10="",ISNUMBER(SEARCH(Query!$B$10,'Compliance Database'!$D491&amp;" "&amp;'Compliance Database'!$L491&amp;" "&amp;'Compliance Database'!$M491&amp;" "&amp;'Compliance Database'!$N491&amp;" "&amp;'Compliance Database'!$O491)))),1,0)</f>
        <v/>
      </c>
      <c r="B491">
        <f>IF($A491=1,SUM($A$2:$A491),"")</f>
        <v/>
      </c>
      <c r="C491">
        <f>IF($A491=1,SUM($A$2:$A491),0)</f>
        <v/>
      </c>
    </row>
    <row r="492">
      <c r="A492">
        <f>IF(AND(OR(Query!$B$4="All",'Compliance Database'!$A492=Query!$B$4),OR(Query!$B$5="All",'Compliance Database'!$F492=Query!$B$5),OR(Query!$B$6="All",ISNUMBER(SEARCH(Query!$B$6,'Compliance Database'!$I492))),OR(Query!$B$7="All",ISNUMBER(SEARCH(Query!$B$7,'Compliance Database'!$J492))),OR(Query!$B$8="All",'Compliance Database'!$G492=Query!$B$8),OR(Query!$B$9="All",'Compliance Database'!$K492=Query!$B$9),OR(Query!$B$10="",ISNUMBER(SEARCH(Query!$B$10,'Compliance Database'!$D492&amp;" "&amp;'Compliance Database'!$L492&amp;" "&amp;'Compliance Database'!$M492&amp;" "&amp;'Compliance Database'!$N492&amp;" "&amp;'Compliance Database'!$O492)))),1,0)</f>
        <v/>
      </c>
      <c r="B492">
        <f>IF($A492=1,SUM($A$2:$A492),"")</f>
        <v/>
      </c>
      <c r="C492">
        <f>IF($A492=1,SUM($A$2:$A492),0)</f>
        <v/>
      </c>
    </row>
    <row r="493">
      <c r="A493">
        <f>IF(AND(OR(Query!$B$4="All",'Compliance Database'!$A493=Query!$B$4),OR(Query!$B$5="All",'Compliance Database'!$F493=Query!$B$5),OR(Query!$B$6="All",ISNUMBER(SEARCH(Query!$B$6,'Compliance Database'!$I493))),OR(Query!$B$7="All",ISNUMBER(SEARCH(Query!$B$7,'Compliance Database'!$J493))),OR(Query!$B$8="All",'Compliance Database'!$G493=Query!$B$8),OR(Query!$B$9="All",'Compliance Database'!$K493=Query!$B$9),OR(Query!$B$10="",ISNUMBER(SEARCH(Query!$B$10,'Compliance Database'!$D493&amp;" "&amp;'Compliance Database'!$L493&amp;" "&amp;'Compliance Database'!$M493&amp;" "&amp;'Compliance Database'!$N493&amp;" "&amp;'Compliance Database'!$O493)))),1,0)</f>
        <v/>
      </c>
      <c r="B493">
        <f>IF($A493=1,SUM($A$2:$A493),"")</f>
        <v/>
      </c>
      <c r="C493">
        <f>IF($A493=1,SUM($A$2:$A493),0)</f>
        <v/>
      </c>
    </row>
    <row r="494">
      <c r="A494">
        <f>IF(AND(OR(Query!$B$4="All",'Compliance Database'!$A494=Query!$B$4),OR(Query!$B$5="All",'Compliance Database'!$F494=Query!$B$5),OR(Query!$B$6="All",ISNUMBER(SEARCH(Query!$B$6,'Compliance Database'!$I494))),OR(Query!$B$7="All",ISNUMBER(SEARCH(Query!$B$7,'Compliance Database'!$J494))),OR(Query!$B$8="All",'Compliance Database'!$G494=Query!$B$8),OR(Query!$B$9="All",'Compliance Database'!$K494=Query!$B$9),OR(Query!$B$10="",ISNUMBER(SEARCH(Query!$B$10,'Compliance Database'!$D494&amp;" "&amp;'Compliance Database'!$L494&amp;" "&amp;'Compliance Database'!$M494&amp;" "&amp;'Compliance Database'!$N494&amp;" "&amp;'Compliance Database'!$O494)))),1,0)</f>
        <v/>
      </c>
      <c r="B494">
        <f>IF($A494=1,SUM($A$2:$A494),"")</f>
        <v/>
      </c>
      <c r="C494">
        <f>IF($A494=1,SUM($A$2:$A494),0)</f>
        <v/>
      </c>
    </row>
    <row r="495">
      <c r="A495">
        <f>IF(AND(OR(Query!$B$4="All",'Compliance Database'!$A495=Query!$B$4),OR(Query!$B$5="All",'Compliance Database'!$F495=Query!$B$5),OR(Query!$B$6="All",ISNUMBER(SEARCH(Query!$B$6,'Compliance Database'!$I495))),OR(Query!$B$7="All",ISNUMBER(SEARCH(Query!$B$7,'Compliance Database'!$J495))),OR(Query!$B$8="All",'Compliance Database'!$G495=Query!$B$8),OR(Query!$B$9="All",'Compliance Database'!$K495=Query!$B$9),OR(Query!$B$10="",ISNUMBER(SEARCH(Query!$B$10,'Compliance Database'!$D495&amp;" "&amp;'Compliance Database'!$L495&amp;" "&amp;'Compliance Database'!$M495&amp;" "&amp;'Compliance Database'!$N495&amp;" "&amp;'Compliance Database'!$O495)))),1,0)</f>
        <v/>
      </c>
      <c r="B495">
        <f>IF($A495=1,SUM($A$2:$A495),"")</f>
        <v/>
      </c>
      <c r="C495">
        <f>IF($A495=1,SUM($A$2:$A495),0)</f>
        <v/>
      </c>
    </row>
    <row r="496">
      <c r="A496">
        <f>IF(AND(OR(Query!$B$4="All",'Compliance Database'!$A496=Query!$B$4),OR(Query!$B$5="All",'Compliance Database'!$F496=Query!$B$5),OR(Query!$B$6="All",ISNUMBER(SEARCH(Query!$B$6,'Compliance Database'!$I496))),OR(Query!$B$7="All",ISNUMBER(SEARCH(Query!$B$7,'Compliance Database'!$J496))),OR(Query!$B$8="All",'Compliance Database'!$G496=Query!$B$8),OR(Query!$B$9="All",'Compliance Database'!$K496=Query!$B$9),OR(Query!$B$10="",ISNUMBER(SEARCH(Query!$B$10,'Compliance Database'!$D496&amp;" "&amp;'Compliance Database'!$L496&amp;" "&amp;'Compliance Database'!$M496&amp;" "&amp;'Compliance Database'!$N496&amp;" "&amp;'Compliance Database'!$O496)))),1,0)</f>
        <v/>
      </c>
      <c r="B496">
        <f>IF($A496=1,SUM($A$2:$A496),"")</f>
        <v/>
      </c>
      <c r="C496">
        <f>IF($A496=1,SUM($A$2:$A496),0)</f>
        <v/>
      </c>
    </row>
    <row r="497">
      <c r="A497">
        <f>IF(AND(OR(Query!$B$4="All",'Compliance Database'!$A497=Query!$B$4),OR(Query!$B$5="All",'Compliance Database'!$F497=Query!$B$5),OR(Query!$B$6="All",ISNUMBER(SEARCH(Query!$B$6,'Compliance Database'!$I497))),OR(Query!$B$7="All",ISNUMBER(SEARCH(Query!$B$7,'Compliance Database'!$J497))),OR(Query!$B$8="All",'Compliance Database'!$G497=Query!$B$8),OR(Query!$B$9="All",'Compliance Database'!$K497=Query!$B$9),OR(Query!$B$10="",ISNUMBER(SEARCH(Query!$B$10,'Compliance Database'!$D497&amp;" "&amp;'Compliance Database'!$L497&amp;" "&amp;'Compliance Database'!$M497&amp;" "&amp;'Compliance Database'!$N497&amp;" "&amp;'Compliance Database'!$O497)))),1,0)</f>
        <v/>
      </c>
      <c r="B497">
        <f>IF($A497=1,SUM($A$2:$A497),"")</f>
        <v/>
      </c>
      <c r="C497">
        <f>IF($A497=1,SUM($A$2:$A497),0)</f>
        <v/>
      </c>
    </row>
    <row r="498">
      <c r="A498">
        <f>IF(AND(OR(Query!$B$4="All",'Compliance Database'!$A498=Query!$B$4),OR(Query!$B$5="All",'Compliance Database'!$F498=Query!$B$5),OR(Query!$B$6="All",ISNUMBER(SEARCH(Query!$B$6,'Compliance Database'!$I498))),OR(Query!$B$7="All",ISNUMBER(SEARCH(Query!$B$7,'Compliance Database'!$J498))),OR(Query!$B$8="All",'Compliance Database'!$G498=Query!$B$8),OR(Query!$B$9="All",'Compliance Database'!$K498=Query!$B$9),OR(Query!$B$10="",ISNUMBER(SEARCH(Query!$B$10,'Compliance Database'!$D498&amp;" "&amp;'Compliance Database'!$L498&amp;" "&amp;'Compliance Database'!$M498&amp;" "&amp;'Compliance Database'!$N498&amp;" "&amp;'Compliance Database'!$O498)))),1,0)</f>
        <v/>
      </c>
      <c r="B498">
        <f>IF($A498=1,SUM($A$2:$A498),"")</f>
        <v/>
      </c>
      <c r="C498">
        <f>IF($A498=1,SUM($A$2:$A498),0)</f>
        <v/>
      </c>
    </row>
    <row r="499">
      <c r="A499">
        <f>IF(AND(OR(Query!$B$4="All",'Compliance Database'!$A499=Query!$B$4),OR(Query!$B$5="All",'Compliance Database'!$F499=Query!$B$5),OR(Query!$B$6="All",ISNUMBER(SEARCH(Query!$B$6,'Compliance Database'!$I499))),OR(Query!$B$7="All",ISNUMBER(SEARCH(Query!$B$7,'Compliance Database'!$J499))),OR(Query!$B$8="All",'Compliance Database'!$G499=Query!$B$8),OR(Query!$B$9="All",'Compliance Database'!$K499=Query!$B$9),OR(Query!$B$10="",ISNUMBER(SEARCH(Query!$B$10,'Compliance Database'!$D499&amp;" "&amp;'Compliance Database'!$L499&amp;" "&amp;'Compliance Database'!$M499&amp;" "&amp;'Compliance Database'!$N499&amp;" "&amp;'Compliance Database'!$O499)))),1,0)</f>
        <v/>
      </c>
      <c r="B499">
        <f>IF($A499=1,SUM($A$2:$A499),"")</f>
        <v/>
      </c>
      <c r="C499">
        <f>IF($A499=1,SUM($A$2:$A499),0)</f>
        <v/>
      </c>
    </row>
    <row r="500">
      <c r="A500">
        <f>IF(AND(OR(Query!$B$4="All",'Compliance Database'!$A500=Query!$B$4),OR(Query!$B$5="All",'Compliance Database'!$F500=Query!$B$5),OR(Query!$B$6="All",ISNUMBER(SEARCH(Query!$B$6,'Compliance Database'!$I500))),OR(Query!$B$7="All",ISNUMBER(SEARCH(Query!$B$7,'Compliance Database'!$J500))),OR(Query!$B$8="All",'Compliance Database'!$G500=Query!$B$8),OR(Query!$B$9="All",'Compliance Database'!$K500=Query!$B$9),OR(Query!$B$10="",ISNUMBER(SEARCH(Query!$B$10,'Compliance Database'!$D500&amp;" "&amp;'Compliance Database'!$L500&amp;" "&amp;'Compliance Database'!$M500&amp;" "&amp;'Compliance Database'!$N500&amp;" "&amp;'Compliance Database'!$O500)))),1,0)</f>
        <v/>
      </c>
      <c r="B500">
        <f>IF($A500=1,SUM($A$2:$A500),"")</f>
        <v/>
      </c>
      <c r="C500">
        <f>IF($A500=1,SUM($A$2:$A500),0)</f>
        <v/>
      </c>
    </row>
    <row r="501">
      <c r="A501">
        <f>IF(AND(OR(Query!$B$4="All",'Compliance Database'!$A501=Query!$B$4),OR(Query!$B$5="All",'Compliance Database'!$F501=Query!$B$5),OR(Query!$B$6="All",ISNUMBER(SEARCH(Query!$B$6,'Compliance Database'!$I501))),OR(Query!$B$7="All",ISNUMBER(SEARCH(Query!$B$7,'Compliance Database'!$J501))),OR(Query!$B$8="All",'Compliance Database'!$G501=Query!$B$8),OR(Query!$B$9="All",'Compliance Database'!$K501=Query!$B$9),OR(Query!$B$10="",ISNUMBER(SEARCH(Query!$B$10,'Compliance Database'!$D501&amp;" "&amp;'Compliance Database'!$L501&amp;" "&amp;'Compliance Database'!$M501&amp;" "&amp;'Compliance Database'!$N501&amp;" "&amp;'Compliance Database'!$O501)))),1,0)</f>
        <v/>
      </c>
      <c r="B501">
        <f>IF($A501=1,SUM($A$2:$A501),"")</f>
        <v/>
      </c>
      <c r="C501">
        <f>IF($A501=1,SUM($A$2:$A501),0)</f>
        <v/>
      </c>
    </row>
    <row r="502">
      <c r="A502">
        <f>IF(AND(OR(Query!$B$4="All",'Compliance Database'!$A502=Query!$B$4),OR(Query!$B$5="All",'Compliance Database'!$F502=Query!$B$5),OR(Query!$B$6="All",ISNUMBER(SEARCH(Query!$B$6,'Compliance Database'!$I502))),OR(Query!$B$7="All",ISNUMBER(SEARCH(Query!$B$7,'Compliance Database'!$J502))),OR(Query!$B$8="All",'Compliance Database'!$G502=Query!$B$8),OR(Query!$B$9="All",'Compliance Database'!$K502=Query!$B$9),OR(Query!$B$10="",ISNUMBER(SEARCH(Query!$B$10,'Compliance Database'!$D502&amp;" "&amp;'Compliance Database'!$L502&amp;" "&amp;'Compliance Database'!$M502&amp;" "&amp;'Compliance Database'!$N502&amp;" "&amp;'Compliance Database'!$O502)))),1,0)</f>
        <v/>
      </c>
      <c r="B502">
        <f>IF($A502=1,SUM($A$2:$A502),"")</f>
        <v/>
      </c>
      <c r="C502">
        <f>IF($A502=1,SUM($A$2:$A502),0)</f>
        <v/>
      </c>
    </row>
    <row r="503">
      <c r="A503">
        <f>IF(AND(OR(Query!$B$4="All",'Compliance Database'!$A503=Query!$B$4),OR(Query!$B$5="All",'Compliance Database'!$F503=Query!$B$5),OR(Query!$B$6="All",ISNUMBER(SEARCH(Query!$B$6,'Compliance Database'!$I503))),OR(Query!$B$7="All",ISNUMBER(SEARCH(Query!$B$7,'Compliance Database'!$J503))),OR(Query!$B$8="All",'Compliance Database'!$G503=Query!$B$8),OR(Query!$B$9="All",'Compliance Database'!$K503=Query!$B$9),OR(Query!$B$10="",ISNUMBER(SEARCH(Query!$B$10,'Compliance Database'!$D503&amp;" "&amp;'Compliance Database'!$L503&amp;" "&amp;'Compliance Database'!$M503&amp;" "&amp;'Compliance Database'!$N503&amp;" "&amp;'Compliance Database'!$O503)))),1,0)</f>
        <v/>
      </c>
      <c r="B503">
        <f>IF($A503=1,SUM($A$2:$A503),"")</f>
        <v/>
      </c>
      <c r="C503">
        <f>IF($A503=1,SUM($A$2:$A503),0)</f>
        <v/>
      </c>
    </row>
    <row r="504">
      <c r="A504">
        <f>IF(AND(OR(Query!$B$4="All",'Compliance Database'!$A504=Query!$B$4),OR(Query!$B$5="All",'Compliance Database'!$F504=Query!$B$5),OR(Query!$B$6="All",ISNUMBER(SEARCH(Query!$B$6,'Compliance Database'!$I504))),OR(Query!$B$7="All",ISNUMBER(SEARCH(Query!$B$7,'Compliance Database'!$J504))),OR(Query!$B$8="All",'Compliance Database'!$G504=Query!$B$8),OR(Query!$B$9="All",'Compliance Database'!$K504=Query!$B$9),OR(Query!$B$10="",ISNUMBER(SEARCH(Query!$B$10,'Compliance Database'!$D504&amp;" "&amp;'Compliance Database'!$L504&amp;" "&amp;'Compliance Database'!$M504&amp;" "&amp;'Compliance Database'!$N504&amp;" "&amp;'Compliance Database'!$O504)))),1,0)</f>
        <v/>
      </c>
      <c r="B504">
        <f>IF($A504=1,SUM($A$2:$A504),"")</f>
        <v/>
      </c>
      <c r="C504">
        <f>IF($A504=1,SUM($A$2:$A504),0)</f>
        <v/>
      </c>
    </row>
    <row r="505">
      <c r="A505">
        <f>IF(AND(OR(Query!$B$4="All",'Compliance Database'!$A505=Query!$B$4),OR(Query!$B$5="All",'Compliance Database'!$F505=Query!$B$5),OR(Query!$B$6="All",ISNUMBER(SEARCH(Query!$B$6,'Compliance Database'!$I505))),OR(Query!$B$7="All",ISNUMBER(SEARCH(Query!$B$7,'Compliance Database'!$J505))),OR(Query!$B$8="All",'Compliance Database'!$G505=Query!$B$8),OR(Query!$B$9="All",'Compliance Database'!$K505=Query!$B$9),OR(Query!$B$10="",ISNUMBER(SEARCH(Query!$B$10,'Compliance Database'!$D505&amp;" "&amp;'Compliance Database'!$L505&amp;" "&amp;'Compliance Database'!$M505&amp;" "&amp;'Compliance Database'!$N505&amp;" "&amp;'Compliance Database'!$O505)))),1,0)</f>
        <v/>
      </c>
      <c r="B505">
        <f>IF($A505=1,SUM($A$2:$A505),"")</f>
        <v/>
      </c>
      <c r="C505">
        <f>IF($A505=1,SUM($A$2:$A505),0)</f>
        <v/>
      </c>
    </row>
    <row r="506">
      <c r="A506">
        <f>IF(AND(OR(Query!$B$4="All",'Compliance Database'!$A506=Query!$B$4),OR(Query!$B$5="All",'Compliance Database'!$F506=Query!$B$5),OR(Query!$B$6="All",ISNUMBER(SEARCH(Query!$B$6,'Compliance Database'!$I506))),OR(Query!$B$7="All",ISNUMBER(SEARCH(Query!$B$7,'Compliance Database'!$J506))),OR(Query!$B$8="All",'Compliance Database'!$G506=Query!$B$8),OR(Query!$B$9="All",'Compliance Database'!$K506=Query!$B$9),OR(Query!$B$10="",ISNUMBER(SEARCH(Query!$B$10,'Compliance Database'!$D506&amp;" "&amp;'Compliance Database'!$L506&amp;" "&amp;'Compliance Database'!$M506&amp;" "&amp;'Compliance Database'!$N506&amp;" "&amp;'Compliance Database'!$O506)))),1,0)</f>
        <v/>
      </c>
      <c r="B506">
        <f>IF($A506=1,SUM($A$2:$A506),"")</f>
        <v/>
      </c>
      <c r="C506">
        <f>IF($A506=1,SUM($A$2:$A506),0)</f>
        <v/>
      </c>
    </row>
    <row r="507">
      <c r="A507">
        <f>IF(AND(OR(Query!$B$4="All",'Compliance Database'!$A507=Query!$B$4),OR(Query!$B$5="All",'Compliance Database'!$F507=Query!$B$5),OR(Query!$B$6="All",ISNUMBER(SEARCH(Query!$B$6,'Compliance Database'!$I507))),OR(Query!$B$7="All",ISNUMBER(SEARCH(Query!$B$7,'Compliance Database'!$J507))),OR(Query!$B$8="All",'Compliance Database'!$G507=Query!$B$8),OR(Query!$B$9="All",'Compliance Database'!$K507=Query!$B$9),OR(Query!$B$10="",ISNUMBER(SEARCH(Query!$B$10,'Compliance Database'!$D507&amp;" "&amp;'Compliance Database'!$L507&amp;" "&amp;'Compliance Database'!$M507&amp;" "&amp;'Compliance Database'!$N507&amp;" "&amp;'Compliance Database'!$O507)))),1,0)</f>
        <v/>
      </c>
      <c r="B507">
        <f>IF($A507=1,SUM($A$2:$A507),"")</f>
        <v/>
      </c>
      <c r="C507">
        <f>IF($A507=1,SUM($A$2:$A507),0)</f>
        <v/>
      </c>
    </row>
    <row r="508">
      <c r="A508">
        <f>IF(AND(OR(Query!$B$4="All",'Compliance Database'!$A508=Query!$B$4),OR(Query!$B$5="All",'Compliance Database'!$F508=Query!$B$5),OR(Query!$B$6="All",ISNUMBER(SEARCH(Query!$B$6,'Compliance Database'!$I508))),OR(Query!$B$7="All",ISNUMBER(SEARCH(Query!$B$7,'Compliance Database'!$J508))),OR(Query!$B$8="All",'Compliance Database'!$G508=Query!$B$8),OR(Query!$B$9="All",'Compliance Database'!$K508=Query!$B$9),OR(Query!$B$10="",ISNUMBER(SEARCH(Query!$B$10,'Compliance Database'!$D508&amp;" "&amp;'Compliance Database'!$L508&amp;" "&amp;'Compliance Database'!$M508&amp;" "&amp;'Compliance Database'!$N508&amp;" "&amp;'Compliance Database'!$O508)))),1,0)</f>
        <v/>
      </c>
      <c r="B508">
        <f>IF($A508=1,SUM($A$2:$A508),"")</f>
        <v/>
      </c>
      <c r="C508">
        <f>IF($A508=1,SUM($A$2:$A508),0)</f>
        <v/>
      </c>
    </row>
    <row r="509">
      <c r="A509">
        <f>IF(AND(OR(Query!$B$4="All",'Compliance Database'!$A509=Query!$B$4),OR(Query!$B$5="All",'Compliance Database'!$F509=Query!$B$5),OR(Query!$B$6="All",ISNUMBER(SEARCH(Query!$B$6,'Compliance Database'!$I509))),OR(Query!$B$7="All",ISNUMBER(SEARCH(Query!$B$7,'Compliance Database'!$J509))),OR(Query!$B$8="All",'Compliance Database'!$G509=Query!$B$8),OR(Query!$B$9="All",'Compliance Database'!$K509=Query!$B$9),OR(Query!$B$10="",ISNUMBER(SEARCH(Query!$B$10,'Compliance Database'!$D509&amp;" "&amp;'Compliance Database'!$L509&amp;" "&amp;'Compliance Database'!$M509&amp;" "&amp;'Compliance Database'!$N509&amp;" "&amp;'Compliance Database'!$O509)))),1,0)</f>
        <v/>
      </c>
      <c r="B509">
        <f>IF($A509=1,SUM($A$2:$A509),"")</f>
        <v/>
      </c>
      <c r="C509">
        <f>IF($A509=1,SUM($A$2:$A509),0)</f>
        <v/>
      </c>
    </row>
    <row r="510">
      <c r="A510">
        <f>IF(AND(OR(Query!$B$4="All",'Compliance Database'!$A510=Query!$B$4),OR(Query!$B$5="All",'Compliance Database'!$F510=Query!$B$5),OR(Query!$B$6="All",ISNUMBER(SEARCH(Query!$B$6,'Compliance Database'!$I510))),OR(Query!$B$7="All",ISNUMBER(SEARCH(Query!$B$7,'Compliance Database'!$J510))),OR(Query!$B$8="All",'Compliance Database'!$G510=Query!$B$8),OR(Query!$B$9="All",'Compliance Database'!$K510=Query!$B$9),OR(Query!$B$10="",ISNUMBER(SEARCH(Query!$B$10,'Compliance Database'!$D510&amp;" "&amp;'Compliance Database'!$L510&amp;" "&amp;'Compliance Database'!$M510&amp;" "&amp;'Compliance Database'!$N510&amp;" "&amp;'Compliance Database'!$O510)))),1,0)</f>
        <v/>
      </c>
      <c r="B510">
        <f>IF($A510=1,SUM($A$2:$A510),"")</f>
        <v/>
      </c>
      <c r="C510">
        <f>IF($A510=1,SUM($A$2:$A510),0)</f>
        <v/>
      </c>
    </row>
    <row r="511">
      <c r="A511">
        <f>IF(AND(OR(Query!$B$4="All",'Compliance Database'!$A511=Query!$B$4),OR(Query!$B$5="All",'Compliance Database'!$F511=Query!$B$5),OR(Query!$B$6="All",ISNUMBER(SEARCH(Query!$B$6,'Compliance Database'!$I511))),OR(Query!$B$7="All",ISNUMBER(SEARCH(Query!$B$7,'Compliance Database'!$J511))),OR(Query!$B$8="All",'Compliance Database'!$G511=Query!$B$8),OR(Query!$B$9="All",'Compliance Database'!$K511=Query!$B$9),OR(Query!$B$10="",ISNUMBER(SEARCH(Query!$B$10,'Compliance Database'!$D511&amp;" "&amp;'Compliance Database'!$L511&amp;" "&amp;'Compliance Database'!$M511&amp;" "&amp;'Compliance Database'!$N511&amp;" "&amp;'Compliance Database'!$O511)))),1,0)</f>
        <v/>
      </c>
      <c r="B511">
        <f>IF($A511=1,SUM($A$2:$A511),"")</f>
        <v/>
      </c>
      <c r="C511">
        <f>IF($A511=1,SUM($A$2:$A511),0)</f>
        <v/>
      </c>
    </row>
    <row r="512">
      <c r="A512">
        <f>IF(AND(OR(Query!$B$4="All",'Compliance Database'!$A512=Query!$B$4),OR(Query!$B$5="All",'Compliance Database'!$F512=Query!$B$5),OR(Query!$B$6="All",ISNUMBER(SEARCH(Query!$B$6,'Compliance Database'!$I512))),OR(Query!$B$7="All",ISNUMBER(SEARCH(Query!$B$7,'Compliance Database'!$J512))),OR(Query!$B$8="All",'Compliance Database'!$G512=Query!$B$8),OR(Query!$B$9="All",'Compliance Database'!$K512=Query!$B$9),OR(Query!$B$10="",ISNUMBER(SEARCH(Query!$B$10,'Compliance Database'!$D512&amp;" "&amp;'Compliance Database'!$L512&amp;" "&amp;'Compliance Database'!$M512&amp;" "&amp;'Compliance Database'!$N512&amp;" "&amp;'Compliance Database'!$O512)))),1,0)</f>
        <v/>
      </c>
      <c r="B512">
        <f>IF($A512=1,SUM($A$2:$A512),"")</f>
        <v/>
      </c>
      <c r="C512">
        <f>IF($A512=1,SUM($A$2:$A512),0)</f>
        <v/>
      </c>
    </row>
    <row r="513">
      <c r="A513">
        <f>IF(AND(OR(Query!$B$4="All",'Compliance Database'!$A513=Query!$B$4),OR(Query!$B$5="All",'Compliance Database'!$F513=Query!$B$5),OR(Query!$B$6="All",ISNUMBER(SEARCH(Query!$B$6,'Compliance Database'!$I513))),OR(Query!$B$7="All",ISNUMBER(SEARCH(Query!$B$7,'Compliance Database'!$J513))),OR(Query!$B$8="All",'Compliance Database'!$G513=Query!$B$8),OR(Query!$B$9="All",'Compliance Database'!$K513=Query!$B$9),OR(Query!$B$10="",ISNUMBER(SEARCH(Query!$B$10,'Compliance Database'!$D513&amp;" "&amp;'Compliance Database'!$L513&amp;" "&amp;'Compliance Database'!$M513&amp;" "&amp;'Compliance Database'!$N513&amp;" "&amp;'Compliance Database'!$O513)))),1,0)</f>
        <v/>
      </c>
      <c r="B513">
        <f>IF($A513=1,SUM($A$2:$A513),"")</f>
        <v/>
      </c>
      <c r="C513">
        <f>IF($A513=1,SUM($A$2:$A513),0)</f>
        <v/>
      </c>
    </row>
    <row r="514">
      <c r="A514">
        <f>IF(AND(OR(Query!$B$4="All",'Compliance Database'!$A514=Query!$B$4),OR(Query!$B$5="All",'Compliance Database'!$F514=Query!$B$5),OR(Query!$B$6="All",ISNUMBER(SEARCH(Query!$B$6,'Compliance Database'!$I514))),OR(Query!$B$7="All",ISNUMBER(SEARCH(Query!$B$7,'Compliance Database'!$J514))),OR(Query!$B$8="All",'Compliance Database'!$G514=Query!$B$8),OR(Query!$B$9="All",'Compliance Database'!$K514=Query!$B$9),OR(Query!$B$10="",ISNUMBER(SEARCH(Query!$B$10,'Compliance Database'!$D514&amp;" "&amp;'Compliance Database'!$L514&amp;" "&amp;'Compliance Database'!$M514&amp;" "&amp;'Compliance Database'!$N514&amp;" "&amp;'Compliance Database'!$O514)))),1,0)</f>
        <v/>
      </c>
      <c r="B514">
        <f>IF($A514=1,SUM($A$2:$A514),"")</f>
        <v/>
      </c>
      <c r="C514">
        <f>IF($A514=1,SUM($A$2:$A514),0)</f>
        <v/>
      </c>
    </row>
    <row r="515">
      <c r="A515">
        <f>IF(AND(OR(Query!$B$4="All",'Compliance Database'!$A515=Query!$B$4),OR(Query!$B$5="All",'Compliance Database'!$F515=Query!$B$5),OR(Query!$B$6="All",ISNUMBER(SEARCH(Query!$B$6,'Compliance Database'!$I515))),OR(Query!$B$7="All",ISNUMBER(SEARCH(Query!$B$7,'Compliance Database'!$J515))),OR(Query!$B$8="All",'Compliance Database'!$G515=Query!$B$8),OR(Query!$B$9="All",'Compliance Database'!$K515=Query!$B$9),OR(Query!$B$10="",ISNUMBER(SEARCH(Query!$B$10,'Compliance Database'!$D515&amp;" "&amp;'Compliance Database'!$L515&amp;" "&amp;'Compliance Database'!$M515&amp;" "&amp;'Compliance Database'!$N515&amp;" "&amp;'Compliance Database'!$O515)))),1,0)</f>
        <v/>
      </c>
      <c r="B515">
        <f>IF($A515=1,SUM($A$2:$A515),"")</f>
        <v/>
      </c>
      <c r="C515">
        <f>IF($A515=1,SUM($A$2:$A515),0)</f>
        <v/>
      </c>
    </row>
    <row r="516">
      <c r="A516">
        <f>IF(AND(OR(Query!$B$4="All",'Compliance Database'!$A516=Query!$B$4),OR(Query!$B$5="All",'Compliance Database'!$F516=Query!$B$5),OR(Query!$B$6="All",ISNUMBER(SEARCH(Query!$B$6,'Compliance Database'!$I516))),OR(Query!$B$7="All",ISNUMBER(SEARCH(Query!$B$7,'Compliance Database'!$J516))),OR(Query!$B$8="All",'Compliance Database'!$G516=Query!$B$8),OR(Query!$B$9="All",'Compliance Database'!$K516=Query!$B$9),OR(Query!$B$10="",ISNUMBER(SEARCH(Query!$B$10,'Compliance Database'!$D516&amp;" "&amp;'Compliance Database'!$L516&amp;" "&amp;'Compliance Database'!$M516&amp;" "&amp;'Compliance Database'!$N516&amp;" "&amp;'Compliance Database'!$O516)))),1,0)</f>
        <v/>
      </c>
      <c r="B516">
        <f>IF($A516=1,SUM($A$2:$A516),"")</f>
        <v/>
      </c>
      <c r="C516">
        <f>IF($A516=1,SUM($A$2:$A516),0)</f>
        <v/>
      </c>
    </row>
    <row r="517">
      <c r="A517">
        <f>IF(AND(OR(Query!$B$4="All",'Compliance Database'!$A517=Query!$B$4),OR(Query!$B$5="All",'Compliance Database'!$F517=Query!$B$5),OR(Query!$B$6="All",ISNUMBER(SEARCH(Query!$B$6,'Compliance Database'!$I517))),OR(Query!$B$7="All",ISNUMBER(SEARCH(Query!$B$7,'Compliance Database'!$J517))),OR(Query!$B$8="All",'Compliance Database'!$G517=Query!$B$8),OR(Query!$B$9="All",'Compliance Database'!$K517=Query!$B$9),OR(Query!$B$10="",ISNUMBER(SEARCH(Query!$B$10,'Compliance Database'!$D517&amp;" "&amp;'Compliance Database'!$L517&amp;" "&amp;'Compliance Database'!$M517&amp;" "&amp;'Compliance Database'!$N517&amp;" "&amp;'Compliance Database'!$O517)))),1,0)</f>
        <v/>
      </c>
      <c r="B517">
        <f>IF($A517=1,SUM($A$2:$A517),"")</f>
        <v/>
      </c>
      <c r="C517">
        <f>IF($A517=1,SUM($A$2:$A517),0)</f>
        <v/>
      </c>
    </row>
    <row r="518">
      <c r="A518">
        <f>IF(AND(OR(Query!$B$4="All",'Compliance Database'!$A518=Query!$B$4),OR(Query!$B$5="All",'Compliance Database'!$F518=Query!$B$5),OR(Query!$B$6="All",ISNUMBER(SEARCH(Query!$B$6,'Compliance Database'!$I518))),OR(Query!$B$7="All",ISNUMBER(SEARCH(Query!$B$7,'Compliance Database'!$J518))),OR(Query!$B$8="All",'Compliance Database'!$G518=Query!$B$8),OR(Query!$B$9="All",'Compliance Database'!$K518=Query!$B$9),OR(Query!$B$10="",ISNUMBER(SEARCH(Query!$B$10,'Compliance Database'!$D518&amp;" "&amp;'Compliance Database'!$L518&amp;" "&amp;'Compliance Database'!$M518&amp;" "&amp;'Compliance Database'!$N518&amp;" "&amp;'Compliance Database'!$O518)))),1,0)</f>
        <v/>
      </c>
      <c r="B518">
        <f>IF($A518=1,SUM($A$2:$A518),"")</f>
        <v/>
      </c>
      <c r="C518">
        <f>IF($A518=1,SUM($A$2:$A518),0)</f>
        <v/>
      </c>
    </row>
    <row r="519">
      <c r="A519">
        <f>IF(AND(OR(Query!$B$4="All",'Compliance Database'!$A519=Query!$B$4),OR(Query!$B$5="All",'Compliance Database'!$F519=Query!$B$5),OR(Query!$B$6="All",ISNUMBER(SEARCH(Query!$B$6,'Compliance Database'!$I519))),OR(Query!$B$7="All",ISNUMBER(SEARCH(Query!$B$7,'Compliance Database'!$J519))),OR(Query!$B$8="All",'Compliance Database'!$G519=Query!$B$8),OR(Query!$B$9="All",'Compliance Database'!$K519=Query!$B$9),OR(Query!$B$10="",ISNUMBER(SEARCH(Query!$B$10,'Compliance Database'!$D519&amp;" "&amp;'Compliance Database'!$L519&amp;" "&amp;'Compliance Database'!$M519&amp;" "&amp;'Compliance Database'!$N519&amp;" "&amp;'Compliance Database'!$O519)))),1,0)</f>
        <v/>
      </c>
      <c r="B519">
        <f>IF($A519=1,SUM($A$2:$A519),"")</f>
        <v/>
      </c>
      <c r="C519">
        <f>IF($A519=1,SUM($A$2:$A519),0)</f>
        <v/>
      </c>
    </row>
    <row r="520">
      <c r="A520">
        <f>IF(AND(OR(Query!$B$4="All",'Compliance Database'!$A520=Query!$B$4),OR(Query!$B$5="All",'Compliance Database'!$F520=Query!$B$5),OR(Query!$B$6="All",ISNUMBER(SEARCH(Query!$B$6,'Compliance Database'!$I520))),OR(Query!$B$7="All",ISNUMBER(SEARCH(Query!$B$7,'Compliance Database'!$J520))),OR(Query!$B$8="All",'Compliance Database'!$G520=Query!$B$8),OR(Query!$B$9="All",'Compliance Database'!$K520=Query!$B$9),OR(Query!$B$10="",ISNUMBER(SEARCH(Query!$B$10,'Compliance Database'!$D520&amp;" "&amp;'Compliance Database'!$L520&amp;" "&amp;'Compliance Database'!$M520&amp;" "&amp;'Compliance Database'!$N520&amp;" "&amp;'Compliance Database'!$O520)))),1,0)</f>
        <v/>
      </c>
      <c r="B520">
        <f>IF($A520=1,SUM($A$2:$A520),"")</f>
        <v/>
      </c>
      <c r="C520">
        <f>IF($A520=1,SUM($A$2:$A520),0)</f>
        <v/>
      </c>
    </row>
    <row r="521">
      <c r="A521">
        <f>IF(AND(OR(Query!$B$4="All",'Compliance Database'!$A521=Query!$B$4),OR(Query!$B$5="All",'Compliance Database'!$F521=Query!$B$5),OR(Query!$B$6="All",ISNUMBER(SEARCH(Query!$B$6,'Compliance Database'!$I521))),OR(Query!$B$7="All",ISNUMBER(SEARCH(Query!$B$7,'Compliance Database'!$J521))),OR(Query!$B$8="All",'Compliance Database'!$G521=Query!$B$8),OR(Query!$B$9="All",'Compliance Database'!$K521=Query!$B$9),OR(Query!$B$10="",ISNUMBER(SEARCH(Query!$B$10,'Compliance Database'!$D521&amp;" "&amp;'Compliance Database'!$L521&amp;" "&amp;'Compliance Database'!$M521&amp;" "&amp;'Compliance Database'!$N521&amp;" "&amp;'Compliance Database'!$O521)))),1,0)</f>
        <v/>
      </c>
      <c r="B521">
        <f>IF($A521=1,SUM($A$2:$A521),"")</f>
        <v/>
      </c>
      <c r="C521">
        <f>IF($A521=1,SUM($A$2:$A521),0)</f>
        <v/>
      </c>
    </row>
    <row r="522">
      <c r="A522">
        <f>IF(AND(OR(Query!$B$4="All",'Compliance Database'!$A522=Query!$B$4),OR(Query!$B$5="All",'Compliance Database'!$F522=Query!$B$5),OR(Query!$B$6="All",ISNUMBER(SEARCH(Query!$B$6,'Compliance Database'!$I522))),OR(Query!$B$7="All",ISNUMBER(SEARCH(Query!$B$7,'Compliance Database'!$J522))),OR(Query!$B$8="All",'Compliance Database'!$G522=Query!$B$8),OR(Query!$B$9="All",'Compliance Database'!$K522=Query!$B$9),OR(Query!$B$10="",ISNUMBER(SEARCH(Query!$B$10,'Compliance Database'!$D522&amp;" "&amp;'Compliance Database'!$L522&amp;" "&amp;'Compliance Database'!$M522&amp;" "&amp;'Compliance Database'!$N522&amp;" "&amp;'Compliance Database'!$O522)))),1,0)</f>
        <v/>
      </c>
      <c r="B522">
        <f>IF($A522=1,SUM($A$2:$A522),"")</f>
        <v/>
      </c>
      <c r="C522">
        <f>IF($A522=1,SUM($A$2:$A522),0)</f>
        <v/>
      </c>
    </row>
    <row r="523">
      <c r="A523">
        <f>IF(AND(OR(Query!$B$4="All",'Compliance Database'!$A523=Query!$B$4),OR(Query!$B$5="All",'Compliance Database'!$F523=Query!$B$5),OR(Query!$B$6="All",ISNUMBER(SEARCH(Query!$B$6,'Compliance Database'!$I523))),OR(Query!$B$7="All",ISNUMBER(SEARCH(Query!$B$7,'Compliance Database'!$J523))),OR(Query!$B$8="All",'Compliance Database'!$G523=Query!$B$8),OR(Query!$B$9="All",'Compliance Database'!$K523=Query!$B$9),OR(Query!$B$10="",ISNUMBER(SEARCH(Query!$B$10,'Compliance Database'!$D523&amp;" "&amp;'Compliance Database'!$L523&amp;" "&amp;'Compliance Database'!$M523&amp;" "&amp;'Compliance Database'!$N523&amp;" "&amp;'Compliance Database'!$O523)))),1,0)</f>
        <v/>
      </c>
      <c r="B523">
        <f>IF($A523=1,SUM($A$2:$A523),"")</f>
        <v/>
      </c>
      <c r="C523">
        <f>IF($A523=1,SUM($A$2:$A523),0)</f>
        <v/>
      </c>
    </row>
    <row r="524">
      <c r="A524">
        <f>IF(AND(OR(Query!$B$4="All",'Compliance Database'!$A524=Query!$B$4),OR(Query!$B$5="All",'Compliance Database'!$F524=Query!$B$5),OR(Query!$B$6="All",ISNUMBER(SEARCH(Query!$B$6,'Compliance Database'!$I524))),OR(Query!$B$7="All",ISNUMBER(SEARCH(Query!$B$7,'Compliance Database'!$J524))),OR(Query!$B$8="All",'Compliance Database'!$G524=Query!$B$8),OR(Query!$B$9="All",'Compliance Database'!$K524=Query!$B$9),OR(Query!$B$10="",ISNUMBER(SEARCH(Query!$B$10,'Compliance Database'!$D524&amp;" "&amp;'Compliance Database'!$L524&amp;" "&amp;'Compliance Database'!$M524&amp;" "&amp;'Compliance Database'!$N524&amp;" "&amp;'Compliance Database'!$O524)))),1,0)</f>
        <v/>
      </c>
      <c r="B524">
        <f>IF($A524=1,SUM($A$2:$A524),"")</f>
        <v/>
      </c>
      <c r="C524">
        <f>IF($A524=1,SUM($A$2:$A524),0)</f>
        <v/>
      </c>
    </row>
    <row r="525">
      <c r="A525">
        <f>IF(AND(OR(Query!$B$4="All",'Compliance Database'!$A525=Query!$B$4),OR(Query!$B$5="All",'Compliance Database'!$F525=Query!$B$5),OR(Query!$B$6="All",ISNUMBER(SEARCH(Query!$B$6,'Compliance Database'!$I525))),OR(Query!$B$7="All",ISNUMBER(SEARCH(Query!$B$7,'Compliance Database'!$J525))),OR(Query!$B$8="All",'Compliance Database'!$G525=Query!$B$8),OR(Query!$B$9="All",'Compliance Database'!$K525=Query!$B$9),OR(Query!$B$10="",ISNUMBER(SEARCH(Query!$B$10,'Compliance Database'!$D525&amp;" "&amp;'Compliance Database'!$L525&amp;" "&amp;'Compliance Database'!$M525&amp;" "&amp;'Compliance Database'!$N525&amp;" "&amp;'Compliance Database'!$O525)))),1,0)</f>
        <v/>
      </c>
      <c r="B525">
        <f>IF($A525=1,SUM($A$2:$A525),"")</f>
        <v/>
      </c>
      <c r="C525">
        <f>IF($A525=1,SUM($A$2:$A525),0)</f>
        <v/>
      </c>
    </row>
    <row r="526">
      <c r="A526">
        <f>IF(AND(OR(Query!$B$4="All",'Compliance Database'!$A526=Query!$B$4),OR(Query!$B$5="All",'Compliance Database'!$F526=Query!$B$5),OR(Query!$B$6="All",ISNUMBER(SEARCH(Query!$B$6,'Compliance Database'!$I526))),OR(Query!$B$7="All",ISNUMBER(SEARCH(Query!$B$7,'Compliance Database'!$J526))),OR(Query!$B$8="All",'Compliance Database'!$G526=Query!$B$8),OR(Query!$B$9="All",'Compliance Database'!$K526=Query!$B$9),OR(Query!$B$10="",ISNUMBER(SEARCH(Query!$B$10,'Compliance Database'!$D526&amp;" "&amp;'Compliance Database'!$L526&amp;" "&amp;'Compliance Database'!$M526&amp;" "&amp;'Compliance Database'!$N526&amp;" "&amp;'Compliance Database'!$O526)))),1,0)</f>
        <v/>
      </c>
      <c r="B526">
        <f>IF($A526=1,SUM($A$2:$A526),"")</f>
        <v/>
      </c>
      <c r="C526">
        <f>IF($A526=1,SUM($A$2:$A526),0)</f>
        <v/>
      </c>
    </row>
    <row r="527">
      <c r="A527">
        <f>IF(AND(OR(Query!$B$4="All",'Compliance Database'!$A527=Query!$B$4),OR(Query!$B$5="All",'Compliance Database'!$F527=Query!$B$5),OR(Query!$B$6="All",ISNUMBER(SEARCH(Query!$B$6,'Compliance Database'!$I527))),OR(Query!$B$7="All",ISNUMBER(SEARCH(Query!$B$7,'Compliance Database'!$J527))),OR(Query!$B$8="All",'Compliance Database'!$G527=Query!$B$8),OR(Query!$B$9="All",'Compliance Database'!$K527=Query!$B$9),OR(Query!$B$10="",ISNUMBER(SEARCH(Query!$B$10,'Compliance Database'!$D527&amp;" "&amp;'Compliance Database'!$L527&amp;" "&amp;'Compliance Database'!$M527&amp;" "&amp;'Compliance Database'!$N527&amp;" "&amp;'Compliance Database'!$O527)))),1,0)</f>
        <v/>
      </c>
      <c r="B527">
        <f>IF($A527=1,SUM($A$2:$A527),"")</f>
        <v/>
      </c>
      <c r="C527">
        <f>IF($A527=1,SUM($A$2:$A527),0)</f>
        <v/>
      </c>
    </row>
    <row r="528">
      <c r="A528">
        <f>IF(AND(OR(Query!$B$4="All",'Compliance Database'!$A528=Query!$B$4),OR(Query!$B$5="All",'Compliance Database'!$F528=Query!$B$5),OR(Query!$B$6="All",ISNUMBER(SEARCH(Query!$B$6,'Compliance Database'!$I528))),OR(Query!$B$7="All",ISNUMBER(SEARCH(Query!$B$7,'Compliance Database'!$J528))),OR(Query!$B$8="All",'Compliance Database'!$G528=Query!$B$8),OR(Query!$B$9="All",'Compliance Database'!$K528=Query!$B$9),OR(Query!$B$10="",ISNUMBER(SEARCH(Query!$B$10,'Compliance Database'!$D528&amp;" "&amp;'Compliance Database'!$L528&amp;" "&amp;'Compliance Database'!$M528&amp;" "&amp;'Compliance Database'!$N528&amp;" "&amp;'Compliance Database'!$O528)))),1,0)</f>
        <v/>
      </c>
      <c r="B528">
        <f>IF($A528=1,SUM($A$2:$A528),"")</f>
        <v/>
      </c>
      <c r="C528">
        <f>IF($A528=1,SUM($A$2:$A528),0)</f>
        <v/>
      </c>
    </row>
    <row r="529">
      <c r="A529">
        <f>IF(AND(OR(Query!$B$4="All",'Compliance Database'!$A529=Query!$B$4),OR(Query!$B$5="All",'Compliance Database'!$F529=Query!$B$5),OR(Query!$B$6="All",ISNUMBER(SEARCH(Query!$B$6,'Compliance Database'!$I529))),OR(Query!$B$7="All",ISNUMBER(SEARCH(Query!$B$7,'Compliance Database'!$J529))),OR(Query!$B$8="All",'Compliance Database'!$G529=Query!$B$8),OR(Query!$B$9="All",'Compliance Database'!$K529=Query!$B$9),OR(Query!$B$10="",ISNUMBER(SEARCH(Query!$B$10,'Compliance Database'!$D529&amp;" "&amp;'Compliance Database'!$L529&amp;" "&amp;'Compliance Database'!$M529&amp;" "&amp;'Compliance Database'!$N529&amp;" "&amp;'Compliance Database'!$O529)))),1,0)</f>
        <v/>
      </c>
      <c r="B529">
        <f>IF($A529=1,SUM($A$2:$A529),"")</f>
        <v/>
      </c>
      <c r="C529">
        <f>IF($A529=1,SUM($A$2:$A529),0)</f>
        <v/>
      </c>
    </row>
    <row r="530">
      <c r="A530">
        <f>IF(AND(OR(Query!$B$4="All",'Compliance Database'!$A530=Query!$B$4),OR(Query!$B$5="All",'Compliance Database'!$F530=Query!$B$5),OR(Query!$B$6="All",ISNUMBER(SEARCH(Query!$B$6,'Compliance Database'!$I530))),OR(Query!$B$7="All",ISNUMBER(SEARCH(Query!$B$7,'Compliance Database'!$J530))),OR(Query!$B$8="All",'Compliance Database'!$G530=Query!$B$8),OR(Query!$B$9="All",'Compliance Database'!$K530=Query!$B$9),OR(Query!$B$10="",ISNUMBER(SEARCH(Query!$B$10,'Compliance Database'!$D530&amp;" "&amp;'Compliance Database'!$L530&amp;" "&amp;'Compliance Database'!$M530&amp;" "&amp;'Compliance Database'!$N530&amp;" "&amp;'Compliance Database'!$O530)))),1,0)</f>
        <v/>
      </c>
      <c r="B530">
        <f>IF($A530=1,SUM($A$2:$A530),"")</f>
        <v/>
      </c>
      <c r="C530">
        <f>IF($A530=1,SUM($A$2:$A530),0)</f>
        <v/>
      </c>
    </row>
    <row r="531">
      <c r="A531">
        <f>IF(AND(OR(Query!$B$4="All",'Compliance Database'!$A531=Query!$B$4),OR(Query!$B$5="All",'Compliance Database'!$F531=Query!$B$5),OR(Query!$B$6="All",ISNUMBER(SEARCH(Query!$B$6,'Compliance Database'!$I531))),OR(Query!$B$7="All",ISNUMBER(SEARCH(Query!$B$7,'Compliance Database'!$J531))),OR(Query!$B$8="All",'Compliance Database'!$G531=Query!$B$8),OR(Query!$B$9="All",'Compliance Database'!$K531=Query!$B$9),OR(Query!$B$10="",ISNUMBER(SEARCH(Query!$B$10,'Compliance Database'!$D531&amp;" "&amp;'Compliance Database'!$L531&amp;" "&amp;'Compliance Database'!$M531&amp;" "&amp;'Compliance Database'!$N531&amp;" "&amp;'Compliance Database'!$O531)))),1,0)</f>
        <v/>
      </c>
      <c r="B531">
        <f>IF($A531=1,SUM($A$2:$A531),"")</f>
        <v/>
      </c>
      <c r="C531">
        <f>IF($A531=1,SUM($A$2:$A531),0)</f>
        <v/>
      </c>
    </row>
    <row r="532">
      <c r="A532">
        <f>IF(AND(OR(Query!$B$4="All",'Compliance Database'!$A532=Query!$B$4),OR(Query!$B$5="All",'Compliance Database'!$F532=Query!$B$5),OR(Query!$B$6="All",ISNUMBER(SEARCH(Query!$B$6,'Compliance Database'!$I532))),OR(Query!$B$7="All",ISNUMBER(SEARCH(Query!$B$7,'Compliance Database'!$J532))),OR(Query!$B$8="All",'Compliance Database'!$G532=Query!$B$8),OR(Query!$B$9="All",'Compliance Database'!$K532=Query!$B$9),OR(Query!$B$10="",ISNUMBER(SEARCH(Query!$B$10,'Compliance Database'!$D532&amp;" "&amp;'Compliance Database'!$L532&amp;" "&amp;'Compliance Database'!$M532&amp;" "&amp;'Compliance Database'!$N532&amp;" "&amp;'Compliance Database'!$O532)))),1,0)</f>
        <v/>
      </c>
      <c r="B532">
        <f>IF($A532=1,SUM($A$2:$A532),"")</f>
        <v/>
      </c>
      <c r="C532">
        <f>IF($A532=1,SUM($A$2:$A532),0)</f>
        <v/>
      </c>
    </row>
    <row r="533">
      <c r="A533">
        <f>IF(AND(OR(Query!$B$4="All",'Compliance Database'!$A533=Query!$B$4),OR(Query!$B$5="All",'Compliance Database'!$F533=Query!$B$5),OR(Query!$B$6="All",ISNUMBER(SEARCH(Query!$B$6,'Compliance Database'!$I533))),OR(Query!$B$7="All",ISNUMBER(SEARCH(Query!$B$7,'Compliance Database'!$J533))),OR(Query!$B$8="All",'Compliance Database'!$G533=Query!$B$8),OR(Query!$B$9="All",'Compliance Database'!$K533=Query!$B$9),OR(Query!$B$10="",ISNUMBER(SEARCH(Query!$B$10,'Compliance Database'!$D533&amp;" "&amp;'Compliance Database'!$L533&amp;" "&amp;'Compliance Database'!$M533&amp;" "&amp;'Compliance Database'!$N533&amp;" "&amp;'Compliance Database'!$O533)))),1,0)</f>
        <v/>
      </c>
      <c r="B533">
        <f>IF($A533=1,SUM($A$2:$A533),"")</f>
        <v/>
      </c>
      <c r="C533">
        <f>IF($A533=1,SUM($A$2:$A533),0)</f>
        <v/>
      </c>
    </row>
    <row r="534">
      <c r="A534">
        <f>IF(AND(OR(Query!$B$4="All",'Compliance Database'!$A534=Query!$B$4),OR(Query!$B$5="All",'Compliance Database'!$F534=Query!$B$5),OR(Query!$B$6="All",ISNUMBER(SEARCH(Query!$B$6,'Compliance Database'!$I534))),OR(Query!$B$7="All",ISNUMBER(SEARCH(Query!$B$7,'Compliance Database'!$J534))),OR(Query!$B$8="All",'Compliance Database'!$G534=Query!$B$8),OR(Query!$B$9="All",'Compliance Database'!$K534=Query!$B$9),OR(Query!$B$10="",ISNUMBER(SEARCH(Query!$B$10,'Compliance Database'!$D534&amp;" "&amp;'Compliance Database'!$L534&amp;" "&amp;'Compliance Database'!$M534&amp;" "&amp;'Compliance Database'!$N534&amp;" "&amp;'Compliance Database'!$O534)))),1,0)</f>
        <v/>
      </c>
      <c r="B534">
        <f>IF($A534=1,SUM($A$2:$A534),"")</f>
        <v/>
      </c>
      <c r="C534">
        <f>IF($A534=1,SUM($A$2:$A534),0)</f>
        <v/>
      </c>
    </row>
    <row r="535">
      <c r="A535">
        <f>IF(AND(OR(Query!$B$4="All",'Compliance Database'!$A535=Query!$B$4),OR(Query!$B$5="All",'Compliance Database'!$F535=Query!$B$5),OR(Query!$B$6="All",ISNUMBER(SEARCH(Query!$B$6,'Compliance Database'!$I535))),OR(Query!$B$7="All",ISNUMBER(SEARCH(Query!$B$7,'Compliance Database'!$J535))),OR(Query!$B$8="All",'Compliance Database'!$G535=Query!$B$8),OR(Query!$B$9="All",'Compliance Database'!$K535=Query!$B$9),OR(Query!$B$10="",ISNUMBER(SEARCH(Query!$B$10,'Compliance Database'!$D535&amp;" "&amp;'Compliance Database'!$L535&amp;" "&amp;'Compliance Database'!$M535&amp;" "&amp;'Compliance Database'!$N535&amp;" "&amp;'Compliance Database'!$O535)))),1,0)</f>
        <v/>
      </c>
      <c r="B535">
        <f>IF($A535=1,SUM($A$2:$A535),"")</f>
        <v/>
      </c>
      <c r="C535">
        <f>IF($A535=1,SUM($A$2:$A535),0)</f>
        <v/>
      </c>
    </row>
    <row r="536">
      <c r="A536">
        <f>IF(AND(OR(Query!$B$4="All",'Compliance Database'!$A536=Query!$B$4),OR(Query!$B$5="All",'Compliance Database'!$F536=Query!$B$5),OR(Query!$B$6="All",ISNUMBER(SEARCH(Query!$B$6,'Compliance Database'!$I536))),OR(Query!$B$7="All",ISNUMBER(SEARCH(Query!$B$7,'Compliance Database'!$J536))),OR(Query!$B$8="All",'Compliance Database'!$G536=Query!$B$8),OR(Query!$B$9="All",'Compliance Database'!$K536=Query!$B$9),OR(Query!$B$10="",ISNUMBER(SEARCH(Query!$B$10,'Compliance Database'!$D536&amp;" "&amp;'Compliance Database'!$L536&amp;" "&amp;'Compliance Database'!$M536&amp;" "&amp;'Compliance Database'!$N536&amp;" "&amp;'Compliance Database'!$O536)))),1,0)</f>
        <v/>
      </c>
      <c r="B536">
        <f>IF($A536=1,SUM($A$2:$A536),"")</f>
        <v/>
      </c>
      <c r="C536">
        <f>IF($A536=1,SUM($A$2:$A536),0)</f>
        <v/>
      </c>
    </row>
    <row r="537">
      <c r="A537">
        <f>IF(AND(OR(Query!$B$4="All",'Compliance Database'!$A537=Query!$B$4),OR(Query!$B$5="All",'Compliance Database'!$F537=Query!$B$5),OR(Query!$B$6="All",ISNUMBER(SEARCH(Query!$B$6,'Compliance Database'!$I537))),OR(Query!$B$7="All",ISNUMBER(SEARCH(Query!$B$7,'Compliance Database'!$J537))),OR(Query!$B$8="All",'Compliance Database'!$G537=Query!$B$8),OR(Query!$B$9="All",'Compliance Database'!$K537=Query!$B$9),OR(Query!$B$10="",ISNUMBER(SEARCH(Query!$B$10,'Compliance Database'!$D537&amp;" "&amp;'Compliance Database'!$L537&amp;" "&amp;'Compliance Database'!$M537&amp;" "&amp;'Compliance Database'!$N537&amp;" "&amp;'Compliance Database'!$O537)))),1,0)</f>
        <v/>
      </c>
      <c r="B537">
        <f>IF($A537=1,SUM($A$2:$A537),"")</f>
        <v/>
      </c>
      <c r="C537">
        <f>IF($A537=1,SUM($A$2:$A537),0)</f>
        <v/>
      </c>
    </row>
    <row r="538">
      <c r="A538">
        <f>IF(AND(OR(Query!$B$4="All",'Compliance Database'!$A538=Query!$B$4),OR(Query!$B$5="All",'Compliance Database'!$F538=Query!$B$5),OR(Query!$B$6="All",ISNUMBER(SEARCH(Query!$B$6,'Compliance Database'!$I538))),OR(Query!$B$7="All",ISNUMBER(SEARCH(Query!$B$7,'Compliance Database'!$J538))),OR(Query!$B$8="All",'Compliance Database'!$G538=Query!$B$8),OR(Query!$B$9="All",'Compliance Database'!$K538=Query!$B$9),OR(Query!$B$10="",ISNUMBER(SEARCH(Query!$B$10,'Compliance Database'!$D538&amp;" "&amp;'Compliance Database'!$L538&amp;" "&amp;'Compliance Database'!$M538&amp;" "&amp;'Compliance Database'!$N538&amp;" "&amp;'Compliance Database'!$O538)))),1,0)</f>
        <v/>
      </c>
      <c r="B538">
        <f>IF($A538=1,SUM($A$2:$A538),"")</f>
        <v/>
      </c>
      <c r="C538">
        <f>IF($A538=1,SUM($A$2:$A538),0)</f>
        <v/>
      </c>
    </row>
    <row r="539">
      <c r="A539">
        <f>IF(AND(OR(Query!$B$4="All",'Compliance Database'!$A539=Query!$B$4),OR(Query!$B$5="All",'Compliance Database'!$F539=Query!$B$5),OR(Query!$B$6="All",ISNUMBER(SEARCH(Query!$B$6,'Compliance Database'!$I539))),OR(Query!$B$7="All",ISNUMBER(SEARCH(Query!$B$7,'Compliance Database'!$J539))),OR(Query!$B$8="All",'Compliance Database'!$G539=Query!$B$8),OR(Query!$B$9="All",'Compliance Database'!$K539=Query!$B$9),OR(Query!$B$10="",ISNUMBER(SEARCH(Query!$B$10,'Compliance Database'!$D539&amp;" "&amp;'Compliance Database'!$L539&amp;" "&amp;'Compliance Database'!$M539&amp;" "&amp;'Compliance Database'!$N539&amp;" "&amp;'Compliance Database'!$O539)))),1,0)</f>
        <v/>
      </c>
      <c r="B539">
        <f>IF($A539=1,SUM($A$2:$A539),"")</f>
        <v/>
      </c>
      <c r="C539">
        <f>IF($A539=1,SUM($A$2:$A539),0)</f>
        <v/>
      </c>
    </row>
    <row r="540">
      <c r="A540">
        <f>IF(AND(OR(Query!$B$4="All",'Compliance Database'!$A540=Query!$B$4),OR(Query!$B$5="All",'Compliance Database'!$F540=Query!$B$5),OR(Query!$B$6="All",ISNUMBER(SEARCH(Query!$B$6,'Compliance Database'!$I540))),OR(Query!$B$7="All",ISNUMBER(SEARCH(Query!$B$7,'Compliance Database'!$J540))),OR(Query!$B$8="All",'Compliance Database'!$G540=Query!$B$8),OR(Query!$B$9="All",'Compliance Database'!$K540=Query!$B$9),OR(Query!$B$10="",ISNUMBER(SEARCH(Query!$B$10,'Compliance Database'!$D540&amp;" "&amp;'Compliance Database'!$L540&amp;" "&amp;'Compliance Database'!$M540&amp;" "&amp;'Compliance Database'!$N540&amp;" "&amp;'Compliance Database'!$O540)))),1,0)</f>
        <v/>
      </c>
      <c r="B540">
        <f>IF($A540=1,SUM($A$2:$A540),"")</f>
        <v/>
      </c>
      <c r="C540">
        <f>IF($A540=1,SUM($A$2:$A540),0)</f>
        <v/>
      </c>
    </row>
    <row r="541">
      <c r="A541">
        <f>IF(AND(OR(Query!$B$4="All",'Compliance Database'!$A541=Query!$B$4),OR(Query!$B$5="All",'Compliance Database'!$F541=Query!$B$5),OR(Query!$B$6="All",ISNUMBER(SEARCH(Query!$B$6,'Compliance Database'!$I541))),OR(Query!$B$7="All",ISNUMBER(SEARCH(Query!$B$7,'Compliance Database'!$J541))),OR(Query!$B$8="All",'Compliance Database'!$G541=Query!$B$8),OR(Query!$B$9="All",'Compliance Database'!$K541=Query!$B$9),OR(Query!$B$10="",ISNUMBER(SEARCH(Query!$B$10,'Compliance Database'!$D541&amp;" "&amp;'Compliance Database'!$L541&amp;" "&amp;'Compliance Database'!$M541&amp;" "&amp;'Compliance Database'!$N541&amp;" "&amp;'Compliance Database'!$O541)))),1,0)</f>
        <v/>
      </c>
      <c r="B541">
        <f>IF($A541=1,SUM($A$2:$A541),"")</f>
        <v/>
      </c>
      <c r="C541">
        <f>IF($A541=1,SUM($A$2:$A541),0)</f>
        <v/>
      </c>
    </row>
    <row r="542">
      <c r="A542">
        <f>IF(AND(OR(Query!$B$4="All",'Compliance Database'!$A542=Query!$B$4),OR(Query!$B$5="All",'Compliance Database'!$F542=Query!$B$5),OR(Query!$B$6="All",ISNUMBER(SEARCH(Query!$B$6,'Compliance Database'!$I542))),OR(Query!$B$7="All",ISNUMBER(SEARCH(Query!$B$7,'Compliance Database'!$J542))),OR(Query!$B$8="All",'Compliance Database'!$G542=Query!$B$8),OR(Query!$B$9="All",'Compliance Database'!$K542=Query!$B$9),OR(Query!$B$10="",ISNUMBER(SEARCH(Query!$B$10,'Compliance Database'!$D542&amp;" "&amp;'Compliance Database'!$L542&amp;" "&amp;'Compliance Database'!$M542&amp;" "&amp;'Compliance Database'!$N542&amp;" "&amp;'Compliance Database'!$O542)))),1,0)</f>
        <v/>
      </c>
      <c r="B542">
        <f>IF($A542=1,SUM($A$2:$A542),"")</f>
        <v/>
      </c>
      <c r="C542">
        <f>IF($A542=1,SUM($A$2:$A542),0)</f>
        <v/>
      </c>
    </row>
    <row r="543">
      <c r="A543">
        <f>IF(AND(OR(Query!$B$4="All",'Compliance Database'!$A543=Query!$B$4),OR(Query!$B$5="All",'Compliance Database'!$F543=Query!$B$5),OR(Query!$B$6="All",ISNUMBER(SEARCH(Query!$B$6,'Compliance Database'!$I543))),OR(Query!$B$7="All",ISNUMBER(SEARCH(Query!$B$7,'Compliance Database'!$J543))),OR(Query!$B$8="All",'Compliance Database'!$G543=Query!$B$8),OR(Query!$B$9="All",'Compliance Database'!$K543=Query!$B$9),OR(Query!$B$10="",ISNUMBER(SEARCH(Query!$B$10,'Compliance Database'!$D543&amp;" "&amp;'Compliance Database'!$L543&amp;" "&amp;'Compliance Database'!$M543&amp;" "&amp;'Compliance Database'!$N543&amp;" "&amp;'Compliance Database'!$O543)))),1,0)</f>
        <v/>
      </c>
      <c r="B543">
        <f>IF($A543=1,SUM($A$2:$A543),"")</f>
        <v/>
      </c>
      <c r="C543">
        <f>IF($A543=1,SUM($A$2:$A543),0)</f>
        <v/>
      </c>
    </row>
    <row r="544">
      <c r="A544">
        <f>IF(AND(OR(Query!$B$4="All",'Compliance Database'!$A544=Query!$B$4),OR(Query!$B$5="All",'Compliance Database'!$F544=Query!$B$5),OR(Query!$B$6="All",ISNUMBER(SEARCH(Query!$B$6,'Compliance Database'!$I544))),OR(Query!$B$7="All",ISNUMBER(SEARCH(Query!$B$7,'Compliance Database'!$J544))),OR(Query!$B$8="All",'Compliance Database'!$G544=Query!$B$8),OR(Query!$B$9="All",'Compliance Database'!$K544=Query!$B$9),OR(Query!$B$10="",ISNUMBER(SEARCH(Query!$B$10,'Compliance Database'!$D544&amp;" "&amp;'Compliance Database'!$L544&amp;" "&amp;'Compliance Database'!$M544&amp;" "&amp;'Compliance Database'!$N544&amp;" "&amp;'Compliance Database'!$O544)))),1,0)</f>
        <v/>
      </c>
      <c r="B544">
        <f>IF($A544=1,SUM($A$2:$A544),"")</f>
        <v/>
      </c>
      <c r="C544">
        <f>IF($A544=1,SUM($A$2:$A544),0)</f>
        <v/>
      </c>
    </row>
    <row r="545">
      <c r="A545">
        <f>IF(AND(OR(Query!$B$4="All",'Compliance Database'!$A545=Query!$B$4),OR(Query!$B$5="All",'Compliance Database'!$F545=Query!$B$5),OR(Query!$B$6="All",ISNUMBER(SEARCH(Query!$B$6,'Compliance Database'!$I545))),OR(Query!$B$7="All",ISNUMBER(SEARCH(Query!$B$7,'Compliance Database'!$J545))),OR(Query!$B$8="All",'Compliance Database'!$G545=Query!$B$8),OR(Query!$B$9="All",'Compliance Database'!$K545=Query!$B$9),OR(Query!$B$10="",ISNUMBER(SEARCH(Query!$B$10,'Compliance Database'!$D545&amp;" "&amp;'Compliance Database'!$L545&amp;" "&amp;'Compliance Database'!$M545&amp;" "&amp;'Compliance Database'!$N545&amp;" "&amp;'Compliance Database'!$O545)))),1,0)</f>
        <v/>
      </c>
      <c r="B545">
        <f>IF($A545=1,SUM($A$2:$A545),"")</f>
        <v/>
      </c>
      <c r="C545">
        <f>IF($A545=1,SUM($A$2:$A545),0)</f>
        <v/>
      </c>
    </row>
    <row r="546">
      <c r="A546">
        <f>IF(AND(OR(Query!$B$4="All",'Compliance Database'!$A546=Query!$B$4),OR(Query!$B$5="All",'Compliance Database'!$F546=Query!$B$5),OR(Query!$B$6="All",ISNUMBER(SEARCH(Query!$B$6,'Compliance Database'!$I546))),OR(Query!$B$7="All",ISNUMBER(SEARCH(Query!$B$7,'Compliance Database'!$J546))),OR(Query!$B$8="All",'Compliance Database'!$G546=Query!$B$8),OR(Query!$B$9="All",'Compliance Database'!$K546=Query!$B$9),OR(Query!$B$10="",ISNUMBER(SEARCH(Query!$B$10,'Compliance Database'!$D546&amp;" "&amp;'Compliance Database'!$L546&amp;" "&amp;'Compliance Database'!$M546&amp;" "&amp;'Compliance Database'!$N546&amp;" "&amp;'Compliance Database'!$O546)))),1,0)</f>
        <v/>
      </c>
      <c r="B546">
        <f>IF($A546=1,SUM($A$2:$A546),"")</f>
        <v/>
      </c>
      <c r="C546">
        <f>IF($A546=1,SUM($A$2:$A546),0)</f>
        <v/>
      </c>
    </row>
    <row r="547">
      <c r="A547">
        <f>IF(AND(OR(Query!$B$4="All",'Compliance Database'!$A547=Query!$B$4),OR(Query!$B$5="All",'Compliance Database'!$F547=Query!$B$5),OR(Query!$B$6="All",ISNUMBER(SEARCH(Query!$B$6,'Compliance Database'!$I547))),OR(Query!$B$7="All",ISNUMBER(SEARCH(Query!$B$7,'Compliance Database'!$J547))),OR(Query!$B$8="All",'Compliance Database'!$G547=Query!$B$8),OR(Query!$B$9="All",'Compliance Database'!$K547=Query!$B$9),OR(Query!$B$10="",ISNUMBER(SEARCH(Query!$B$10,'Compliance Database'!$D547&amp;" "&amp;'Compliance Database'!$L547&amp;" "&amp;'Compliance Database'!$M547&amp;" "&amp;'Compliance Database'!$N547&amp;" "&amp;'Compliance Database'!$O547)))),1,0)</f>
        <v/>
      </c>
      <c r="B547">
        <f>IF($A547=1,SUM($A$2:$A547),"")</f>
        <v/>
      </c>
      <c r="C547">
        <f>IF($A547=1,SUM($A$2:$A547),0)</f>
        <v/>
      </c>
    </row>
    <row r="548">
      <c r="A548">
        <f>IF(AND(OR(Query!$B$4="All",'Compliance Database'!$A548=Query!$B$4),OR(Query!$B$5="All",'Compliance Database'!$F548=Query!$B$5),OR(Query!$B$6="All",ISNUMBER(SEARCH(Query!$B$6,'Compliance Database'!$I548))),OR(Query!$B$7="All",ISNUMBER(SEARCH(Query!$B$7,'Compliance Database'!$J548))),OR(Query!$B$8="All",'Compliance Database'!$G548=Query!$B$8),OR(Query!$B$9="All",'Compliance Database'!$K548=Query!$B$9),OR(Query!$B$10="",ISNUMBER(SEARCH(Query!$B$10,'Compliance Database'!$D548&amp;" "&amp;'Compliance Database'!$L548&amp;" "&amp;'Compliance Database'!$M548&amp;" "&amp;'Compliance Database'!$N548&amp;" "&amp;'Compliance Database'!$O548)))),1,0)</f>
        <v/>
      </c>
      <c r="B548">
        <f>IF($A548=1,SUM($A$2:$A548),"")</f>
        <v/>
      </c>
      <c r="C548">
        <f>IF($A548=1,SUM($A$2:$A548),0)</f>
        <v/>
      </c>
    </row>
    <row r="549">
      <c r="A549">
        <f>IF(AND(OR(Query!$B$4="All",'Compliance Database'!$A549=Query!$B$4),OR(Query!$B$5="All",'Compliance Database'!$F549=Query!$B$5),OR(Query!$B$6="All",ISNUMBER(SEARCH(Query!$B$6,'Compliance Database'!$I549))),OR(Query!$B$7="All",ISNUMBER(SEARCH(Query!$B$7,'Compliance Database'!$J549))),OR(Query!$B$8="All",'Compliance Database'!$G549=Query!$B$8),OR(Query!$B$9="All",'Compliance Database'!$K549=Query!$B$9),OR(Query!$B$10="",ISNUMBER(SEARCH(Query!$B$10,'Compliance Database'!$D549&amp;" "&amp;'Compliance Database'!$L549&amp;" "&amp;'Compliance Database'!$M549&amp;" "&amp;'Compliance Database'!$N549&amp;" "&amp;'Compliance Database'!$O549)))),1,0)</f>
        <v/>
      </c>
      <c r="B549">
        <f>IF($A549=1,SUM($A$2:$A549),"")</f>
        <v/>
      </c>
      <c r="C549">
        <f>IF($A549=1,SUM($A$2:$A549),0)</f>
        <v/>
      </c>
    </row>
    <row r="550">
      <c r="A550">
        <f>IF(AND(OR(Query!$B$4="All",'Compliance Database'!$A550=Query!$B$4),OR(Query!$B$5="All",'Compliance Database'!$F550=Query!$B$5),OR(Query!$B$6="All",ISNUMBER(SEARCH(Query!$B$6,'Compliance Database'!$I550))),OR(Query!$B$7="All",ISNUMBER(SEARCH(Query!$B$7,'Compliance Database'!$J550))),OR(Query!$B$8="All",'Compliance Database'!$G550=Query!$B$8),OR(Query!$B$9="All",'Compliance Database'!$K550=Query!$B$9),OR(Query!$B$10="",ISNUMBER(SEARCH(Query!$B$10,'Compliance Database'!$D550&amp;" "&amp;'Compliance Database'!$L550&amp;" "&amp;'Compliance Database'!$M550&amp;" "&amp;'Compliance Database'!$N550&amp;" "&amp;'Compliance Database'!$O550)))),1,0)</f>
        <v/>
      </c>
      <c r="B550">
        <f>IF($A550=1,SUM($A$2:$A550),"")</f>
        <v/>
      </c>
      <c r="C550">
        <f>IF($A550=1,SUM($A$2:$A550),0)</f>
        <v/>
      </c>
    </row>
    <row r="551">
      <c r="A551">
        <f>IF(AND(OR(Query!$B$4="All",'Compliance Database'!$A551=Query!$B$4),OR(Query!$B$5="All",'Compliance Database'!$F551=Query!$B$5),OR(Query!$B$6="All",ISNUMBER(SEARCH(Query!$B$6,'Compliance Database'!$I551))),OR(Query!$B$7="All",ISNUMBER(SEARCH(Query!$B$7,'Compliance Database'!$J551))),OR(Query!$B$8="All",'Compliance Database'!$G551=Query!$B$8),OR(Query!$B$9="All",'Compliance Database'!$K551=Query!$B$9),OR(Query!$B$10="",ISNUMBER(SEARCH(Query!$B$10,'Compliance Database'!$D551&amp;" "&amp;'Compliance Database'!$L551&amp;" "&amp;'Compliance Database'!$M551&amp;" "&amp;'Compliance Database'!$N551&amp;" "&amp;'Compliance Database'!$O551)))),1,0)</f>
        <v/>
      </c>
      <c r="B551">
        <f>IF($A551=1,SUM($A$2:$A551),"")</f>
        <v/>
      </c>
      <c r="C551">
        <f>IF($A551=1,SUM($A$2:$A551),0)</f>
        <v/>
      </c>
    </row>
    <row r="552">
      <c r="A552">
        <f>IF(AND(OR(Query!$B$4="All",'Compliance Database'!$A552=Query!$B$4),OR(Query!$B$5="All",'Compliance Database'!$F552=Query!$B$5),OR(Query!$B$6="All",ISNUMBER(SEARCH(Query!$B$6,'Compliance Database'!$I552))),OR(Query!$B$7="All",ISNUMBER(SEARCH(Query!$B$7,'Compliance Database'!$J552))),OR(Query!$B$8="All",'Compliance Database'!$G552=Query!$B$8),OR(Query!$B$9="All",'Compliance Database'!$K552=Query!$B$9),OR(Query!$B$10="",ISNUMBER(SEARCH(Query!$B$10,'Compliance Database'!$D552&amp;" "&amp;'Compliance Database'!$L552&amp;" "&amp;'Compliance Database'!$M552&amp;" "&amp;'Compliance Database'!$N552&amp;" "&amp;'Compliance Database'!$O552)))),1,0)</f>
        <v/>
      </c>
      <c r="B552">
        <f>IF($A552=1,SUM($A$2:$A552),"")</f>
        <v/>
      </c>
      <c r="C552">
        <f>IF($A552=1,SUM($A$2:$A552),0)</f>
        <v/>
      </c>
    </row>
    <row r="553">
      <c r="A553">
        <f>IF(AND(OR(Query!$B$4="All",'Compliance Database'!$A553=Query!$B$4),OR(Query!$B$5="All",'Compliance Database'!$F553=Query!$B$5),OR(Query!$B$6="All",ISNUMBER(SEARCH(Query!$B$6,'Compliance Database'!$I553))),OR(Query!$B$7="All",ISNUMBER(SEARCH(Query!$B$7,'Compliance Database'!$J553))),OR(Query!$B$8="All",'Compliance Database'!$G553=Query!$B$8),OR(Query!$B$9="All",'Compliance Database'!$K553=Query!$B$9),OR(Query!$B$10="",ISNUMBER(SEARCH(Query!$B$10,'Compliance Database'!$D553&amp;" "&amp;'Compliance Database'!$L553&amp;" "&amp;'Compliance Database'!$M553&amp;" "&amp;'Compliance Database'!$N553&amp;" "&amp;'Compliance Database'!$O553)))),1,0)</f>
        <v/>
      </c>
      <c r="B553">
        <f>IF($A553=1,SUM($A$2:$A553),"")</f>
        <v/>
      </c>
      <c r="C553">
        <f>IF($A553=1,SUM($A$2:$A553),0)</f>
        <v/>
      </c>
    </row>
    <row r="554">
      <c r="A554">
        <f>IF(AND(OR(Query!$B$4="All",'Compliance Database'!$A554=Query!$B$4),OR(Query!$B$5="All",'Compliance Database'!$F554=Query!$B$5),OR(Query!$B$6="All",ISNUMBER(SEARCH(Query!$B$6,'Compliance Database'!$I554))),OR(Query!$B$7="All",ISNUMBER(SEARCH(Query!$B$7,'Compliance Database'!$J554))),OR(Query!$B$8="All",'Compliance Database'!$G554=Query!$B$8),OR(Query!$B$9="All",'Compliance Database'!$K554=Query!$B$9),OR(Query!$B$10="",ISNUMBER(SEARCH(Query!$B$10,'Compliance Database'!$D554&amp;" "&amp;'Compliance Database'!$L554&amp;" "&amp;'Compliance Database'!$M554&amp;" "&amp;'Compliance Database'!$N554&amp;" "&amp;'Compliance Database'!$O554)))),1,0)</f>
        <v/>
      </c>
      <c r="B554">
        <f>IF($A554=1,SUM($A$2:$A554),"")</f>
        <v/>
      </c>
      <c r="C554">
        <f>IF($A554=1,SUM($A$2:$A554),0)</f>
        <v/>
      </c>
    </row>
    <row r="555">
      <c r="A555">
        <f>IF(AND(OR(Query!$B$4="All",'Compliance Database'!$A555=Query!$B$4),OR(Query!$B$5="All",'Compliance Database'!$F555=Query!$B$5),OR(Query!$B$6="All",ISNUMBER(SEARCH(Query!$B$6,'Compliance Database'!$I555))),OR(Query!$B$7="All",ISNUMBER(SEARCH(Query!$B$7,'Compliance Database'!$J555))),OR(Query!$B$8="All",'Compliance Database'!$G555=Query!$B$8),OR(Query!$B$9="All",'Compliance Database'!$K555=Query!$B$9),OR(Query!$B$10="",ISNUMBER(SEARCH(Query!$B$10,'Compliance Database'!$D555&amp;" "&amp;'Compliance Database'!$L555&amp;" "&amp;'Compliance Database'!$M555&amp;" "&amp;'Compliance Database'!$N555&amp;" "&amp;'Compliance Database'!$O555)))),1,0)</f>
        <v/>
      </c>
      <c r="B555">
        <f>IF($A555=1,SUM($A$2:$A555),"")</f>
        <v/>
      </c>
      <c r="C555">
        <f>IF($A555=1,SUM($A$2:$A555),0)</f>
        <v/>
      </c>
    </row>
    <row r="556">
      <c r="A556">
        <f>IF(AND(OR(Query!$B$4="All",'Compliance Database'!$A556=Query!$B$4),OR(Query!$B$5="All",'Compliance Database'!$F556=Query!$B$5),OR(Query!$B$6="All",ISNUMBER(SEARCH(Query!$B$6,'Compliance Database'!$I556))),OR(Query!$B$7="All",ISNUMBER(SEARCH(Query!$B$7,'Compliance Database'!$J556))),OR(Query!$B$8="All",'Compliance Database'!$G556=Query!$B$8),OR(Query!$B$9="All",'Compliance Database'!$K556=Query!$B$9),OR(Query!$B$10="",ISNUMBER(SEARCH(Query!$B$10,'Compliance Database'!$D556&amp;" "&amp;'Compliance Database'!$L556&amp;" "&amp;'Compliance Database'!$M556&amp;" "&amp;'Compliance Database'!$N556&amp;" "&amp;'Compliance Database'!$O556)))),1,0)</f>
        <v/>
      </c>
      <c r="B556">
        <f>IF($A556=1,SUM($A$2:$A556),"")</f>
        <v/>
      </c>
      <c r="C556">
        <f>IF($A556=1,SUM($A$2:$A556),0)</f>
        <v/>
      </c>
    </row>
    <row r="557">
      <c r="A557">
        <f>IF(AND(OR(Query!$B$4="All",'Compliance Database'!$A557=Query!$B$4),OR(Query!$B$5="All",'Compliance Database'!$F557=Query!$B$5),OR(Query!$B$6="All",ISNUMBER(SEARCH(Query!$B$6,'Compliance Database'!$I557))),OR(Query!$B$7="All",ISNUMBER(SEARCH(Query!$B$7,'Compliance Database'!$J557))),OR(Query!$B$8="All",'Compliance Database'!$G557=Query!$B$8),OR(Query!$B$9="All",'Compliance Database'!$K557=Query!$B$9),OR(Query!$B$10="",ISNUMBER(SEARCH(Query!$B$10,'Compliance Database'!$D557&amp;" "&amp;'Compliance Database'!$L557&amp;" "&amp;'Compliance Database'!$M557&amp;" "&amp;'Compliance Database'!$N557&amp;" "&amp;'Compliance Database'!$O557)))),1,0)</f>
        <v/>
      </c>
      <c r="B557">
        <f>IF($A557=1,SUM($A$2:$A557),"")</f>
        <v/>
      </c>
      <c r="C557">
        <f>IF($A557=1,SUM($A$2:$A557),0)</f>
        <v/>
      </c>
    </row>
    <row r="558">
      <c r="A558">
        <f>IF(AND(OR(Query!$B$4="All",'Compliance Database'!$A558=Query!$B$4),OR(Query!$B$5="All",'Compliance Database'!$F558=Query!$B$5),OR(Query!$B$6="All",ISNUMBER(SEARCH(Query!$B$6,'Compliance Database'!$I558))),OR(Query!$B$7="All",ISNUMBER(SEARCH(Query!$B$7,'Compliance Database'!$J558))),OR(Query!$B$8="All",'Compliance Database'!$G558=Query!$B$8),OR(Query!$B$9="All",'Compliance Database'!$K558=Query!$B$9),OR(Query!$B$10="",ISNUMBER(SEARCH(Query!$B$10,'Compliance Database'!$D558&amp;" "&amp;'Compliance Database'!$L558&amp;" "&amp;'Compliance Database'!$M558&amp;" "&amp;'Compliance Database'!$N558&amp;" "&amp;'Compliance Database'!$O558)))),1,0)</f>
        <v/>
      </c>
      <c r="B558">
        <f>IF($A558=1,SUM($A$2:$A558),"")</f>
        <v/>
      </c>
      <c r="C558">
        <f>IF($A558=1,SUM($A$2:$A558),0)</f>
        <v/>
      </c>
    </row>
    <row r="559">
      <c r="A559">
        <f>IF(AND(OR(Query!$B$4="All",'Compliance Database'!$A559=Query!$B$4),OR(Query!$B$5="All",'Compliance Database'!$F559=Query!$B$5),OR(Query!$B$6="All",ISNUMBER(SEARCH(Query!$B$6,'Compliance Database'!$I559))),OR(Query!$B$7="All",ISNUMBER(SEARCH(Query!$B$7,'Compliance Database'!$J559))),OR(Query!$B$8="All",'Compliance Database'!$G559=Query!$B$8),OR(Query!$B$9="All",'Compliance Database'!$K559=Query!$B$9),OR(Query!$B$10="",ISNUMBER(SEARCH(Query!$B$10,'Compliance Database'!$D559&amp;" "&amp;'Compliance Database'!$L559&amp;" "&amp;'Compliance Database'!$M559&amp;" "&amp;'Compliance Database'!$N559&amp;" "&amp;'Compliance Database'!$O559)))),1,0)</f>
        <v/>
      </c>
      <c r="B559">
        <f>IF($A559=1,SUM($A$2:$A559),"")</f>
        <v/>
      </c>
      <c r="C559">
        <f>IF($A559=1,SUM($A$2:$A559),0)</f>
        <v/>
      </c>
    </row>
    <row r="560">
      <c r="A560">
        <f>IF(AND(OR(Query!$B$4="All",'Compliance Database'!$A560=Query!$B$4),OR(Query!$B$5="All",'Compliance Database'!$F560=Query!$B$5),OR(Query!$B$6="All",ISNUMBER(SEARCH(Query!$B$6,'Compliance Database'!$I560))),OR(Query!$B$7="All",ISNUMBER(SEARCH(Query!$B$7,'Compliance Database'!$J560))),OR(Query!$B$8="All",'Compliance Database'!$G560=Query!$B$8),OR(Query!$B$9="All",'Compliance Database'!$K560=Query!$B$9),OR(Query!$B$10="",ISNUMBER(SEARCH(Query!$B$10,'Compliance Database'!$D560&amp;" "&amp;'Compliance Database'!$L560&amp;" "&amp;'Compliance Database'!$M560&amp;" "&amp;'Compliance Database'!$N560&amp;" "&amp;'Compliance Database'!$O560)))),1,0)</f>
        <v/>
      </c>
      <c r="B560">
        <f>IF($A560=1,SUM($A$2:$A560),"")</f>
        <v/>
      </c>
      <c r="C560">
        <f>IF($A560=1,SUM($A$2:$A560),0)</f>
        <v/>
      </c>
    </row>
    <row r="561">
      <c r="A561">
        <f>IF(AND(OR(Query!$B$4="All",'Compliance Database'!$A561=Query!$B$4),OR(Query!$B$5="All",'Compliance Database'!$F561=Query!$B$5),OR(Query!$B$6="All",ISNUMBER(SEARCH(Query!$B$6,'Compliance Database'!$I561))),OR(Query!$B$7="All",ISNUMBER(SEARCH(Query!$B$7,'Compliance Database'!$J561))),OR(Query!$B$8="All",'Compliance Database'!$G561=Query!$B$8),OR(Query!$B$9="All",'Compliance Database'!$K561=Query!$B$9),OR(Query!$B$10="",ISNUMBER(SEARCH(Query!$B$10,'Compliance Database'!$D561&amp;" "&amp;'Compliance Database'!$L561&amp;" "&amp;'Compliance Database'!$M561&amp;" "&amp;'Compliance Database'!$N561&amp;" "&amp;'Compliance Database'!$O561)))),1,0)</f>
        <v/>
      </c>
      <c r="B561">
        <f>IF($A561=1,SUM($A$2:$A561),"")</f>
        <v/>
      </c>
      <c r="C561">
        <f>IF($A561=1,SUM($A$2:$A561),0)</f>
        <v/>
      </c>
    </row>
    <row r="562">
      <c r="A562">
        <f>IF(AND(OR(Query!$B$4="All",'Compliance Database'!$A562=Query!$B$4),OR(Query!$B$5="All",'Compliance Database'!$F562=Query!$B$5),OR(Query!$B$6="All",ISNUMBER(SEARCH(Query!$B$6,'Compliance Database'!$I562))),OR(Query!$B$7="All",ISNUMBER(SEARCH(Query!$B$7,'Compliance Database'!$J562))),OR(Query!$B$8="All",'Compliance Database'!$G562=Query!$B$8),OR(Query!$B$9="All",'Compliance Database'!$K562=Query!$B$9),OR(Query!$B$10="",ISNUMBER(SEARCH(Query!$B$10,'Compliance Database'!$D562&amp;" "&amp;'Compliance Database'!$L562&amp;" "&amp;'Compliance Database'!$M562&amp;" "&amp;'Compliance Database'!$N562&amp;" "&amp;'Compliance Database'!$O562)))),1,0)</f>
        <v/>
      </c>
      <c r="B562">
        <f>IF($A562=1,SUM($A$2:$A562),"")</f>
        <v/>
      </c>
      <c r="C562">
        <f>IF($A562=1,SUM($A$2:$A562),0)</f>
        <v/>
      </c>
    </row>
    <row r="563">
      <c r="A563">
        <f>IF(AND(OR(Query!$B$4="All",'Compliance Database'!$A563=Query!$B$4),OR(Query!$B$5="All",'Compliance Database'!$F563=Query!$B$5),OR(Query!$B$6="All",ISNUMBER(SEARCH(Query!$B$6,'Compliance Database'!$I563))),OR(Query!$B$7="All",ISNUMBER(SEARCH(Query!$B$7,'Compliance Database'!$J563))),OR(Query!$B$8="All",'Compliance Database'!$G563=Query!$B$8),OR(Query!$B$9="All",'Compliance Database'!$K563=Query!$B$9),OR(Query!$B$10="",ISNUMBER(SEARCH(Query!$B$10,'Compliance Database'!$D563&amp;" "&amp;'Compliance Database'!$L563&amp;" "&amp;'Compliance Database'!$M563&amp;" "&amp;'Compliance Database'!$N563&amp;" "&amp;'Compliance Database'!$O563)))),1,0)</f>
        <v/>
      </c>
      <c r="B563">
        <f>IF($A563=1,SUM($A$2:$A563),"")</f>
        <v/>
      </c>
      <c r="C563">
        <f>IF($A563=1,SUM($A$2:$A563),0)</f>
        <v/>
      </c>
    </row>
    <row r="564">
      <c r="A564">
        <f>IF(AND(OR(Query!$B$4="All",'Compliance Database'!$A564=Query!$B$4),OR(Query!$B$5="All",'Compliance Database'!$F564=Query!$B$5),OR(Query!$B$6="All",ISNUMBER(SEARCH(Query!$B$6,'Compliance Database'!$I564))),OR(Query!$B$7="All",ISNUMBER(SEARCH(Query!$B$7,'Compliance Database'!$J564))),OR(Query!$B$8="All",'Compliance Database'!$G564=Query!$B$8),OR(Query!$B$9="All",'Compliance Database'!$K564=Query!$B$9),OR(Query!$B$10="",ISNUMBER(SEARCH(Query!$B$10,'Compliance Database'!$D564&amp;" "&amp;'Compliance Database'!$L564&amp;" "&amp;'Compliance Database'!$M564&amp;" "&amp;'Compliance Database'!$N564&amp;" "&amp;'Compliance Database'!$O564)))),1,0)</f>
        <v/>
      </c>
      <c r="B564">
        <f>IF($A564=1,SUM($A$2:$A564),"")</f>
        <v/>
      </c>
      <c r="C564">
        <f>IF($A564=1,SUM($A$2:$A564),0)</f>
        <v/>
      </c>
    </row>
    <row r="565">
      <c r="A565">
        <f>IF(AND(OR(Query!$B$4="All",'Compliance Database'!$A565=Query!$B$4),OR(Query!$B$5="All",'Compliance Database'!$F565=Query!$B$5),OR(Query!$B$6="All",ISNUMBER(SEARCH(Query!$B$6,'Compliance Database'!$I565))),OR(Query!$B$7="All",ISNUMBER(SEARCH(Query!$B$7,'Compliance Database'!$J565))),OR(Query!$B$8="All",'Compliance Database'!$G565=Query!$B$8),OR(Query!$B$9="All",'Compliance Database'!$K565=Query!$B$9),OR(Query!$B$10="",ISNUMBER(SEARCH(Query!$B$10,'Compliance Database'!$D565&amp;" "&amp;'Compliance Database'!$L565&amp;" "&amp;'Compliance Database'!$M565&amp;" "&amp;'Compliance Database'!$N565&amp;" "&amp;'Compliance Database'!$O565)))),1,0)</f>
        <v/>
      </c>
      <c r="B565">
        <f>IF($A565=1,SUM($A$2:$A565),"")</f>
        <v/>
      </c>
      <c r="C565">
        <f>IF($A565=1,SUM($A$2:$A565),0)</f>
        <v/>
      </c>
    </row>
    <row r="566">
      <c r="A566">
        <f>IF(AND(OR(Query!$B$4="All",'Compliance Database'!$A566=Query!$B$4),OR(Query!$B$5="All",'Compliance Database'!$F566=Query!$B$5),OR(Query!$B$6="All",ISNUMBER(SEARCH(Query!$B$6,'Compliance Database'!$I566))),OR(Query!$B$7="All",ISNUMBER(SEARCH(Query!$B$7,'Compliance Database'!$J566))),OR(Query!$B$8="All",'Compliance Database'!$G566=Query!$B$8),OR(Query!$B$9="All",'Compliance Database'!$K566=Query!$B$9),OR(Query!$B$10="",ISNUMBER(SEARCH(Query!$B$10,'Compliance Database'!$D566&amp;" "&amp;'Compliance Database'!$L566&amp;" "&amp;'Compliance Database'!$M566&amp;" "&amp;'Compliance Database'!$N566&amp;" "&amp;'Compliance Database'!$O566)))),1,0)</f>
        <v/>
      </c>
      <c r="B566">
        <f>IF($A566=1,SUM($A$2:$A566),"")</f>
        <v/>
      </c>
      <c r="C566">
        <f>IF($A566=1,SUM($A$2:$A566),0)</f>
        <v/>
      </c>
    </row>
    <row r="567">
      <c r="A567">
        <f>IF(AND(OR(Query!$B$4="All",'Compliance Database'!$A567=Query!$B$4),OR(Query!$B$5="All",'Compliance Database'!$F567=Query!$B$5),OR(Query!$B$6="All",ISNUMBER(SEARCH(Query!$B$6,'Compliance Database'!$I567))),OR(Query!$B$7="All",ISNUMBER(SEARCH(Query!$B$7,'Compliance Database'!$J567))),OR(Query!$B$8="All",'Compliance Database'!$G567=Query!$B$8),OR(Query!$B$9="All",'Compliance Database'!$K567=Query!$B$9),OR(Query!$B$10="",ISNUMBER(SEARCH(Query!$B$10,'Compliance Database'!$D567&amp;" "&amp;'Compliance Database'!$L567&amp;" "&amp;'Compliance Database'!$M567&amp;" "&amp;'Compliance Database'!$N567&amp;" "&amp;'Compliance Database'!$O567)))),1,0)</f>
        <v/>
      </c>
      <c r="B567">
        <f>IF($A567=1,SUM($A$2:$A567),"")</f>
        <v/>
      </c>
      <c r="C567">
        <f>IF($A567=1,SUM($A$2:$A567),0)</f>
        <v/>
      </c>
    </row>
    <row r="568">
      <c r="A568">
        <f>IF(AND(OR(Query!$B$4="All",'Compliance Database'!$A568=Query!$B$4),OR(Query!$B$5="All",'Compliance Database'!$F568=Query!$B$5),OR(Query!$B$6="All",ISNUMBER(SEARCH(Query!$B$6,'Compliance Database'!$I568))),OR(Query!$B$7="All",ISNUMBER(SEARCH(Query!$B$7,'Compliance Database'!$J568))),OR(Query!$B$8="All",'Compliance Database'!$G568=Query!$B$8),OR(Query!$B$9="All",'Compliance Database'!$K568=Query!$B$9),OR(Query!$B$10="",ISNUMBER(SEARCH(Query!$B$10,'Compliance Database'!$D568&amp;" "&amp;'Compliance Database'!$L568&amp;" "&amp;'Compliance Database'!$M568&amp;" "&amp;'Compliance Database'!$N568&amp;" "&amp;'Compliance Database'!$O568)))),1,0)</f>
        <v/>
      </c>
      <c r="B568">
        <f>IF($A568=1,SUM($A$2:$A568),"")</f>
        <v/>
      </c>
      <c r="C568">
        <f>IF($A568=1,SUM($A$2:$A568),0)</f>
        <v/>
      </c>
    </row>
    <row r="569">
      <c r="A569">
        <f>IF(AND(OR(Query!$B$4="All",'Compliance Database'!$A569=Query!$B$4),OR(Query!$B$5="All",'Compliance Database'!$F569=Query!$B$5),OR(Query!$B$6="All",ISNUMBER(SEARCH(Query!$B$6,'Compliance Database'!$I569))),OR(Query!$B$7="All",ISNUMBER(SEARCH(Query!$B$7,'Compliance Database'!$J569))),OR(Query!$B$8="All",'Compliance Database'!$G569=Query!$B$8),OR(Query!$B$9="All",'Compliance Database'!$K569=Query!$B$9),OR(Query!$B$10="",ISNUMBER(SEARCH(Query!$B$10,'Compliance Database'!$D569&amp;" "&amp;'Compliance Database'!$L569&amp;" "&amp;'Compliance Database'!$M569&amp;" "&amp;'Compliance Database'!$N569&amp;" "&amp;'Compliance Database'!$O569)))),1,0)</f>
        <v/>
      </c>
      <c r="B569">
        <f>IF($A569=1,SUM($A$2:$A569),"")</f>
        <v/>
      </c>
      <c r="C569">
        <f>IF($A569=1,SUM($A$2:$A569),0)</f>
        <v/>
      </c>
    </row>
    <row r="570">
      <c r="A570">
        <f>IF(AND(OR(Query!$B$4="All",'Compliance Database'!$A570=Query!$B$4),OR(Query!$B$5="All",'Compliance Database'!$F570=Query!$B$5),OR(Query!$B$6="All",ISNUMBER(SEARCH(Query!$B$6,'Compliance Database'!$I570))),OR(Query!$B$7="All",ISNUMBER(SEARCH(Query!$B$7,'Compliance Database'!$J570))),OR(Query!$B$8="All",'Compliance Database'!$G570=Query!$B$8),OR(Query!$B$9="All",'Compliance Database'!$K570=Query!$B$9),OR(Query!$B$10="",ISNUMBER(SEARCH(Query!$B$10,'Compliance Database'!$D570&amp;" "&amp;'Compliance Database'!$L570&amp;" "&amp;'Compliance Database'!$M570&amp;" "&amp;'Compliance Database'!$N570&amp;" "&amp;'Compliance Database'!$O570)))),1,0)</f>
        <v/>
      </c>
      <c r="B570">
        <f>IF($A570=1,SUM($A$2:$A570),"")</f>
        <v/>
      </c>
      <c r="C570">
        <f>IF($A570=1,SUM($A$2:$A570),0)</f>
        <v/>
      </c>
    </row>
    <row r="571">
      <c r="A571">
        <f>IF(AND(OR(Query!$B$4="All",'Compliance Database'!$A571=Query!$B$4),OR(Query!$B$5="All",'Compliance Database'!$F571=Query!$B$5),OR(Query!$B$6="All",ISNUMBER(SEARCH(Query!$B$6,'Compliance Database'!$I571))),OR(Query!$B$7="All",ISNUMBER(SEARCH(Query!$B$7,'Compliance Database'!$J571))),OR(Query!$B$8="All",'Compliance Database'!$G571=Query!$B$8),OR(Query!$B$9="All",'Compliance Database'!$K571=Query!$B$9),OR(Query!$B$10="",ISNUMBER(SEARCH(Query!$B$10,'Compliance Database'!$D571&amp;" "&amp;'Compliance Database'!$L571&amp;" "&amp;'Compliance Database'!$M571&amp;" "&amp;'Compliance Database'!$N571&amp;" "&amp;'Compliance Database'!$O571)))),1,0)</f>
        <v/>
      </c>
      <c r="B571">
        <f>IF($A571=1,SUM($A$2:$A571),"")</f>
        <v/>
      </c>
      <c r="C571">
        <f>IF($A571=1,SUM($A$2:$A571),0)</f>
        <v/>
      </c>
    </row>
    <row r="572">
      <c r="A572">
        <f>IF(AND(OR(Query!$B$4="All",'Compliance Database'!$A572=Query!$B$4),OR(Query!$B$5="All",'Compliance Database'!$F572=Query!$B$5),OR(Query!$B$6="All",ISNUMBER(SEARCH(Query!$B$6,'Compliance Database'!$I572))),OR(Query!$B$7="All",ISNUMBER(SEARCH(Query!$B$7,'Compliance Database'!$J572))),OR(Query!$B$8="All",'Compliance Database'!$G572=Query!$B$8),OR(Query!$B$9="All",'Compliance Database'!$K572=Query!$B$9),OR(Query!$B$10="",ISNUMBER(SEARCH(Query!$B$10,'Compliance Database'!$D572&amp;" "&amp;'Compliance Database'!$L572&amp;" "&amp;'Compliance Database'!$M572&amp;" "&amp;'Compliance Database'!$N572&amp;" "&amp;'Compliance Database'!$O572)))),1,0)</f>
        <v/>
      </c>
      <c r="B572">
        <f>IF($A572=1,SUM($A$2:$A572),"")</f>
        <v/>
      </c>
      <c r="C572">
        <f>IF($A572=1,SUM($A$2:$A572),0)</f>
        <v/>
      </c>
    </row>
    <row r="573">
      <c r="A573">
        <f>IF(AND(OR(Query!$B$4="All",'Compliance Database'!$A573=Query!$B$4),OR(Query!$B$5="All",'Compliance Database'!$F573=Query!$B$5),OR(Query!$B$6="All",ISNUMBER(SEARCH(Query!$B$6,'Compliance Database'!$I573))),OR(Query!$B$7="All",ISNUMBER(SEARCH(Query!$B$7,'Compliance Database'!$J573))),OR(Query!$B$8="All",'Compliance Database'!$G573=Query!$B$8),OR(Query!$B$9="All",'Compliance Database'!$K573=Query!$B$9),OR(Query!$B$10="",ISNUMBER(SEARCH(Query!$B$10,'Compliance Database'!$D573&amp;" "&amp;'Compliance Database'!$L573&amp;" "&amp;'Compliance Database'!$M573&amp;" "&amp;'Compliance Database'!$N573&amp;" "&amp;'Compliance Database'!$O573)))),1,0)</f>
        <v/>
      </c>
      <c r="B573">
        <f>IF($A573=1,SUM($A$2:$A573),"")</f>
        <v/>
      </c>
      <c r="C573">
        <f>IF($A573=1,SUM($A$2:$A573),0)</f>
        <v/>
      </c>
    </row>
    <row r="574">
      <c r="A574">
        <f>IF(AND(OR(Query!$B$4="All",'Compliance Database'!$A574=Query!$B$4),OR(Query!$B$5="All",'Compliance Database'!$F574=Query!$B$5),OR(Query!$B$6="All",ISNUMBER(SEARCH(Query!$B$6,'Compliance Database'!$I574))),OR(Query!$B$7="All",ISNUMBER(SEARCH(Query!$B$7,'Compliance Database'!$J574))),OR(Query!$B$8="All",'Compliance Database'!$G574=Query!$B$8),OR(Query!$B$9="All",'Compliance Database'!$K574=Query!$B$9),OR(Query!$B$10="",ISNUMBER(SEARCH(Query!$B$10,'Compliance Database'!$D574&amp;" "&amp;'Compliance Database'!$L574&amp;" "&amp;'Compliance Database'!$M574&amp;" "&amp;'Compliance Database'!$N574&amp;" "&amp;'Compliance Database'!$O574)))),1,0)</f>
        <v/>
      </c>
      <c r="B574">
        <f>IF($A574=1,SUM($A$2:$A574),"")</f>
        <v/>
      </c>
      <c r="C574">
        <f>IF($A574=1,SUM($A$2:$A574),0)</f>
        <v/>
      </c>
    </row>
    <row r="575">
      <c r="A575">
        <f>IF(AND(OR(Query!$B$4="All",'Compliance Database'!$A575=Query!$B$4),OR(Query!$B$5="All",'Compliance Database'!$F575=Query!$B$5),OR(Query!$B$6="All",ISNUMBER(SEARCH(Query!$B$6,'Compliance Database'!$I575))),OR(Query!$B$7="All",ISNUMBER(SEARCH(Query!$B$7,'Compliance Database'!$J575))),OR(Query!$B$8="All",'Compliance Database'!$G575=Query!$B$8),OR(Query!$B$9="All",'Compliance Database'!$K575=Query!$B$9),OR(Query!$B$10="",ISNUMBER(SEARCH(Query!$B$10,'Compliance Database'!$D575&amp;" "&amp;'Compliance Database'!$L575&amp;" "&amp;'Compliance Database'!$M575&amp;" "&amp;'Compliance Database'!$N575&amp;" "&amp;'Compliance Database'!$O575)))),1,0)</f>
        <v/>
      </c>
      <c r="B575">
        <f>IF($A575=1,SUM($A$2:$A575),"")</f>
        <v/>
      </c>
      <c r="C575">
        <f>IF($A575=1,SUM($A$2:$A575),0)</f>
        <v/>
      </c>
    </row>
    <row r="576">
      <c r="A576">
        <f>IF(AND(OR(Query!$B$4="All",'Compliance Database'!$A576=Query!$B$4),OR(Query!$B$5="All",'Compliance Database'!$F576=Query!$B$5),OR(Query!$B$6="All",ISNUMBER(SEARCH(Query!$B$6,'Compliance Database'!$I576))),OR(Query!$B$7="All",ISNUMBER(SEARCH(Query!$B$7,'Compliance Database'!$J576))),OR(Query!$B$8="All",'Compliance Database'!$G576=Query!$B$8),OR(Query!$B$9="All",'Compliance Database'!$K576=Query!$B$9),OR(Query!$B$10="",ISNUMBER(SEARCH(Query!$B$10,'Compliance Database'!$D576&amp;" "&amp;'Compliance Database'!$L576&amp;" "&amp;'Compliance Database'!$M576&amp;" "&amp;'Compliance Database'!$N576&amp;" "&amp;'Compliance Database'!$O576)))),1,0)</f>
        <v/>
      </c>
      <c r="B576">
        <f>IF($A576=1,SUM($A$2:$A576),"")</f>
        <v/>
      </c>
      <c r="C576">
        <f>IF($A576=1,SUM($A$2:$A576),0)</f>
        <v/>
      </c>
    </row>
    <row r="577">
      <c r="A577">
        <f>IF(AND(OR(Query!$B$4="All",'Compliance Database'!$A577=Query!$B$4),OR(Query!$B$5="All",'Compliance Database'!$F577=Query!$B$5),OR(Query!$B$6="All",ISNUMBER(SEARCH(Query!$B$6,'Compliance Database'!$I577))),OR(Query!$B$7="All",ISNUMBER(SEARCH(Query!$B$7,'Compliance Database'!$J577))),OR(Query!$B$8="All",'Compliance Database'!$G577=Query!$B$8),OR(Query!$B$9="All",'Compliance Database'!$K577=Query!$B$9),OR(Query!$B$10="",ISNUMBER(SEARCH(Query!$B$10,'Compliance Database'!$D577&amp;" "&amp;'Compliance Database'!$L577&amp;" "&amp;'Compliance Database'!$M577&amp;" "&amp;'Compliance Database'!$N577&amp;" "&amp;'Compliance Database'!$O577)))),1,0)</f>
        <v/>
      </c>
      <c r="B577">
        <f>IF($A577=1,SUM($A$2:$A577),"")</f>
        <v/>
      </c>
      <c r="C577">
        <f>IF($A577=1,SUM($A$2:$A577),0)</f>
        <v/>
      </c>
    </row>
    <row r="578">
      <c r="A578">
        <f>IF(AND(OR(Query!$B$4="All",'Compliance Database'!$A578=Query!$B$4),OR(Query!$B$5="All",'Compliance Database'!$F578=Query!$B$5),OR(Query!$B$6="All",ISNUMBER(SEARCH(Query!$B$6,'Compliance Database'!$I578))),OR(Query!$B$7="All",ISNUMBER(SEARCH(Query!$B$7,'Compliance Database'!$J578))),OR(Query!$B$8="All",'Compliance Database'!$G578=Query!$B$8),OR(Query!$B$9="All",'Compliance Database'!$K578=Query!$B$9),OR(Query!$B$10="",ISNUMBER(SEARCH(Query!$B$10,'Compliance Database'!$D578&amp;" "&amp;'Compliance Database'!$L578&amp;" "&amp;'Compliance Database'!$M578&amp;" "&amp;'Compliance Database'!$N578&amp;" "&amp;'Compliance Database'!$O578)))),1,0)</f>
        <v/>
      </c>
      <c r="B578">
        <f>IF($A578=1,SUM($A$2:$A578),"")</f>
        <v/>
      </c>
      <c r="C578">
        <f>IF($A578=1,SUM($A$2:$A578),0)</f>
        <v/>
      </c>
    </row>
    <row r="579">
      <c r="A579">
        <f>IF(AND(OR(Query!$B$4="All",'Compliance Database'!$A579=Query!$B$4),OR(Query!$B$5="All",'Compliance Database'!$F579=Query!$B$5),OR(Query!$B$6="All",ISNUMBER(SEARCH(Query!$B$6,'Compliance Database'!$I579))),OR(Query!$B$7="All",ISNUMBER(SEARCH(Query!$B$7,'Compliance Database'!$J579))),OR(Query!$B$8="All",'Compliance Database'!$G579=Query!$B$8),OR(Query!$B$9="All",'Compliance Database'!$K579=Query!$B$9),OR(Query!$B$10="",ISNUMBER(SEARCH(Query!$B$10,'Compliance Database'!$D579&amp;" "&amp;'Compliance Database'!$L579&amp;" "&amp;'Compliance Database'!$M579&amp;" "&amp;'Compliance Database'!$N579&amp;" "&amp;'Compliance Database'!$O579)))),1,0)</f>
        <v/>
      </c>
      <c r="B579">
        <f>IF($A579=1,SUM($A$2:$A579),"")</f>
        <v/>
      </c>
      <c r="C579">
        <f>IF($A579=1,SUM($A$2:$A579),0)</f>
        <v/>
      </c>
    </row>
    <row r="580">
      <c r="A580">
        <f>IF(AND(OR(Query!$B$4="All",'Compliance Database'!$A580=Query!$B$4),OR(Query!$B$5="All",'Compliance Database'!$F580=Query!$B$5),OR(Query!$B$6="All",ISNUMBER(SEARCH(Query!$B$6,'Compliance Database'!$I580))),OR(Query!$B$7="All",ISNUMBER(SEARCH(Query!$B$7,'Compliance Database'!$J580))),OR(Query!$B$8="All",'Compliance Database'!$G580=Query!$B$8),OR(Query!$B$9="All",'Compliance Database'!$K580=Query!$B$9),OR(Query!$B$10="",ISNUMBER(SEARCH(Query!$B$10,'Compliance Database'!$D580&amp;" "&amp;'Compliance Database'!$L580&amp;" "&amp;'Compliance Database'!$M580&amp;" "&amp;'Compliance Database'!$N580&amp;" "&amp;'Compliance Database'!$O580)))),1,0)</f>
        <v/>
      </c>
      <c r="B580">
        <f>IF($A580=1,SUM($A$2:$A580),"")</f>
        <v/>
      </c>
      <c r="C580">
        <f>IF($A580=1,SUM($A$2:$A580),0)</f>
        <v/>
      </c>
    </row>
    <row r="581">
      <c r="A581">
        <f>IF(AND(OR(Query!$B$4="All",'Compliance Database'!$A581=Query!$B$4),OR(Query!$B$5="All",'Compliance Database'!$F581=Query!$B$5),OR(Query!$B$6="All",ISNUMBER(SEARCH(Query!$B$6,'Compliance Database'!$I581))),OR(Query!$B$7="All",ISNUMBER(SEARCH(Query!$B$7,'Compliance Database'!$J581))),OR(Query!$B$8="All",'Compliance Database'!$G581=Query!$B$8),OR(Query!$B$9="All",'Compliance Database'!$K581=Query!$B$9),OR(Query!$B$10="",ISNUMBER(SEARCH(Query!$B$10,'Compliance Database'!$D581&amp;" "&amp;'Compliance Database'!$L581&amp;" "&amp;'Compliance Database'!$M581&amp;" "&amp;'Compliance Database'!$N581&amp;" "&amp;'Compliance Database'!$O581)))),1,0)</f>
        <v/>
      </c>
      <c r="B581">
        <f>IF($A581=1,SUM($A$2:$A581),"")</f>
        <v/>
      </c>
      <c r="C581">
        <f>IF($A581=1,SUM($A$2:$A581),0)</f>
        <v/>
      </c>
    </row>
    <row r="582">
      <c r="A582">
        <f>IF(AND(OR(Query!$B$4="All",'Compliance Database'!$A582=Query!$B$4),OR(Query!$B$5="All",'Compliance Database'!$F582=Query!$B$5),OR(Query!$B$6="All",ISNUMBER(SEARCH(Query!$B$6,'Compliance Database'!$I582))),OR(Query!$B$7="All",ISNUMBER(SEARCH(Query!$B$7,'Compliance Database'!$J582))),OR(Query!$B$8="All",'Compliance Database'!$G582=Query!$B$8),OR(Query!$B$9="All",'Compliance Database'!$K582=Query!$B$9),OR(Query!$B$10="",ISNUMBER(SEARCH(Query!$B$10,'Compliance Database'!$D582&amp;" "&amp;'Compliance Database'!$L582&amp;" "&amp;'Compliance Database'!$M582&amp;" "&amp;'Compliance Database'!$N582&amp;" "&amp;'Compliance Database'!$O582)))),1,0)</f>
        <v/>
      </c>
      <c r="B582">
        <f>IF($A582=1,SUM($A$2:$A582),"")</f>
        <v/>
      </c>
      <c r="C582">
        <f>IF($A582=1,SUM($A$2:$A582),0)</f>
        <v/>
      </c>
    </row>
    <row r="583">
      <c r="A583">
        <f>IF(AND(OR(Query!$B$4="All",'Compliance Database'!$A583=Query!$B$4),OR(Query!$B$5="All",'Compliance Database'!$F583=Query!$B$5),OR(Query!$B$6="All",ISNUMBER(SEARCH(Query!$B$6,'Compliance Database'!$I583))),OR(Query!$B$7="All",ISNUMBER(SEARCH(Query!$B$7,'Compliance Database'!$J583))),OR(Query!$B$8="All",'Compliance Database'!$G583=Query!$B$8),OR(Query!$B$9="All",'Compliance Database'!$K583=Query!$B$9),OR(Query!$B$10="",ISNUMBER(SEARCH(Query!$B$10,'Compliance Database'!$D583&amp;" "&amp;'Compliance Database'!$L583&amp;" "&amp;'Compliance Database'!$M583&amp;" "&amp;'Compliance Database'!$N583&amp;" "&amp;'Compliance Database'!$O583)))),1,0)</f>
        <v/>
      </c>
      <c r="B583">
        <f>IF($A583=1,SUM($A$2:$A583),"")</f>
        <v/>
      </c>
      <c r="C583">
        <f>IF($A583=1,SUM($A$2:$A583),0)</f>
        <v/>
      </c>
    </row>
    <row r="584">
      <c r="A584">
        <f>IF(AND(OR(Query!$B$4="All",'Compliance Database'!$A584=Query!$B$4),OR(Query!$B$5="All",'Compliance Database'!$F584=Query!$B$5),OR(Query!$B$6="All",ISNUMBER(SEARCH(Query!$B$6,'Compliance Database'!$I584))),OR(Query!$B$7="All",ISNUMBER(SEARCH(Query!$B$7,'Compliance Database'!$J584))),OR(Query!$B$8="All",'Compliance Database'!$G584=Query!$B$8),OR(Query!$B$9="All",'Compliance Database'!$K584=Query!$B$9),OR(Query!$B$10="",ISNUMBER(SEARCH(Query!$B$10,'Compliance Database'!$D584&amp;" "&amp;'Compliance Database'!$L584&amp;" "&amp;'Compliance Database'!$M584&amp;" "&amp;'Compliance Database'!$N584&amp;" "&amp;'Compliance Database'!$O584)))),1,0)</f>
        <v/>
      </c>
      <c r="B584">
        <f>IF($A584=1,SUM($A$2:$A584),"")</f>
        <v/>
      </c>
      <c r="C584">
        <f>IF($A584=1,SUM($A$2:$A584),0)</f>
        <v/>
      </c>
    </row>
    <row r="585">
      <c r="A585">
        <f>IF(AND(OR(Query!$B$4="All",'Compliance Database'!$A585=Query!$B$4),OR(Query!$B$5="All",'Compliance Database'!$F585=Query!$B$5),OR(Query!$B$6="All",ISNUMBER(SEARCH(Query!$B$6,'Compliance Database'!$I585))),OR(Query!$B$7="All",ISNUMBER(SEARCH(Query!$B$7,'Compliance Database'!$J585))),OR(Query!$B$8="All",'Compliance Database'!$G585=Query!$B$8),OR(Query!$B$9="All",'Compliance Database'!$K585=Query!$B$9),OR(Query!$B$10="",ISNUMBER(SEARCH(Query!$B$10,'Compliance Database'!$D585&amp;" "&amp;'Compliance Database'!$L585&amp;" "&amp;'Compliance Database'!$M585&amp;" "&amp;'Compliance Database'!$N585&amp;" "&amp;'Compliance Database'!$O585)))),1,0)</f>
        <v/>
      </c>
      <c r="B585">
        <f>IF($A585=1,SUM($A$2:$A585),"")</f>
        <v/>
      </c>
      <c r="C585">
        <f>IF($A585=1,SUM($A$2:$A585),0)</f>
        <v/>
      </c>
    </row>
    <row r="586">
      <c r="A586">
        <f>IF(AND(OR(Query!$B$4="All",'Compliance Database'!$A586=Query!$B$4),OR(Query!$B$5="All",'Compliance Database'!$F586=Query!$B$5),OR(Query!$B$6="All",ISNUMBER(SEARCH(Query!$B$6,'Compliance Database'!$I586))),OR(Query!$B$7="All",ISNUMBER(SEARCH(Query!$B$7,'Compliance Database'!$J586))),OR(Query!$B$8="All",'Compliance Database'!$G586=Query!$B$8),OR(Query!$B$9="All",'Compliance Database'!$K586=Query!$B$9),OR(Query!$B$10="",ISNUMBER(SEARCH(Query!$B$10,'Compliance Database'!$D586&amp;" "&amp;'Compliance Database'!$L586&amp;" "&amp;'Compliance Database'!$M586&amp;" "&amp;'Compliance Database'!$N586&amp;" "&amp;'Compliance Database'!$O586)))),1,0)</f>
        <v/>
      </c>
      <c r="B586">
        <f>IF($A586=1,SUM($A$2:$A586),"")</f>
        <v/>
      </c>
      <c r="C586">
        <f>IF($A586=1,SUM($A$2:$A586),0)</f>
        <v/>
      </c>
    </row>
    <row r="587">
      <c r="A587">
        <f>IF(AND(OR(Query!$B$4="All",'Compliance Database'!$A587=Query!$B$4),OR(Query!$B$5="All",'Compliance Database'!$F587=Query!$B$5),OR(Query!$B$6="All",ISNUMBER(SEARCH(Query!$B$6,'Compliance Database'!$I587))),OR(Query!$B$7="All",ISNUMBER(SEARCH(Query!$B$7,'Compliance Database'!$J587))),OR(Query!$B$8="All",'Compliance Database'!$G587=Query!$B$8),OR(Query!$B$9="All",'Compliance Database'!$K587=Query!$B$9),OR(Query!$B$10="",ISNUMBER(SEARCH(Query!$B$10,'Compliance Database'!$D587&amp;" "&amp;'Compliance Database'!$L587&amp;" "&amp;'Compliance Database'!$M587&amp;" "&amp;'Compliance Database'!$N587&amp;" "&amp;'Compliance Database'!$O587)))),1,0)</f>
        <v/>
      </c>
      <c r="B587">
        <f>IF($A587=1,SUM($A$2:$A587),"")</f>
        <v/>
      </c>
      <c r="C587">
        <f>IF($A587=1,SUM($A$2:$A587),0)</f>
        <v/>
      </c>
    </row>
    <row r="588">
      <c r="A588">
        <f>IF(AND(OR(Query!$B$4="All",'Compliance Database'!$A588=Query!$B$4),OR(Query!$B$5="All",'Compliance Database'!$F588=Query!$B$5),OR(Query!$B$6="All",ISNUMBER(SEARCH(Query!$B$6,'Compliance Database'!$I588))),OR(Query!$B$7="All",ISNUMBER(SEARCH(Query!$B$7,'Compliance Database'!$J588))),OR(Query!$B$8="All",'Compliance Database'!$G588=Query!$B$8),OR(Query!$B$9="All",'Compliance Database'!$K588=Query!$B$9),OR(Query!$B$10="",ISNUMBER(SEARCH(Query!$B$10,'Compliance Database'!$D588&amp;" "&amp;'Compliance Database'!$L588&amp;" "&amp;'Compliance Database'!$M588&amp;" "&amp;'Compliance Database'!$N588&amp;" "&amp;'Compliance Database'!$O588)))),1,0)</f>
        <v/>
      </c>
      <c r="B588">
        <f>IF($A588=1,SUM($A$2:$A588),"")</f>
        <v/>
      </c>
      <c r="C588">
        <f>IF($A588=1,SUM($A$2:$A588),0)</f>
        <v/>
      </c>
    </row>
    <row r="589">
      <c r="A589">
        <f>IF(AND(OR(Query!$B$4="All",'Compliance Database'!$A589=Query!$B$4),OR(Query!$B$5="All",'Compliance Database'!$F589=Query!$B$5),OR(Query!$B$6="All",ISNUMBER(SEARCH(Query!$B$6,'Compliance Database'!$I589))),OR(Query!$B$7="All",ISNUMBER(SEARCH(Query!$B$7,'Compliance Database'!$J589))),OR(Query!$B$8="All",'Compliance Database'!$G589=Query!$B$8),OR(Query!$B$9="All",'Compliance Database'!$K589=Query!$B$9),OR(Query!$B$10="",ISNUMBER(SEARCH(Query!$B$10,'Compliance Database'!$D589&amp;" "&amp;'Compliance Database'!$L589&amp;" "&amp;'Compliance Database'!$M589&amp;" "&amp;'Compliance Database'!$N589&amp;" "&amp;'Compliance Database'!$O589)))),1,0)</f>
        <v/>
      </c>
      <c r="B589">
        <f>IF($A589=1,SUM($A$2:$A589),"")</f>
        <v/>
      </c>
      <c r="C589">
        <f>IF($A589=1,SUM($A$2:$A589),0)</f>
        <v/>
      </c>
    </row>
    <row r="590">
      <c r="A590">
        <f>IF(AND(OR(Query!$B$4="All",'Compliance Database'!$A590=Query!$B$4),OR(Query!$B$5="All",'Compliance Database'!$F590=Query!$B$5),OR(Query!$B$6="All",ISNUMBER(SEARCH(Query!$B$6,'Compliance Database'!$I590))),OR(Query!$B$7="All",ISNUMBER(SEARCH(Query!$B$7,'Compliance Database'!$J590))),OR(Query!$B$8="All",'Compliance Database'!$G590=Query!$B$8),OR(Query!$B$9="All",'Compliance Database'!$K590=Query!$B$9),OR(Query!$B$10="",ISNUMBER(SEARCH(Query!$B$10,'Compliance Database'!$D590&amp;" "&amp;'Compliance Database'!$L590&amp;" "&amp;'Compliance Database'!$M590&amp;" "&amp;'Compliance Database'!$N590&amp;" "&amp;'Compliance Database'!$O590)))),1,0)</f>
        <v/>
      </c>
      <c r="B590">
        <f>IF($A590=1,SUM($A$2:$A590),"")</f>
        <v/>
      </c>
      <c r="C590">
        <f>IF($A590=1,SUM($A$2:$A590),0)</f>
        <v/>
      </c>
    </row>
    <row r="591">
      <c r="A591">
        <f>IF(AND(OR(Query!$B$4="All",'Compliance Database'!$A591=Query!$B$4),OR(Query!$B$5="All",'Compliance Database'!$F591=Query!$B$5),OR(Query!$B$6="All",ISNUMBER(SEARCH(Query!$B$6,'Compliance Database'!$I591))),OR(Query!$B$7="All",ISNUMBER(SEARCH(Query!$B$7,'Compliance Database'!$J591))),OR(Query!$B$8="All",'Compliance Database'!$G591=Query!$B$8),OR(Query!$B$9="All",'Compliance Database'!$K591=Query!$B$9),OR(Query!$B$10="",ISNUMBER(SEARCH(Query!$B$10,'Compliance Database'!$D591&amp;" "&amp;'Compliance Database'!$L591&amp;" "&amp;'Compliance Database'!$M591&amp;" "&amp;'Compliance Database'!$N591&amp;" "&amp;'Compliance Database'!$O591)))),1,0)</f>
        <v/>
      </c>
      <c r="B591">
        <f>IF($A591=1,SUM($A$2:$A591),"")</f>
        <v/>
      </c>
      <c r="C591">
        <f>IF($A591=1,SUM($A$2:$A591),0)</f>
        <v/>
      </c>
    </row>
    <row r="592">
      <c r="A592">
        <f>IF(AND(OR(Query!$B$4="All",'Compliance Database'!$A592=Query!$B$4),OR(Query!$B$5="All",'Compliance Database'!$F592=Query!$B$5),OR(Query!$B$6="All",ISNUMBER(SEARCH(Query!$B$6,'Compliance Database'!$I592))),OR(Query!$B$7="All",ISNUMBER(SEARCH(Query!$B$7,'Compliance Database'!$J592))),OR(Query!$B$8="All",'Compliance Database'!$G592=Query!$B$8),OR(Query!$B$9="All",'Compliance Database'!$K592=Query!$B$9),OR(Query!$B$10="",ISNUMBER(SEARCH(Query!$B$10,'Compliance Database'!$D592&amp;" "&amp;'Compliance Database'!$L592&amp;" "&amp;'Compliance Database'!$M592&amp;" "&amp;'Compliance Database'!$N592&amp;" "&amp;'Compliance Database'!$O592)))),1,0)</f>
        <v/>
      </c>
      <c r="B592">
        <f>IF($A592=1,SUM($A$2:$A592),"")</f>
        <v/>
      </c>
      <c r="C592">
        <f>IF($A592=1,SUM($A$2:$A592),0)</f>
        <v/>
      </c>
    </row>
    <row r="593">
      <c r="A593">
        <f>IF(AND(OR(Query!$B$4="All",'Compliance Database'!$A593=Query!$B$4),OR(Query!$B$5="All",'Compliance Database'!$F593=Query!$B$5),OR(Query!$B$6="All",ISNUMBER(SEARCH(Query!$B$6,'Compliance Database'!$I593))),OR(Query!$B$7="All",ISNUMBER(SEARCH(Query!$B$7,'Compliance Database'!$J593))),OR(Query!$B$8="All",'Compliance Database'!$G593=Query!$B$8),OR(Query!$B$9="All",'Compliance Database'!$K593=Query!$B$9),OR(Query!$B$10="",ISNUMBER(SEARCH(Query!$B$10,'Compliance Database'!$D593&amp;" "&amp;'Compliance Database'!$L593&amp;" "&amp;'Compliance Database'!$M593&amp;" "&amp;'Compliance Database'!$N593&amp;" "&amp;'Compliance Database'!$O593)))),1,0)</f>
        <v/>
      </c>
      <c r="B593">
        <f>IF($A593=1,SUM($A$2:$A593),"")</f>
        <v/>
      </c>
      <c r="C593">
        <f>IF($A593=1,SUM($A$2:$A593),0)</f>
        <v/>
      </c>
    </row>
    <row r="594">
      <c r="A594">
        <f>IF(AND(OR(Query!$B$4="All",'Compliance Database'!$A594=Query!$B$4),OR(Query!$B$5="All",'Compliance Database'!$F594=Query!$B$5),OR(Query!$B$6="All",ISNUMBER(SEARCH(Query!$B$6,'Compliance Database'!$I594))),OR(Query!$B$7="All",ISNUMBER(SEARCH(Query!$B$7,'Compliance Database'!$J594))),OR(Query!$B$8="All",'Compliance Database'!$G594=Query!$B$8),OR(Query!$B$9="All",'Compliance Database'!$K594=Query!$B$9),OR(Query!$B$10="",ISNUMBER(SEARCH(Query!$B$10,'Compliance Database'!$D594&amp;" "&amp;'Compliance Database'!$L594&amp;" "&amp;'Compliance Database'!$M594&amp;" "&amp;'Compliance Database'!$N594&amp;" "&amp;'Compliance Database'!$O594)))),1,0)</f>
        <v/>
      </c>
      <c r="B594">
        <f>IF($A594=1,SUM($A$2:$A594),"")</f>
        <v/>
      </c>
      <c r="C594">
        <f>IF($A594=1,SUM($A$2:$A594),0)</f>
        <v/>
      </c>
    </row>
    <row r="595">
      <c r="A595">
        <f>IF(AND(OR(Query!$B$4="All",'Compliance Database'!$A595=Query!$B$4),OR(Query!$B$5="All",'Compliance Database'!$F595=Query!$B$5),OR(Query!$B$6="All",ISNUMBER(SEARCH(Query!$B$6,'Compliance Database'!$I595))),OR(Query!$B$7="All",ISNUMBER(SEARCH(Query!$B$7,'Compliance Database'!$J595))),OR(Query!$B$8="All",'Compliance Database'!$G595=Query!$B$8),OR(Query!$B$9="All",'Compliance Database'!$K595=Query!$B$9),OR(Query!$B$10="",ISNUMBER(SEARCH(Query!$B$10,'Compliance Database'!$D595&amp;" "&amp;'Compliance Database'!$L595&amp;" "&amp;'Compliance Database'!$M595&amp;" "&amp;'Compliance Database'!$N595&amp;" "&amp;'Compliance Database'!$O595)))),1,0)</f>
        <v/>
      </c>
      <c r="B595">
        <f>IF($A595=1,SUM($A$2:$A595),"")</f>
        <v/>
      </c>
      <c r="C595">
        <f>IF($A595=1,SUM($A$2:$A595),0)</f>
        <v/>
      </c>
    </row>
    <row r="596">
      <c r="A596">
        <f>IF(AND(OR(Query!$B$4="All",'Compliance Database'!$A596=Query!$B$4),OR(Query!$B$5="All",'Compliance Database'!$F596=Query!$B$5),OR(Query!$B$6="All",ISNUMBER(SEARCH(Query!$B$6,'Compliance Database'!$I596))),OR(Query!$B$7="All",ISNUMBER(SEARCH(Query!$B$7,'Compliance Database'!$J596))),OR(Query!$B$8="All",'Compliance Database'!$G596=Query!$B$8),OR(Query!$B$9="All",'Compliance Database'!$K596=Query!$B$9),OR(Query!$B$10="",ISNUMBER(SEARCH(Query!$B$10,'Compliance Database'!$D596&amp;" "&amp;'Compliance Database'!$L596&amp;" "&amp;'Compliance Database'!$M596&amp;" "&amp;'Compliance Database'!$N596&amp;" "&amp;'Compliance Database'!$O596)))),1,0)</f>
        <v/>
      </c>
      <c r="B596">
        <f>IF($A596=1,SUM($A$2:$A596),"")</f>
        <v/>
      </c>
      <c r="C596">
        <f>IF($A596=1,SUM($A$2:$A596),0)</f>
        <v/>
      </c>
    </row>
    <row r="597">
      <c r="A597">
        <f>IF(AND(OR(Query!$B$4="All",'Compliance Database'!$A597=Query!$B$4),OR(Query!$B$5="All",'Compliance Database'!$F597=Query!$B$5),OR(Query!$B$6="All",ISNUMBER(SEARCH(Query!$B$6,'Compliance Database'!$I597))),OR(Query!$B$7="All",ISNUMBER(SEARCH(Query!$B$7,'Compliance Database'!$J597))),OR(Query!$B$8="All",'Compliance Database'!$G597=Query!$B$8),OR(Query!$B$9="All",'Compliance Database'!$K597=Query!$B$9),OR(Query!$B$10="",ISNUMBER(SEARCH(Query!$B$10,'Compliance Database'!$D597&amp;" "&amp;'Compliance Database'!$L597&amp;" "&amp;'Compliance Database'!$M597&amp;" "&amp;'Compliance Database'!$N597&amp;" "&amp;'Compliance Database'!$O597)))),1,0)</f>
        <v/>
      </c>
      <c r="B597">
        <f>IF($A597=1,SUM($A$2:$A597),"")</f>
        <v/>
      </c>
      <c r="C597">
        <f>IF($A597=1,SUM($A$2:$A597),0)</f>
        <v/>
      </c>
    </row>
    <row r="598">
      <c r="A598">
        <f>IF(AND(OR(Query!$B$4="All",'Compliance Database'!$A598=Query!$B$4),OR(Query!$B$5="All",'Compliance Database'!$F598=Query!$B$5),OR(Query!$B$6="All",ISNUMBER(SEARCH(Query!$B$6,'Compliance Database'!$I598))),OR(Query!$B$7="All",ISNUMBER(SEARCH(Query!$B$7,'Compliance Database'!$J598))),OR(Query!$B$8="All",'Compliance Database'!$G598=Query!$B$8),OR(Query!$B$9="All",'Compliance Database'!$K598=Query!$B$9),OR(Query!$B$10="",ISNUMBER(SEARCH(Query!$B$10,'Compliance Database'!$D598&amp;" "&amp;'Compliance Database'!$L598&amp;" "&amp;'Compliance Database'!$M598&amp;" "&amp;'Compliance Database'!$N598&amp;" "&amp;'Compliance Database'!$O598)))),1,0)</f>
        <v/>
      </c>
      <c r="B598">
        <f>IF($A598=1,SUM($A$2:$A598),"")</f>
        <v/>
      </c>
      <c r="C598">
        <f>IF($A598=1,SUM($A$2:$A598),0)</f>
        <v/>
      </c>
    </row>
    <row r="599">
      <c r="A599">
        <f>IF(AND(OR(Query!$B$4="All",'Compliance Database'!$A599=Query!$B$4),OR(Query!$B$5="All",'Compliance Database'!$F599=Query!$B$5),OR(Query!$B$6="All",ISNUMBER(SEARCH(Query!$B$6,'Compliance Database'!$I599))),OR(Query!$B$7="All",ISNUMBER(SEARCH(Query!$B$7,'Compliance Database'!$J599))),OR(Query!$B$8="All",'Compliance Database'!$G599=Query!$B$8),OR(Query!$B$9="All",'Compliance Database'!$K599=Query!$B$9),OR(Query!$B$10="",ISNUMBER(SEARCH(Query!$B$10,'Compliance Database'!$D599&amp;" "&amp;'Compliance Database'!$L599&amp;" "&amp;'Compliance Database'!$M599&amp;" "&amp;'Compliance Database'!$N599&amp;" "&amp;'Compliance Database'!$O599)))),1,0)</f>
        <v/>
      </c>
      <c r="B599">
        <f>IF($A599=1,SUM($A$2:$A599),"")</f>
        <v/>
      </c>
      <c r="C599">
        <f>IF($A599=1,SUM($A$2:$A599),0)</f>
        <v/>
      </c>
    </row>
    <row r="600">
      <c r="A600">
        <f>IF(AND(OR(Query!$B$4="All",'Compliance Database'!$A600=Query!$B$4),OR(Query!$B$5="All",'Compliance Database'!$F600=Query!$B$5),OR(Query!$B$6="All",ISNUMBER(SEARCH(Query!$B$6,'Compliance Database'!$I600))),OR(Query!$B$7="All",ISNUMBER(SEARCH(Query!$B$7,'Compliance Database'!$J600))),OR(Query!$B$8="All",'Compliance Database'!$G600=Query!$B$8),OR(Query!$B$9="All",'Compliance Database'!$K600=Query!$B$9),OR(Query!$B$10="",ISNUMBER(SEARCH(Query!$B$10,'Compliance Database'!$D600&amp;" "&amp;'Compliance Database'!$L600&amp;" "&amp;'Compliance Database'!$M600&amp;" "&amp;'Compliance Database'!$N600&amp;" "&amp;'Compliance Database'!$O600)))),1,0)</f>
        <v/>
      </c>
      <c r="B600">
        <f>IF($A600=1,SUM($A$2:$A600),"")</f>
        <v/>
      </c>
      <c r="C600">
        <f>IF($A600=1,SUM($A$2:$A600),0)</f>
        <v/>
      </c>
    </row>
    <row r="601">
      <c r="A601">
        <f>IF(AND(OR(Query!$B$4="All",'Compliance Database'!$A601=Query!$B$4),OR(Query!$B$5="All",'Compliance Database'!$F601=Query!$B$5),OR(Query!$B$6="All",ISNUMBER(SEARCH(Query!$B$6,'Compliance Database'!$I601))),OR(Query!$B$7="All",ISNUMBER(SEARCH(Query!$B$7,'Compliance Database'!$J601))),OR(Query!$B$8="All",'Compliance Database'!$G601=Query!$B$8),OR(Query!$B$9="All",'Compliance Database'!$K601=Query!$B$9),OR(Query!$B$10="",ISNUMBER(SEARCH(Query!$B$10,'Compliance Database'!$D601&amp;" "&amp;'Compliance Database'!$L601&amp;" "&amp;'Compliance Database'!$M601&amp;" "&amp;'Compliance Database'!$N601&amp;" "&amp;'Compliance Database'!$O601)))),1,0)</f>
        <v/>
      </c>
      <c r="B601">
        <f>IF($A601=1,SUM($A$2:$A601),"")</f>
        <v/>
      </c>
      <c r="C601">
        <f>IF($A601=1,SUM($A$2:$A601),0)</f>
        <v/>
      </c>
    </row>
    <row r="602">
      <c r="A602">
        <f>IF(AND(OR(Query!$B$4="All",'Compliance Database'!$A602=Query!$B$4),OR(Query!$B$5="All",'Compliance Database'!$F602=Query!$B$5),OR(Query!$B$6="All",ISNUMBER(SEARCH(Query!$B$6,'Compliance Database'!$I602))),OR(Query!$B$7="All",ISNUMBER(SEARCH(Query!$B$7,'Compliance Database'!$J602))),OR(Query!$B$8="All",'Compliance Database'!$G602=Query!$B$8),OR(Query!$B$9="All",'Compliance Database'!$K602=Query!$B$9),OR(Query!$B$10="",ISNUMBER(SEARCH(Query!$B$10,'Compliance Database'!$D602&amp;" "&amp;'Compliance Database'!$L602&amp;" "&amp;'Compliance Database'!$M602&amp;" "&amp;'Compliance Database'!$N602&amp;" "&amp;'Compliance Database'!$O602)))),1,0)</f>
        <v/>
      </c>
      <c r="B602">
        <f>IF($A602=1,SUM($A$2:$A602),"")</f>
        <v/>
      </c>
      <c r="C602">
        <f>IF($A602=1,SUM($A$2:$A602),0)</f>
        <v/>
      </c>
    </row>
    <row r="603">
      <c r="A603">
        <f>IF(AND(OR(Query!$B$4="All",'Compliance Database'!$A603=Query!$B$4),OR(Query!$B$5="All",'Compliance Database'!$F603=Query!$B$5),OR(Query!$B$6="All",ISNUMBER(SEARCH(Query!$B$6,'Compliance Database'!$I603))),OR(Query!$B$7="All",ISNUMBER(SEARCH(Query!$B$7,'Compliance Database'!$J603))),OR(Query!$B$8="All",'Compliance Database'!$G603=Query!$B$8),OR(Query!$B$9="All",'Compliance Database'!$K603=Query!$B$9),OR(Query!$B$10="",ISNUMBER(SEARCH(Query!$B$10,'Compliance Database'!$D603&amp;" "&amp;'Compliance Database'!$L603&amp;" "&amp;'Compliance Database'!$M603&amp;" "&amp;'Compliance Database'!$N603&amp;" "&amp;'Compliance Database'!$O603)))),1,0)</f>
        <v/>
      </c>
      <c r="B603">
        <f>IF($A603=1,SUM($A$2:$A603),"")</f>
        <v/>
      </c>
      <c r="C603">
        <f>IF($A603=1,SUM($A$2:$A603),0)</f>
        <v/>
      </c>
    </row>
    <row r="604">
      <c r="A604">
        <f>IF(AND(OR(Query!$B$4="All",'Compliance Database'!$A604=Query!$B$4),OR(Query!$B$5="All",'Compliance Database'!$F604=Query!$B$5),OR(Query!$B$6="All",ISNUMBER(SEARCH(Query!$B$6,'Compliance Database'!$I604))),OR(Query!$B$7="All",ISNUMBER(SEARCH(Query!$B$7,'Compliance Database'!$J604))),OR(Query!$B$8="All",'Compliance Database'!$G604=Query!$B$8),OR(Query!$B$9="All",'Compliance Database'!$K604=Query!$B$9),OR(Query!$B$10="",ISNUMBER(SEARCH(Query!$B$10,'Compliance Database'!$D604&amp;" "&amp;'Compliance Database'!$L604&amp;" "&amp;'Compliance Database'!$M604&amp;" "&amp;'Compliance Database'!$N604&amp;" "&amp;'Compliance Database'!$O604)))),1,0)</f>
        <v/>
      </c>
      <c r="B604">
        <f>IF($A604=1,SUM($A$2:$A604),"")</f>
        <v/>
      </c>
      <c r="C604">
        <f>IF($A604=1,SUM($A$2:$A604),0)</f>
        <v/>
      </c>
    </row>
    <row r="605">
      <c r="A605">
        <f>IF(AND(OR(Query!$B$4="All",'Compliance Database'!$A605=Query!$B$4),OR(Query!$B$5="All",'Compliance Database'!$F605=Query!$B$5),OR(Query!$B$6="All",ISNUMBER(SEARCH(Query!$B$6,'Compliance Database'!$I605))),OR(Query!$B$7="All",ISNUMBER(SEARCH(Query!$B$7,'Compliance Database'!$J605))),OR(Query!$B$8="All",'Compliance Database'!$G605=Query!$B$8),OR(Query!$B$9="All",'Compliance Database'!$K605=Query!$B$9),OR(Query!$B$10="",ISNUMBER(SEARCH(Query!$B$10,'Compliance Database'!$D605&amp;" "&amp;'Compliance Database'!$L605&amp;" "&amp;'Compliance Database'!$M605&amp;" "&amp;'Compliance Database'!$N605&amp;" "&amp;'Compliance Database'!$O605)))),1,0)</f>
        <v/>
      </c>
      <c r="B605">
        <f>IF($A605=1,SUM($A$2:$A605),"")</f>
        <v/>
      </c>
      <c r="C605">
        <f>IF($A605=1,SUM($A$2:$A605),0)</f>
        <v/>
      </c>
    </row>
    <row r="606">
      <c r="A606">
        <f>IF(AND(OR(Query!$B$4="All",'Compliance Database'!$A606=Query!$B$4),OR(Query!$B$5="All",'Compliance Database'!$F606=Query!$B$5),OR(Query!$B$6="All",ISNUMBER(SEARCH(Query!$B$6,'Compliance Database'!$I606))),OR(Query!$B$7="All",ISNUMBER(SEARCH(Query!$B$7,'Compliance Database'!$J606))),OR(Query!$B$8="All",'Compliance Database'!$G606=Query!$B$8),OR(Query!$B$9="All",'Compliance Database'!$K606=Query!$B$9),OR(Query!$B$10="",ISNUMBER(SEARCH(Query!$B$10,'Compliance Database'!$D606&amp;" "&amp;'Compliance Database'!$L606&amp;" "&amp;'Compliance Database'!$M606&amp;" "&amp;'Compliance Database'!$N606&amp;" "&amp;'Compliance Database'!$O606)))),1,0)</f>
        <v/>
      </c>
      <c r="B606">
        <f>IF($A606=1,SUM($A$2:$A606),"")</f>
        <v/>
      </c>
      <c r="C606">
        <f>IF($A606=1,SUM($A$2:$A606),0)</f>
        <v/>
      </c>
    </row>
    <row r="607">
      <c r="A607">
        <f>IF(AND(OR(Query!$B$4="All",'Compliance Database'!$A607=Query!$B$4),OR(Query!$B$5="All",'Compliance Database'!$F607=Query!$B$5),OR(Query!$B$6="All",ISNUMBER(SEARCH(Query!$B$6,'Compliance Database'!$I607))),OR(Query!$B$7="All",ISNUMBER(SEARCH(Query!$B$7,'Compliance Database'!$J607))),OR(Query!$B$8="All",'Compliance Database'!$G607=Query!$B$8),OR(Query!$B$9="All",'Compliance Database'!$K607=Query!$B$9),OR(Query!$B$10="",ISNUMBER(SEARCH(Query!$B$10,'Compliance Database'!$D607&amp;" "&amp;'Compliance Database'!$L607&amp;" "&amp;'Compliance Database'!$M607&amp;" "&amp;'Compliance Database'!$N607&amp;" "&amp;'Compliance Database'!$O607)))),1,0)</f>
        <v/>
      </c>
      <c r="B607">
        <f>IF($A607=1,SUM($A$2:$A607),"")</f>
        <v/>
      </c>
      <c r="C607">
        <f>IF($A607=1,SUM($A$2:$A607),0)</f>
        <v/>
      </c>
    </row>
    <row r="608">
      <c r="A608">
        <f>IF(AND(OR(Query!$B$4="All",'Compliance Database'!$A608=Query!$B$4),OR(Query!$B$5="All",'Compliance Database'!$F608=Query!$B$5),OR(Query!$B$6="All",ISNUMBER(SEARCH(Query!$B$6,'Compliance Database'!$I608))),OR(Query!$B$7="All",ISNUMBER(SEARCH(Query!$B$7,'Compliance Database'!$J608))),OR(Query!$B$8="All",'Compliance Database'!$G608=Query!$B$8),OR(Query!$B$9="All",'Compliance Database'!$K608=Query!$B$9),OR(Query!$B$10="",ISNUMBER(SEARCH(Query!$B$10,'Compliance Database'!$D608&amp;" "&amp;'Compliance Database'!$L608&amp;" "&amp;'Compliance Database'!$M608&amp;" "&amp;'Compliance Database'!$N608&amp;" "&amp;'Compliance Database'!$O608)))),1,0)</f>
        <v/>
      </c>
      <c r="B608">
        <f>IF($A608=1,SUM($A$2:$A608),"")</f>
        <v/>
      </c>
      <c r="C608">
        <f>IF($A608=1,SUM($A$2:$A608),0)</f>
        <v/>
      </c>
    </row>
    <row r="609">
      <c r="A609">
        <f>IF(AND(OR(Query!$B$4="All",'Compliance Database'!$A609=Query!$B$4),OR(Query!$B$5="All",'Compliance Database'!$F609=Query!$B$5),OR(Query!$B$6="All",ISNUMBER(SEARCH(Query!$B$6,'Compliance Database'!$I609))),OR(Query!$B$7="All",ISNUMBER(SEARCH(Query!$B$7,'Compliance Database'!$J609))),OR(Query!$B$8="All",'Compliance Database'!$G609=Query!$B$8),OR(Query!$B$9="All",'Compliance Database'!$K609=Query!$B$9),OR(Query!$B$10="",ISNUMBER(SEARCH(Query!$B$10,'Compliance Database'!$D609&amp;" "&amp;'Compliance Database'!$L609&amp;" "&amp;'Compliance Database'!$M609&amp;" "&amp;'Compliance Database'!$N609&amp;" "&amp;'Compliance Database'!$O609)))),1,0)</f>
        <v/>
      </c>
      <c r="B609">
        <f>IF($A609=1,SUM($A$2:$A609),"")</f>
        <v/>
      </c>
      <c r="C609">
        <f>IF($A609=1,SUM($A$2:$A609),0)</f>
        <v/>
      </c>
    </row>
    <row r="610">
      <c r="A610">
        <f>IF(AND(OR(Query!$B$4="All",'Compliance Database'!$A610=Query!$B$4),OR(Query!$B$5="All",'Compliance Database'!$F610=Query!$B$5),OR(Query!$B$6="All",ISNUMBER(SEARCH(Query!$B$6,'Compliance Database'!$I610))),OR(Query!$B$7="All",ISNUMBER(SEARCH(Query!$B$7,'Compliance Database'!$J610))),OR(Query!$B$8="All",'Compliance Database'!$G610=Query!$B$8),OR(Query!$B$9="All",'Compliance Database'!$K610=Query!$B$9),OR(Query!$B$10="",ISNUMBER(SEARCH(Query!$B$10,'Compliance Database'!$D610&amp;" "&amp;'Compliance Database'!$L610&amp;" "&amp;'Compliance Database'!$M610&amp;" "&amp;'Compliance Database'!$N610&amp;" "&amp;'Compliance Database'!$O610)))),1,0)</f>
        <v/>
      </c>
      <c r="B610">
        <f>IF($A610=1,SUM($A$2:$A610),"")</f>
        <v/>
      </c>
      <c r="C610">
        <f>IF($A610=1,SUM($A$2:$A610),0)</f>
        <v/>
      </c>
    </row>
    <row r="611">
      <c r="A611">
        <f>IF(AND(OR(Query!$B$4="All",'Compliance Database'!$A611=Query!$B$4),OR(Query!$B$5="All",'Compliance Database'!$F611=Query!$B$5),OR(Query!$B$6="All",ISNUMBER(SEARCH(Query!$B$6,'Compliance Database'!$I611))),OR(Query!$B$7="All",ISNUMBER(SEARCH(Query!$B$7,'Compliance Database'!$J611))),OR(Query!$B$8="All",'Compliance Database'!$G611=Query!$B$8),OR(Query!$B$9="All",'Compliance Database'!$K611=Query!$B$9),OR(Query!$B$10="",ISNUMBER(SEARCH(Query!$B$10,'Compliance Database'!$D611&amp;" "&amp;'Compliance Database'!$L611&amp;" "&amp;'Compliance Database'!$M611&amp;" "&amp;'Compliance Database'!$N611&amp;" "&amp;'Compliance Database'!$O611)))),1,0)</f>
        <v/>
      </c>
      <c r="B611">
        <f>IF($A611=1,SUM($A$2:$A611),"")</f>
        <v/>
      </c>
      <c r="C611">
        <f>IF($A611=1,SUM($A$2:$A611),0)</f>
        <v/>
      </c>
    </row>
    <row r="612">
      <c r="A612">
        <f>IF(AND(OR(Query!$B$4="All",'Compliance Database'!$A612=Query!$B$4),OR(Query!$B$5="All",'Compliance Database'!$F612=Query!$B$5),OR(Query!$B$6="All",ISNUMBER(SEARCH(Query!$B$6,'Compliance Database'!$I612))),OR(Query!$B$7="All",ISNUMBER(SEARCH(Query!$B$7,'Compliance Database'!$J612))),OR(Query!$B$8="All",'Compliance Database'!$G612=Query!$B$8),OR(Query!$B$9="All",'Compliance Database'!$K612=Query!$B$9),OR(Query!$B$10="",ISNUMBER(SEARCH(Query!$B$10,'Compliance Database'!$D612&amp;" "&amp;'Compliance Database'!$L612&amp;" "&amp;'Compliance Database'!$M612&amp;" "&amp;'Compliance Database'!$N612&amp;" "&amp;'Compliance Database'!$O612)))),1,0)</f>
        <v/>
      </c>
      <c r="B612">
        <f>IF($A612=1,SUM($A$2:$A612),"")</f>
        <v/>
      </c>
      <c r="C612">
        <f>IF($A612=1,SUM($A$2:$A612),0)</f>
        <v/>
      </c>
    </row>
    <row r="613">
      <c r="A613">
        <f>IF(AND(OR(Query!$B$4="All",'Compliance Database'!$A613=Query!$B$4),OR(Query!$B$5="All",'Compliance Database'!$F613=Query!$B$5),OR(Query!$B$6="All",ISNUMBER(SEARCH(Query!$B$6,'Compliance Database'!$I613))),OR(Query!$B$7="All",ISNUMBER(SEARCH(Query!$B$7,'Compliance Database'!$J613))),OR(Query!$B$8="All",'Compliance Database'!$G613=Query!$B$8),OR(Query!$B$9="All",'Compliance Database'!$K613=Query!$B$9),OR(Query!$B$10="",ISNUMBER(SEARCH(Query!$B$10,'Compliance Database'!$D613&amp;" "&amp;'Compliance Database'!$L613&amp;" "&amp;'Compliance Database'!$M613&amp;" "&amp;'Compliance Database'!$N613&amp;" "&amp;'Compliance Database'!$O613)))),1,0)</f>
        <v/>
      </c>
      <c r="B613">
        <f>IF($A613=1,SUM($A$2:$A613),"")</f>
        <v/>
      </c>
      <c r="C613">
        <f>IF($A613=1,SUM($A$2:$A613),0)</f>
        <v/>
      </c>
    </row>
    <row r="614">
      <c r="A614">
        <f>IF(AND(OR(Query!$B$4="All",'Compliance Database'!$A614=Query!$B$4),OR(Query!$B$5="All",'Compliance Database'!$F614=Query!$B$5),OR(Query!$B$6="All",ISNUMBER(SEARCH(Query!$B$6,'Compliance Database'!$I614))),OR(Query!$B$7="All",ISNUMBER(SEARCH(Query!$B$7,'Compliance Database'!$J614))),OR(Query!$B$8="All",'Compliance Database'!$G614=Query!$B$8),OR(Query!$B$9="All",'Compliance Database'!$K614=Query!$B$9),OR(Query!$B$10="",ISNUMBER(SEARCH(Query!$B$10,'Compliance Database'!$D614&amp;" "&amp;'Compliance Database'!$L614&amp;" "&amp;'Compliance Database'!$M614&amp;" "&amp;'Compliance Database'!$N614&amp;" "&amp;'Compliance Database'!$O614)))),1,0)</f>
        <v/>
      </c>
      <c r="B614">
        <f>IF($A614=1,SUM($A$2:$A614),"")</f>
        <v/>
      </c>
      <c r="C614">
        <f>IF($A614=1,SUM($A$2:$A614),0)</f>
        <v/>
      </c>
    </row>
    <row r="615">
      <c r="A615">
        <f>IF(AND(OR(Query!$B$4="All",'Compliance Database'!$A615=Query!$B$4),OR(Query!$B$5="All",'Compliance Database'!$F615=Query!$B$5),OR(Query!$B$6="All",ISNUMBER(SEARCH(Query!$B$6,'Compliance Database'!$I615))),OR(Query!$B$7="All",ISNUMBER(SEARCH(Query!$B$7,'Compliance Database'!$J615))),OR(Query!$B$8="All",'Compliance Database'!$G615=Query!$B$8),OR(Query!$B$9="All",'Compliance Database'!$K615=Query!$B$9),OR(Query!$B$10="",ISNUMBER(SEARCH(Query!$B$10,'Compliance Database'!$D615&amp;" "&amp;'Compliance Database'!$L615&amp;" "&amp;'Compliance Database'!$M615&amp;" "&amp;'Compliance Database'!$N615&amp;" "&amp;'Compliance Database'!$O615)))),1,0)</f>
        <v/>
      </c>
      <c r="B615">
        <f>IF($A615=1,SUM($A$2:$A615),"")</f>
        <v/>
      </c>
      <c r="C615">
        <f>IF($A615=1,SUM($A$2:$A615),0)</f>
        <v/>
      </c>
    </row>
    <row r="616">
      <c r="A616">
        <f>IF(AND(OR(Query!$B$4="All",'Compliance Database'!$A616=Query!$B$4),OR(Query!$B$5="All",'Compliance Database'!$F616=Query!$B$5),OR(Query!$B$6="All",ISNUMBER(SEARCH(Query!$B$6,'Compliance Database'!$I616))),OR(Query!$B$7="All",ISNUMBER(SEARCH(Query!$B$7,'Compliance Database'!$J616))),OR(Query!$B$8="All",'Compliance Database'!$G616=Query!$B$8),OR(Query!$B$9="All",'Compliance Database'!$K616=Query!$B$9),OR(Query!$B$10="",ISNUMBER(SEARCH(Query!$B$10,'Compliance Database'!$D616&amp;" "&amp;'Compliance Database'!$L616&amp;" "&amp;'Compliance Database'!$M616&amp;" "&amp;'Compliance Database'!$N616&amp;" "&amp;'Compliance Database'!$O616)))),1,0)</f>
        <v/>
      </c>
      <c r="B616">
        <f>IF($A616=1,SUM($A$2:$A616),"")</f>
        <v/>
      </c>
      <c r="C616">
        <f>IF($A616=1,SUM($A$2:$A616),0)</f>
        <v/>
      </c>
    </row>
    <row r="617">
      <c r="A617">
        <f>IF(AND(OR(Query!$B$4="All",'Compliance Database'!$A617=Query!$B$4),OR(Query!$B$5="All",'Compliance Database'!$F617=Query!$B$5),OR(Query!$B$6="All",ISNUMBER(SEARCH(Query!$B$6,'Compliance Database'!$I617))),OR(Query!$B$7="All",ISNUMBER(SEARCH(Query!$B$7,'Compliance Database'!$J617))),OR(Query!$B$8="All",'Compliance Database'!$G617=Query!$B$8),OR(Query!$B$9="All",'Compliance Database'!$K617=Query!$B$9),OR(Query!$B$10="",ISNUMBER(SEARCH(Query!$B$10,'Compliance Database'!$D617&amp;" "&amp;'Compliance Database'!$L617&amp;" "&amp;'Compliance Database'!$M617&amp;" "&amp;'Compliance Database'!$N617&amp;" "&amp;'Compliance Database'!$O617)))),1,0)</f>
        <v/>
      </c>
      <c r="B617">
        <f>IF($A617=1,SUM($A$2:$A617),"")</f>
        <v/>
      </c>
      <c r="C617">
        <f>IF($A617=1,SUM($A$2:$A617),0)</f>
        <v/>
      </c>
    </row>
    <row r="618">
      <c r="A618">
        <f>IF(AND(OR(Query!$B$4="All",'Compliance Database'!$A618=Query!$B$4),OR(Query!$B$5="All",'Compliance Database'!$F618=Query!$B$5),OR(Query!$B$6="All",ISNUMBER(SEARCH(Query!$B$6,'Compliance Database'!$I618))),OR(Query!$B$7="All",ISNUMBER(SEARCH(Query!$B$7,'Compliance Database'!$J618))),OR(Query!$B$8="All",'Compliance Database'!$G618=Query!$B$8),OR(Query!$B$9="All",'Compliance Database'!$K618=Query!$B$9),OR(Query!$B$10="",ISNUMBER(SEARCH(Query!$B$10,'Compliance Database'!$D618&amp;" "&amp;'Compliance Database'!$L618&amp;" "&amp;'Compliance Database'!$M618&amp;" "&amp;'Compliance Database'!$N618&amp;" "&amp;'Compliance Database'!$O618)))),1,0)</f>
        <v/>
      </c>
      <c r="B618">
        <f>IF($A618=1,SUM($A$2:$A618),"")</f>
        <v/>
      </c>
      <c r="C618">
        <f>IF($A618=1,SUM($A$2:$A618),0)</f>
        <v/>
      </c>
    </row>
    <row r="619">
      <c r="A619">
        <f>IF(AND(OR(Query!$B$4="All",'Compliance Database'!$A619=Query!$B$4),OR(Query!$B$5="All",'Compliance Database'!$F619=Query!$B$5),OR(Query!$B$6="All",ISNUMBER(SEARCH(Query!$B$6,'Compliance Database'!$I619))),OR(Query!$B$7="All",ISNUMBER(SEARCH(Query!$B$7,'Compliance Database'!$J619))),OR(Query!$B$8="All",'Compliance Database'!$G619=Query!$B$8),OR(Query!$B$9="All",'Compliance Database'!$K619=Query!$B$9),OR(Query!$B$10="",ISNUMBER(SEARCH(Query!$B$10,'Compliance Database'!$D619&amp;" "&amp;'Compliance Database'!$L619&amp;" "&amp;'Compliance Database'!$M619&amp;" "&amp;'Compliance Database'!$N619&amp;" "&amp;'Compliance Database'!$O619)))),1,0)</f>
        <v/>
      </c>
      <c r="B619">
        <f>IF($A619=1,SUM($A$2:$A619),"")</f>
        <v/>
      </c>
      <c r="C619">
        <f>IF($A619=1,SUM($A$2:$A619),0)</f>
        <v/>
      </c>
    </row>
    <row r="620">
      <c r="A620">
        <f>IF(AND(OR(Query!$B$4="All",'Compliance Database'!$A620=Query!$B$4),OR(Query!$B$5="All",'Compliance Database'!$F620=Query!$B$5),OR(Query!$B$6="All",ISNUMBER(SEARCH(Query!$B$6,'Compliance Database'!$I620))),OR(Query!$B$7="All",ISNUMBER(SEARCH(Query!$B$7,'Compliance Database'!$J620))),OR(Query!$B$8="All",'Compliance Database'!$G620=Query!$B$8),OR(Query!$B$9="All",'Compliance Database'!$K620=Query!$B$9),OR(Query!$B$10="",ISNUMBER(SEARCH(Query!$B$10,'Compliance Database'!$D620&amp;" "&amp;'Compliance Database'!$L620&amp;" "&amp;'Compliance Database'!$M620&amp;" "&amp;'Compliance Database'!$N620&amp;" "&amp;'Compliance Database'!$O620)))),1,0)</f>
        <v/>
      </c>
      <c r="B620">
        <f>IF($A620=1,SUM($A$2:$A620),"")</f>
        <v/>
      </c>
      <c r="C620">
        <f>IF($A620=1,SUM($A$2:$A620),0)</f>
        <v/>
      </c>
    </row>
    <row r="621">
      <c r="A621">
        <f>IF(AND(OR(Query!$B$4="All",'Compliance Database'!$A621=Query!$B$4),OR(Query!$B$5="All",'Compliance Database'!$F621=Query!$B$5),OR(Query!$B$6="All",ISNUMBER(SEARCH(Query!$B$6,'Compliance Database'!$I621))),OR(Query!$B$7="All",ISNUMBER(SEARCH(Query!$B$7,'Compliance Database'!$J621))),OR(Query!$B$8="All",'Compliance Database'!$G621=Query!$B$8),OR(Query!$B$9="All",'Compliance Database'!$K621=Query!$B$9),OR(Query!$B$10="",ISNUMBER(SEARCH(Query!$B$10,'Compliance Database'!$D621&amp;" "&amp;'Compliance Database'!$L621&amp;" "&amp;'Compliance Database'!$M621&amp;" "&amp;'Compliance Database'!$N621&amp;" "&amp;'Compliance Database'!$O621)))),1,0)</f>
        <v/>
      </c>
      <c r="B621">
        <f>IF($A621=1,SUM($A$2:$A621),"")</f>
        <v/>
      </c>
      <c r="C621">
        <f>IF($A621=1,SUM($A$2:$A621),0)</f>
        <v/>
      </c>
    </row>
    <row r="622">
      <c r="A622">
        <f>IF(AND(OR(Query!$B$4="All",'Compliance Database'!$A622=Query!$B$4),OR(Query!$B$5="All",'Compliance Database'!$F622=Query!$B$5),OR(Query!$B$6="All",ISNUMBER(SEARCH(Query!$B$6,'Compliance Database'!$I622))),OR(Query!$B$7="All",ISNUMBER(SEARCH(Query!$B$7,'Compliance Database'!$J622))),OR(Query!$B$8="All",'Compliance Database'!$G622=Query!$B$8),OR(Query!$B$9="All",'Compliance Database'!$K622=Query!$B$9),OR(Query!$B$10="",ISNUMBER(SEARCH(Query!$B$10,'Compliance Database'!$D622&amp;" "&amp;'Compliance Database'!$L622&amp;" "&amp;'Compliance Database'!$M622&amp;" "&amp;'Compliance Database'!$N622&amp;" "&amp;'Compliance Database'!$O622)))),1,0)</f>
        <v/>
      </c>
      <c r="B622">
        <f>IF($A622=1,SUM($A$2:$A622),"")</f>
        <v/>
      </c>
      <c r="C622">
        <f>IF($A622=1,SUM($A$2:$A622),0)</f>
        <v/>
      </c>
    </row>
    <row r="623">
      <c r="A623">
        <f>IF(AND(OR(Query!$B$4="All",'Compliance Database'!$A623=Query!$B$4),OR(Query!$B$5="All",'Compliance Database'!$F623=Query!$B$5),OR(Query!$B$6="All",ISNUMBER(SEARCH(Query!$B$6,'Compliance Database'!$I623))),OR(Query!$B$7="All",ISNUMBER(SEARCH(Query!$B$7,'Compliance Database'!$J623))),OR(Query!$B$8="All",'Compliance Database'!$G623=Query!$B$8),OR(Query!$B$9="All",'Compliance Database'!$K623=Query!$B$9),OR(Query!$B$10="",ISNUMBER(SEARCH(Query!$B$10,'Compliance Database'!$D623&amp;" "&amp;'Compliance Database'!$L623&amp;" "&amp;'Compliance Database'!$M623&amp;" "&amp;'Compliance Database'!$N623&amp;" "&amp;'Compliance Database'!$O623)))),1,0)</f>
        <v/>
      </c>
      <c r="B623">
        <f>IF($A623=1,SUM($A$2:$A623),"")</f>
        <v/>
      </c>
      <c r="C623">
        <f>IF($A623=1,SUM($A$2:$A623),0)</f>
        <v/>
      </c>
    </row>
    <row r="624">
      <c r="A624">
        <f>IF(AND(OR(Query!$B$4="All",'Compliance Database'!$A624=Query!$B$4),OR(Query!$B$5="All",'Compliance Database'!$F624=Query!$B$5),OR(Query!$B$6="All",ISNUMBER(SEARCH(Query!$B$6,'Compliance Database'!$I624))),OR(Query!$B$7="All",ISNUMBER(SEARCH(Query!$B$7,'Compliance Database'!$J624))),OR(Query!$B$8="All",'Compliance Database'!$G624=Query!$B$8),OR(Query!$B$9="All",'Compliance Database'!$K624=Query!$B$9),OR(Query!$B$10="",ISNUMBER(SEARCH(Query!$B$10,'Compliance Database'!$D624&amp;" "&amp;'Compliance Database'!$L624&amp;" "&amp;'Compliance Database'!$M624&amp;" "&amp;'Compliance Database'!$N624&amp;" "&amp;'Compliance Database'!$O624)))),1,0)</f>
        <v/>
      </c>
      <c r="B624">
        <f>IF($A624=1,SUM($A$2:$A624),"")</f>
        <v/>
      </c>
      <c r="C624">
        <f>IF($A624=1,SUM($A$2:$A624),0)</f>
        <v/>
      </c>
    </row>
    <row r="625">
      <c r="A625">
        <f>IF(AND(OR(Query!$B$4="All",'Compliance Database'!$A625=Query!$B$4),OR(Query!$B$5="All",'Compliance Database'!$F625=Query!$B$5),OR(Query!$B$6="All",ISNUMBER(SEARCH(Query!$B$6,'Compliance Database'!$I625))),OR(Query!$B$7="All",ISNUMBER(SEARCH(Query!$B$7,'Compliance Database'!$J625))),OR(Query!$B$8="All",'Compliance Database'!$G625=Query!$B$8),OR(Query!$B$9="All",'Compliance Database'!$K625=Query!$B$9),OR(Query!$B$10="",ISNUMBER(SEARCH(Query!$B$10,'Compliance Database'!$D625&amp;" "&amp;'Compliance Database'!$L625&amp;" "&amp;'Compliance Database'!$M625&amp;" "&amp;'Compliance Database'!$N625&amp;" "&amp;'Compliance Database'!$O625)))),1,0)</f>
        <v/>
      </c>
      <c r="B625">
        <f>IF($A625=1,SUM($A$2:$A625),"")</f>
        <v/>
      </c>
      <c r="C625">
        <f>IF($A625=1,SUM($A$2:$A625),0)</f>
        <v/>
      </c>
    </row>
    <row r="626">
      <c r="A626">
        <f>IF(AND(OR(Query!$B$4="All",'Compliance Database'!$A626=Query!$B$4),OR(Query!$B$5="All",'Compliance Database'!$F626=Query!$B$5),OR(Query!$B$6="All",ISNUMBER(SEARCH(Query!$B$6,'Compliance Database'!$I626))),OR(Query!$B$7="All",ISNUMBER(SEARCH(Query!$B$7,'Compliance Database'!$J626))),OR(Query!$B$8="All",'Compliance Database'!$G626=Query!$B$8),OR(Query!$B$9="All",'Compliance Database'!$K626=Query!$B$9),OR(Query!$B$10="",ISNUMBER(SEARCH(Query!$B$10,'Compliance Database'!$D626&amp;" "&amp;'Compliance Database'!$L626&amp;" "&amp;'Compliance Database'!$M626&amp;" "&amp;'Compliance Database'!$N626&amp;" "&amp;'Compliance Database'!$O626)))),1,0)</f>
        <v/>
      </c>
      <c r="B626">
        <f>IF($A626=1,SUM($A$2:$A626),"")</f>
        <v/>
      </c>
      <c r="C626">
        <f>IF($A626=1,SUM($A$2:$A626),0)</f>
        <v/>
      </c>
    </row>
    <row r="627">
      <c r="A627">
        <f>IF(AND(OR(Query!$B$4="All",'Compliance Database'!$A627=Query!$B$4),OR(Query!$B$5="All",'Compliance Database'!$F627=Query!$B$5),OR(Query!$B$6="All",ISNUMBER(SEARCH(Query!$B$6,'Compliance Database'!$I627))),OR(Query!$B$7="All",ISNUMBER(SEARCH(Query!$B$7,'Compliance Database'!$J627))),OR(Query!$B$8="All",'Compliance Database'!$G627=Query!$B$8),OR(Query!$B$9="All",'Compliance Database'!$K627=Query!$B$9),OR(Query!$B$10="",ISNUMBER(SEARCH(Query!$B$10,'Compliance Database'!$D627&amp;" "&amp;'Compliance Database'!$L627&amp;" "&amp;'Compliance Database'!$M627&amp;" "&amp;'Compliance Database'!$N627&amp;" "&amp;'Compliance Database'!$O627)))),1,0)</f>
        <v/>
      </c>
      <c r="B627">
        <f>IF($A627=1,SUM($A$2:$A627),"")</f>
        <v/>
      </c>
      <c r="C627">
        <f>IF($A627=1,SUM($A$2:$A627),0)</f>
        <v/>
      </c>
    </row>
    <row r="628">
      <c r="A628">
        <f>IF(AND(OR(Query!$B$4="All",'Compliance Database'!$A628=Query!$B$4),OR(Query!$B$5="All",'Compliance Database'!$F628=Query!$B$5),OR(Query!$B$6="All",ISNUMBER(SEARCH(Query!$B$6,'Compliance Database'!$I628))),OR(Query!$B$7="All",ISNUMBER(SEARCH(Query!$B$7,'Compliance Database'!$J628))),OR(Query!$B$8="All",'Compliance Database'!$G628=Query!$B$8),OR(Query!$B$9="All",'Compliance Database'!$K628=Query!$B$9),OR(Query!$B$10="",ISNUMBER(SEARCH(Query!$B$10,'Compliance Database'!$D628&amp;" "&amp;'Compliance Database'!$L628&amp;" "&amp;'Compliance Database'!$M628&amp;" "&amp;'Compliance Database'!$N628&amp;" "&amp;'Compliance Database'!$O628)))),1,0)</f>
        <v/>
      </c>
      <c r="B628">
        <f>IF($A628=1,SUM($A$2:$A628),"")</f>
        <v/>
      </c>
      <c r="C628">
        <f>IF($A628=1,SUM($A$2:$A628),0)</f>
        <v/>
      </c>
    </row>
    <row r="629">
      <c r="A629">
        <f>IF(AND(OR(Query!$B$4="All",'Compliance Database'!$A629=Query!$B$4),OR(Query!$B$5="All",'Compliance Database'!$F629=Query!$B$5),OR(Query!$B$6="All",ISNUMBER(SEARCH(Query!$B$6,'Compliance Database'!$I629))),OR(Query!$B$7="All",ISNUMBER(SEARCH(Query!$B$7,'Compliance Database'!$J629))),OR(Query!$B$8="All",'Compliance Database'!$G629=Query!$B$8),OR(Query!$B$9="All",'Compliance Database'!$K629=Query!$B$9),OR(Query!$B$10="",ISNUMBER(SEARCH(Query!$B$10,'Compliance Database'!$D629&amp;" "&amp;'Compliance Database'!$L629&amp;" "&amp;'Compliance Database'!$M629&amp;" "&amp;'Compliance Database'!$N629&amp;" "&amp;'Compliance Database'!$O629)))),1,0)</f>
        <v/>
      </c>
      <c r="B629">
        <f>IF($A629=1,SUM($A$2:$A629),"")</f>
        <v/>
      </c>
      <c r="C629">
        <f>IF($A629=1,SUM($A$2:$A629),0)</f>
        <v/>
      </c>
    </row>
    <row r="630">
      <c r="A630">
        <f>IF(AND(OR(Query!$B$4="All",'Compliance Database'!$A630=Query!$B$4),OR(Query!$B$5="All",'Compliance Database'!$F630=Query!$B$5),OR(Query!$B$6="All",ISNUMBER(SEARCH(Query!$B$6,'Compliance Database'!$I630))),OR(Query!$B$7="All",ISNUMBER(SEARCH(Query!$B$7,'Compliance Database'!$J630))),OR(Query!$B$8="All",'Compliance Database'!$G630=Query!$B$8),OR(Query!$B$9="All",'Compliance Database'!$K630=Query!$B$9),OR(Query!$B$10="",ISNUMBER(SEARCH(Query!$B$10,'Compliance Database'!$D630&amp;" "&amp;'Compliance Database'!$L630&amp;" "&amp;'Compliance Database'!$M630&amp;" "&amp;'Compliance Database'!$N630&amp;" "&amp;'Compliance Database'!$O630)))),1,0)</f>
        <v/>
      </c>
      <c r="B630">
        <f>IF($A630=1,SUM($A$2:$A630),"")</f>
        <v/>
      </c>
      <c r="C630">
        <f>IF($A630=1,SUM($A$2:$A630),0)</f>
        <v/>
      </c>
    </row>
    <row r="631">
      <c r="A631">
        <f>IF(AND(OR(Query!$B$4="All",'Compliance Database'!$A631=Query!$B$4),OR(Query!$B$5="All",'Compliance Database'!$F631=Query!$B$5),OR(Query!$B$6="All",ISNUMBER(SEARCH(Query!$B$6,'Compliance Database'!$I631))),OR(Query!$B$7="All",ISNUMBER(SEARCH(Query!$B$7,'Compliance Database'!$J631))),OR(Query!$B$8="All",'Compliance Database'!$G631=Query!$B$8),OR(Query!$B$9="All",'Compliance Database'!$K631=Query!$B$9),OR(Query!$B$10="",ISNUMBER(SEARCH(Query!$B$10,'Compliance Database'!$D631&amp;" "&amp;'Compliance Database'!$L631&amp;" "&amp;'Compliance Database'!$M631&amp;" "&amp;'Compliance Database'!$N631&amp;" "&amp;'Compliance Database'!$O631)))),1,0)</f>
        <v/>
      </c>
      <c r="B631">
        <f>IF($A631=1,SUM($A$2:$A631),"")</f>
        <v/>
      </c>
      <c r="C631">
        <f>IF($A631=1,SUM($A$2:$A631),0)</f>
        <v/>
      </c>
    </row>
    <row r="632">
      <c r="A632">
        <f>IF(AND(OR(Query!$B$4="All",'Compliance Database'!$A632=Query!$B$4),OR(Query!$B$5="All",'Compliance Database'!$F632=Query!$B$5),OR(Query!$B$6="All",ISNUMBER(SEARCH(Query!$B$6,'Compliance Database'!$I632))),OR(Query!$B$7="All",ISNUMBER(SEARCH(Query!$B$7,'Compliance Database'!$J632))),OR(Query!$B$8="All",'Compliance Database'!$G632=Query!$B$8),OR(Query!$B$9="All",'Compliance Database'!$K632=Query!$B$9),OR(Query!$B$10="",ISNUMBER(SEARCH(Query!$B$10,'Compliance Database'!$D632&amp;" "&amp;'Compliance Database'!$L632&amp;" "&amp;'Compliance Database'!$M632&amp;" "&amp;'Compliance Database'!$N632&amp;" "&amp;'Compliance Database'!$O632)))),1,0)</f>
        <v/>
      </c>
      <c r="B632">
        <f>IF($A632=1,SUM($A$2:$A632),"")</f>
        <v/>
      </c>
      <c r="C632">
        <f>IF($A632=1,SUM($A$2:$A632),0)</f>
        <v/>
      </c>
    </row>
    <row r="633">
      <c r="A633">
        <f>IF(AND(OR(Query!$B$4="All",'Compliance Database'!$A633=Query!$B$4),OR(Query!$B$5="All",'Compliance Database'!$F633=Query!$B$5),OR(Query!$B$6="All",ISNUMBER(SEARCH(Query!$B$6,'Compliance Database'!$I633))),OR(Query!$B$7="All",ISNUMBER(SEARCH(Query!$B$7,'Compliance Database'!$J633))),OR(Query!$B$8="All",'Compliance Database'!$G633=Query!$B$8),OR(Query!$B$9="All",'Compliance Database'!$K633=Query!$B$9),OR(Query!$B$10="",ISNUMBER(SEARCH(Query!$B$10,'Compliance Database'!$D633&amp;" "&amp;'Compliance Database'!$L633&amp;" "&amp;'Compliance Database'!$M633&amp;" "&amp;'Compliance Database'!$N633&amp;" "&amp;'Compliance Database'!$O633)))),1,0)</f>
        <v/>
      </c>
      <c r="B633">
        <f>IF($A633=1,SUM($A$2:$A633),"")</f>
        <v/>
      </c>
      <c r="C633">
        <f>IF($A633=1,SUM($A$2:$A633),0)</f>
        <v/>
      </c>
    </row>
    <row r="634">
      <c r="A634">
        <f>IF(AND(OR(Query!$B$4="All",'Compliance Database'!$A634=Query!$B$4),OR(Query!$B$5="All",'Compliance Database'!$F634=Query!$B$5),OR(Query!$B$6="All",ISNUMBER(SEARCH(Query!$B$6,'Compliance Database'!$I634))),OR(Query!$B$7="All",ISNUMBER(SEARCH(Query!$B$7,'Compliance Database'!$J634))),OR(Query!$B$8="All",'Compliance Database'!$G634=Query!$B$8),OR(Query!$B$9="All",'Compliance Database'!$K634=Query!$B$9),OR(Query!$B$10="",ISNUMBER(SEARCH(Query!$B$10,'Compliance Database'!$D634&amp;" "&amp;'Compliance Database'!$L634&amp;" "&amp;'Compliance Database'!$M634&amp;" "&amp;'Compliance Database'!$N634&amp;" "&amp;'Compliance Database'!$O634)))),1,0)</f>
        <v/>
      </c>
      <c r="B634">
        <f>IF($A634=1,SUM($A$2:$A634),"")</f>
        <v/>
      </c>
      <c r="C634">
        <f>IF($A634=1,SUM($A$2:$A634),0)</f>
        <v/>
      </c>
    </row>
    <row r="635">
      <c r="A635">
        <f>IF(AND(OR(Query!$B$4="All",'Compliance Database'!$A635=Query!$B$4),OR(Query!$B$5="All",'Compliance Database'!$F635=Query!$B$5),OR(Query!$B$6="All",ISNUMBER(SEARCH(Query!$B$6,'Compliance Database'!$I635))),OR(Query!$B$7="All",ISNUMBER(SEARCH(Query!$B$7,'Compliance Database'!$J635))),OR(Query!$B$8="All",'Compliance Database'!$G635=Query!$B$8),OR(Query!$B$9="All",'Compliance Database'!$K635=Query!$B$9),OR(Query!$B$10="",ISNUMBER(SEARCH(Query!$B$10,'Compliance Database'!$D635&amp;" "&amp;'Compliance Database'!$L635&amp;" "&amp;'Compliance Database'!$M635&amp;" "&amp;'Compliance Database'!$N635&amp;" "&amp;'Compliance Database'!$O635)))),1,0)</f>
        <v/>
      </c>
      <c r="B635">
        <f>IF($A635=1,SUM($A$2:$A635),"")</f>
        <v/>
      </c>
      <c r="C635">
        <f>IF($A635=1,SUM($A$2:$A635),0)</f>
        <v/>
      </c>
    </row>
    <row r="636">
      <c r="A636">
        <f>IF(AND(OR(Query!$B$4="All",'Compliance Database'!$A636=Query!$B$4),OR(Query!$B$5="All",'Compliance Database'!$F636=Query!$B$5),OR(Query!$B$6="All",ISNUMBER(SEARCH(Query!$B$6,'Compliance Database'!$I636))),OR(Query!$B$7="All",ISNUMBER(SEARCH(Query!$B$7,'Compliance Database'!$J636))),OR(Query!$B$8="All",'Compliance Database'!$G636=Query!$B$8),OR(Query!$B$9="All",'Compliance Database'!$K636=Query!$B$9),OR(Query!$B$10="",ISNUMBER(SEARCH(Query!$B$10,'Compliance Database'!$D636&amp;" "&amp;'Compliance Database'!$L636&amp;" "&amp;'Compliance Database'!$M636&amp;" "&amp;'Compliance Database'!$N636&amp;" "&amp;'Compliance Database'!$O636)))),1,0)</f>
        <v/>
      </c>
      <c r="B636">
        <f>IF($A636=1,SUM($A$2:$A636),"")</f>
        <v/>
      </c>
      <c r="C636">
        <f>IF($A636=1,SUM($A$2:$A636),0)</f>
        <v/>
      </c>
    </row>
    <row r="637">
      <c r="A637">
        <f>IF(AND(OR(Query!$B$4="All",'Compliance Database'!$A637=Query!$B$4),OR(Query!$B$5="All",'Compliance Database'!$F637=Query!$B$5),OR(Query!$B$6="All",ISNUMBER(SEARCH(Query!$B$6,'Compliance Database'!$I637))),OR(Query!$B$7="All",ISNUMBER(SEARCH(Query!$B$7,'Compliance Database'!$J637))),OR(Query!$B$8="All",'Compliance Database'!$G637=Query!$B$8),OR(Query!$B$9="All",'Compliance Database'!$K637=Query!$B$9),OR(Query!$B$10="",ISNUMBER(SEARCH(Query!$B$10,'Compliance Database'!$D637&amp;" "&amp;'Compliance Database'!$L637&amp;" "&amp;'Compliance Database'!$M637&amp;" "&amp;'Compliance Database'!$N637&amp;" "&amp;'Compliance Database'!$O637)))),1,0)</f>
        <v/>
      </c>
      <c r="B637">
        <f>IF($A637=1,SUM($A$2:$A637),"")</f>
        <v/>
      </c>
      <c r="C637">
        <f>IF($A637=1,SUM($A$2:$A637),0)</f>
        <v/>
      </c>
    </row>
    <row r="638">
      <c r="A638">
        <f>IF(AND(OR(Query!$B$4="All",'Compliance Database'!$A638=Query!$B$4),OR(Query!$B$5="All",'Compliance Database'!$F638=Query!$B$5),OR(Query!$B$6="All",ISNUMBER(SEARCH(Query!$B$6,'Compliance Database'!$I638))),OR(Query!$B$7="All",ISNUMBER(SEARCH(Query!$B$7,'Compliance Database'!$J638))),OR(Query!$B$8="All",'Compliance Database'!$G638=Query!$B$8),OR(Query!$B$9="All",'Compliance Database'!$K638=Query!$B$9),OR(Query!$B$10="",ISNUMBER(SEARCH(Query!$B$10,'Compliance Database'!$D638&amp;" "&amp;'Compliance Database'!$L638&amp;" "&amp;'Compliance Database'!$M638&amp;" "&amp;'Compliance Database'!$N638&amp;" "&amp;'Compliance Database'!$O638)))),1,0)</f>
        <v/>
      </c>
      <c r="B638">
        <f>IF($A638=1,SUM($A$2:$A638),"")</f>
        <v/>
      </c>
      <c r="C638">
        <f>IF($A638=1,SUM($A$2:$A638),0)</f>
        <v/>
      </c>
    </row>
    <row r="639">
      <c r="A639">
        <f>IF(AND(OR(Query!$B$4="All",'Compliance Database'!$A639=Query!$B$4),OR(Query!$B$5="All",'Compliance Database'!$F639=Query!$B$5),OR(Query!$B$6="All",ISNUMBER(SEARCH(Query!$B$6,'Compliance Database'!$I639))),OR(Query!$B$7="All",ISNUMBER(SEARCH(Query!$B$7,'Compliance Database'!$J639))),OR(Query!$B$8="All",'Compliance Database'!$G639=Query!$B$8),OR(Query!$B$9="All",'Compliance Database'!$K639=Query!$B$9),OR(Query!$B$10="",ISNUMBER(SEARCH(Query!$B$10,'Compliance Database'!$D639&amp;" "&amp;'Compliance Database'!$L639&amp;" "&amp;'Compliance Database'!$M639&amp;" "&amp;'Compliance Database'!$N639&amp;" "&amp;'Compliance Database'!$O639)))),1,0)</f>
        <v/>
      </c>
      <c r="B639">
        <f>IF($A639=1,SUM($A$2:$A639),"")</f>
        <v/>
      </c>
      <c r="C639">
        <f>IF($A639=1,SUM($A$2:$A639),0)</f>
        <v/>
      </c>
    </row>
    <row r="640">
      <c r="A640">
        <f>IF(AND(OR(Query!$B$4="All",'Compliance Database'!$A640=Query!$B$4),OR(Query!$B$5="All",'Compliance Database'!$F640=Query!$B$5),OR(Query!$B$6="All",ISNUMBER(SEARCH(Query!$B$6,'Compliance Database'!$I640))),OR(Query!$B$7="All",ISNUMBER(SEARCH(Query!$B$7,'Compliance Database'!$J640))),OR(Query!$B$8="All",'Compliance Database'!$G640=Query!$B$8),OR(Query!$B$9="All",'Compliance Database'!$K640=Query!$B$9),OR(Query!$B$10="",ISNUMBER(SEARCH(Query!$B$10,'Compliance Database'!$D640&amp;" "&amp;'Compliance Database'!$L640&amp;" "&amp;'Compliance Database'!$M640&amp;" "&amp;'Compliance Database'!$N640&amp;" "&amp;'Compliance Database'!$O640)))),1,0)</f>
        <v/>
      </c>
      <c r="B640">
        <f>IF($A640=1,SUM($A$2:$A640),"")</f>
        <v/>
      </c>
      <c r="C640">
        <f>IF($A640=1,SUM($A$2:$A640),0)</f>
        <v/>
      </c>
    </row>
    <row r="641">
      <c r="A641">
        <f>IF(AND(OR(Query!$B$4="All",'Compliance Database'!$A641=Query!$B$4),OR(Query!$B$5="All",'Compliance Database'!$F641=Query!$B$5),OR(Query!$B$6="All",ISNUMBER(SEARCH(Query!$B$6,'Compliance Database'!$I641))),OR(Query!$B$7="All",ISNUMBER(SEARCH(Query!$B$7,'Compliance Database'!$J641))),OR(Query!$B$8="All",'Compliance Database'!$G641=Query!$B$8),OR(Query!$B$9="All",'Compliance Database'!$K641=Query!$B$9),OR(Query!$B$10="",ISNUMBER(SEARCH(Query!$B$10,'Compliance Database'!$D641&amp;" "&amp;'Compliance Database'!$L641&amp;" "&amp;'Compliance Database'!$M641&amp;" "&amp;'Compliance Database'!$N641&amp;" "&amp;'Compliance Database'!$O641)))),1,0)</f>
        <v/>
      </c>
      <c r="B641">
        <f>IF($A641=1,SUM($A$2:$A641),"")</f>
        <v/>
      </c>
      <c r="C641">
        <f>IF($A641=1,SUM($A$2:$A641),0)</f>
        <v/>
      </c>
    </row>
    <row r="642">
      <c r="A642">
        <f>IF(AND(OR(Query!$B$4="All",'Compliance Database'!$A642=Query!$B$4),OR(Query!$B$5="All",'Compliance Database'!$F642=Query!$B$5),OR(Query!$B$6="All",ISNUMBER(SEARCH(Query!$B$6,'Compliance Database'!$I642))),OR(Query!$B$7="All",ISNUMBER(SEARCH(Query!$B$7,'Compliance Database'!$J642))),OR(Query!$B$8="All",'Compliance Database'!$G642=Query!$B$8),OR(Query!$B$9="All",'Compliance Database'!$K642=Query!$B$9),OR(Query!$B$10="",ISNUMBER(SEARCH(Query!$B$10,'Compliance Database'!$D642&amp;" "&amp;'Compliance Database'!$L642&amp;" "&amp;'Compliance Database'!$M642&amp;" "&amp;'Compliance Database'!$N642&amp;" "&amp;'Compliance Database'!$O642)))),1,0)</f>
        <v/>
      </c>
      <c r="B642">
        <f>IF($A642=1,SUM($A$2:$A642),"")</f>
        <v/>
      </c>
      <c r="C642">
        <f>IF($A642=1,SUM($A$2:$A642),0)</f>
        <v/>
      </c>
    </row>
    <row r="643">
      <c r="A643">
        <f>IF(AND(OR(Query!$B$4="All",'Compliance Database'!$A643=Query!$B$4),OR(Query!$B$5="All",'Compliance Database'!$F643=Query!$B$5),OR(Query!$B$6="All",ISNUMBER(SEARCH(Query!$B$6,'Compliance Database'!$I643))),OR(Query!$B$7="All",ISNUMBER(SEARCH(Query!$B$7,'Compliance Database'!$J643))),OR(Query!$B$8="All",'Compliance Database'!$G643=Query!$B$8),OR(Query!$B$9="All",'Compliance Database'!$K643=Query!$B$9),OR(Query!$B$10="",ISNUMBER(SEARCH(Query!$B$10,'Compliance Database'!$D643&amp;" "&amp;'Compliance Database'!$L643&amp;" "&amp;'Compliance Database'!$M643&amp;" "&amp;'Compliance Database'!$N643&amp;" "&amp;'Compliance Database'!$O643)))),1,0)</f>
        <v/>
      </c>
      <c r="B643">
        <f>IF($A643=1,SUM($A$2:$A643),"")</f>
        <v/>
      </c>
      <c r="C643">
        <f>IF($A643=1,SUM($A$2:$A643),0)</f>
        <v/>
      </c>
    </row>
    <row r="644">
      <c r="A644">
        <f>IF(AND(OR(Query!$B$4="All",'Compliance Database'!$A644=Query!$B$4),OR(Query!$B$5="All",'Compliance Database'!$F644=Query!$B$5),OR(Query!$B$6="All",ISNUMBER(SEARCH(Query!$B$6,'Compliance Database'!$I644))),OR(Query!$B$7="All",ISNUMBER(SEARCH(Query!$B$7,'Compliance Database'!$J644))),OR(Query!$B$8="All",'Compliance Database'!$G644=Query!$B$8),OR(Query!$B$9="All",'Compliance Database'!$K644=Query!$B$9),OR(Query!$B$10="",ISNUMBER(SEARCH(Query!$B$10,'Compliance Database'!$D644&amp;" "&amp;'Compliance Database'!$L644&amp;" "&amp;'Compliance Database'!$M644&amp;" "&amp;'Compliance Database'!$N644&amp;" "&amp;'Compliance Database'!$O644)))),1,0)</f>
        <v/>
      </c>
      <c r="B644">
        <f>IF($A644=1,SUM($A$2:$A644),"")</f>
        <v/>
      </c>
      <c r="C644">
        <f>IF($A644=1,SUM($A$2:$A644),0)</f>
        <v/>
      </c>
    </row>
    <row r="645">
      <c r="A645">
        <f>IF(AND(OR(Query!$B$4="All",'Compliance Database'!$A645=Query!$B$4),OR(Query!$B$5="All",'Compliance Database'!$F645=Query!$B$5),OR(Query!$B$6="All",ISNUMBER(SEARCH(Query!$B$6,'Compliance Database'!$I645))),OR(Query!$B$7="All",ISNUMBER(SEARCH(Query!$B$7,'Compliance Database'!$J645))),OR(Query!$B$8="All",'Compliance Database'!$G645=Query!$B$8),OR(Query!$B$9="All",'Compliance Database'!$K645=Query!$B$9),OR(Query!$B$10="",ISNUMBER(SEARCH(Query!$B$10,'Compliance Database'!$D645&amp;" "&amp;'Compliance Database'!$L645&amp;" "&amp;'Compliance Database'!$M645&amp;" "&amp;'Compliance Database'!$N645&amp;" "&amp;'Compliance Database'!$O645)))),1,0)</f>
        <v/>
      </c>
      <c r="B645">
        <f>IF($A645=1,SUM($A$2:$A645),"")</f>
        <v/>
      </c>
      <c r="C645">
        <f>IF($A645=1,SUM($A$2:$A645),0)</f>
        <v/>
      </c>
    </row>
    <row r="646">
      <c r="A646">
        <f>IF(AND(OR(Query!$B$4="All",'Compliance Database'!$A646=Query!$B$4),OR(Query!$B$5="All",'Compliance Database'!$F646=Query!$B$5),OR(Query!$B$6="All",ISNUMBER(SEARCH(Query!$B$6,'Compliance Database'!$I646))),OR(Query!$B$7="All",ISNUMBER(SEARCH(Query!$B$7,'Compliance Database'!$J646))),OR(Query!$B$8="All",'Compliance Database'!$G646=Query!$B$8),OR(Query!$B$9="All",'Compliance Database'!$K646=Query!$B$9),OR(Query!$B$10="",ISNUMBER(SEARCH(Query!$B$10,'Compliance Database'!$D646&amp;" "&amp;'Compliance Database'!$L646&amp;" "&amp;'Compliance Database'!$M646&amp;" "&amp;'Compliance Database'!$N646&amp;" "&amp;'Compliance Database'!$O646)))),1,0)</f>
        <v/>
      </c>
      <c r="B646">
        <f>IF($A646=1,SUM($A$2:$A646),"")</f>
        <v/>
      </c>
      <c r="C646">
        <f>IF($A646=1,SUM($A$2:$A646),0)</f>
        <v/>
      </c>
    </row>
    <row r="647">
      <c r="A647">
        <f>IF(AND(OR(Query!$B$4="All",'Compliance Database'!$A647=Query!$B$4),OR(Query!$B$5="All",'Compliance Database'!$F647=Query!$B$5),OR(Query!$B$6="All",ISNUMBER(SEARCH(Query!$B$6,'Compliance Database'!$I647))),OR(Query!$B$7="All",ISNUMBER(SEARCH(Query!$B$7,'Compliance Database'!$J647))),OR(Query!$B$8="All",'Compliance Database'!$G647=Query!$B$8),OR(Query!$B$9="All",'Compliance Database'!$K647=Query!$B$9),OR(Query!$B$10="",ISNUMBER(SEARCH(Query!$B$10,'Compliance Database'!$D647&amp;" "&amp;'Compliance Database'!$L647&amp;" "&amp;'Compliance Database'!$M647&amp;" "&amp;'Compliance Database'!$N647&amp;" "&amp;'Compliance Database'!$O647)))),1,0)</f>
        <v/>
      </c>
      <c r="B647">
        <f>IF($A647=1,SUM($A$2:$A647),"")</f>
        <v/>
      </c>
      <c r="C647">
        <f>IF($A647=1,SUM($A$2:$A647),0)</f>
        <v/>
      </c>
    </row>
    <row r="648">
      <c r="A648">
        <f>IF(AND(OR(Query!$B$4="All",'Compliance Database'!$A648=Query!$B$4),OR(Query!$B$5="All",'Compliance Database'!$F648=Query!$B$5),OR(Query!$B$6="All",ISNUMBER(SEARCH(Query!$B$6,'Compliance Database'!$I648))),OR(Query!$B$7="All",ISNUMBER(SEARCH(Query!$B$7,'Compliance Database'!$J648))),OR(Query!$B$8="All",'Compliance Database'!$G648=Query!$B$8),OR(Query!$B$9="All",'Compliance Database'!$K648=Query!$B$9),OR(Query!$B$10="",ISNUMBER(SEARCH(Query!$B$10,'Compliance Database'!$D648&amp;" "&amp;'Compliance Database'!$L648&amp;" "&amp;'Compliance Database'!$M648&amp;" "&amp;'Compliance Database'!$N648&amp;" "&amp;'Compliance Database'!$O648)))),1,0)</f>
        <v/>
      </c>
      <c r="B648">
        <f>IF($A648=1,SUM($A$2:$A648),"")</f>
        <v/>
      </c>
      <c r="C648">
        <f>IF($A648=1,SUM($A$2:$A648),0)</f>
        <v/>
      </c>
    </row>
    <row r="649">
      <c r="A649">
        <f>IF(AND(OR(Query!$B$4="All",'Compliance Database'!$A649=Query!$B$4),OR(Query!$B$5="All",'Compliance Database'!$F649=Query!$B$5),OR(Query!$B$6="All",ISNUMBER(SEARCH(Query!$B$6,'Compliance Database'!$I649))),OR(Query!$B$7="All",ISNUMBER(SEARCH(Query!$B$7,'Compliance Database'!$J649))),OR(Query!$B$8="All",'Compliance Database'!$G649=Query!$B$8),OR(Query!$B$9="All",'Compliance Database'!$K649=Query!$B$9),OR(Query!$B$10="",ISNUMBER(SEARCH(Query!$B$10,'Compliance Database'!$D649&amp;" "&amp;'Compliance Database'!$L649&amp;" "&amp;'Compliance Database'!$M649&amp;" "&amp;'Compliance Database'!$N649&amp;" "&amp;'Compliance Database'!$O649)))),1,0)</f>
        <v/>
      </c>
      <c r="B649">
        <f>IF($A649=1,SUM($A$2:$A649),"")</f>
        <v/>
      </c>
      <c r="C649">
        <f>IF($A649=1,SUM($A$2:$A649),0)</f>
        <v/>
      </c>
    </row>
    <row r="650">
      <c r="A650">
        <f>IF(AND(OR(Query!$B$4="All",'Compliance Database'!$A650=Query!$B$4),OR(Query!$B$5="All",'Compliance Database'!$F650=Query!$B$5),OR(Query!$B$6="All",ISNUMBER(SEARCH(Query!$B$6,'Compliance Database'!$I650))),OR(Query!$B$7="All",ISNUMBER(SEARCH(Query!$B$7,'Compliance Database'!$J650))),OR(Query!$B$8="All",'Compliance Database'!$G650=Query!$B$8),OR(Query!$B$9="All",'Compliance Database'!$K650=Query!$B$9),OR(Query!$B$10="",ISNUMBER(SEARCH(Query!$B$10,'Compliance Database'!$D650&amp;" "&amp;'Compliance Database'!$L650&amp;" "&amp;'Compliance Database'!$M650&amp;" "&amp;'Compliance Database'!$N650&amp;" "&amp;'Compliance Database'!$O650)))),1,0)</f>
        <v/>
      </c>
      <c r="B650">
        <f>IF($A650=1,SUM($A$2:$A650),"")</f>
        <v/>
      </c>
      <c r="C650">
        <f>IF($A650=1,SUM($A$2:$A650),0)</f>
        <v/>
      </c>
    </row>
    <row r="651">
      <c r="A651">
        <f>IF(AND(OR(Query!$B$4="All",'Compliance Database'!$A651=Query!$B$4),OR(Query!$B$5="All",'Compliance Database'!$F651=Query!$B$5),OR(Query!$B$6="All",ISNUMBER(SEARCH(Query!$B$6,'Compliance Database'!$I651))),OR(Query!$B$7="All",ISNUMBER(SEARCH(Query!$B$7,'Compliance Database'!$J651))),OR(Query!$B$8="All",'Compliance Database'!$G651=Query!$B$8),OR(Query!$B$9="All",'Compliance Database'!$K651=Query!$B$9),OR(Query!$B$10="",ISNUMBER(SEARCH(Query!$B$10,'Compliance Database'!$D651&amp;" "&amp;'Compliance Database'!$L651&amp;" "&amp;'Compliance Database'!$M651&amp;" "&amp;'Compliance Database'!$N651&amp;" "&amp;'Compliance Database'!$O651)))),1,0)</f>
        <v/>
      </c>
      <c r="B651">
        <f>IF($A651=1,SUM($A$2:$A651),"")</f>
        <v/>
      </c>
      <c r="C651">
        <f>IF($A651=1,SUM($A$2:$A651),0)</f>
        <v/>
      </c>
    </row>
    <row r="652">
      <c r="A652">
        <f>IF(AND(OR(Query!$B$4="All",'Compliance Database'!$A652=Query!$B$4),OR(Query!$B$5="All",'Compliance Database'!$F652=Query!$B$5),OR(Query!$B$6="All",ISNUMBER(SEARCH(Query!$B$6,'Compliance Database'!$I652))),OR(Query!$B$7="All",ISNUMBER(SEARCH(Query!$B$7,'Compliance Database'!$J652))),OR(Query!$B$8="All",'Compliance Database'!$G652=Query!$B$8),OR(Query!$B$9="All",'Compliance Database'!$K652=Query!$B$9),OR(Query!$B$10="",ISNUMBER(SEARCH(Query!$B$10,'Compliance Database'!$D652&amp;" "&amp;'Compliance Database'!$L652&amp;" "&amp;'Compliance Database'!$M652&amp;" "&amp;'Compliance Database'!$N652&amp;" "&amp;'Compliance Database'!$O652)))),1,0)</f>
        <v/>
      </c>
      <c r="B652">
        <f>IF($A652=1,SUM($A$2:$A652),"")</f>
        <v/>
      </c>
      <c r="C652">
        <f>IF($A652=1,SUM($A$2:$A652),0)</f>
        <v/>
      </c>
    </row>
    <row r="653">
      <c r="A653">
        <f>IF(AND(OR(Query!$B$4="All",'Compliance Database'!$A653=Query!$B$4),OR(Query!$B$5="All",'Compliance Database'!$F653=Query!$B$5),OR(Query!$B$6="All",ISNUMBER(SEARCH(Query!$B$6,'Compliance Database'!$I653))),OR(Query!$B$7="All",ISNUMBER(SEARCH(Query!$B$7,'Compliance Database'!$J653))),OR(Query!$B$8="All",'Compliance Database'!$G653=Query!$B$8),OR(Query!$B$9="All",'Compliance Database'!$K653=Query!$B$9),OR(Query!$B$10="",ISNUMBER(SEARCH(Query!$B$10,'Compliance Database'!$D653&amp;" "&amp;'Compliance Database'!$L653&amp;" "&amp;'Compliance Database'!$M653&amp;" "&amp;'Compliance Database'!$N653&amp;" "&amp;'Compliance Database'!$O653)))),1,0)</f>
        <v/>
      </c>
      <c r="B653">
        <f>IF($A653=1,SUM($A$2:$A653),"")</f>
        <v/>
      </c>
      <c r="C653">
        <f>IF($A653=1,SUM($A$2:$A653),0)</f>
        <v/>
      </c>
    </row>
    <row r="654">
      <c r="A654">
        <f>IF(AND(OR(Query!$B$4="All",'Compliance Database'!$A654=Query!$B$4),OR(Query!$B$5="All",'Compliance Database'!$F654=Query!$B$5),OR(Query!$B$6="All",ISNUMBER(SEARCH(Query!$B$6,'Compliance Database'!$I654))),OR(Query!$B$7="All",ISNUMBER(SEARCH(Query!$B$7,'Compliance Database'!$J654))),OR(Query!$B$8="All",'Compliance Database'!$G654=Query!$B$8),OR(Query!$B$9="All",'Compliance Database'!$K654=Query!$B$9),OR(Query!$B$10="",ISNUMBER(SEARCH(Query!$B$10,'Compliance Database'!$D654&amp;" "&amp;'Compliance Database'!$L654&amp;" "&amp;'Compliance Database'!$M654&amp;" "&amp;'Compliance Database'!$N654&amp;" "&amp;'Compliance Database'!$O654)))),1,0)</f>
        <v/>
      </c>
      <c r="B654">
        <f>IF($A654=1,SUM($A$2:$A654),"")</f>
        <v/>
      </c>
      <c r="C654">
        <f>IF($A654=1,SUM($A$2:$A654),0)</f>
        <v/>
      </c>
    </row>
    <row r="655">
      <c r="A655">
        <f>IF(AND(OR(Query!$B$4="All",'Compliance Database'!$A655=Query!$B$4),OR(Query!$B$5="All",'Compliance Database'!$F655=Query!$B$5),OR(Query!$B$6="All",ISNUMBER(SEARCH(Query!$B$6,'Compliance Database'!$I655))),OR(Query!$B$7="All",ISNUMBER(SEARCH(Query!$B$7,'Compliance Database'!$J655))),OR(Query!$B$8="All",'Compliance Database'!$G655=Query!$B$8),OR(Query!$B$9="All",'Compliance Database'!$K655=Query!$B$9),OR(Query!$B$10="",ISNUMBER(SEARCH(Query!$B$10,'Compliance Database'!$D655&amp;" "&amp;'Compliance Database'!$L655&amp;" "&amp;'Compliance Database'!$M655&amp;" "&amp;'Compliance Database'!$N655&amp;" "&amp;'Compliance Database'!$O655)))),1,0)</f>
        <v/>
      </c>
      <c r="B655">
        <f>IF($A655=1,SUM($A$2:$A655),"")</f>
        <v/>
      </c>
      <c r="C655">
        <f>IF($A655=1,SUM($A$2:$A655),0)</f>
        <v/>
      </c>
    </row>
    <row r="656">
      <c r="A656">
        <f>IF(AND(OR(Query!$B$4="All",'Compliance Database'!$A656=Query!$B$4),OR(Query!$B$5="All",'Compliance Database'!$F656=Query!$B$5),OR(Query!$B$6="All",ISNUMBER(SEARCH(Query!$B$6,'Compliance Database'!$I656))),OR(Query!$B$7="All",ISNUMBER(SEARCH(Query!$B$7,'Compliance Database'!$J656))),OR(Query!$B$8="All",'Compliance Database'!$G656=Query!$B$8),OR(Query!$B$9="All",'Compliance Database'!$K656=Query!$B$9),OR(Query!$B$10="",ISNUMBER(SEARCH(Query!$B$10,'Compliance Database'!$D656&amp;" "&amp;'Compliance Database'!$L656&amp;" "&amp;'Compliance Database'!$M656&amp;" "&amp;'Compliance Database'!$N656&amp;" "&amp;'Compliance Database'!$O656)))),1,0)</f>
        <v/>
      </c>
      <c r="B656">
        <f>IF($A656=1,SUM($A$2:$A656),"")</f>
        <v/>
      </c>
      <c r="C656">
        <f>IF($A656=1,SUM($A$2:$A656),0)</f>
        <v/>
      </c>
    </row>
    <row r="657">
      <c r="A657">
        <f>IF(AND(OR(Query!$B$4="All",'Compliance Database'!$A657=Query!$B$4),OR(Query!$B$5="All",'Compliance Database'!$F657=Query!$B$5),OR(Query!$B$6="All",ISNUMBER(SEARCH(Query!$B$6,'Compliance Database'!$I657))),OR(Query!$B$7="All",ISNUMBER(SEARCH(Query!$B$7,'Compliance Database'!$J657))),OR(Query!$B$8="All",'Compliance Database'!$G657=Query!$B$8),OR(Query!$B$9="All",'Compliance Database'!$K657=Query!$B$9),OR(Query!$B$10="",ISNUMBER(SEARCH(Query!$B$10,'Compliance Database'!$D657&amp;" "&amp;'Compliance Database'!$L657&amp;" "&amp;'Compliance Database'!$M657&amp;" "&amp;'Compliance Database'!$N657&amp;" "&amp;'Compliance Database'!$O657)))),1,0)</f>
        <v/>
      </c>
      <c r="B657">
        <f>IF($A657=1,SUM($A$2:$A657),"")</f>
        <v/>
      </c>
      <c r="C657">
        <f>IF($A657=1,SUM($A$2:$A657),0)</f>
        <v/>
      </c>
    </row>
    <row r="658">
      <c r="A658">
        <f>IF(AND(OR(Query!$B$4="All",'Compliance Database'!$A658=Query!$B$4),OR(Query!$B$5="All",'Compliance Database'!$F658=Query!$B$5),OR(Query!$B$6="All",ISNUMBER(SEARCH(Query!$B$6,'Compliance Database'!$I658))),OR(Query!$B$7="All",ISNUMBER(SEARCH(Query!$B$7,'Compliance Database'!$J658))),OR(Query!$B$8="All",'Compliance Database'!$G658=Query!$B$8),OR(Query!$B$9="All",'Compliance Database'!$K658=Query!$B$9),OR(Query!$B$10="",ISNUMBER(SEARCH(Query!$B$10,'Compliance Database'!$D658&amp;" "&amp;'Compliance Database'!$L658&amp;" "&amp;'Compliance Database'!$M658&amp;" "&amp;'Compliance Database'!$N658&amp;" "&amp;'Compliance Database'!$O658)))),1,0)</f>
        <v/>
      </c>
      <c r="B658">
        <f>IF($A658=1,SUM($A$2:$A658),"")</f>
        <v/>
      </c>
      <c r="C658">
        <f>IF($A658=1,SUM($A$2:$A658),0)</f>
        <v/>
      </c>
    </row>
    <row r="659">
      <c r="A659">
        <f>IF(AND(OR(Query!$B$4="All",'Compliance Database'!$A659=Query!$B$4),OR(Query!$B$5="All",'Compliance Database'!$F659=Query!$B$5),OR(Query!$B$6="All",ISNUMBER(SEARCH(Query!$B$6,'Compliance Database'!$I659))),OR(Query!$B$7="All",ISNUMBER(SEARCH(Query!$B$7,'Compliance Database'!$J659))),OR(Query!$B$8="All",'Compliance Database'!$G659=Query!$B$8),OR(Query!$B$9="All",'Compliance Database'!$K659=Query!$B$9),OR(Query!$B$10="",ISNUMBER(SEARCH(Query!$B$10,'Compliance Database'!$D659&amp;" "&amp;'Compliance Database'!$L659&amp;" "&amp;'Compliance Database'!$M659&amp;" "&amp;'Compliance Database'!$N659&amp;" "&amp;'Compliance Database'!$O659)))),1,0)</f>
        <v/>
      </c>
      <c r="B659">
        <f>IF($A659=1,SUM($A$2:$A659),"")</f>
        <v/>
      </c>
      <c r="C659">
        <f>IF($A659=1,SUM($A$2:$A659),0)</f>
        <v/>
      </c>
    </row>
    <row r="660">
      <c r="A660">
        <f>IF(AND(OR(Query!$B$4="All",'Compliance Database'!$A660=Query!$B$4),OR(Query!$B$5="All",'Compliance Database'!$F660=Query!$B$5),OR(Query!$B$6="All",ISNUMBER(SEARCH(Query!$B$6,'Compliance Database'!$I660))),OR(Query!$B$7="All",ISNUMBER(SEARCH(Query!$B$7,'Compliance Database'!$J660))),OR(Query!$B$8="All",'Compliance Database'!$G660=Query!$B$8),OR(Query!$B$9="All",'Compliance Database'!$K660=Query!$B$9),OR(Query!$B$10="",ISNUMBER(SEARCH(Query!$B$10,'Compliance Database'!$D660&amp;" "&amp;'Compliance Database'!$L660&amp;" "&amp;'Compliance Database'!$M660&amp;" "&amp;'Compliance Database'!$N660&amp;" "&amp;'Compliance Database'!$O660)))),1,0)</f>
        <v/>
      </c>
      <c r="B660">
        <f>IF($A660=1,SUM($A$2:$A660),"")</f>
        <v/>
      </c>
      <c r="C660">
        <f>IF($A660=1,SUM($A$2:$A660),0)</f>
        <v/>
      </c>
    </row>
    <row r="661">
      <c r="A661">
        <f>IF(AND(OR(Query!$B$4="All",'Compliance Database'!$A661=Query!$B$4),OR(Query!$B$5="All",'Compliance Database'!$F661=Query!$B$5),OR(Query!$B$6="All",ISNUMBER(SEARCH(Query!$B$6,'Compliance Database'!$I661))),OR(Query!$B$7="All",ISNUMBER(SEARCH(Query!$B$7,'Compliance Database'!$J661))),OR(Query!$B$8="All",'Compliance Database'!$G661=Query!$B$8),OR(Query!$B$9="All",'Compliance Database'!$K661=Query!$B$9),OR(Query!$B$10="",ISNUMBER(SEARCH(Query!$B$10,'Compliance Database'!$D661&amp;" "&amp;'Compliance Database'!$L661&amp;" "&amp;'Compliance Database'!$M661&amp;" "&amp;'Compliance Database'!$N661&amp;" "&amp;'Compliance Database'!$O661)))),1,0)</f>
        <v/>
      </c>
      <c r="B661">
        <f>IF($A661=1,SUM($A$2:$A661),"")</f>
        <v/>
      </c>
      <c r="C661">
        <f>IF($A661=1,SUM($A$2:$A661),0)</f>
        <v/>
      </c>
    </row>
    <row r="662">
      <c r="A662">
        <f>IF(AND(OR(Query!$B$4="All",'Compliance Database'!$A662=Query!$B$4),OR(Query!$B$5="All",'Compliance Database'!$F662=Query!$B$5),OR(Query!$B$6="All",ISNUMBER(SEARCH(Query!$B$6,'Compliance Database'!$I662))),OR(Query!$B$7="All",ISNUMBER(SEARCH(Query!$B$7,'Compliance Database'!$J662))),OR(Query!$B$8="All",'Compliance Database'!$G662=Query!$B$8),OR(Query!$B$9="All",'Compliance Database'!$K662=Query!$B$9),OR(Query!$B$10="",ISNUMBER(SEARCH(Query!$B$10,'Compliance Database'!$D662&amp;" "&amp;'Compliance Database'!$L662&amp;" "&amp;'Compliance Database'!$M662&amp;" "&amp;'Compliance Database'!$N662&amp;" "&amp;'Compliance Database'!$O662)))),1,0)</f>
        <v/>
      </c>
      <c r="B662">
        <f>IF($A662=1,SUM($A$2:$A662),"")</f>
        <v/>
      </c>
      <c r="C662">
        <f>IF($A662=1,SUM($A$2:$A662),0)</f>
        <v/>
      </c>
    </row>
    <row r="663">
      <c r="A663">
        <f>IF(AND(OR(Query!$B$4="All",'Compliance Database'!$A663=Query!$B$4),OR(Query!$B$5="All",'Compliance Database'!$F663=Query!$B$5),OR(Query!$B$6="All",ISNUMBER(SEARCH(Query!$B$6,'Compliance Database'!$I663))),OR(Query!$B$7="All",ISNUMBER(SEARCH(Query!$B$7,'Compliance Database'!$J663))),OR(Query!$B$8="All",'Compliance Database'!$G663=Query!$B$8),OR(Query!$B$9="All",'Compliance Database'!$K663=Query!$B$9),OR(Query!$B$10="",ISNUMBER(SEARCH(Query!$B$10,'Compliance Database'!$D663&amp;" "&amp;'Compliance Database'!$L663&amp;" "&amp;'Compliance Database'!$M663&amp;" "&amp;'Compliance Database'!$N663&amp;" "&amp;'Compliance Database'!$O663)))),1,0)</f>
        <v/>
      </c>
      <c r="B663">
        <f>IF($A663=1,SUM($A$2:$A663),"")</f>
        <v/>
      </c>
      <c r="C663">
        <f>IF($A663=1,SUM($A$2:$A663),0)</f>
        <v/>
      </c>
    </row>
    <row r="664">
      <c r="A664">
        <f>IF(AND(OR(Query!$B$4="All",'Compliance Database'!$A664=Query!$B$4),OR(Query!$B$5="All",'Compliance Database'!$F664=Query!$B$5),OR(Query!$B$6="All",ISNUMBER(SEARCH(Query!$B$6,'Compliance Database'!$I664))),OR(Query!$B$7="All",ISNUMBER(SEARCH(Query!$B$7,'Compliance Database'!$J664))),OR(Query!$B$8="All",'Compliance Database'!$G664=Query!$B$8),OR(Query!$B$9="All",'Compliance Database'!$K664=Query!$B$9),OR(Query!$B$10="",ISNUMBER(SEARCH(Query!$B$10,'Compliance Database'!$D664&amp;" "&amp;'Compliance Database'!$L664&amp;" "&amp;'Compliance Database'!$M664&amp;" "&amp;'Compliance Database'!$N664&amp;" "&amp;'Compliance Database'!$O664)))),1,0)</f>
        <v/>
      </c>
      <c r="B664">
        <f>IF($A664=1,SUM($A$2:$A664),"")</f>
        <v/>
      </c>
      <c r="C664">
        <f>IF($A664=1,SUM($A$2:$A664),0)</f>
        <v/>
      </c>
    </row>
    <row r="665">
      <c r="A665">
        <f>IF(AND(OR(Query!$B$4="All",'Compliance Database'!$A665=Query!$B$4),OR(Query!$B$5="All",'Compliance Database'!$F665=Query!$B$5),OR(Query!$B$6="All",ISNUMBER(SEARCH(Query!$B$6,'Compliance Database'!$I665))),OR(Query!$B$7="All",ISNUMBER(SEARCH(Query!$B$7,'Compliance Database'!$J665))),OR(Query!$B$8="All",'Compliance Database'!$G665=Query!$B$8),OR(Query!$B$9="All",'Compliance Database'!$K665=Query!$B$9),OR(Query!$B$10="",ISNUMBER(SEARCH(Query!$B$10,'Compliance Database'!$D665&amp;" "&amp;'Compliance Database'!$L665&amp;" "&amp;'Compliance Database'!$M665&amp;" "&amp;'Compliance Database'!$N665&amp;" "&amp;'Compliance Database'!$O665)))),1,0)</f>
        <v/>
      </c>
      <c r="B665">
        <f>IF($A665=1,SUM($A$2:$A665),"")</f>
        <v/>
      </c>
      <c r="C665">
        <f>IF($A665=1,SUM($A$2:$A665),0)</f>
        <v/>
      </c>
    </row>
    <row r="666">
      <c r="A666">
        <f>IF(AND(OR(Query!$B$4="All",'Compliance Database'!$A666=Query!$B$4),OR(Query!$B$5="All",'Compliance Database'!$F666=Query!$B$5),OR(Query!$B$6="All",ISNUMBER(SEARCH(Query!$B$6,'Compliance Database'!$I666))),OR(Query!$B$7="All",ISNUMBER(SEARCH(Query!$B$7,'Compliance Database'!$J666))),OR(Query!$B$8="All",'Compliance Database'!$G666=Query!$B$8),OR(Query!$B$9="All",'Compliance Database'!$K666=Query!$B$9),OR(Query!$B$10="",ISNUMBER(SEARCH(Query!$B$10,'Compliance Database'!$D666&amp;" "&amp;'Compliance Database'!$L666&amp;" "&amp;'Compliance Database'!$M666&amp;" "&amp;'Compliance Database'!$N666&amp;" "&amp;'Compliance Database'!$O666)))),1,0)</f>
        <v/>
      </c>
      <c r="B666">
        <f>IF($A666=1,SUM($A$2:$A666),"")</f>
        <v/>
      </c>
      <c r="C666">
        <f>IF($A666=1,SUM($A$2:$A666),0)</f>
        <v/>
      </c>
    </row>
    <row r="667">
      <c r="A667">
        <f>IF(AND(OR(Query!$B$4="All",'Compliance Database'!$A667=Query!$B$4),OR(Query!$B$5="All",'Compliance Database'!$F667=Query!$B$5),OR(Query!$B$6="All",ISNUMBER(SEARCH(Query!$B$6,'Compliance Database'!$I667))),OR(Query!$B$7="All",ISNUMBER(SEARCH(Query!$B$7,'Compliance Database'!$J667))),OR(Query!$B$8="All",'Compliance Database'!$G667=Query!$B$8),OR(Query!$B$9="All",'Compliance Database'!$K667=Query!$B$9),OR(Query!$B$10="",ISNUMBER(SEARCH(Query!$B$10,'Compliance Database'!$D667&amp;" "&amp;'Compliance Database'!$L667&amp;" "&amp;'Compliance Database'!$M667&amp;" "&amp;'Compliance Database'!$N667&amp;" "&amp;'Compliance Database'!$O667)))),1,0)</f>
        <v/>
      </c>
      <c r="B667">
        <f>IF($A667=1,SUM($A$2:$A667),"")</f>
        <v/>
      </c>
      <c r="C667">
        <f>IF($A667=1,SUM($A$2:$A667),0)</f>
        <v/>
      </c>
    </row>
    <row r="668">
      <c r="A668">
        <f>IF(AND(OR(Query!$B$4="All",'Compliance Database'!$A668=Query!$B$4),OR(Query!$B$5="All",'Compliance Database'!$F668=Query!$B$5),OR(Query!$B$6="All",ISNUMBER(SEARCH(Query!$B$6,'Compliance Database'!$I668))),OR(Query!$B$7="All",ISNUMBER(SEARCH(Query!$B$7,'Compliance Database'!$J668))),OR(Query!$B$8="All",'Compliance Database'!$G668=Query!$B$8),OR(Query!$B$9="All",'Compliance Database'!$K668=Query!$B$9),OR(Query!$B$10="",ISNUMBER(SEARCH(Query!$B$10,'Compliance Database'!$D668&amp;" "&amp;'Compliance Database'!$L668&amp;" "&amp;'Compliance Database'!$M668&amp;" "&amp;'Compliance Database'!$N668&amp;" "&amp;'Compliance Database'!$O668)))),1,0)</f>
        <v/>
      </c>
      <c r="B668">
        <f>IF($A668=1,SUM($A$2:$A668),"")</f>
        <v/>
      </c>
      <c r="C668">
        <f>IF($A668=1,SUM($A$2:$A668),0)</f>
        <v/>
      </c>
    </row>
    <row r="669">
      <c r="A669">
        <f>IF(AND(OR(Query!$B$4="All",'Compliance Database'!$A669=Query!$B$4),OR(Query!$B$5="All",'Compliance Database'!$F669=Query!$B$5),OR(Query!$B$6="All",ISNUMBER(SEARCH(Query!$B$6,'Compliance Database'!$I669))),OR(Query!$B$7="All",ISNUMBER(SEARCH(Query!$B$7,'Compliance Database'!$J669))),OR(Query!$B$8="All",'Compliance Database'!$G669=Query!$B$8),OR(Query!$B$9="All",'Compliance Database'!$K669=Query!$B$9),OR(Query!$B$10="",ISNUMBER(SEARCH(Query!$B$10,'Compliance Database'!$D669&amp;" "&amp;'Compliance Database'!$L669&amp;" "&amp;'Compliance Database'!$M669&amp;" "&amp;'Compliance Database'!$N669&amp;" "&amp;'Compliance Database'!$O669)))),1,0)</f>
        <v/>
      </c>
      <c r="B669">
        <f>IF($A669=1,SUM($A$2:$A669),"")</f>
        <v/>
      </c>
      <c r="C669">
        <f>IF($A669=1,SUM($A$2:$A669),0)</f>
        <v/>
      </c>
    </row>
    <row r="670">
      <c r="A670">
        <f>IF(AND(OR(Query!$B$4="All",'Compliance Database'!$A670=Query!$B$4),OR(Query!$B$5="All",'Compliance Database'!$F670=Query!$B$5),OR(Query!$B$6="All",ISNUMBER(SEARCH(Query!$B$6,'Compliance Database'!$I670))),OR(Query!$B$7="All",ISNUMBER(SEARCH(Query!$B$7,'Compliance Database'!$J670))),OR(Query!$B$8="All",'Compliance Database'!$G670=Query!$B$8),OR(Query!$B$9="All",'Compliance Database'!$K670=Query!$B$9),OR(Query!$B$10="",ISNUMBER(SEARCH(Query!$B$10,'Compliance Database'!$D670&amp;" "&amp;'Compliance Database'!$L670&amp;" "&amp;'Compliance Database'!$M670&amp;" "&amp;'Compliance Database'!$N670&amp;" "&amp;'Compliance Database'!$O670)))),1,0)</f>
        <v/>
      </c>
      <c r="B670">
        <f>IF($A670=1,SUM($A$2:$A670),"")</f>
        <v/>
      </c>
      <c r="C670">
        <f>IF($A670=1,SUM($A$2:$A670),0)</f>
        <v/>
      </c>
    </row>
    <row r="671">
      <c r="A671">
        <f>IF(AND(OR(Query!$B$4="All",'Compliance Database'!$A671=Query!$B$4),OR(Query!$B$5="All",'Compliance Database'!$F671=Query!$B$5),OR(Query!$B$6="All",ISNUMBER(SEARCH(Query!$B$6,'Compliance Database'!$I671))),OR(Query!$B$7="All",ISNUMBER(SEARCH(Query!$B$7,'Compliance Database'!$J671))),OR(Query!$B$8="All",'Compliance Database'!$G671=Query!$B$8),OR(Query!$B$9="All",'Compliance Database'!$K671=Query!$B$9),OR(Query!$B$10="",ISNUMBER(SEARCH(Query!$B$10,'Compliance Database'!$D671&amp;" "&amp;'Compliance Database'!$L671&amp;" "&amp;'Compliance Database'!$M671&amp;" "&amp;'Compliance Database'!$N671&amp;" "&amp;'Compliance Database'!$O671)))),1,0)</f>
        <v/>
      </c>
      <c r="B671">
        <f>IF($A671=1,SUM($A$2:$A671),"")</f>
        <v/>
      </c>
      <c r="C671">
        <f>IF($A671=1,SUM($A$2:$A671),0)</f>
        <v/>
      </c>
    </row>
    <row r="672">
      <c r="A672">
        <f>IF(AND(OR(Query!$B$4="All",'Compliance Database'!$A672=Query!$B$4),OR(Query!$B$5="All",'Compliance Database'!$F672=Query!$B$5),OR(Query!$B$6="All",ISNUMBER(SEARCH(Query!$B$6,'Compliance Database'!$I672))),OR(Query!$B$7="All",ISNUMBER(SEARCH(Query!$B$7,'Compliance Database'!$J672))),OR(Query!$B$8="All",'Compliance Database'!$G672=Query!$B$8),OR(Query!$B$9="All",'Compliance Database'!$K672=Query!$B$9),OR(Query!$B$10="",ISNUMBER(SEARCH(Query!$B$10,'Compliance Database'!$D672&amp;" "&amp;'Compliance Database'!$L672&amp;" "&amp;'Compliance Database'!$M672&amp;" "&amp;'Compliance Database'!$N672&amp;" "&amp;'Compliance Database'!$O672)))),1,0)</f>
        <v/>
      </c>
      <c r="B672">
        <f>IF($A672=1,SUM($A$2:$A672),"")</f>
        <v/>
      </c>
      <c r="C672">
        <f>IF($A672=1,SUM($A$2:$A672),0)</f>
        <v/>
      </c>
    </row>
    <row r="673">
      <c r="A673">
        <f>IF(AND(OR(Query!$B$4="All",'Compliance Database'!$A673=Query!$B$4),OR(Query!$B$5="All",'Compliance Database'!$F673=Query!$B$5),OR(Query!$B$6="All",ISNUMBER(SEARCH(Query!$B$6,'Compliance Database'!$I673))),OR(Query!$B$7="All",ISNUMBER(SEARCH(Query!$B$7,'Compliance Database'!$J673))),OR(Query!$B$8="All",'Compliance Database'!$G673=Query!$B$8),OR(Query!$B$9="All",'Compliance Database'!$K673=Query!$B$9),OR(Query!$B$10="",ISNUMBER(SEARCH(Query!$B$10,'Compliance Database'!$D673&amp;" "&amp;'Compliance Database'!$L673&amp;" "&amp;'Compliance Database'!$M673&amp;" "&amp;'Compliance Database'!$N673&amp;" "&amp;'Compliance Database'!$O673)))),1,0)</f>
        <v/>
      </c>
      <c r="B673">
        <f>IF($A673=1,SUM($A$2:$A673),"")</f>
        <v/>
      </c>
      <c r="C673">
        <f>IF($A673=1,SUM($A$2:$A673),0)</f>
        <v/>
      </c>
    </row>
    <row r="674">
      <c r="A674">
        <f>IF(AND(OR(Query!$B$4="All",'Compliance Database'!$A674=Query!$B$4),OR(Query!$B$5="All",'Compliance Database'!$F674=Query!$B$5),OR(Query!$B$6="All",ISNUMBER(SEARCH(Query!$B$6,'Compliance Database'!$I674))),OR(Query!$B$7="All",ISNUMBER(SEARCH(Query!$B$7,'Compliance Database'!$J674))),OR(Query!$B$8="All",'Compliance Database'!$G674=Query!$B$8),OR(Query!$B$9="All",'Compliance Database'!$K674=Query!$B$9),OR(Query!$B$10="",ISNUMBER(SEARCH(Query!$B$10,'Compliance Database'!$D674&amp;" "&amp;'Compliance Database'!$L674&amp;" "&amp;'Compliance Database'!$M674&amp;" "&amp;'Compliance Database'!$N674&amp;" "&amp;'Compliance Database'!$O674)))),1,0)</f>
        <v/>
      </c>
      <c r="B674">
        <f>IF($A674=1,SUM($A$2:$A674),"")</f>
        <v/>
      </c>
      <c r="C674">
        <f>IF($A674=1,SUM($A$2:$A674),0)</f>
        <v/>
      </c>
    </row>
    <row r="675">
      <c r="A675">
        <f>IF(AND(OR(Query!$B$4="All",'Compliance Database'!$A675=Query!$B$4),OR(Query!$B$5="All",'Compliance Database'!$F675=Query!$B$5),OR(Query!$B$6="All",ISNUMBER(SEARCH(Query!$B$6,'Compliance Database'!$I675))),OR(Query!$B$7="All",ISNUMBER(SEARCH(Query!$B$7,'Compliance Database'!$J675))),OR(Query!$B$8="All",'Compliance Database'!$G675=Query!$B$8),OR(Query!$B$9="All",'Compliance Database'!$K675=Query!$B$9),OR(Query!$B$10="",ISNUMBER(SEARCH(Query!$B$10,'Compliance Database'!$D675&amp;" "&amp;'Compliance Database'!$L675&amp;" "&amp;'Compliance Database'!$M675&amp;" "&amp;'Compliance Database'!$N675&amp;" "&amp;'Compliance Database'!$O675)))),1,0)</f>
        <v/>
      </c>
      <c r="B675">
        <f>IF($A675=1,SUM($A$2:$A675),"")</f>
        <v/>
      </c>
      <c r="C675">
        <f>IF($A675=1,SUM($A$2:$A675),0)</f>
        <v/>
      </c>
    </row>
    <row r="676">
      <c r="A676">
        <f>IF(AND(OR(Query!$B$4="All",'Compliance Database'!$A676=Query!$B$4),OR(Query!$B$5="All",'Compliance Database'!$F676=Query!$B$5),OR(Query!$B$6="All",ISNUMBER(SEARCH(Query!$B$6,'Compliance Database'!$I676))),OR(Query!$B$7="All",ISNUMBER(SEARCH(Query!$B$7,'Compliance Database'!$J676))),OR(Query!$B$8="All",'Compliance Database'!$G676=Query!$B$8),OR(Query!$B$9="All",'Compliance Database'!$K676=Query!$B$9),OR(Query!$B$10="",ISNUMBER(SEARCH(Query!$B$10,'Compliance Database'!$D676&amp;" "&amp;'Compliance Database'!$L676&amp;" "&amp;'Compliance Database'!$M676&amp;" "&amp;'Compliance Database'!$N676&amp;" "&amp;'Compliance Database'!$O676)))),1,0)</f>
        <v/>
      </c>
      <c r="B676">
        <f>IF($A676=1,SUM($A$2:$A676),"")</f>
        <v/>
      </c>
      <c r="C676">
        <f>IF($A676=1,SUM($A$2:$A676),0)</f>
        <v/>
      </c>
    </row>
    <row r="677">
      <c r="A677">
        <f>IF(AND(OR(Query!$B$4="All",'Compliance Database'!$A677=Query!$B$4),OR(Query!$B$5="All",'Compliance Database'!$F677=Query!$B$5),OR(Query!$B$6="All",ISNUMBER(SEARCH(Query!$B$6,'Compliance Database'!$I677))),OR(Query!$B$7="All",ISNUMBER(SEARCH(Query!$B$7,'Compliance Database'!$J677))),OR(Query!$B$8="All",'Compliance Database'!$G677=Query!$B$8),OR(Query!$B$9="All",'Compliance Database'!$K677=Query!$B$9),OR(Query!$B$10="",ISNUMBER(SEARCH(Query!$B$10,'Compliance Database'!$D677&amp;" "&amp;'Compliance Database'!$L677&amp;" "&amp;'Compliance Database'!$M677&amp;" "&amp;'Compliance Database'!$N677&amp;" "&amp;'Compliance Database'!$O677)))),1,0)</f>
        <v/>
      </c>
      <c r="B677">
        <f>IF($A677=1,SUM($A$2:$A677),"")</f>
        <v/>
      </c>
      <c r="C677">
        <f>IF($A677=1,SUM($A$2:$A677),0)</f>
        <v/>
      </c>
    </row>
    <row r="678">
      <c r="A678">
        <f>IF(AND(OR(Query!$B$4="All",'Compliance Database'!$A678=Query!$B$4),OR(Query!$B$5="All",'Compliance Database'!$F678=Query!$B$5),OR(Query!$B$6="All",ISNUMBER(SEARCH(Query!$B$6,'Compliance Database'!$I678))),OR(Query!$B$7="All",ISNUMBER(SEARCH(Query!$B$7,'Compliance Database'!$J678))),OR(Query!$B$8="All",'Compliance Database'!$G678=Query!$B$8),OR(Query!$B$9="All",'Compliance Database'!$K678=Query!$B$9),OR(Query!$B$10="",ISNUMBER(SEARCH(Query!$B$10,'Compliance Database'!$D678&amp;" "&amp;'Compliance Database'!$L678&amp;" "&amp;'Compliance Database'!$M678&amp;" "&amp;'Compliance Database'!$N678&amp;" "&amp;'Compliance Database'!$O678)))),1,0)</f>
        <v/>
      </c>
      <c r="B678">
        <f>IF($A678=1,SUM($A$2:$A678),"")</f>
        <v/>
      </c>
      <c r="C678">
        <f>IF($A678=1,SUM($A$2:$A678),0)</f>
        <v/>
      </c>
    </row>
    <row r="679">
      <c r="A679">
        <f>IF(AND(OR(Query!$B$4="All",'Compliance Database'!$A679=Query!$B$4),OR(Query!$B$5="All",'Compliance Database'!$F679=Query!$B$5),OR(Query!$B$6="All",ISNUMBER(SEARCH(Query!$B$6,'Compliance Database'!$I679))),OR(Query!$B$7="All",ISNUMBER(SEARCH(Query!$B$7,'Compliance Database'!$J679))),OR(Query!$B$8="All",'Compliance Database'!$G679=Query!$B$8),OR(Query!$B$9="All",'Compliance Database'!$K679=Query!$B$9),OR(Query!$B$10="",ISNUMBER(SEARCH(Query!$B$10,'Compliance Database'!$D679&amp;" "&amp;'Compliance Database'!$L679&amp;" "&amp;'Compliance Database'!$M679&amp;" "&amp;'Compliance Database'!$N679&amp;" "&amp;'Compliance Database'!$O679)))),1,0)</f>
        <v/>
      </c>
      <c r="B679">
        <f>IF($A679=1,SUM($A$2:$A679),"")</f>
        <v/>
      </c>
      <c r="C679">
        <f>IF($A679=1,SUM($A$2:$A679),0)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79"/>
  <sheetViews>
    <sheetView workbookViewId="0">
      <selection activeCell="A1" sqref="A1"/>
    </sheetView>
  </sheetViews>
  <sheetFormatPr baseColWidth="8" defaultRowHeight="15"/>
  <sheetData>
    <row r="1">
      <c r="A1" t="inlineStr">
        <is>
          <t>match</t>
        </is>
      </c>
      <c r="B1" t="inlineStr">
        <is>
          <t>rank</t>
        </is>
      </c>
      <c r="C1" t="inlineStr">
        <is>
          <t>rankval</t>
        </is>
      </c>
      <c r="D1">
        <f>SUM($A$2:$A$679)</f>
        <v/>
      </c>
    </row>
    <row r="2">
      <c r="A2">
        <f>IF(AND(OR('Compliance Database'!$A2='Data Transfer'!$B$4,'Compliance Database'!$A2='Data Transfer'!$B$5),OR('Data Transfer'!$B$6="",ISNUMBER(SEARCH('Data Transfer'!$B$6,'Compliance Database'!$D2&amp;" "&amp;'Compliance Database'!$L2&amp;" "&amp;'Compliance Database'!$M2&amp;" "&amp;'Compliance Database'!$N2&amp;" "&amp;'Compliance Database'!$O2)))),1,0)</f>
        <v/>
      </c>
      <c r="B2">
        <f>IF($A2=1,SUM($A$2:$A2),"")</f>
        <v/>
      </c>
      <c r="C2">
        <f>IF($A2=1,SUM($A$2:$A2),0)</f>
        <v/>
      </c>
    </row>
    <row r="3">
      <c r="A3">
        <f>IF(AND(OR('Compliance Database'!$A3='Data Transfer'!$B$4,'Compliance Database'!$A3='Data Transfer'!$B$5),OR('Data Transfer'!$B$6="",ISNUMBER(SEARCH('Data Transfer'!$B$6,'Compliance Database'!$D3&amp;" "&amp;'Compliance Database'!$L3&amp;" "&amp;'Compliance Database'!$M3&amp;" "&amp;'Compliance Database'!$N3&amp;" "&amp;'Compliance Database'!$O3)))),1,0)</f>
        <v/>
      </c>
      <c r="B3">
        <f>IF($A3=1,SUM($A$2:$A3),"")</f>
        <v/>
      </c>
      <c r="C3">
        <f>IF($A3=1,SUM($A$2:$A3),0)</f>
        <v/>
      </c>
    </row>
    <row r="4">
      <c r="A4">
        <f>IF(AND(OR('Compliance Database'!$A4='Data Transfer'!$B$4,'Compliance Database'!$A4='Data Transfer'!$B$5),OR('Data Transfer'!$B$6="",ISNUMBER(SEARCH('Data Transfer'!$B$6,'Compliance Database'!$D4&amp;" "&amp;'Compliance Database'!$L4&amp;" "&amp;'Compliance Database'!$M4&amp;" "&amp;'Compliance Database'!$N4&amp;" "&amp;'Compliance Database'!$O4)))),1,0)</f>
        <v/>
      </c>
      <c r="B4">
        <f>IF($A4=1,SUM($A$2:$A4),"")</f>
        <v/>
      </c>
      <c r="C4">
        <f>IF($A4=1,SUM($A$2:$A4),0)</f>
        <v/>
      </c>
    </row>
    <row r="5">
      <c r="A5">
        <f>IF(AND(OR('Compliance Database'!$A5='Data Transfer'!$B$4,'Compliance Database'!$A5='Data Transfer'!$B$5),OR('Data Transfer'!$B$6="",ISNUMBER(SEARCH('Data Transfer'!$B$6,'Compliance Database'!$D5&amp;" "&amp;'Compliance Database'!$L5&amp;" "&amp;'Compliance Database'!$M5&amp;" "&amp;'Compliance Database'!$N5&amp;" "&amp;'Compliance Database'!$O5)))),1,0)</f>
        <v/>
      </c>
      <c r="B5">
        <f>IF($A5=1,SUM($A$2:$A5),"")</f>
        <v/>
      </c>
      <c r="C5">
        <f>IF($A5=1,SUM($A$2:$A5),0)</f>
        <v/>
      </c>
    </row>
    <row r="6">
      <c r="A6">
        <f>IF(AND(OR('Compliance Database'!$A6='Data Transfer'!$B$4,'Compliance Database'!$A6='Data Transfer'!$B$5),OR('Data Transfer'!$B$6="",ISNUMBER(SEARCH('Data Transfer'!$B$6,'Compliance Database'!$D6&amp;" "&amp;'Compliance Database'!$L6&amp;" "&amp;'Compliance Database'!$M6&amp;" "&amp;'Compliance Database'!$N6&amp;" "&amp;'Compliance Database'!$O6)))),1,0)</f>
        <v/>
      </c>
      <c r="B6">
        <f>IF($A6=1,SUM($A$2:$A6),"")</f>
        <v/>
      </c>
      <c r="C6">
        <f>IF($A6=1,SUM($A$2:$A6),0)</f>
        <v/>
      </c>
    </row>
    <row r="7">
      <c r="A7">
        <f>IF(AND(OR('Compliance Database'!$A7='Data Transfer'!$B$4,'Compliance Database'!$A7='Data Transfer'!$B$5),OR('Data Transfer'!$B$6="",ISNUMBER(SEARCH('Data Transfer'!$B$6,'Compliance Database'!$D7&amp;" "&amp;'Compliance Database'!$L7&amp;" "&amp;'Compliance Database'!$M7&amp;" "&amp;'Compliance Database'!$N7&amp;" "&amp;'Compliance Database'!$O7)))),1,0)</f>
        <v/>
      </c>
      <c r="B7">
        <f>IF($A7=1,SUM($A$2:$A7),"")</f>
        <v/>
      </c>
      <c r="C7">
        <f>IF($A7=1,SUM($A$2:$A7),0)</f>
        <v/>
      </c>
    </row>
    <row r="8">
      <c r="A8">
        <f>IF(AND(OR('Compliance Database'!$A8='Data Transfer'!$B$4,'Compliance Database'!$A8='Data Transfer'!$B$5),OR('Data Transfer'!$B$6="",ISNUMBER(SEARCH('Data Transfer'!$B$6,'Compliance Database'!$D8&amp;" "&amp;'Compliance Database'!$L8&amp;" "&amp;'Compliance Database'!$M8&amp;" "&amp;'Compliance Database'!$N8&amp;" "&amp;'Compliance Database'!$O8)))),1,0)</f>
        <v/>
      </c>
      <c r="B8">
        <f>IF($A8=1,SUM($A$2:$A8),"")</f>
        <v/>
      </c>
      <c r="C8">
        <f>IF($A8=1,SUM($A$2:$A8),0)</f>
        <v/>
      </c>
    </row>
    <row r="9">
      <c r="A9">
        <f>IF(AND(OR('Compliance Database'!$A9='Data Transfer'!$B$4,'Compliance Database'!$A9='Data Transfer'!$B$5),OR('Data Transfer'!$B$6="",ISNUMBER(SEARCH('Data Transfer'!$B$6,'Compliance Database'!$D9&amp;" "&amp;'Compliance Database'!$L9&amp;" "&amp;'Compliance Database'!$M9&amp;" "&amp;'Compliance Database'!$N9&amp;" "&amp;'Compliance Database'!$O9)))),1,0)</f>
        <v/>
      </c>
      <c r="B9">
        <f>IF($A9=1,SUM($A$2:$A9),"")</f>
        <v/>
      </c>
      <c r="C9">
        <f>IF($A9=1,SUM($A$2:$A9),0)</f>
        <v/>
      </c>
    </row>
    <row r="10">
      <c r="A10">
        <f>IF(AND(OR('Compliance Database'!$A10='Data Transfer'!$B$4,'Compliance Database'!$A10='Data Transfer'!$B$5),OR('Data Transfer'!$B$6="",ISNUMBER(SEARCH('Data Transfer'!$B$6,'Compliance Database'!$D10&amp;" "&amp;'Compliance Database'!$L10&amp;" "&amp;'Compliance Database'!$M10&amp;" "&amp;'Compliance Database'!$N10&amp;" "&amp;'Compliance Database'!$O10)))),1,0)</f>
        <v/>
      </c>
      <c r="B10">
        <f>IF($A10=1,SUM($A$2:$A10),"")</f>
        <v/>
      </c>
      <c r="C10">
        <f>IF($A10=1,SUM($A$2:$A10),0)</f>
        <v/>
      </c>
    </row>
    <row r="11">
      <c r="A11">
        <f>IF(AND(OR('Compliance Database'!$A11='Data Transfer'!$B$4,'Compliance Database'!$A11='Data Transfer'!$B$5),OR('Data Transfer'!$B$6="",ISNUMBER(SEARCH('Data Transfer'!$B$6,'Compliance Database'!$D11&amp;" "&amp;'Compliance Database'!$L11&amp;" "&amp;'Compliance Database'!$M11&amp;" "&amp;'Compliance Database'!$N11&amp;" "&amp;'Compliance Database'!$O11)))),1,0)</f>
        <v/>
      </c>
      <c r="B11">
        <f>IF($A11=1,SUM($A$2:$A11),"")</f>
        <v/>
      </c>
      <c r="C11">
        <f>IF($A11=1,SUM($A$2:$A11),0)</f>
        <v/>
      </c>
    </row>
    <row r="12">
      <c r="A12">
        <f>IF(AND(OR('Compliance Database'!$A12='Data Transfer'!$B$4,'Compliance Database'!$A12='Data Transfer'!$B$5),OR('Data Transfer'!$B$6="",ISNUMBER(SEARCH('Data Transfer'!$B$6,'Compliance Database'!$D12&amp;" "&amp;'Compliance Database'!$L12&amp;" "&amp;'Compliance Database'!$M12&amp;" "&amp;'Compliance Database'!$N12&amp;" "&amp;'Compliance Database'!$O12)))),1,0)</f>
        <v/>
      </c>
      <c r="B12">
        <f>IF($A12=1,SUM($A$2:$A12),"")</f>
        <v/>
      </c>
      <c r="C12">
        <f>IF($A12=1,SUM($A$2:$A12),0)</f>
        <v/>
      </c>
    </row>
    <row r="13">
      <c r="A13">
        <f>IF(AND(OR('Compliance Database'!$A13='Data Transfer'!$B$4,'Compliance Database'!$A13='Data Transfer'!$B$5),OR('Data Transfer'!$B$6="",ISNUMBER(SEARCH('Data Transfer'!$B$6,'Compliance Database'!$D13&amp;" "&amp;'Compliance Database'!$L13&amp;" "&amp;'Compliance Database'!$M13&amp;" "&amp;'Compliance Database'!$N13&amp;" "&amp;'Compliance Database'!$O13)))),1,0)</f>
        <v/>
      </c>
      <c r="B13">
        <f>IF($A13=1,SUM($A$2:$A13),"")</f>
        <v/>
      </c>
      <c r="C13">
        <f>IF($A13=1,SUM($A$2:$A13),0)</f>
        <v/>
      </c>
    </row>
    <row r="14">
      <c r="A14">
        <f>IF(AND(OR('Compliance Database'!$A14='Data Transfer'!$B$4,'Compliance Database'!$A14='Data Transfer'!$B$5),OR('Data Transfer'!$B$6="",ISNUMBER(SEARCH('Data Transfer'!$B$6,'Compliance Database'!$D14&amp;" "&amp;'Compliance Database'!$L14&amp;" "&amp;'Compliance Database'!$M14&amp;" "&amp;'Compliance Database'!$N14&amp;" "&amp;'Compliance Database'!$O14)))),1,0)</f>
        <v/>
      </c>
      <c r="B14">
        <f>IF($A14=1,SUM($A$2:$A14),"")</f>
        <v/>
      </c>
      <c r="C14">
        <f>IF($A14=1,SUM($A$2:$A14),0)</f>
        <v/>
      </c>
    </row>
    <row r="15">
      <c r="A15">
        <f>IF(AND(OR('Compliance Database'!$A15='Data Transfer'!$B$4,'Compliance Database'!$A15='Data Transfer'!$B$5),OR('Data Transfer'!$B$6="",ISNUMBER(SEARCH('Data Transfer'!$B$6,'Compliance Database'!$D15&amp;" "&amp;'Compliance Database'!$L15&amp;" "&amp;'Compliance Database'!$M15&amp;" "&amp;'Compliance Database'!$N15&amp;" "&amp;'Compliance Database'!$O15)))),1,0)</f>
        <v/>
      </c>
      <c r="B15">
        <f>IF($A15=1,SUM($A$2:$A15),"")</f>
        <v/>
      </c>
      <c r="C15">
        <f>IF($A15=1,SUM($A$2:$A15),0)</f>
        <v/>
      </c>
    </row>
    <row r="16">
      <c r="A16">
        <f>IF(AND(OR('Compliance Database'!$A16='Data Transfer'!$B$4,'Compliance Database'!$A16='Data Transfer'!$B$5),OR('Data Transfer'!$B$6="",ISNUMBER(SEARCH('Data Transfer'!$B$6,'Compliance Database'!$D16&amp;" "&amp;'Compliance Database'!$L16&amp;" "&amp;'Compliance Database'!$M16&amp;" "&amp;'Compliance Database'!$N16&amp;" "&amp;'Compliance Database'!$O16)))),1,0)</f>
        <v/>
      </c>
      <c r="B16">
        <f>IF($A16=1,SUM($A$2:$A16),"")</f>
        <v/>
      </c>
      <c r="C16">
        <f>IF($A16=1,SUM($A$2:$A16),0)</f>
        <v/>
      </c>
    </row>
    <row r="17">
      <c r="A17">
        <f>IF(AND(OR('Compliance Database'!$A17='Data Transfer'!$B$4,'Compliance Database'!$A17='Data Transfer'!$B$5),OR('Data Transfer'!$B$6="",ISNUMBER(SEARCH('Data Transfer'!$B$6,'Compliance Database'!$D17&amp;" "&amp;'Compliance Database'!$L17&amp;" "&amp;'Compliance Database'!$M17&amp;" "&amp;'Compliance Database'!$N17&amp;" "&amp;'Compliance Database'!$O17)))),1,0)</f>
        <v/>
      </c>
      <c r="B17">
        <f>IF($A17=1,SUM($A$2:$A17),"")</f>
        <v/>
      </c>
      <c r="C17">
        <f>IF($A17=1,SUM($A$2:$A17),0)</f>
        <v/>
      </c>
    </row>
    <row r="18">
      <c r="A18">
        <f>IF(AND(OR('Compliance Database'!$A18='Data Transfer'!$B$4,'Compliance Database'!$A18='Data Transfer'!$B$5),OR('Data Transfer'!$B$6="",ISNUMBER(SEARCH('Data Transfer'!$B$6,'Compliance Database'!$D18&amp;" "&amp;'Compliance Database'!$L18&amp;" "&amp;'Compliance Database'!$M18&amp;" "&amp;'Compliance Database'!$N18&amp;" "&amp;'Compliance Database'!$O18)))),1,0)</f>
        <v/>
      </c>
      <c r="B18">
        <f>IF($A18=1,SUM($A$2:$A18),"")</f>
        <v/>
      </c>
      <c r="C18">
        <f>IF($A18=1,SUM($A$2:$A18),0)</f>
        <v/>
      </c>
    </row>
    <row r="19">
      <c r="A19">
        <f>IF(AND(OR('Compliance Database'!$A19='Data Transfer'!$B$4,'Compliance Database'!$A19='Data Transfer'!$B$5),OR('Data Transfer'!$B$6="",ISNUMBER(SEARCH('Data Transfer'!$B$6,'Compliance Database'!$D19&amp;" "&amp;'Compliance Database'!$L19&amp;" "&amp;'Compliance Database'!$M19&amp;" "&amp;'Compliance Database'!$N19&amp;" "&amp;'Compliance Database'!$O19)))),1,0)</f>
        <v/>
      </c>
      <c r="B19">
        <f>IF($A19=1,SUM($A$2:$A19),"")</f>
        <v/>
      </c>
      <c r="C19">
        <f>IF($A19=1,SUM($A$2:$A19),0)</f>
        <v/>
      </c>
    </row>
    <row r="20">
      <c r="A20">
        <f>IF(AND(OR('Compliance Database'!$A20='Data Transfer'!$B$4,'Compliance Database'!$A20='Data Transfer'!$B$5),OR('Data Transfer'!$B$6="",ISNUMBER(SEARCH('Data Transfer'!$B$6,'Compliance Database'!$D20&amp;" "&amp;'Compliance Database'!$L20&amp;" "&amp;'Compliance Database'!$M20&amp;" "&amp;'Compliance Database'!$N20&amp;" "&amp;'Compliance Database'!$O20)))),1,0)</f>
        <v/>
      </c>
      <c r="B20">
        <f>IF($A20=1,SUM($A$2:$A20),"")</f>
        <v/>
      </c>
      <c r="C20">
        <f>IF($A20=1,SUM($A$2:$A20),0)</f>
        <v/>
      </c>
    </row>
    <row r="21">
      <c r="A21">
        <f>IF(AND(OR('Compliance Database'!$A21='Data Transfer'!$B$4,'Compliance Database'!$A21='Data Transfer'!$B$5),OR('Data Transfer'!$B$6="",ISNUMBER(SEARCH('Data Transfer'!$B$6,'Compliance Database'!$D21&amp;" "&amp;'Compliance Database'!$L21&amp;" "&amp;'Compliance Database'!$M21&amp;" "&amp;'Compliance Database'!$N21&amp;" "&amp;'Compliance Database'!$O21)))),1,0)</f>
        <v/>
      </c>
      <c r="B21">
        <f>IF($A21=1,SUM($A$2:$A21),"")</f>
        <v/>
      </c>
      <c r="C21">
        <f>IF($A21=1,SUM($A$2:$A21),0)</f>
        <v/>
      </c>
    </row>
    <row r="22">
      <c r="A22">
        <f>IF(AND(OR('Compliance Database'!$A22='Data Transfer'!$B$4,'Compliance Database'!$A22='Data Transfer'!$B$5),OR('Data Transfer'!$B$6="",ISNUMBER(SEARCH('Data Transfer'!$B$6,'Compliance Database'!$D22&amp;" "&amp;'Compliance Database'!$L22&amp;" "&amp;'Compliance Database'!$M22&amp;" "&amp;'Compliance Database'!$N22&amp;" "&amp;'Compliance Database'!$O22)))),1,0)</f>
        <v/>
      </c>
      <c r="B22">
        <f>IF($A22=1,SUM($A$2:$A22),"")</f>
        <v/>
      </c>
      <c r="C22">
        <f>IF($A22=1,SUM($A$2:$A22),0)</f>
        <v/>
      </c>
    </row>
    <row r="23">
      <c r="A23">
        <f>IF(AND(OR('Compliance Database'!$A23='Data Transfer'!$B$4,'Compliance Database'!$A23='Data Transfer'!$B$5),OR('Data Transfer'!$B$6="",ISNUMBER(SEARCH('Data Transfer'!$B$6,'Compliance Database'!$D23&amp;" "&amp;'Compliance Database'!$L23&amp;" "&amp;'Compliance Database'!$M23&amp;" "&amp;'Compliance Database'!$N23&amp;" "&amp;'Compliance Database'!$O23)))),1,0)</f>
        <v/>
      </c>
      <c r="B23">
        <f>IF($A23=1,SUM($A$2:$A23),"")</f>
        <v/>
      </c>
      <c r="C23">
        <f>IF($A23=1,SUM($A$2:$A23),0)</f>
        <v/>
      </c>
    </row>
    <row r="24">
      <c r="A24">
        <f>IF(AND(OR('Compliance Database'!$A24='Data Transfer'!$B$4,'Compliance Database'!$A24='Data Transfer'!$B$5),OR('Data Transfer'!$B$6="",ISNUMBER(SEARCH('Data Transfer'!$B$6,'Compliance Database'!$D24&amp;" "&amp;'Compliance Database'!$L24&amp;" "&amp;'Compliance Database'!$M24&amp;" "&amp;'Compliance Database'!$N24&amp;" "&amp;'Compliance Database'!$O24)))),1,0)</f>
        <v/>
      </c>
      <c r="B24">
        <f>IF($A24=1,SUM($A$2:$A24),"")</f>
        <v/>
      </c>
      <c r="C24">
        <f>IF($A24=1,SUM($A$2:$A24),0)</f>
        <v/>
      </c>
    </row>
    <row r="25">
      <c r="A25">
        <f>IF(AND(OR('Compliance Database'!$A25='Data Transfer'!$B$4,'Compliance Database'!$A25='Data Transfer'!$B$5),OR('Data Transfer'!$B$6="",ISNUMBER(SEARCH('Data Transfer'!$B$6,'Compliance Database'!$D25&amp;" "&amp;'Compliance Database'!$L25&amp;" "&amp;'Compliance Database'!$M25&amp;" "&amp;'Compliance Database'!$N25&amp;" "&amp;'Compliance Database'!$O25)))),1,0)</f>
        <v/>
      </c>
      <c r="B25">
        <f>IF($A25=1,SUM($A$2:$A25),"")</f>
        <v/>
      </c>
      <c r="C25">
        <f>IF($A25=1,SUM($A$2:$A25),0)</f>
        <v/>
      </c>
    </row>
    <row r="26">
      <c r="A26">
        <f>IF(AND(OR('Compliance Database'!$A26='Data Transfer'!$B$4,'Compliance Database'!$A26='Data Transfer'!$B$5),OR('Data Transfer'!$B$6="",ISNUMBER(SEARCH('Data Transfer'!$B$6,'Compliance Database'!$D26&amp;" "&amp;'Compliance Database'!$L26&amp;" "&amp;'Compliance Database'!$M26&amp;" "&amp;'Compliance Database'!$N26&amp;" "&amp;'Compliance Database'!$O26)))),1,0)</f>
        <v/>
      </c>
      <c r="B26">
        <f>IF($A26=1,SUM($A$2:$A26),"")</f>
        <v/>
      </c>
      <c r="C26">
        <f>IF($A26=1,SUM($A$2:$A26),0)</f>
        <v/>
      </c>
    </row>
    <row r="27">
      <c r="A27">
        <f>IF(AND(OR('Compliance Database'!$A27='Data Transfer'!$B$4,'Compliance Database'!$A27='Data Transfer'!$B$5),OR('Data Transfer'!$B$6="",ISNUMBER(SEARCH('Data Transfer'!$B$6,'Compliance Database'!$D27&amp;" "&amp;'Compliance Database'!$L27&amp;" "&amp;'Compliance Database'!$M27&amp;" "&amp;'Compliance Database'!$N27&amp;" "&amp;'Compliance Database'!$O27)))),1,0)</f>
        <v/>
      </c>
      <c r="B27">
        <f>IF($A27=1,SUM($A$2:$A27),"")</f>
        <v/>
      </c>
      <c r="C27">
        <f>IF($A27=1,SUM($A$2:$A27),0)</f>
        <v/>
      </c>
    </row>
    <row r="28">
      <c r="A28">
        <f>IF(AND(OR('Compliance Database'!$A28='Data Transfer'!$B$4,'Compliance Database'!$A28='Data Transfer'!$B$5),OR('Data Transfer'!$B$6="",ISNUMBER(SEARCH('Data Transfer'!$B$6,'Compliance Database'!$D28&amp;" "&amp;'Compliance Database'!$L28&amp;" "&amp;'Compliance Database'!$M28&amp;" "&amp;'Compliance Database'!$N28&amp;" "&amp;'Compliance Database'!$O28)))),1,0)</f>
        <v/>
      </c>
      <c r="B28">
        <f>IF($A28=1,SUM($A$2:$A28),"")</f>
        <v/>
      </c>
      <c r="C28">
        <f>IF($A28=1,SUM($A$2:$A28),0)</f>
        <v/>
      </c>
    </row>
    <row r="29">
      <c r="A29">
        <f>IF(AND(OR('Compliance Database'!$A29='Data Transfer'!$B$4,'Compliance Database'!$A29='Data Transfer'!$B$5),OR('Data Transfer'!$B$6="",ISNUMBER(SEARCH('Data Transfer'!$B$6,'Compliance Database'!$D29&amp;" "&amp;'Compliance Database'!$L29&amp;" "&amp;'Compliance Database'!$M29&amp;" "&amp;'Compliance Database'!$N29&amp;" "&amp;'Compliance Database'!$O29)))),1,0)</f>
        <v/>
      </c>
      <c r="B29">
        <f>IF($A29=1,SUM($A$2:$A29),"")</f>
        <v/>
      </c>
      <c r="C29">
        <f>IF($A29=1,SUM($A$2:$A29),0)</f>
        <v/>
      </c>
    </row>
    <row r="30">
      <c r="A30">
        <f>IF(AND(OR('Compliance Database'!$A30='Data Transfer'!$B$4,'Compliance Database'!$A30='Data Transfer'!$B$5),OR('Data Transfer'!$B$6="",ISNUMBER(SEARCH('Data Transfer'!$B$6,'Compliance Database'!$D30&amp;" "&amp;'Compliance Database'!$L30&amp;" "&amp;'Compliance Database'!$M30&amp;" "&amp;'Compliance Database'!$N30&amp;" "&amp;'Compliance Database'!$O30)))),1,0)</f>
        <v/>
      </c>
      <c r="B30">
        <f>IF($A30=1,SUM($A$2:$A30),"")</f>
        <v/>
      </c>
      <c r="C30">
        <f>IF($A30=1,SUM($A$2:$A30),0)</f>
        <v/>
      </c>
    </row>
    <row r="31">
      <c r="A31">
        <f>IF(AND(OR('Compliance Database'!$A31='Data Transfer'!$B$4,'Compliance Database'!$A31='Data Transfer'!$B$5),OR('Data Transfer'!$B$6="",ISNUMBER(SEARCH('Data Transfer'!$B$6,'Compliance Database'!$D31&amp;" "&amp;'Compliance Database'!$L31&amp;" "&amp;'Compliance Database'!$M31&amp;" "&amp;'Compliance Database'!$N31&amp;" "&amp;'Compliance Database'!$O31)))),1,0)</f>
        <v/>
      </c>
      <c r="B31">
        <f>IF($A31=1,SUM($A$2:$A31),"")</f>
        <v/>
      </c>
      <c r="C31">
        <f>IF($A31=1,SUM($A$2:$A31),0)</f>
        <v/>
      </c>
    </row>
    <row r="32">
      <c r="A32">
        <f>IF(AND(OR('Compliance Database'!$A32='Data Transfer'!$B$4,'Compliance Database'!$A32='Data Transfer'!$B$5),OR('Data Transfer'!$B$6="",ISNUMBER(SEARCH('Data Transfer'!$B$6,'Compliance Database'!$D32&amp;" "&amp;'Compliance Database'!$L32&amp;" "&amp;'Compliance Database'!$M32&amp;" "&amp;'Compliance Database'!$N32&amp;" "&amp;'Compliance Database'!$O32)))),1,0)</f>
        <v/>
      </c>
      <c r="B32">
        <f>IF($A32=1,SUM($A$2:$A32),"")</f>
        <v/>
      </c>
      <c r="C32">
        <f>IF($A32=1,SUM($A$2:$A32),0)</f>
        <v/>
      </c>
    </row>
    <row r="33">
      <c r="A33">
        <f>IF(AND(OR('Compliance Database'!$A33='Data Transfer'!$B$4,'Compliance Database'!$A33='Data Transfer'!$B$5),OR('Data Transfer'!$B$6="",ISNUMBER(SEARCH('Data Transfer'!$B$6,'Compliance Database'!$D33&amp;" "&amp;'Compliance Database'!$L33&amp;" "&amp;'Compliance Database'!$M33&amp;" "&amp;'Compliance Database'!$N33&amp;" "&amp;'Compliance Database'!$O33)))),1,0)</f>
        <v/>
      </c>
      <c r="B33">
        <f>IF($A33=1,SUM($A$2:$A33),"")</f>
        <v/>
      </c>
      <c r="C33">
        <f>IF($A33=1,SUM($A$2:$A33),0)</f>
        <v/>
      </c>
    </row>
    <row r="34">
      <c r="A34">
        <f>IF(AND(OR('Compliance Database'!$A34='Data Transfer'!$B$4,'Compliance Database'!$A34='Data Transfer'!$B$5),OR('Data Transfer'!$B$6="",ISNUMBER(SEARCH('Data Transfer'!$B$6,'Compliance Database'!$D34&amp;" "&amp;'Compliance Database'!$L34&amp;" "&amp;'Compliance Database'!$M34&amp;" "&amp;'Compliance Database'!$N34&amp;" "&amp;'Compliance Database'!$O34)))),1,0)</f>
        <v/>
      </c>
      <c r="B34">
        <f>IF($A34=1,SUM($A$2:$A34),"")</f>
        <v/>
      </c>
      <c r="C34">
        <f>IF($A34=1,SUM($A$2:$A34),0)</f>
        <v/>
      </c>
    </row>
    <row r="35">
      <c r="A35">
        <f>IF(AND(OR('Compliance Database'!$A35='Data Transfer'!$B$4,'Compliance Database'!$A35='Data Transfer'!$B$5),OR('Data Transfer'!$B$6="",ISNUMBER(SEARCH('Data Transfer'!$B$6,'Compliance Database'!$D35&amp;" "&amp;'Compliance Database'!$L35&amp;" "&amp;'Compliance Database'!$M35&amp;" "&amp;'Compliance Database'!$N35&amp;" "&amp;'Compliance Database'!$O35)))),1,0)</f>
        <v/>
      </c>
      <c r="B35">
        <f>IF($A35=1,SUM($A$2:$A35),"")</f>
        <v/>
      </c>
      <c r="C35">
        <f>IF($A35=1,SUM($A$2:$A35),0)</f>
        <v/>
      </c>
    </row>
    <row r="36">
      <c r="A36">
        <f>IF(AND(OR('Compliance Database'!$A36='Data Transfer'!$B$4,'Compliance Database'!$A36='Data Transfer'!$B$5),OR('Data Transfer'!$B$6="",ISNUMBER(SEARCH('Data Transfer'!$B$6,'Compliance Database'!$D36&amp;" "&amp;'Compliance Database'!$L36&amp;" "&amp;'Compliance Database'!$M36&amp;" "&amp;'Compliance Database'!$N36&amp;" "&amp;'Compliance Database'!$O36)))),1,0)</f>
        <v/>
      </c>
      <c r="B36">
        <f>IF($A36=1,SUM($A$2:$A36),"")</f>
        <v/>
      </c>
      <c r="C36">
        <f>IF($A36=1,SUM($A$2:$A36),0)</f>
        <v/>
      </c>
    </row>
    <row r="37">
      <c r="A37">
        <f>IF(AND(OR('Compliance Database'!$A37='Data Transfer'!$B$4,'Compliance Database'!$A37='Data Transfer'!$B$5),OR('Data Transfer'!$B$6="",ISNUMBER(SEARCH('Data Transfer'!$B$6,'Compliance Database'!$D37&amp;" "&amp;'Compliance Database'!$L37&amp;" "&amp;'Compliance Database'!$M37&amp;" "&amp;'Compliance Database'!$N37&amp;" "&amp;'Compliance Database'!$O37)))),1,0)</f>
        <v/>
      </c>
      <c r="B37">
        <f>IF($A37=1,SUM($A$2:$A37),"")</f>
        <v/>
      </c>
      <c r="C37">
        <f>IF($A37=1,SUM($A$2:$A37),0)</f>
        <v/>
      </c>
    </row>
    <row r="38">
      <c r="A38">
        <f>IF(AND(OR('Compliance Database'!$A38='Data Transfer'!$B$4,'Compliance Database'!$A38='Data Transfer'!$B$5),OR('Data Transfer'!$B$6="",ISNUMBER(SEARCH('Data Transfer'!$B$6,'Compliance Database'!$D38&amp;" "&amp;'Compliance Database'!$L38&amp;" "&amp;'Compliance Database'!$M38&amp;" "&amp;'Compliance Database'!$N38&amp;" "&amp;'Compliance Database'!$O38)))),1,0)</f>
        <v/>
      </c>
      <c r="B38">
        <f>IF($A38=1,SUM($A$2:$A38),"")</f>
        <v/>
      </c>
      <c r="C38">
        <f>IF($A38=1,SUM($A$2:$A38),0)</f>
        <v/>
      </c>
    </row>
    <row r="39">
      <c r="A39">
        <f>IF(AND(OR('Compliance Database'!$A39='Data Transfer'!$B$4,'Compliance Database'!$A39='Data Transfer'!$B$5),OR('Data Transfer'!$B$6="",ISNUMBER(SEARCH('Data Transfer'!$B$6,'Compliance Database'!$D39&amp;" "&amp;'Compliance Database'!$L39&amp;" "&amp;'Compliance Database'!$M39&amp;" "&amp;'Compliance Database'!$N39&amp;" "&amp;'Compliance Database'!$O39)))),1,0)</f>
        <v/>
      </c>
      <c r="B39">
        <f>IF($A39=1,SUM($A$2:$A39),"")</f>
        <v/>
      </c>
      <c r="C39">
        <f>IF($A39=1,SUM($A$2:$A39),0)</f>
        <v/>
      </c>
    </row>
    <row r="40">
      <c r="A40">
        <f>IF(AND(OR('Compliance Database'!$A40='Data Transfer'!$B$4,'Compliance Database'!$A40='Data Transfer'!$B$5),OR('Data Transfer'!$B$6="",ISNUMBER(SEARCH('Data Transfer'!$B$6,'Compliance Database'!$D40&amp;" "&amp;'Compliance Database'!$L40&amp;" "&amp;'Compliance Database'!$M40&amp;" "&amp;'Compliance Database'!$N40&amp;" "&amp;'Compliance Database'!$O40)))),1,0)</f>
        <v/>
      </c>
      <c r="B40">
        <f>IF($A40=1,SUM($A$2:$A40),"")</f>
        <v/>
      </c>
      <c r="C40">
        <f>IF($A40=1,SUM($A$2:$A40),0)</f>
        <v/>
      </c>
    </row>
    <row r="41">
      <c r="A41">
        <f>IF(AND(OR('Compliance Database'!$A41='Data Transfer'!$B$4,'Compliance Database'!$A41='Data Transfer'!$B$5),OR('Data Transfer'!$B$6="",ISNUMBER(SEARCH('Data Transfer'!$B$6,'Compliance Database'!$D41&amp;" "&amp;'Compliance Database'!$L41&amp;" "&amp;'Compliance Database'!$M41&amp;" "&amp;'Compliance Database'!$N41&amp;" "&amp;'Compliance Database'!$O41)))),1,0)</f>
        <v/>
      </c>
      <c r="B41">
        <f>IF($A41=1,SUM($A$2:$A41),"")</f>
        <v/>
      </c>
      <c r="C41">
        <f>IF($A41=1,SUM($A$2:$A41),0)</f>
        <v/>
      </c>
    </row>
    <row r="42">
      <c r="A42">
        <f>IF(AND(OR('Compliance Database'!$A42='Data Transfer'!$B$4,'Compliance Database'!$A42='Data Transfer'!$B$5),OR('Data Transfer'!$B$6="",ISNUMBER(SEARCH('Data Transfer'!$B$6,'Compliance Database'!$D42&amp;" "&amp;'Compliance Database'!$L42&amp;" "&amp;'Compliance Database'!$M42&amp;" "&amp;'Compliance Database'!$N42&amp;" "&amp;'Compliance Database'!$O42)))),1,0)</f>
        <v/>
      </c>
      <c r="B42">
        <f>IF($A42=1,SUM($A$2:$A42),"")</f>
        <v/>
      </c>
      <c r="C42">
        <f>IF($A42=1,SUM($A$2:$A42),0)</f>
        <v/>
      </c>
    </row>
    <row r="43">
      <c r="A43">
        <f>IF(AND(OR('Compliance Database'!$A43='Data Transfer'!$B$4,'Compliance Database'!$A43='Data Transfer'!$B$5),OR('Data Transfer'!$B$6="",ISNUMBER(SEARCH('Data Transfer'!$B$6,'Compliance Database'!$D43&amp;" "&amp;'Compliance Database'!$L43&amp;" "&amp;'Compliance Database'!$M43&amp;" "&amp;'Compliance Database'!$N43&amp;" "&amp;'Compliance Database'!$O43)))),1,0)</f>
        <v/>
      </c>
      <c r="B43">
        <f>IF($A43=1,SUM($A$2:$A43),"")</f>
        <v/>
      </c>
      <c r="C43">
        <f>IF($A43=1,SUM($A$2:$A43),0)</f>
        <v/>
      </c>
    </row>
    <row r="44">
      <c r="A44">
        <f>IF(AND(OR('Compliance Database'!$A44='Data Transfer'!$B$4,'Compliance Database'!$A44='Data Transfer'!$B$5),OR('Data Transfer'!$B$6="",ISNUMBER(SEARCH('Data Transfer'!$B$6,'Compliance Database'!$D44&amp;" "&amp;'Compliance Database'!$L44&amp;" "&amp;'Compliance Database'!$M44&amp;" "&amp;'Compliance Database'!$N44&amp;" "&amp;'Compliance Database'!$O44)))),1,0)</f>
        <v/>
      </c>
      <c r="B44">
        <f>IF($A44=1,SUM($A$2:$A44),"")</f>
        <v/>
      </c>
      <c r="C44">
        <f>IF($A44=1,SUM($A$2:$A44),0)</f>
        <v/>
      </c>
    </row>
    <row r="45">
      <c r="A45">
        <f>IF(AND(OR('Compliance Database'!$A45='Data Transfer'!$B$4,'Compliance Database'!$A45='Data Transfer'!$B$5),OR('Data Transfer'!$B$6="",ISNUMBER(SEARCH('Data Transfer'!$B$6,'Compliance Database'!$D45&amp;" "&amp;'Compliance Database'!$L45&amp;" "&amp;'Compliance Database'!$M45&amp;" "&amp;'Compliance Database'!$N45&amp;" "&amp;'Compliance Database'!$O45)))),1,0)</f>
        <v/>
      </c>
      <c r="B45">
        <f>IF($A45=1,SUM($A$2:$A45),"")</f>
        <v/>
      </c>
      <c r="C45">
        <f>IF($A45=1,SUM($A$2:$A45),0)</f>
        <v/>
      </c>
    </row>
    <row r="46">
      <c r="A46">
        <f>IF(AND(OR('Compliance Database'!$A46='Data Transfer'!$B$4,'Compliance Database'!$A46='Data Transfer'!$B$5),OR('Data Transfer'!$B$6="",ISNUMBER(SEARCH('Data Transfer'!$B$6,'Compliance Database'!$D46&amp;" "&amp;'Compliance Database'!$L46&amp;" "&amp;'Compliance Database'!$M46&amp;" "&amp;'Compliance Database'!$N46&amp;" "&amp;'Compliance Database'!$O46)))),1,0)</f>
        <v/>
      </c>
      <c r="B46">
        <f>IF($A46=1,SUM($A$2:$A46),"")</f>
        <v/>
      </c>
      <c r="C46">
        <f>IF($A46=1,SUM($A$2:$A46),0)</f>
        <v/>
      </c>
    </row>
    <row r="47">
      <c r="A47">
        <f>IF(AND(OR('Compliance Database'!$A47='Data Transfer'!$B$4,'Compliance Database'!$A47='Data Transfer'!$B$5),OR('Data Transfer'!$B$6="",ISNUMBER(SEARCH('Data Transfer'!$B$6,'Compliance Database'!$D47&amp;" "&amp;'Compliance Database'!$L47&amp;" "&amp;'Compliance Database'!$M47&amp;" "&amp;'Compliance Database'!$N47&amp;" "&amp;'Compliance Database'!$O47)))),1,0)</f>
        <v/>
      </c>
      <c r="B47">
        <f>IF($A47=1,SUM($A$2:$A47),"")</f>
        <v/>
      </c>
      <c r="C47">
        <f>IF($A47=1,SUM($A$2:$A47),0)</f>
        <v/>
      </c>
    </row>
    <row r="48">
      <c r="A48">
        <f>IF(AND(OR('Compliance Database'!$A48='Data Transfer'!$B$4,'Compliance Database'!$A48='Data Transfer'!$B$5),OR('Data Transfer'!$B$6="",ISNUMBER(SEARCH('Data Transfer'!$B$6,'Compliance Database'!$D48&amp;" "&amp;'Compliance Database'!$L48&amp;" "&amp;'Compliance Database'!$M48&amp;" "&amp;'Compliance Database'!$N48&amp;" "&amp;'Compliance Database'!$O48)))),1,0)</f>
        <v/>
      </c>
      <c r="B48">
        <f>IF($A48=1,SUM($A$2:$A48),"")</f>
        <v/>
      </c>
      <c r="C48">
        <f>IF($A48=1,SUM($A$2:$A48),0)</f>
        <v/>
      </c>
    </row>
    <row r="49">
      <c r="A49">
        <f>IF(AND(OR('Compliance Database'!$A49='Data Transfer'!$B$4,'Compliance Database'!$A49='Data Transfer'!$B$5),OR('Data Transfer'!$B$6="",ISNUMBER(SEARCH('Data Transfer'!$B$6,'Compliance Database'!$D49&amp;" "&amp;'Compliance Database'!$L49&amp;" "&amp;'Compliance Database'!$M49&amp;" "&amp;'Compliance Database'!$N49&amp;" "&amp;'Compliance Database'!$O49)))),1,0)</f>
        <v/>
      </c>
      <c r="B49">
        <f>IF($A49=1,SUM($A$2:$A49),"")</f>
        <v/>
      </c>
      <c r="C49">
        <f>IF($A49=1,SUM($A$2:$A49),0)</f>
        <v/>
      </c>
    </row>
    <row r="50">
      <c r="A50">
        <f>IF(AND(OR('Compliance Database'!$A50='Data Transfer'!$B$4,'Compliance Database'!$A50='Data Transfer'!$B$5),OR('Data Transfer'!$B$6="",ISNUMBER(SEARCH('Data Transfer'!$B$6,'Compliance Database'!$D50&amp;" "&amp;'Compliance Database'!$L50&amp;" "&amp;'Compliance Database'!$M50&amp;" "&amp;'Compliance Database'!$N50&amp;" "&amp;'Compliance Database'!$O50)))),1,0)</f>
        <v/>
      </c>
      <c r="B50">
        <f>IF($A50=1,SUM($A$2:$A50),"")</f>
        <v/>
      </c>
      <c r="C50">
        <f>IF($A50=1,SUM($A$2:$A50),0)</f>
        <v/>
      </c>
    </row>
    <row r="51">
      <c r="A51">
        <f>IF(AND(OR('Compliance Database'!$A51='Data Transfer'!$B$4,'Compliance Database'!$A51='Data Transfer'!$B$5),OR('Data Transfer'!$B$6="",ISNUMBER(SEARCH('Data Transfer'!$B$6,'Compliance Database'!$D51&amp;" "&amp;'Compliance Database'!$L51&amp;" "&amp;'Compliance Database'!$M51&amp;" "&amp;'Compliance Database'!$N51&amp;" "&amp;'Compliance Database'!$O51)))),1,0)</f>
        <v/>
      </c>
      <c r="B51">
        <f>IF($A51=1,SUM($A$2:$A51),"")</f>
        <v/>
      </c>
      <c r="C51">
        <f>IF($A51=1,SUM($A$2:$A51),0)</f>
        <v/>
      </c>
    </row>
    <row r="52">
      <c r="A52">
        <f>IF(AND(OR('Compliance Database'!$A52='Data Transfer'!$B$4,'Compliance Database'!$A52='Data Transfer'!$B$5),OR('Data Transfer'!$B$6="",ISNUMBER(SEARCH('Data Transfer'!$B$6,'Compliance Database'!$D52&amp;" "&amp;'Compliance Database'!$L52&amp;" "&amp;'Compliance Database'!$M52&amp;" "&amp;'Compliance Database'!$N52&amp;" "&amp;'Compliance Database'!$O52)))),1,0)</f>
        <v/>
      </c>
      <c r="B52">
        <f>IF($A52=1,SUM($A$2:$A52),"")</f>
        <v/>
      </c>
      <c r="C52">
        <f>IF($A52=1,SUM($A$2:$A52),0)</f>
        <v/>
      </c>
    </row>
    <row r="53">
      <c r="A53">
        <f>IF(AND(OR('Compliance Database'!$A53='Data Transfer'!$B$4,'Compliance Database'!$A53='Data Transfer'!$B$5),OR('Data Transfer'!$B$6="",ISNUMBER(SEARCH('Data Transfer'!$B$6,'Compliance Database'!$D53&amp;" "&amp;'Compliance Database'!$L53&amp;" "&amp;'Compliance Database'!$M53&amp;" "&amp;'Compliance Database'!$N53&amp;" "&amp;'Compliance Database'!$O53)))),1,0)</f>
        <v/>
      </c>
      <c r="B53">
        <f>IF($A53=1,SUM($A$2:$A53),"")</f>
        <v/>
      </c>
      <c r="C53">
        <f>IF($A53=1,SUM($A$2:$A53),0)</f>
        <v/>
      </c>
    </row>
    <row r="54">
      <c r="A54">
        <f>IF(AND(OR('Compliance Database'!$A54='Data Transfer'!$B$4,'Compliance Database'!$A54='Data Transfer'!$B$5),OR('Data Transfer'!$B$6="",ISNUMBER(SEARCH('Data Transfer'!$B$6,'Compliance Database'!$D54&amp;" "&amp;'Compliance Database'!$L54&amp;" "&amp;'Compliance Database'!$M54&amp;" "&amp;'Compliance Database'!$N54&amp;" "&amp;'Compliance Database'!$O54)))),1,0)</f>
        <v/>
      </c>
      <c r="B54">
        <f>IF($A54=1,SUM($A$2:$A54),"")</f>
        <v/>
      </c>
      <c r="C54">
        <f>IF($A54=1,SUM($A$2:$A54),0)</f>
        <v/>
      </c>
    </row>
    <row r="55">
      <c r="A55">
        <f>IF(AND(OR('Compliance Database'!$A55='Data Transfer'!$B$4,'Compliance Database'!$A55='Data Transfer'!$B$5),OR('Data Transfer'!$B$6="",ISNUMBER(SEARCH('Data Transfer'!$B$6,'Compliance Database'!$D55&amp;" "&amp;'Compliance Database'!$L55&amp;" "&amp;'Compliance Database'!$M55&amp;" "&amp;'Compliance Database'!$N55&amp;" "&amp;'Compliance Database'!$O55)))),1,0)</f>
        <v/>
      </c>
      <c r="B55">
        <f>IF($A55=1,SUM($A$2:$A55),"")</f>
        <v/>
      </c>
      <c r="C55">
        <f>IF($A55=1,SUM($A$2:$A55),0)</f>
        <v/>
      </c>
    </row>
    <row r="56">
      <c r="A56">
        <f>IF(AND(OR('Compliance Database'!$A56='Data Transfer'!$B$4,'Compliance Database'!$A56='Data Transfer'!$B$5),OR('Data Transfer'!$B$6="",ISNUMBER(SEARCH('Data Transfer'!$B$6,'Compliance Database'!$D56&amp;" "&amp;'Compliance Database'!$L56&amp;" "&amp;'Compliance Database'!$M56&amp;" "&amp;'Compliance Database'!$N56&amp;" "&amp;'Compliance Database'!$O56)))),1,0)</f>
        <v/>
      </c>
      <c r="B56">
        <f>IF($A56=1,SUM($A$2:$A56),"")</f>
        <v/>
      </c>
      <c r="C56">
        <f>IF($A56=1,SUM($A$2:$A56),0)</f>
        <v/>
      </c>
    </row>
    <row r="57">
      <c r="A57">
        <f>IF(AND(OR('Compliance Database'!$A57='Data Transfer'!$B$4,'Compliance Database'!$A57='Data Transfer'!$B$5),OR('Data Transfer'!$B$6="",ISNUMBER(SEARCH('Data Transfer'!$B$6,'Compliance Database'!$D57&amp;" "&amp;'Compliance Database'!$L57&amp;" "&amp;'Compliance Database'!$M57&amp;" "&amp;'Compliance Database'!$N57&amp;" "&amp;'Compliance Database'!$O57)))),1,0)</f>
        <v/>
      </c>
      <c r="B57">
        <f>IF($A57=1,SUM($A$2:$A57),"")</f>
        <v/>
      </c>
      <c r="C57">
        <f>IF($A57=1,SUM($A$2:$A57),0)</f>
        <v/>
      </c>
    </row>
    <row r="58">
      <c r="A58">
        <f>IF(AND(OR('Compliance Database'!$A58='Data Transfer'!$B$4,'Compliance Database'!$A58='Data Transfer'!$B$5),OR('Data Transfer'!$B$6="",ISNUMBER(SEARCH('Data Transfer'!$B$6,'Compliance Database'!$D58&amp;" "&amp;'Compliance Database'!$L58&amp;" "&amp;'Compliance Database'!$M58&amp;" "&amp;'Compliance Database'!$N58&amp;" "&amp;'Compliance Database'!$O58)))),1,0)</f>
        <v/>
      </c>
      <c r="B58">
        <f>IF($A58=1,SUM($A$2:$A58),"")</f>
        <v/>
      </c>
      <c r="C58">
        <f>IF($A58=1,SUM($A$2:$A58),0)</f>
        <v/>
      </c>
    </row>
    <row r="59">
      <c r="A59">
        <f>IF(AND(OR('Compliance Database'!$A59='Data Transfer'!$B$4,'Compliance Database'!$A59='Data Transfer'!$B$5),OR('Data Transfer'!$B$6="",ISNUMBER(SEARCH('Data Transfer'!$B$6,'Compliance Database'!$D59&amp;" "&amp;'Compliance Database'!$L59&amp;" "&amp;'Compliance Database'!$M59&amp;" "&amp;'Compliance Database'!$N59&amp;" "&amp;'Compliance Database'!$O59)))),1,0)</f>
        <v/>
      </c>
      <c r="B59">
        <f>IF($A59=1,SUM($A$2:$A59),"")</f>
        <v/>
      </c>
      <c r="C59">
        <f>IF($A59=1,SUM($A$2:$A59),0)</f>
        <v/>
      </c>
    </row>
    <row r="60">
      <c r="A60">
        <f>IF(AND(OR('Compliance Database'!$A60='Data Transfer'!$B$4,'Compliance Database'!$A60='Data Transfer'!$B$5),OR('Data Transfer'!$B$6="",ISNUMBER(SEARCH('Data Transfer'!$B$6,'Compliance Database'!$D60&amp;" "&amp;'Compliance Database'!$L60&amp;" "&amp;'Compliance Database'!$M60&amp;" "&amp;'Compliance Database'!$N60&amp;" "&amp;'Compliance Database'!$O60)))),1,0)</f>
        <v/>
      </c>
      <c r="B60">
        <f>IF($A60=1,SUM($A$2:$A60),"")</f>
        <v/>
      </c>
      <c r="C60">
        <f>IF($A60=1,SUM($A$2:$A60),0)</f>
        <v/>
      </c>
    </row>
    <row r="61">
      <c r="A61">
        <f>IF(AND(OR('Compliance Database'!$A61='Data Transfer'!$B$4,'Compliance Database'!$A61='Data Transfer'!$B$5),OR('Data Transfer'!$B$6="",ISNUMBER(SEARCH('Data Transfer'!$B$6,'Compliance Database'!$D61&amp;" "&amp;'Compliance Database'!$L61&amp;" "&amp;'Compliance Database'!$M61&amp;" "&amp;'Compliance Database'!$N61&amp;" "&amp;'Compliance Database'!$O61)))),1,0)</f>
        <v/>
      </c>
      <c r="B61">
        <f>IF($A61=1,SUM($A$2:$A61),"")</f>
        <v/>
      </c>
      <c r="C61">
        <f>IF($A61=1,SUM($A$2:$A61),0)</f>
        <v/>
      </c>
    </row>
    <row r="62">
      <c r="A62">
        <f>IF(AND(OR('Compliance Database'!$A62='Data Transfer'!$B$4,'Compliance Database'!$A62='Data Transfer'!$B$5),OR('Data Transfer'!$B$6="",ISNUMBER(SEARCH('Data Transfer'!$B$6,'Compliance Database'!$D62&amp;" "&amp;'Compliance Database'!$L62&amp;" "&amp;'Compliance Database'!$M62&amp;" "&amp;'Compliance Database'!$N62&amp;" "&amp;'Compliance Database'!$O62)))),1,0)</f>
        <v/>
      </c>
      <c r="B62">
        <f>IF($A62=1,SUM($A$2:$A62),"")</f>
        <v/>
      </c>
      <c r="C62">
        <f>IF($A62=1,SUM($A$2:$A62),0)</f>
        <v/>
      </c>
    </row>
    <row r="63">
      <c r="A63">
        <f>IF(AND(OR('Compliance Database'!$A63='Data Transfer'!$B$4,'Compliance Database'!$A63='Data Transfer'!$B$5),OR('Data Transfer'!$B$6="",ISNUMBER(SEARCH('Data Transfer'!$B$6,'Compliance Database'!$D63&amp;" "&amp;'Compliance Database'!$L63&amp;" "&amp;'Compliance Database'!$M63&amp;" "&amp;'Compliance Database'!$N63&amp;" "&amp;'Compliance Database'!$O63)))),1,0)</f>
        <v/>
      </c>
      <c r="B63">
        <f>IF($A63=1,SUM($A$2:$A63),"")</f>
        <v/>
      </c>
      <c r="C63">
        <f>IF($A63=1,SUM($A$2:$A63),0)</f>
        <v/>
      </c>
    </row>
    <row r="64">
      <c r="A64">
        <f>IF(AND(OR('Compliance Database'!$A64='Data Transfer'!$B$4,'Compliance Database'!$A64='Data Transfer'!$B$5),OR('Data Transfer'!$B$6="",ISNUMBER(SEARCH('Data Transfer'!$B$6,'Compliance Database'!$D64&amp;" "&amp;'Compliance Database'!$L64&amp;" "&amp;'Compliance Database'!$M64&amp;" "&amp;'Compliance Database'!$N64&amp;" "&amp;'Compliance Database'!$O64)))),1,0)</f>
        <v/>
      </c>
      <c r="B64">
        <f>IF($A64=1,SUM($A$2:$A64),"")</f>
        <v/>
      </c>
      <c r="C64">
        <f>IF($A64=1,SUM($A$2:$A64),0)</f>
        <v/>
      </c>
    </row>
    <row r="65">
      <c r="A65">
        <f>IF(AND(OR('Compliance Database'!$A65='Data Transfer'!$B$4,'Compliance Database'!$A65='Data Transfer'!$B$5),OR('Data Transfer'!$B$6="",ISNUMBER(SEARCH('Data Transfer'!$B$6,'Compliance Database'!$D65&amp;" "&amp;'Compliance Database'!$L65&amp;" "&amp;'Compliance Database'!$M65&amp;" "&amp;'Compliance Database'!$N65&amp;" "&amp;'Compliance Database'!$O65)))),1,0)</f>
        <v/>
      </c>
      <c r="B65">
        <f>IF($A65=1,SUM($A$2:$A65),"")</f>
        <v/>
      </c>
      <c r="C65">
        <f>IF($A65=1,SUM($A$2:$A65),0)</f>
        <v/>
      </c>
    </row>
    <row r="66">
      <c r="A66">
        <f>IF(AND(OR('Compliance Database'!$A66='Data Transfer'!$B$4,'Compliance Database'!$A66='Data Transfer'!$B$5),OR('Data Transfer'!$B$6="",ISNUMBER(SEARCH('Data Transfer'!$B$6,'Compliance Database'!$D66&amp;" "&amp;'Compliance Database'!$L66&amp;" "&amp;'Compliance Database'!$M66&amp;" "&amp;'Compliance Database'!$N66&amp;" "&amp;'Compliance Database'!$O66)))),1,0)</f>
        <v/>
      </c>
      <c r="B66">
        <f>IF($A66=1,SUM($A$2:$A66),"")</f>
        <v/>
      </c>
      <c r="C66">
        <f>IF($A66=1,SUM($A$2:$A66),0)</f>
        <v/>
      </c>
    </row>
    <row r="67">
      <c r="A67">
        <f>IF(AND(OR('Compliance Database'!$A67='Data Transfer'!$B$4,'Compliance Database'!$A67='Data Transfer'!$B$5),OR('Data Transfer'!$B$6="",ISNUMBER(SEARCH('Data Transfer'!$B$6,'Compliance Database'!$D67&amp;" "&amp;'Compliance Database'!$L67&amp;" "&amp;'Compliance Database'!$M67&amp;" "&amp;'Compliance Database'!$N67&amp;" "&amp;'Compliance Database'!$O67)))),1,0)</f>
        <v/>
      </c>
      <c r="B67">
        <f>IF($A67=1,SUM($A$2:$A67),"")</f>
        <v/>
      </c>
      <c r="C67">
        <f>IF($A67=1,SUM($A$2:$A67),0)</f>
        <v/>
      </c>
    </row>
    <row r="68">
      <c r="A68">
        <f>IF(AND(OR('Compliance Database'!$A68='Data Transfer'!$B$4,'Compliance Database'!$A68='Data Transfer'!$B$5),OR('Data Transfer'!$B$6="",ISNUMBER(SEARCH('Data Transfer'!$B$6,'Compliance Database'!$D68&amp;" "&amp;'Compliance Database'!$L68&amp;" "&amp;'Compliance Database'!$M68&amp;" "&amp;'Compliance Database'!$N68&amp;" "&amp;'Compliance Database'!$O68)))),1,0)</f>
        <v/>
      </c>
      <c r="B68">
        <f>IF($A68=1,SUM($A$2:$A68),"")</f>
        <v/>
      </c>
      <c r="C68">
        <f>IF($A68=1,SUM($A$2:$A68),0)</f>
        <v/>
      </c>
    </row>
    <row r="69">
      <c r="A69">
        <f>IF(AND(OR('Compliance Database'!$A69='Data Transfer'!$B$4,'Compliance Database'!$A69='Data Transfer'!$B$5),OR('Data Transfer'!$B$6="",ISNUMBER(SEARCH('Data Transfer'!$B$6,'Compliance Database'!$D69&amp;" "&amp;'Compliance Database'!$L69&amp;" "&amp;'Compliance Database'!$M69&amp;" "&amp;'Compliance Database'!$N69&amp;" "&amp;'Compliance Database'!$O69)))),1,0)</f>
        <v/>
      </c>
      <c r="B69">
        <f>IF($A69=1,SUM($A$2:$A69),"")</f>
        <v/>
      </c>
      <c r="C69">
        <f>IF($A69=1,SUM($A$2:$A69),0)</f>
        <v/>
      </c>
    </row>
    <row r="70">
      <c r="A70">
        <f>IF(AND(OR('Compliance Database'!$A70='Data Transfer'!$B$4,'Compliance Database'!$A70='Data Transfer'!$B$5),OR('Data Transfer'!$B$6="",ISNUMBER(SEARCH('Data Transfer'!$B$6,'Compliance Database'!$D70&amp;" "&amp;'Compliance Database'!$L70&amp;" "&amp;'Compliance Database'!$M70&amp;" "&amp;'Compliance Database'!$N70&amp;" "&amp;'Compliance Database'!$O70)))),1,0)</f>
        <v/>
      </c>
      <c r="B70">
        <f>IF($A70=1,SUM($A$2:$A70),"")</f>
        <v/>
      </c>
      <c r="C70">
        <f>IF($A70=1,SUM($A$2:$A70),0)</f>
        <v/>
      </c>
    </row>
    <row r="71">
      <c r="A71">
        <f>IF(AND(OR('Compliance Database'!$A71='Data Transfer'!$B$4,'Compliance Database'!$A71='Data Transfer'!$B$5),OR('Data Transfer'!$B$6="",ISNUMBER(SEARCH('Data Transfer'!$B$6,'Compliance Database'!$D71&amp;" "&amp;'Compliance Database'!$L71&amp;" "&amp;'Compliance Database'!$M71&amp;" "&amp;'Compliance Database'!$N71&amp;" "&amp;'Compliance Database'!$O71)))),1,0)</f>
        <v/>
      </c>
      <c r="B71">
        <f>IF($A71=1,SUM($A$2:$A71),"")</f>
        <v/>
      </c>
      <c r="C71">
        <f>IF($A71=1,SUM($A$2:$A71),0)</f>
        <v/>
      </c>
    </row>
    <row r="72">
      <c r="A72">
        <f>IF(AND(OR('Compliance Database'!$A72='Data Transfer'!$B$4,'Compliance Database'!$A72='Data Transfer'!$B$5),OR('Data Transfer'!$B$6="",ISNUMBER(SEARCH('Data Transfer'!$B$6,'Compliance Database'!$D72&amp;" "&amp;'Compliance Database'!$L72&amp;" "&amp;'Compliance Database'!$M72&amp;" "&amp;'Compliance Database'!$N72&amp;" "&amp;'Compliance Database'!$O72)))),1,0)</f>
        <v/>
      </c>
      <c r="B72">
        <f>IF($A72=1,SUM($A$2:$A72),"")</f>
        <v/>
      </c>
      <c r="C72">
        <f>IF($A72=1,SUM($A$2:$A72),0)</f>
        <v/>
      </c>
    </row>
    <row r="73">
      <c r="A73">
        <f>IF(AND(OR('Compliance Database'!$A73='Data Transfer'!$B$4,'Compliance Database'!$A73='Data Transfer'!$B$5),OR('Data Transfer'!$B$6="",ISNUMBER(SEARCH('Data Transfer'!$B$6,'Compliance Database'!$D73&amp;" "&amp;'Compliance Database'!$L73&amp;" "&amp;'Compliance Database'!$M73&amp;" "&amp;'Compliance Database'!$N73&amp;" "&amp;'Compliance Database'!$O73)))),1,0)</f>
        <v/>
      </c>
      <c r="B73">
        <f>IF($A73=1,SUM($A$2:$A73),"")</f>
        <v/>
      </c>
      <c r="C73">
        <f>IF($A73=1,SUM($A$2:$A73),0)</f>
        <v/>
      </c>
    </row>
    <row r="74">
      <c r="A74">
        <f>IF(AND(OR('Compliance Database'!$A74='Data Transfer'!$B$4,'Compliance Database'!$A74='Data Transfer'!$B$5),OR('Data Transfer'!$B$6="",ISNUMBER(SEARCH('Data Transfer'!$B$6,'Compliance Database'!$D74&amp;" "&amp;'Compliance Database'!$L74&amp;" "&amp;'Compliance Database'!$M74&amp;" "&amp;'Compliance Database'!$N74&amp;" "&amp;'Compliance Database'!$O74)))),1,0)</f>
        <v/>
      </c>
      <c r="B74">
        <f>IF($A74=1,SUM($A$2:$A74),"")</f>
        <v/>
      </c>
      <c r="C74">
        <f>IF($A74=1,SUM($A$2:$A74),0)</f>
        <v/>
      </c>
    </row>
    <row r="75">
      <c r="A75">
        <f>IF(AND(OR('Compliance Database'!$A75='Data Transfer'!$B$4,'Compliance Database'!$A75='Data Transfer'!$B$5),OR('Data Transfer'!$B$6="",ISNUMBER(SEARCH('Data Transfer'!$B$6,'Compliance Database'!$D75&amp;" "&amp;'Compliance Database'!$L75&amp;" "&amp;'Compliance Database'!$M75&amp;" "&amp;'Compliance Database'!$N75&amp;" "&amp;'Compliance Database'!$O75)))),1,0)</f>
        <v/>
      </c>
      <c r="B75">
        <f>IF($A75=1,SUM($A$2:$A75),"")</f>
        <v/>
      </c>
      <c r="C75">
        <f>IF($A75=1,SUM($A$2:$A75),0)</f>
        <v/>
      </c>
    </row>
    <row r="76">
      <c r="A76">
        <f>IF(AND(OR('Compliance Database'!$A76='Data Transfer'!$B$4,'Compliance Database'!$A76='Data Transfer'!$B$5),OR('Data Transfer'!$B$6="",ISNUMBER(SEARCH('Data Transfer'!$B$6,'Compliance Database'!$D76&amp;" "&amp;'Compliance Database'!$L76&amp;" "&amp;'Compliance Database'!$M76&amp;" "&amp;'Compliance Database'!$N76&amp;" "&amp;'Compliance Database'!$O76)))),1,0)</f>
        <v/>
      </c>
      <c r="B76">
        <f>IF($A76=1,SUM($A$2:$A76),"")</f>
        <v/>
      </c>
      <c r="C76">
        <f>IF($A76=1,SUM($A$2:$A76),0)</f>
        <v/>
      </c>
    </row>
    <row r="77">
      <c r="A77">
        <f>IF(AND(OR('Compliance Database'!$A77='Data Transfer'!$B$4,'Compliance Database'!$A77='Data Transfer'!$B$5),OR('Data Transfer'!$B$6="",ISNUMBER(SEARCH('Data Transfer'!$B$6,'Compliance Database'!$D77&amp;" "&amp;'Compliance Database'!$L77&amp;" "&amp;'Compliance Database'!$M77&amp;" "&amp;'Compliance Database'!$N77&amp;" "&amp;'Compliance Database'!$O77)))),1,0)</f>
        <v/>
      </c>
      <c r="B77">
        <f>IF($A77=1,SUM($A$2:$A77),"")</f>
        <v/>
      </c>
      <c r="C77">
        <f>IF($A77=1,SUM($A$2:$A77),0)</f>
        <v/>
      </c>
    </row>
    <row r="78">
      <c r="A78">
        <f>IF(AND(OR('Compliance Database'!$A78='Data Transfer'!$B$4,'Compliance Database'!$A78='Data Transfer'!$B$5),OR('Data Transfer'!$B$6="",ISNUMBER(SEARCH('Data Transfer'!$B$6,'Compliance Database'!$D78&amp;" "&amp;'Compliance Database'!$L78&amp;" "&amp;'Compliance Database'!$M78&amp;" "&amp;'Compliance Database'!$N78&amp;" "&amp;'Compliance Database'!$O78)))),1,0)</f>
        <v/>
      </c>
      <c r="B78">
        <f>IF($A78=1,SUM($A$2:$A78),"")</f>
        <v/>
      </c>
      <c r="C78">
        <f>IF($A78=1,SUM($A$2:$A78),0)</f>
        <v/>
      </c>
    </row>
    <row r="79">
      <c r="A79">
        <f>IF(AND(OR('Compliance Database'!$A79='Data Transfer'!$B$4,'Compliance Database'!$A79='Data Transfer'!$B$5),OR('Data Transfer'!$B$6="",ISNUMBER(SEARCH('Data Transfer'!$B$6,'Compliance Database'!$D79&amp;" "&amp;'Compliance Database'!$L79&amp;" "&amp;'Compliance Database'!$M79&amp;" "&amp;'Compliance Database'!$N79&amp;" "&amp;'Compliance Database'!$O79)))),1,0)</f>
        <v/>
      </c>
      <c r="B79">
        <f>IF($A79=1,SUM($A$2:$A79),"")</f>
        <v/>
      </c>
      <c r="C79">
        <f>IF($A79=1,SUM($A$2:$A79),0)</f>
        <v/>
      </c>
    </row>
    <row r="80">
      <c r="A80">
        <f>IF(AND(OR('Compliance Database'!$A80='Data Transfer'!$B$4,'Compliance Database'!$A80='Data Transfer'!$B$5),OR('Data Transfer'!$B$6="",ISNUMBER(SEARCH('Data Transfer'!$B$6,'Compliance Database'!$D80&amp;" "&amp;'Compliance Database'!$L80&amp;" "&amp;'Compliance Database'!$M80&amp;" "&amp;'Compliance Database'!$N80&amp;" "&amp;'Compliance Database'!$O80)))),1,0)</f>
        <v/>
      </c>
      <c r="B80">
        <f>IF($A80=1,SUM($A$2:$A80),"")</f>
        <v/>
      </c>
      <c r="C80">
        <f>IF($A80=1,SUM($A$2:$A80),0)</f>
        <v/>
      </c>
    </row>
    <row r="81">
      <c r="A81">
        <f>IF(AND(OR('Compliance Database'!$A81='Data Transfer'!$B$4,'Compliance Database'!$A81='Data Transfer'!$B$5),OR('Data Transfer'!$B$6="",ISNUMBER(SEARCH('Data Transfer'!$B$6,'Compliance Database'!$D81&amp;" "&amp;'Compliance Database'!$L81&amp;" "&amp;'Compliance Database'!$M81&amp;" "&amp;'Compliance Database'!$N81&amp;" "&amp;'Compliance Database'!$O81)))),1,0)</f>
        <v/>
      </c>
      <c r="B81">
        <f>IF($A81=1,SUM($A$2:$A81),"")</f>
        <v/>
      </c>
      <c r="C81">
        <f>IF($A81=1,SUM($A$2:$A81),0)</f>
        <v/>
      </c>
    </row>
    <row r="82">
      <c r="A82">
        <f>IF(AND(OR('Compliance Database'!$A82='Data Transfer'!$B$4,'Compliance Database'!$A82='Data Transfer'!$B$5),OR('Data Transfer'!$B$6="",ISNUMBER(SEARCH('Data Transfer'!$B$6,'Compliance Database'!$D82&amp;" "&amp;'Compliance Database'!$L82&amp;" "&amp;'Compliance Database'!$M82&amp;" "&amp;'Compliance Database'!$N82&amp;" "&amp;'Compliance Database'!$O82)))),1,0)</f>
        <v/>
      </c>
      <c r="B82">
        <f>IF($A82=1,SUM($A$2:$A82),"")</f>
        <v/>
      </c>
      <c r="C82">
        <f>IF($A82=1,SUM($A$2:$A82),0)</f>
        <v/>
      </c>
    </row>
    <row r="83">
      <c r="A83">
        <f>IF(AND(OR('Compliance Database'!$A83='Data Transfer'!$B$4,'Compliance Database'!$A83='Data Transfer'!$B$5),OR('Data Transfer'!$B$6="",ISNUMBER(SEARCH('Data Transfer'!$B$6,'Compliance Database'!$D83&amp;" "&amp;'Compliance Database'!$L83&amp;" "&amp;'Compliance Database'!$M83&amp;" "&amp;'Compliance Database'!$N83&amp;" "&amp;'Compliance Database'!$O83)))),1,0)</f>
        <v/>
      </c>
      <c r="B83">
        <f>IF($A83=1,SUM($A$2:$A83),"")</f>
        <v/>
      </c>
      <c r="C83">
        <f>IF($A83=1,SUM($A$2:$A83),0)</f>
        <v/>
      </c>
    </row>
    <row r="84">
      <c r="A84">
        <f>IF(AND(OR('Compliance Database'!$A84='Data Transfer'!$B$4,'Compliance Database'!$A84='Data Transfer'!$B$5),OR('Data Transfer'!$B$6="",ISNUMBER(SEARCH('Data Transfer'!$B$6,'Compliance Database'!$D84&amp;" "&amp;'Compliance Database'!$L84&amp;" "&amp;'Compliance Database'!$M84&amp;" "&amp;'Compliance Database'!$N84&amp;" "&amp;'Compliance Database'!$O84)))),1,0)</f>
        <v/>
      </c>
      <c r="B84">
        <f>IF($A84=1,SUM($A$2:$A84),"")</f>
        <v/>
      </c>
      <c r="C84">
        <f>IF($A84=1,SUM($A$2:$A84),0)</f>
        <v/>
      </c>
    </row>
    <row r="85">
      <c r="A85">
        <f>IF(AND(OR('Compliance Database'!$A85='Data Transfer'!$B$4,'Compliance Database'!$A85='Data Transfer'!$B$5),OR('Data Transfer'!$B$6="",ISNUMBER(SEARCH('Data Transfer'!$B$6,'Compliance Database'!$D85&amp;" "&amp;'Compliance Database'!$L85&amp;" "&amp;'Compliance Database'!$M85&amp;" "&amp;'Compliance Database'!$N85&amp;" "&amp;'Compliance Database'!$O85)))),1,0)</f>
        <v/>
      </c>
      <c r="B85">
        <f>IF($A85=1,SUM($A$2:$A85),"")</f>
        <v/>
      </c>
      <c r="C85">
        <f>IF($A85=1,SUM($A$2:$A85),0)</f>
        <v/>
      </c>
    </row>
    <row r="86">
      <c r="A86">
        <f>IF(AND(OR('Compliance Database'!$A86='Data Transfer'!$B$4,'Compliance Database'!$A86='Data Transfer'!$B$5),OR('Data Transfer'!$B$6="",ISNUMBER(SEARCH('Data Transfer'!$B$6,'Compliance Database'!$D86&amp;" "&amp;'Compliance Database'!$L86&amp;" "&amp;'Compliance Database'!$M86&amp;" "&amp;'Compliance Database'!$N86&amp;" "&amp;'Compliance Database'!$O86)))),1,0)</f>
        <v/>
      </c>
      <c r="B86">
        <f>IF($A86=1,SUM($A$2:$A86),"")</f>
        <v/>
      </c>
      <c r="C86">
        <f>IF($A86=1,SUM($A$2:$A86),0)</f>
        <v/>
      </c>
    </row>
    <row r="87">
      <c r="A87">
        <f>IF(AND(OR('Compliance Database'!$A87='Data Transfer'!$B$4,'Compliance Database'!$A87='Data Transfer'!$B$5),OR('Data Transfer'!$B$6="",ISNUMBER(SEARCH('Data Transfer'!$B$6,'Compliance Database'!$D87&amp;" "&amp;'Compliance Database'!$L87&amp;" "&amp;'Compliance Database'!$M87&amp;" "&amp;'Compliance Database'!$N87&amp;" "&amp;'Compliance Database'!$O87)))),1,0)</f>
        <v/>
      </c>
      <c r="B87">
        <f>IF($A87=1,SUM($A$2:$A87),"")</f>
        <v/>
      </c>
      <c r="C87">
        <f>IF($A87=1,SUM($A$2:$A87),0)</f>
        <v/>
      </c>
    </row>
    <row r="88">
      <c r="A88">
        <f>IF(AND(OR('Compliance Database'!$A88='Data Transfer'!$B$4,'Compliance Database'!$A88='Data Transfer'!$B$5),OR('Data Transfer'!$B$6="",ISNUMBER(SEARCH('Data Transfer'!$B$6,'Compliance Database'!$D88&amp;" "&amp;'Compliance Database'!$L88&amp;" "&amp;'Compliance Database'!$M88&amp;" "&amp;'Compliance Database'!$N88&amp;" "&amp;'Compliance Database'!$O88)))),1,0)</f>
        <v/>
      </c>
      <c r="B88">
        <f>IF($A88=1,SUM($A$2:$A88),"")</f>
        <v/>
      </c>
      <c r="C88">
        <f>IF($A88=1,SUM($A$2:$A88),0)</f>
        <v/>
      </c>
    </row>
    <row r="89">
      <c r="A89">
        <f>IF(AND(OR('Compliance Database'!$A89='Data Transfer'!$B$4,'Compliance Database'!$A89='Data Transfer'!$B$5),OR('Data Transfer'!$B$6="",ISNUMBER(SEARCH('Data Transfer'!$B$6,'Compliance Database'!$D89&amp;" "&amp;'Compliance Database'!$L89&amp;" "&amp;'Compliance Database'!$M89&amp;" "&amp;'Compliance Database'!$N89&amp;" "&amp;'Compliance Database'!$O89)))),1,0)</f>
        <v/>
      </c>
      <c r="B89">
        <f>IF($A89=1,SUM($A$2:$A89),"")</f>
        <v/>
      </c>
      <c r="C89">
        <f>IF($A89=1,SUM($A$2:$A89),0)</f>
        <v/>
      </c>
    </row>
    <row r="90">
      <c r="A90">
        <f>IF(AND(OR('Compliance Database'!$A90='Data Transfer'!$B$4,'Compliance Database'!$A90='Data Transfer'!$B$5),OR('Data Transfer'!$B$6="",ISNUMBER(SEARCH('Data Transfer'!$B$6,'Compliance Database'!$D90&amp;" "&amp;'Compliance Database'!$L90&amp;" "&amp;'Compliance Database'!$M90&amp;" "&amp;'Compliance Database'!$N90&amp;" "&amp;'Compliance Database'!$O90)))),1,0)</f>
        <v/>
      </c>
      <c r="B90">
        <f>IF($A90=1,SUM($A$2:$A90),"")</f>
        <v/>
      </c>
      <c r="C90">
        <f>IF($A90=1,SUM($A$2:$A90),0)</f>
        <v/>
      </c>
    </row>
    <row r="91">
      <c r="A91">
        <f>IF(AND(OR('Compliance Database'!$A91='Data Transfer'!$B$4,'Compliance Database'!$A91='Data Transfer'!$B$5),OR('Data Transfer'!$B$6="",ISNUMBER(SEARCH('Data Transfer'!$B$6,'Compliance Database'!$D91&amp;" "&amp;'Compliance Database'!$L91&amp;" "&amp;'Compliance Database'!$M91&amp;" "&amp;'Compliance Database'!$N91&amp;" "&amp;'Compliance Database'!$O91)))),1,0)</f>
        <v/>
      </c>
      <c r="B91">
        <f>IF($A91=1,SUM($A$2:$A91),"")</f>
        <v/>
      </c>
      <c r="C91">
        <f>IF($A91=1,SUM($A$2:$A91),0)</f>
        <v/>
      </c>
    </row>
    <row r="92">
      <c r="A92">
        <f>IF(AND(OR('Compliance Database'!$A92='Data Transfer'!$B$4,'Compliance Database'!$A92='Data Transfer'!$B$5),OR('Data Transfer'!$B$6="",ISNUMBER(SEARCH('Data Transfer'!$B$6,'Compliance Database'!$D92&amp;" "&amp;'Compliance Database'!$L92&amp;" "&amp;'Compliance Database'!$M92&amp;" "&amp;'Compliance Database'!$N92&amp;" "&amp;'Compliance Database'!$O92)))),1,0)</f>
        <v/>
      </c>
      <c r="B92">
        <f>IF($A92=1,SUM($A$2:$A92),"")</f>
        <v/>
      </c>
      <c r="C92">
        <f>IF($A92=1,SUM($A$2:$A92),0)</f>
        <v/>
      </c>
    </row>
    <row r="93">
      <c r="A93">
        <f>IF(AND(OR('Compliance Database'!$A93='Data Transfer'!$B$4,'Compliance Database'!$A93='Data Transfer'!$B$5),OR('Data Transfer'!$B$6="",ISNUMBER(SEARCH('Data Transfer'!$B$6,'Compliance Database'!$D93&amp;" "&amp;'Compliance Database'!$L93&amp;" "&amp;'Compliance Database'!$M93&amp;" "&amp;'Compliance Database'!$N93&amp;" "&amp;'Compliance Database'!$O93)))),1,0)</f>
        <v/>
      </c>
      <c r="B93">
        <f>IF($A93=1,SUM($A$2:$A93),"")</f>
        <v/>
      </c>
      <c r="C93">
        <f>IF($A93=1,SUM($A$2:$A93),0)</f>
        <v/>
      </c>
    </row>
    <row r="94">
      <c r="A94">
        <f>IF(AND(OR('Compliance Database'!$A94='Data Transfer'!$B$4,'Compliance Database'!$A94='Data Transfer'!$B$5),OR('Data Transfer'!$B$6="",ISNUMBER(SEARCH('Data Transfer'!$B$6,'Compliance Database'!$D94&amp;" "&amp;'Compliance Database'!$L94&amp;" "&amp;'Compliance Database'!$M94&amp;" "&amp;'Compliance Database'!$N94&amp;" "&amp;'Compliance Database'!$O94)))),1,0)</f>
        <v/>
      </c>
      <c r="B94">
        <f>IF($A94=1,SUM($A$2:$A94),"")</f>
        <v/>
      </c>
      <c r="C94">
        <f>IF($A94=1,SUM($A$2:$A94),0)</f>
        <v/>
      </c>
    </row>
    <row r="95">
      <c r="A95">
        <f>IF(AND(OR('Compliance Database'!$A95='Data Transfer'!$B$4,'Compliance Database'!$A95='Data Transfer'!$B$5),OR('Data Transfer'!$B$6="",ISNUMBER(SEARCH('Data Transfer'!$B$6,'Compliance Database'!$D95&amp;" "&amp;'Compliance Database'!$L95&amp;" "&amp;'Compliance Database'!$M95&amp;" "&amp;'Compliance Database'!$N95&amp;" "&amp;'Compliance Database'!$O95)))),1,0)</f>
        <v/>
      </c>
      <c r="B95">
        <f>IF($A95=1,SUM($A$2:$A95),"")</f>
        <v/>
      </c>
      <c r="C95">
        <f>IF($A95=1,SUM($A$2:$A95),0)</f>
        <v/>
      </c>
    </row>
    <row r="96">
      <c r="A96">
        <f>IF(AND(OR('Compliance Database'!$A96='Data Transfer'!$B$4,'Compliance Database'!$A96='Data Transfer'!$B$5),OR('Data Transfer'!$B$6="",ISNUMBER(SEARCH('Data Transfer'!$B$6,'Compliance Database'!$D96&amp;" "&amp;'Compliance Database'!$L96&amp;" "&amp;'Compliance Database'!$M96&amp;" "&amp;'Compliance Database'!$N96&amp;" "&amp;'Compliance Database'!$O96)))),1,0)</f>
        <v/>
      </c>
      <c r="B96">
        <f>IF($A96=1,SUM($A$2:$A96),"")</f>
        <v/>
      </c>
      <c r="C96">
        <f>IF($A96=1,SUM($A$2:$A96),0)</f>
        <v/>
      </c>
    </row>
    <row r="97">
      <c r="A97">
        <f>IF(AND(OR('Compliance Database'!$A97='Data Transfer'!$B$4,'Compliance Database'!$A97='Data Transfer'!$B$5),OR('Data Transfer'!$B$6="",ISNUMBER(SEARCH('Data Transfer'!$B$6,'Compliance Database'!$D97&amp;" "&amp;'Compliance Database'!$L97&amp;" "&amp;'Compliance Database'!$M97&amp;" "&amp;'Compliance Database'!$N97&amp;" "&amp;'Compliance Database'!$O97)))),1,0)</f>
        <v/>
      </c>
      <c r="B97">
        <f>IF($A97=1,SUM($A$2:$A97),"")</f>
        <v/>
      </c>
      <c r="C97">
        <f>IF($A97=1,SUM($A$2:$A97),0)</f>
        <v/>
      </c>
    </row>
    <row r="98">
      <c r="A98">
        <f>IF(AND(OR('Compliance Database'!$A98='Data Transfer'!$B$4,'Compliance Database'!$A98='Data Transfer'!$B$5),OR('Data Transfer'!$B$6="",ISNUMBER(SEARCH('Data Transfer'!$B$6,'Compliance Database'!$D98&amp;" "&amp;'Compliance Database'!$L98&amp;" "&amp;'Compliance Database'!$M98&amp;" "&amp;'Compliance Database'!$N98&amp;" "&amp;'Compliance Database'!$O98)))),1,0)</f>
        <v/>
      </c>
      <c r="B98">
        <f>IF($A98=1,SUM($A$2:$A98),"")</f>
        <v/>
      </c>
      <c r="C98">
        <f>IF($A98=1,SUM($A$2:$A98),0)</f>
        <v/>
      </c>
    </row>
    <row r="99">
      <c r="A99">
        <f>IF(AND(OR('Compliance Database'!$A99='Data Transfer'!$B$4,'Compliance Database'!$A99='Data Transfer'!$B$5),OR('Data Transfer'!$B$6="",ISNUMBER(SEARCH('Data Transfer'!$B$6,'Compliance Database'!$D99&amp;" "&amp;'Compliance Database'!$L99&amp;" "&amp;'Compliance Database'!$M99&amp;" "&amp;'Compliance Database'!$N99&amp;" "&amp;'Compliance Database'!$O99)))),1,0)</f>
        <v/>
      </c>
      <c r="B99">
        <f>IF($A99=1,SUM($A$2:$A99),"")</f>
        <v/>
      </c>
      <c r="C99">
        <f>IF($A99=1,SUM($A$2:$A99),0)</f>
        <v/>
      </c>
    </row>
    <row r="100">
      <c r="A100">
        <f>IF(AND(OR('Compliance Database'!$A100='Data Transfer'!$B$4,'Compliance Database'!$A100='Data Transfer'!$B$5),OR('Data Transfer'!$B$6="",ISNUMBER(SEARCH('Data Transfer'!$B$6,'Compliance Database'!$D100&amp;" "&amp;'Compliance Database'!$L100&amp;" "&amp;'Compliance Database'!$M100&amp;" "&amp;'Compliance Database'!$N100&amp;" "&amp;'Compliance Database'!$O100)))),1,0)</f>
        <v/>
      </c>
      <c r="B100">
        <f>IF($A100=1,SUM($A$2:$A100),"")</f>
        <v/>
      </c>
      <c r="C100">
        <f>IF($A100=1,SUM($A$2:$A100),0)</f>
        <v/>
      </c>
    </row>
    <row r="101">
      <c r="A101">
        <f>IF(AND(OR('Compliance Database'!$A101='Data Transfer'!$B$4,'Compliance Database'!$A101='Data Transfer'!$B$5),OR('Data Transfer'!$B$6="",ISNUMBER(SEARCH('Data Transfer'!$B$6,'Compliance Database'!$D101&amp;" "&amp;'Compliance Database'!$L101&amp;" "&amp;'Compliance Database'!$M101&amp;" "&amp;'Compliance Database'!$N101&amp;" "&amp;'Compliance Database'!$O101)))),1,0)</f>
        <v/>
      </c>
      <c r="B101">
        <f>IF($A101=1,SUM($A$2:$A101),"")</f>
        <v/>
      </c>
      <c r="C101">
        <f>IF($A101=1,SUM($A$2:$A101),0)</f>
        <v/>
      </c>
    </row>
    <row r="102">
      <c r="A102">
        <f>IF(AND(OR('Compliance Database'!$A102='Data Transfer'!$B$4,'Compliance Database'!$A102='Data Transfer'!$B$5),OR('Data Transfer'!$B$6="",ISNUMBER(SEARCH('Data Transfer'!$B$6,'Compliance Database'!$D102&amp;" "&amp;'Compliance Database'!$L102&amp;" "&amp;'Compliance Database'!$M102&amp;" "&amp;'Compliance Database'!$N102&amp;" "&amp;'Compliance Database'!$O102)))),1,0)</f>
        <v/>
      </c>
      <c r="B102">
        <f>IF($A102=1,SUM($A$2:$A102),"")</f>
        <v/>
      </c>
      <c r="C102">
        <f>IF($A102=1,SUM($A$2:$A102),0)</f>
        <v/>
      </c>
    </row>
    <row r="103">
      <c r="A103">
        <f>IF(AND(OR('Compliance Database'!$A103='Data Transfer'!$B$4,'Compliance Database'!$A103='Data Transfer'!$B$5),OR('Data Transfer'!$B$6="",ISNUMBER(SEARCH('Data Transfer'!$B$6,'Compliance Database'!$D103&amp;" "&amp;'Compliance Database'!$L103&amp;" "&amp;'Compliance Database'!$M103&amp;" "&amp;'Compliance Database'!$N103&amp;" "&amp;'Compliance Database'!$O103)))),1,0)</f>
        <v/>
      </c>
      <c r="B103">
        <f>IF($A103=1,SUM($A$2:$A103),"")</f>
        <v/>
      </c>
      <c r="C103">
        <f>IF($A103=1,SUM($A$2:$A103),0)</f>
        <v/>
      </c>
    </row>
    <row r="104">
      <c r="A104">
        <f>IF(AND(OR('Compliance Database'!$A104='Data Transfer'!$B$4,'Compliance Database'!$A104='Data Transfer'!$B$5),OR('Data Transfer'!$B$6="",ISNUMBER(SEARCH('Data Transfer'!$B$6,'Compliance Database'!$D104&amp;" "&amp;'Compliance Database'!$L104&amp;" "&amp;'Compliance Database'!$M104&amp;" "&amp;'Compliance Database'!$N104&amp;" "&amp;'Compliance Database'!$O104)))),1,0)</f>
        <v/>
      </c>
      <c r="B104">
        <f>IF($A104=1,SUM($A$2:$A104),"")</f>
        <v/>
      </c>
      <c r="C104">
        <f>IF($A104=1,SUM($A$2:$A104),0)</f>
        <v/>
      </c>
    </row>
    <row r="105">
      <c r="A105">
        <f>IF(AND(OR('Compliance Database'!$A105='Data Transfer'!$B$4,'Compliance Database'!$A105='Data Transfer'!$B$5),OR('Data Transfer'!$B$6="",ISNUMBER(SEARCH('Data Transfer'!$B$6,'Compliance Database'!$D105&amp;" "&amp;'Compliance Database'!$L105&amp;" "&amp;'Compliance Database'!$M105&amp;" "&amp;'Compliance Database'!$N105&amp;" "&amp;'Compliance Database'!$O105)))),1,0)</f>
        <v/>
      </c>
      <c r="B105">
        <f>IF($A105=1,SUM($A$2:$A105),"")</f>
        <v/>
      </c>
      <c r="C105">
        <f>IF($A105=1,SUM($A$2:$A105),0)</f>
        <v/>
      </c>
    </row>
    <row r="106">
      <c r="A106">
        <f>IF(AND(OR('Compliance Database'!$A106='Data Transfer'!$B$4,'Compliance Database'!$A106='Data Transfer'!$B$5),OR('Data Transfer'!$B$6="",ISNUMBER(SEARCH('Data Transfer'!$B$6,'Compliance Database'!$D106&amp;" "&amp;'Compliance Database'!$L106&amp;" "&amp;'Compliance Database'!$M106&amp;" "&amp;'Compliance Database'!$N106&amp;" "&amp;'Compliance Database'!$O106)))),1,0)</f>
        <v/>
      </c>
      <c r="B106">
        <f>IF($A106=1,SUM($A$2:$A106),"")</f>
        <v/>
      </c>
      <c r="C106">
        <f>IF($A106=1,SUM($A$2:$A106),0)</f>
        <v/>
      </c>
    </row>
    <row r="107">
      <c r="A107">
        <f>IF(AND(OR('Compliance Database'!$A107='Data Transfer'!$B$4,'Compliance Database'!$A107='Data Transfer'!$B$5),OR('Data Transfer'!$B$6="",ISNUMBER(SEARCH('Data Transfer'!$B$6,'Compliance Database'!$D107&amp;" "&amp;'Compliance Database'!$L107&amp;" "&amp;'Compliance Database'!$M107&amp;" "&amp;'Compliance Database'!$N107&amp;" "&amp;'Compliance Database'!$O107)))),1,0)</f>
        <v/>
      </c>
      <c r="B107">
        <f>IF($A107=1,SUM($A$2:$A107),"")</f>
        <v/>
      </c>
      <c r="C107">
        <f>IF($A107=1,SUM($A$2:$A107),0)</f>
        <v/>
      </c>
    </row>
    <row r="108">
      <c r="A108">
        <f>IF(AND(OR('Compliance Database'!$A108='Data Transfer'!$B$4,'Compliance Database'!$A108='Data Transfer'!$B$5),OR('Data Transfer'!$B$6="",ISNUMBER(SEARCH('Data Transfer'!$B$6,'Compliance Database'!$D108&amp;" "&amp;'Compliance Database'!$L108&amp;" "&amp;'Compliance Database'!$M108&amp;" "&amp;'Compliance Database'!$N108&amp;" "&amp;'Compliance Database'!$O108)))),1,0)</f>
        <v/>
      </c>
      <c r="B108">
        <f>IF($A108=1,SUM($A$2:$A108),"")</f>
        <v/>
      </c>
      <c r="C108">
        <f>IF($A108=1,SUM($A$2:$A108),0)</f>
        <v/>
      </c>
    </row>
    <row r="109">
      <c r="A109">
        <f>IF(AND(OR('Compliance Database'!$A109='Data Transfer'!$B$4,'Compliance Database'!$A109='Data Transfer'!$B$5),OR('Data Transfer'!$B$6="",ISNUMBER(SEARCH('Data Transfer'!$B$6,'Compliance Database'!$D109&amp;" "&amp;'Compliance Database'!$L109&amp;" "&amp;'Compliance Database'!$M109&amp;" "&amp;'Compliance Database'!$N109&amp;" "&amp;'Compliance Database'!$O109)))),1,0)</f>
        <v/>
      </c>
      <c r="B109">
        <f>IF($A109=1,SUM($A$2:$A109),"")</f>
        <v/>
      </c>
      <c r="C109">
        <f>IF($A109=1,SUM($A$2:$A109),0)</f>
        <v/>
      </c>
    </row>
    <row r="110">
      <c r="A110">
        <f>IF(AND(OR('Compliance Database'!$A110='Data Transfer'!$B$4,'Compliance Database'!$A110='Data Transfer'!$B$5),OR('Data Transfer'!$B$6="",ISNUMBER(SEARCH('Data Transfer'!$B$6,'Compliance Database'!$D110&amp;" "&amp;'Compliance Database'!$L110&amp;" "&amp;'Compliance Database'!$M110&amp;" "&amp;'Compliance Database'!$N110&amp;" "&amp;'Compliance Database'!$O110)))),1,0)</f>
        <v/>
      </c>
      <c r="B110">
        <f>IF($A110=1,SUM($A$2:$A110),"")</f>
        <v/>
      </c>
      <c r="C110">
        <f>IF($A110=1,SUM($A$2:$A110),0)</f>
        <v/>
      </c>
    </row>
    <row r="111">
      <c r="A111">
        <f>IF(AND(OR('Compliance Database'!$A111='Data Transfer'!$B$4,'Compliance Database'!$A111='Data Transfer'!$B$5),OR('Data Transfer'!$B$6="",ISNUMBER(SEARCH('Data Transfer'!$B$6,'Compliance Database'!$D111&amp;" "&amp;'Compliance Database'!$L111&amp;" "&amp;'Compliance Database'!$M111&amp;" "&amp;'Compliance Database'!$N111&amp;" "&amp;'Compliance Database'!$O111)))),1,0)</f>
        <v/>
      </c>
      <c r="B111">
        <f>IF($A111=1,SUM($A$2:$A111),"")</f>
        <v/>
      </c>
      <c r="C111">
        <f>IF($A111=1,SUM($A$2:$A111),0)</f>
        <v/>
      </c>
    </row>
    <row r="112">
      <c r="A112">
        <f>IF(AND(OR('Compliance Database'!$A112='Data Transfer'!$B$4,'Compliance Database'!$A112='Data Transfer'!$B$5),OR('Data Transfer'!$B$6="",ISNUMBER(SEARCH('Data Transfer'!$B$6,'Compliance Database'!$D112&amp;" "&amp;'Compliance Database'!$L112&amp;" "&amp;'Compliance Database'!$M112&amp;" "&amp;'Compliance Database'!$N112&amp;" "&amp;'Compliance Database'!$O112)))),1,0)</f>
        <v/>
      </c>
      <c r="B112">
        <f>IF($A112=1,SUM($A$2:$A112),"")</f>
        <v/>
      </c>
      <c r="C112">
        <f>IF($A112=1,SUM($A$2:$A112),0)</f>
        <v/>
      </c>
    </row>
    <row r="113">
      <c r="A113">
        <f>IF(AND(OR('Compliance Database'!$A113='Data Transfer'!$B$4,'Compliance Database'!$A113='Data Transfer'!$B$5),OR('Data Transfer'!$B$6="",ISNUMBER(SEARCH('Data Transfer'!$B$6,'Compliance Database'!$D113&amp;" "&amp;'Compliance Database'!$L113&amp;" "&amp;'Compliance Database'!$M113&amp;" "&amp;'Compliance Database'!$N113&amp;" "&amp;'Compliance Database'!$O113)))),1,0)</f>
        <v/>
      </c>
      <c r="B113">
        <f>IF($A113=1,SUM($A$2:$A113),"")</f>
        <v/>
      </c>
      <c r="C113">
        <f>IF($A113=1,SUM($A$2:$A113),0)</f>
        <v/>
      </c>
    </row>
    <row r="114">
      <c r="A114">
        <f>IF(AND(OR('Compliance Database'!$A114='Data Transfer'!$B$4,'Compliance Database'!$A114='Data Transfer'!$B$5),OR('Data Transfer'!$B$6="",ISNUMBER(SEARCH('Data Transfer'!$B$6,'Compliance Database'!$D114&amp;" "&amp;'Compliance Database'!$L114&amp;" "&amp;'Compliance Database'!$M114&amp;" "&amp;'Compliance Database'!$N114&amp;" "&amp;'Compliance Database'!$O114)))),1,0)</f>
        <v/>
      </c>
      <c r="B114">
        <f>IF($A114=1,SUM($A$2:$A114),"")</f>
        <v/>
      </c>
      <c r="C114">
        <f>IF($A114=1,SUM($A$2:$A114),0)</f>
        <v/>
      </c>
    </row>
    <row r="115">
      <c r="A115">
        <f>IF(AND(OR('Compliance Database'!$A115='Data Transfer'!$B$4,'Compliance Database'!$A115='Data Transfer'!$B$5),OR('Data Transfer'!$B$6="",ISNUMBER(SEARCH('Data Transfer'!$B$6,'Compliance Database'!$D115&amp;" "&amp;'Compliance Database'!$L115&amp;" "&amp;'Compliance Database'!$M115&amp;" "&amp;'Compliance Database'!$N115&amp;" "&amp;'Compliance Database'!$O115)))),1,0)</f>
        <v/>
      </c>
      <c r="B115">
        <f>IF($A115=1,SUM($A$2:$A115),"")</f>
        <v/>
      </c>
      <c r="C115">
        <f>IF($A115=1,SUM($A$2:$A115),0)</f>
        <v/>
      </c>
    </row>
    <row r="116">
      <c r="A116">
        <f>IF(AND(OR('Compliance Database'!$A116='Data Transfer'!$B$4,'Compliance Database'!$A116='Data Transfer'!$B$5),OR('Data Transfer'!$B$6="",ISNUMBER(SEARCH('Data Transfer'!$B$6,'Compliance Database'!$D116&amp;" "&amp;'Compliance Database'!$L116&amp;" "&amp;'Compliance Database'!$M116&amp;" "&amp;'Compliance Database'!$N116&amp;" "&amp;'Compliance Database'!$O116)))),1,0)</f>
        <v/>
      </c>
      <c r="B116">
        <f>IF($A116=1,SUM($A$2:$A116),"")</f>
        <v/>
      </c>
      <c r="C116">
        <f>IF($A116=1,SUM($A$2:$A116),0)</f>
        <v/>
      </c>
    </row>
    <row r="117">
      <c r="A117">
        <f>IF(AND(OR('Compliance Database'!$A117='Data Transfer'!$B$4,'Compliance Database'!$A117='Data Transfer'!$B$5),OR('Data Transfer'!$B$6="",ISNUMBER(SEARCH('Data Transfer'!$B$6,'Compliance Database'!$D117&amp;" "&amp;'Compliance Database'!$L117&amp;" "&amp;'Compliance Database'!$M117&amp;" "&amp;'Compliance Database'!$N117&amp;" "&amp;'Compliance Database'!$O117)))),1,0)</f>
        <v/>
      </c>
      <c r="B117">
        <f>IF($A117=1,SUM($A$2:$A117),"")</f>
        <v/>
      </c>
      <c r="C117">
        <f>IF($A117=1,SUM($A$2:$A117),0)</f>
        <v/>
      </c>
    </row>
    <row r="118">
      <c r="A118">
        <f>IF(AND(OR('Compliance Database'!$A118='Data Transfer'!$B$4,'Compliance Database'!$A118='Data Transfer'!$B$5),OR('Data Transfer'!$B$6="",ISNUMBER(SEARCH('Data Transfer'!$B$6,'Compliance Database'!$D118&amp;" "&amp;'Compliance Database'!$L118&amp;" "&amp;'Compliance Database'!$M118&amp;" "&amp;'Compliance Database'!$N118&amp;" "&amp;'Compliance Database'!$O118)))),1,0)</f>
        <v/>
      </c>
      <c r="B118">
        <f>IF($A118=1,SUM($A$2:$A118),"")</f>
        <v/>
      </c>
      <c r="C118">
        <f>IF($A118=1,SUM($A$2:$A118),0)</f>
        <v/>
      </c>
    </row>
    <row r="119">
      <c r="A119">
        <f>IF(AND(OR('Compliance Database'!$A119='Data Transfer'!$B$4,'Compliance Database'!$A119='Data Transfer'!$B$5),OR('Data Transfer'!$B$6="",ISNUMBER(SEARCH('Data Transfer'!$B$6,'Compliance Database'!$D119&amp;" "&amp;'Compliance Database'!$L119&amp;" "&amp;'Compliance Database'!$M119&amp;" "&amp;'Compliance Database'!$N119&amp;" "&amp;'Compliance Database'!$O119)))),1,0)</f>
        <v/>
      </c>
      <c r="B119">
        <f>IF($A119=1,SUM($A$2:$A119),"")</f>
        <v/>
      </c>
      <c r="C119">
        <f>IF($A119=1,SUM($A$2:$A119),0)</f>
        <v/>
      </c>
    </row>
    <row r="120">
      <c r="A120">
        <f>IF(AND(OR('Compliance Database'!$A120='Data Transfer'!$B$4,'Compliance Database'!$A120='Data Transfer'!$B$5),OR('Data Transfer'!$B$6="",ISNUMBER(SEARCH('Data Transfer'!$B$6,'Compliance Database'!$D120&amp;" "&amp;'Compliance Database'!$L120&amp;" "&amp;'Compliance Database'!$M120&amp;" "&amp;'Compliance Database'!$N120&amp;" "&amp;'Compliance Database'!$O120)))),1,0)</f>
        <v/>
      </c>
      <c r="B120">
        <f>IF($A120=1,SUM($A$2:$A120),"")</f>
        <v/>
      </c>
      <c r="C120">
        <f>IF($A120=1,SUM($A$2:$A120),0)</f>
        <v/>
      </c>
    </row>
    <row r="121">
      <c r="A121">
        <f>IF(AND(OR('Compliance Database'!$A121='Data Transfer'!$B$4,'Compliance Database'!$A121='Data Transfer'!$B$5),OR('Data Transfer'!$B$6="",ISNUMBER(SEARCH('Data Transfer'!$B$6,'Compliance Database'!$D121&amp;" "&amp;'Compliance Database'!$L121&amp;" "&amp;'Compliance Database'!$M121&amp;" "&amp;'Compliance Database'!$N121&amp;" "&amp;'Compliance Database'!$O121)))),1,0)</f>
        <v/>
      </c>
      <c r="B121">
        <f>IF($A121=1,SUM($A$2:$A121),"")</f>
        <v/>
      </c>
      <c r="C121">
        <f>IF($A121=1,SUM($A$2:$A121),0)</f>
        <v/>
      </c>
    </row>
    <row r="122">
      <c r="A122">
        <f>IF(AND(OR('Compliance Database'!$A122='Data Transfer'!$B$4,'Compliance Database'!$A122='Data Transfer'!$B$5),OR('Data Transfer'!$B$6="",ISNUMBER(SEARCH('Data Transfer'!$B$6,'Compliance Database'!$D122&amp;" "&amp;'Compliance Database'!$L122&amp;" "&amp;'Compliance Database'!$M122&amp;" "&amp;'Compliance Database'!$N122&amp;" "&amp;'Compliance Database'!$O122)))),1,0)</f>
        <v/>
      </c>
      <c r="B122">
        <f>IF($A122=1,SUM($A$2:$A122),"")</f>
        <v/>
      </c>
      <c r="C122">
        <f>IF($A122=1,SUM($A$2:$A122),0)</f>
        <v/>
      </c>
    </row>
    <row r="123">
      <c r="A123">
        <f>IF(AND(OR('Compliance Database'!$A123='Data Transfer'!$B$4,'Compliance Database'!$A123='Data Transfer'!$B$5),OR('Data Transfer'!$B$6="",ISNUMBER(SEARCH('Data Transfer'!$B$6,'Compliance Database'!$D123&amp;" "&amp;'Compliance Database'!$L123&amp;" "&amp;'Compliance Database'!$M123&amp;" "&amp;'Compliance Database'!$N123&amp;" "&amp;'Compliance Database'!$O123)))),1,0)</f>
        <v/>
      </c>
      <c r="B123">
        <f>IF($A123=1,SUM($A$2:$A123),"")</f>
        <v/>
      </c>
      <c r="C123">
        <f>IF($A123=1,SUM($A$2:$A123),0)</f>
        <v/>
      </c>
    </row>
    <row r="124">
      <c r="A124">
        <f>IF(AND(OR('Compliance Database'!$A124='Data Transfer'!$B$4,'Compliance Database'!$A124='Data Transfer'!$B$5),OR('Data Transfer'!$B$6="",ISNUMBER(SEARCH('Data Transfer'!$B$6,'Compliance Database'!$D124&amp;" "&amp;'Compliance Database'!$L124&amp;" "&amp;'Compliance Database'!$M124&amp;" "&amp;'Compliance Database'!$N124&amp;" "&amp;'Compliance Database'!$O124)))),1,0)</f>
        <v/>
      </c>
      <c r="B124">
        <f>IF($A124=1,SUM($A$2:$A124),"")</f>
        <v/>
      </c>
      <c r="C124">
        <f>IF($A124=1,SUM($A$2:$A124),0)</f>
        <v/>
      </c>
    </row>
    <row r="125">
      <c r="A125">
        <f>IF(AND(OR('Compliance Database'!$A125='Data Transfer'!$B$4,'Compliance Database'!$A125='Data Transfer'!$B$5),OR('Data Transfer'!$B$6="",ISNUMBER(SEARCH('Data Transfer'!$B$6,'Compliance Database'!$D125&amp;" "&amp;'Compliance Database'!$L125&amp;" "&amp;'Compliance Database'!$M125&amp;" "&amp;'Compliance Database'!$N125&amp;" "&amp;'Compliance Database'!$O125)))),1,0)</f>
        <v/>
      </c>
      <c r="B125">
        <f>IF($A125=1,SUM($A$2:$A125),"")</f>
        <v/>
      </c>
      <c r="C125">
        <f>IF($A125=1,SUM($A$2:$A125),0)</f>
        <v/>
      </c>
    </row>
    <row r="126">
      <c r="A126">
        <f>IF(AND(OR('Compliance Database'!$A126='Data Transfer'!$B$4,'Compliance Database'!$A126='Data Transfer'!$B$5),OR('Data Transfer'!$B$6="",ISNUMBER(SEARCH('Data Transfer'!$B$6,'Compliance Database'!$D126&amp;" "&amp;'Compliance Database'!$L126&amp;" "&amp;'Compliance Database'!$M126&amp;" "&amp;'Compliance Database'!$N126&amp;" "&amp;'Compliance Database'!$O126)))),1,0)</f>
        <v/>
      </c>
      <c r="B126">
        <f>IF($A126=1,SUM($A$2:$A126),"")</f>
        <v/>
      </c>
      <c r="C126">
        <f>IF($A126=1,SUM($A$2:$A126),0)</f>
        <v/>
      </c>
    </row>
    <row r="127">
      <c r="A127">
        <f>IF(AND(OR('Compliance Database'!$A127='Data Transfer'!$B$4,'Compliance Database'!$A127='Data Transfer'!$B$5),OR('Data Transfer'!$B$6="",ISNUMBER(SEARCH('Data Transfer'!$B$6,'Compliance Database'!$D127&amp;" "&amp;'Compliance Database'!$L127&amp;" "&amp;'Compliance Database'!$M127&amp;" "&amp;'Compliance Database'!$N127&amp;" "&amp;'Compliance Database'!$O127)))),1,0)</f>
        <v/>
      </c>
      <c r="B127">
        <f>IF($A127=1,SUM($A$2:$A127),"")</f>
        <v/>
      </c>
      <c r="C127">
        <f>IF($A127=1,SUM($A$2:$A127),0)</f>
        <v/>
      </c>
    </row>
    <row r="128">
      <c r="A128">
        <f>IF(AND(OR('Compliance Database'!$A128='Data Transfer'!$B$4,'Compliance Database'!$A128='Data Transfer'!$B$5),OR('Data Transfer'!$B$6="",ISNUMBER(SEARCH('Data Transfer'!$B$6,'Compliance Database'!$D128&amp;" "&amp;'Compliance Database'!$L128&amp;" "&amp;'Compliance Database'!$M128&amp;" "&amp;'Compliance Database'!$N128&amp;" "&amp;'Compliance Database'!$O128)))),1,0)</f>
        <v/>
      </c>
      <c r="B128">
        <f>IF($A128=1,SUM($A$2:$A128),"")</f>
        <v/>
      </c>
      <c r="C128">
        <f>IF($A128=1,SUM($A$2:$A128),0)</f>
        <v/>
      </c>
    </row>
    <row r="129">
      <c r="A129">
        <f>IF(AND(OR('Compliance Database'!$A129='Data Transfer'!$B$4,'Compliance Database'!$A129='Data Transfer'!$B$5),OR('Data Transfer'!$B$6="",ISNUMBER(SEARCH('Data Transfer'!$B$6,'Compliance Database'!$D129&amp;" "&amp;'Compliance Database'!$L129&amp;" "&amp;'Compliance Database'!$M129&amp;" "&amp;'Compliance Database'!$N129&amp;" "&amp;'Compliance Database'!$O129)))),1,0)</f>
        <v/>
      </c>
      <c r="B129">
        <f>IF($A129=1,SUM($A$2:$A129),"")</f>
        <v/>
      </c>
      <c r="C129">
        <f>IF($A129=1,SUM($A$2:$A129),0)</f>
        <v/>
      </c>
    </row>
    <row r="130">
      <c r="A130">
        <f>IF(AND(OR('Compliance Database'!$A130='Data Transfer'!$B$4,'Compliance Database'!$A130='Data Transfer'!$B$5),OR('Data Transfer'!$B$6="",ISNUMBER(SEARCH('Data Transfer'!$B$6,'Compliance Database'!$D130&amp;" "&amp;'Compliance Database'!$L130&amp;" "&amp;'Compliance Database'!$M130&amp;" "&amp;'Compliance Database'!$N130&amp;" "&amp;'Compliance Database'!$O130)))),1,0)</f>
        <v/>
      </c>
      <c r="B130">
        <f>IF($A130=1,SUM($A$2:$A130),"")</f>
        <v/>
      </c>
      <c r="C130">
        <f>IF($A130=1,SUM($A$2:$A130),0)</f>
        <v/>
      </c>
    </row>
    <row r="131">
      <c r="A131">
        <f>IF(AND(OR('Compliance Database'!$A131='Data Transfer'!$B$4,'Compliance Database'!$A131='Data Transfer'!$B$5),OR('Data Transfer'!$B$6="",ISNUMBER(SEARCH('Data Transfer'!$B$6,'Compliance Database'!$D131&amp;" "&amp;'Compliance Database'!$L131&amp;" "&amp;'Compliance Database'!$M131&amp;" "&amp;'Compliance Database'!$N131&amp;" "&amp;'Compliance Database'!$O131)))),1,0)</f>
        <v/>
      </c>
      <c r="B131">
        <f>IF($A131=1,SUM($A$2:$A131),"")</f>
        <v/>
      </c>
      <c r="C131">
        <f>IF($A131=1,SUM($A$2:$A131),0)</f>
        <v/>
      </c>
    </row>
    <row r="132">
      <c r="A132">
        <f>IF(AND(OR('Compliance Database'!$A132='Data Transfer'!$B$4,'Compliance Database'!$A132='Data Transfer'!$B$5),OR('Data Transfer'!$B$6="",ISNUMBER(SEARCH('Data Transfer'!$B$6,'Compliance Database'!$D132&amp;" "&amp;'Compliance Database'!$L132&amp;" "&amp;'Compliance Database'!$M132&amp;" "&amp;'Compliance Database'!$N132&amp;" "&amp;'Compliance Database'!$O132)))),1,0)</f>
        <v/>
      </c>
      <c r="B132">
        <f>IF($A132=1,SUM($A$2:$A132),"")</f>
        <v/>
      </c>
      <c r="C132">
        <f>IF($A132=1,SUM($A$2:$A132),0)</f>
        <v/>
      </c>
    </row>
    <row r="133">
      <c r="A133">
        <f>IF(AND(OR('Compliance Database'!$A133='Data Transfer'!$B$4,'Compliance Database'!$A133='Data Transfer'!$B$5),OR('Data Transfer'!$B$6="",ISNUMBER(SEARCH('Data Transfer'!$B$6,'Compliance Database'!$D133&amp;" "&amp;'Compliance Database'!$L133&amp;" "&amp;'Compliance Database'!$M133&amp;" "&amp;'Compliance Database'!$N133&amp;" "&amp;'Compliance Database'!$O133)))),1,0)</f>
        <v/>
      </c>
      <c r="B133">
        <f>IF($A133=1,SUM($A$2:$A133),"")</f>
        <v/>
      </c>
      <c r="C133">
        <f>IF($A133=1,SUM($A$2:$A133),0)</f>
        <v/>
      </c>
    </row>
    <row r="134">
      <c r="A134">
        <f>IF(AND(OR('Compliance Database'!$A134='Data Transfer'!$B$4,'Compliance Database'!$A134='Data Transfer'!$B$5),OR('Data Transfer'!$B$6="",ISNUMBER(SEARCH('Data Transfer'!$B$6,'Compliance Database'!$D134&amp;" "&amp;'Compliance Database'!$L134&amp;" "&amp;'Compliance Database'!$M134&amp;" "&amp;'Compliance Database'!$N134&amp;" "&amp;'Compliance Database'!$O134)))),1,0)</f>
        <v/>
      </c>
      <c r="B134">
        <f>IF($A134=1,SUM($A$2:$A134),"")</f>
        <v/>
      </c>
      <c r="C134">
        <f>IF($A134=1,SUM($A$2:$A134),0)</f>
        <v/>
      </c>
    </row>
    <row r="135">
      <c r="A135">
        <f>IF(AND(OR('Compliance Database'!$A135='Data Transfer'!$B$4,'Compliance Database'!$A135='Data Transfer'!$B$5),OR('Data Transfer'!$B$6="",ISNUMBER(SEARCH('Data Transfer'!$B$6,'Compliance Database'!$D135&amp;" "&amp;'Compliance Database'!$L135&amp;" "&amp;'Compliance Database'!$M135&amp;" "&amp;'Compliance Database'!$N135&amp;" "&amp;'Compliance Database'!$O135)))),1,0)</f>
        <v/>
      </c>
      <c r="B135">
        <f>IF($A135=1,SUM($A$2:$A135),"")</f>
        <v/>
      </c>
      <c r="C135">
        <f>IF($A135=1,SUM($A$2:$A135),0)</f>
        <v/>
      </c>
    </row>
    <row r="136">
      <c r="A136">
        <f>IF(AND(OR('Compliance Database'!$A136='Data Transfer'!$B$4,'Compliance Database'!$A136='Data Transfer'!$B$5),OR('Data Transfer'!$B$6="",ISNUMBER(SEARCH('Data Transfer'!$B$6,'Compliance Database'!$D136&amp;" "&amp;'Compliance Database'!$L136&amp;" "&amp;'Compliance Database'!$M136&amp;" "&amp;'Compliance Database'!$N136&amp;" "&amp;'Compliance Database'!$O136)))),1,0)</f>
        <v/>
      </c>
      <c r="B136">
        <f>IF($A136=1,SUM($A$2:$A136),"")</f>
        <v/>
      </c>
      <c r="C136">
        <f>IF($A136=1,SUM($A$2:$A136),0)</f>
        <v/>
      </c>
    </row>
    <row r="137">
      <c r="A137">
        <f>IF(AND(OR('Compliance Database'!$A137='Data Transfer'!$B$4,'Compliance Database'!$A137='Data Transfer'!$B$5),OR('Data Transfer'!$B$6="",ISNUMBER(SEARCH('Data Transfer'!$B$6,'Compliance Database'!$D137&amp;" "&amp;'Compliance Database'!$L137&amp;" "&amp;'Compliance Database'!$M137&amp;" "&amp;'Compliance Database'!$N137&amp;" "&amp;'Compliance Database'!$O137)))),1,0)</f>
        <v/>
      </c>
      <c r="B137">
        <f>IF($A137=1,SUM($A$2:$A137),"")</f>
        <v/>
      </c>
      <c r="C137">
        <f>IF($A137=1,SUM($A$2:$A137),0)</f>
        <v/>
      </c>
    </row>
    <row r="138">
      <c r="A138">
        <f>IF(AND(OR('Compliance Database'!$A138='Data Transfer'!$B$4,'Compliance Database'!$A138='Data Transfer'!$B$5),OR('Data Transfer'!$B$6="",ISNUMBER(SEARCH('Data Transfer'!$B$6,'Compliance Database'!$D138&amp;" "&amp;'Compliance Database'!$L138&amp;" "&amp;'Compliance Database'!$M138&amp;" "&amp;'Compliance Database'!$N138&amp;" "&amp;'Compliance Database'!$O138)))),1,0)</f>
        <v/>
      </c>
      <c r="B138">
        <f>IF($A138=1,SUM($A$2:$A138),"")</f>
        <v/>
      </c>
      <c r="C138">
        <f>IF($A138=1,SUM($A$2:$A138),0)</f>
        <v/>
      </c>
    </row>
    <row r="139">
      <c r="A139">
        <f>IF(AND(OR('Compliance Database'!$A139='Data Transfer'!$B$4,'Compliance Database'!$A139='Data Transfer'!$B$5),OR('Data Transfer'!$B$6="",ISNUMBER(SEARCH('Data Transfer'!$B$6,'Compliance Database'!$D139&amp;" "&amp;'Compliance Database'!$L139&amp;" "&amp;'Compliance Database'!$M139&amp;" "&amp;'Compliance Database'!$N139&amp;" "&amp;'Compliance Database'!$O139)))),1,0)</f>
        <v/>
      </c>
      <c r="B139">
        <f>IF($A139=1,SUM($A$2:$A139),"")</f>
        <v/>
      </c>
      <c r="C139">
        <f>IF($A139=1,SUM($A$2:$A139),0)</f>
        <v/>
      </c>
    </row>
    <row r="140">
      <c r="A140">
        <f>IF(AND(OR('Compliance Database'!$A140='Data Transfer'!$B$4,'Compliance Database'!$A140='Data Transfer'!$B$5),OR('Data Transfer'!$B$6="",ISNUMBER(SEARCH('Data Transfer'!$B$6,'Compliance Database'!$D140&amp;" "&amp;'Compliance Database'!$L140&amp;" "&amp;'Compliance Database'!$M140&amp;" "&amp;'Compliance Database'!$N140&amp;" "&amp;'Compliance Database'!$O140)))),1,0)</f>
        <v/>
      </c>
      <c r="B140">
        <f>IF($A140=1,SUM($A$2:$A140),"")</f>
        <v/>
      </c>
      <c r="C140">
        <f>IF($A140=1,SUM($A$2:$A140),0)</f>
        <v/>
      </c>
    </row>
    <row r="141">
      <c r="A141">
        <f>IF(AND(OR('Compliance Database'!$A141='Data Transfer'!$B$4,'Compliance Database'!$A141='Data Transfer'!$B$5),OR('Data Transfer'!$B$6="",ISNUMBER(SEARCH('Data Transfer'!$B$6,'Compliance Database'!$D141&amp;" "&amp;'Compliance Database'!$L141&amp;" "&amp;'Compliance Database'!$M141&amp;" "&amp;'Compliance Database'!$N141&amp;" "&amp;'Compliance Database'!$O141)))),1,0)</f>
        <v/>
      </c>
      <c r="B141">
        <f>IF($A141=1,SUM($A$2:$A141),"")</f>
        <v/>
      </c>
      <c r="C141">
        <f>IF($A141=1,SUM($A$2:$A141),0)</f>
        <v/>
      </c>
    </row>
    <row r="142">
      <c r="A142">
        <f>IF(AND(OR('Compliance Database'!$A142='Data Transfer'!$B$4,'Compliance Database'!$A142='Data Transfer'!$B$5),OR('Data Transfer'!$B$6="",ISNUMBER(SEARCH('Data Transfer'!$B$6,'Compliance Database'!$D142&amp;" "&amp;'Compliance Database'!$L142&amp;" "&amp;'Compliance Database'!$M142&amp;" "&amp;'Compliance Database'!$N142&amp;" "&amp;'Compliance Database'!$O142)))),1,0)</f>
        <v/>
      </c>
      <c r="B142">
        <f>IF($A142=1,SUM($A$2:$A142),"")</f>
        <v/>
      </c>
      <c r="C142">
        <f>IF($A142=1,SUM($A$2:$A142),0)</f>
        <v/>
      </c>
    </row>
    <row r="143">
      <c r="A143">
        <f>IF(AND(OR('Compliance Database'!$A143='Data Transfer'!$B$4,'Compliance Database'!$A143='Data Transfer'!$B$5),OR('Data Transfer'!$B$6="",ISNUMBER(SEARCH('Data Transfer'!$B$6,'Compliance Database'!$D143&amp;" "&amp;'Compliance Database'!$L143&amp;" "&amp;'Compliance Database'!$M143&amp;" "&amp;'Compliance Database'!$N143&amp;" "&amp;'Compliance Database'!$O143)))),1,0)</f>
        <v/>
      </c>
      <c r="B143">
        <f>IF($A143=1,SUM($A$2:$A143),"")</f>
        <v/>
      </c>
      <c r="C143">
        <f>IF($A143=1,SUM($A$2:$A143),0)</f>
        <v/>
      </c>
    </row>
    <row r="144">
      <c r="A144">
        <f>IF(AND(OR('Compliance Database'!$A144='Data Transfer'!$B$4,'Compliance Database'!$A144='Data Transfer'!$B$5),OR('Data Transfer'!$B$6="",ISNUMBER(SEARCH('Data Transfer'!$B$6,'Compliance Database'!$D144&amp;" "&amp;'Compliance Database'!$L144&amp;" "&amp;'Compliance Database'!$M144&amp;" "&amp;'Compliance Database'!$N144&amp;" "&amp;'Compliance Database'!$O144)))),1,0)</f>
        <v/>
      </c>
      <c r="B144">
        <f>IF($A144=1,SUM($A$2:$A144),"")</f>
        <v/>
      </c>
      <c r="C144">
        <f>IF($A144=1,SUM($A$2:$A144),0)</f>
        <v/>
      </c>
    </row>
    <row r="145">
      <c r="A145">
        <f>IF(AND(OR('Compliance Database'!$A145='Data Transfer'!$B$4,'Compliance Database'!$A145='Data Transfer'!$B$5),OR('Data Transfer'!$B$6="",ISNUMBER(SEARCH('Data Transfer'!$B$6,'Compliance Database'!$D145&amp;" "&amp;'Compliance Database'!$L145&amp;" "&amp;'Compliance Database'!$M145&amp;" "&amp;'Compliance Database'!$N145&amp;" "&amp;'Compliance Database'!$O145)))),1,0)</f>
        <v/>
      </c>
      <c r="B145">
        <f>IF($A145=1,SUM($A$2:$A145),"")</f>
        <v/>
      </c>
      <c r="C145">
        <f>IF($A145=1,SUM($A$2:$A145),0)</f>
        <v/>
      </c>
    </row>
    <row r="146">
      <c r="A146">
        <f>IF(AND(OR('Compliance Database'!$A146='Data Transfer'!$B$4,'Compliance Database'!$A146='Data Transfer'!$B$5),OR('Data Transfer'!$B$6="",ISNUMBER(SEARCH('Data Transfer'!$B$6,'Compliance Database'!$D146&amp;" "&amp;'Compliance Database'!$L146&amp;" "&amp;'Compliance Database'!$M146&amp;" "&amp;'Compliance Database'!$N146&amp;" "&amp;'Compliance Database'!$O146)))),1,0)</f>
        <v/>
      </c>
      <c r="B146">
        <f>IF($A146=1,SUM($A$2:$A146),"")</f>
        <v/>
      </c>
      <c r="C146">
        <f>IF($A146=1,SUM($A$2:$A146),0)</f>
        <v/>
      </c>
    </row>
    <row r="147">
      <c r="A147">
        <f>IF(AND(OR('Compliance Database'!$A147='Data Transfer'!$B$4,'Compliance Database'!$A147='Data Transfer'!$B$5),OR('Data Transfer'!$B$6="",ISNUMBER(SEARCH('Data Transfer'!$B$6,'Compliance Database'!$D147&amp;" "&amp;'Compliance Database'!$L147&amp;" "&amp;'Compliance Database'!$M147&amp;" "&amp;'Compliance Database'!$N147&amp;" "&amp;'Compliance Database'!$O147)))),1,0)</f>
        <v/>
      </c>
      <c r="B147">
        <f>IF($A147=1,SUM($A$2:$A147),"")</f>
        <v/>
      </c>
      <c r="C147">
        <f>IF($A147=1,SUM($A$2:$A147),0)</f>
        <v/>
      </c>
    </row>
    <row r="148">
      <c r="A148">
        <f>IF(AND(OR('Compliance Database'!$A148='Data Transfer'!$B$4,'Compliance Database'!$A148='Data Transfer'!$B$5),OR('Data Transfer'!$B$6="",ISNUMBER(SEARCH('Data Transfer'!$B$6,'Compliance Database'!$D148&amp;" "&amp;'Compliance Database'!$L148&amp;" "&amp;'Compliance Database'!$M148&amp;" "&amp;'Compliance Database'!$N148&amp;" "&amp;'Compliance Database'!$O148)))),1,0)</f>
        <v/>
      </c>
      <c r="B148">
        <f>IF($A148=1,SUM($A$2:$A148),"")</f>
        <v/>
      </c>
      <c r="C148">
        <f>IF($A148=1,SUM($A$2:$A148),0)</f>
        <v/>
      </c>
    </row>
    <row r="149">
      <c r="A149">
        <f>IF(AND(OR('Compliance Database'!$A149='Data Transfer'!$B$4,'Compliance Database'!$A149='Data Transfer'!$B$5),OR('Data Transfer'!$B$6="",ISNUMBER(SEARCH('Data Transfer'!$B$6,'Compliance Database'!$D149&amp;" "&amp;'Compliance Database'!$L149&amp;" "&amp;'Compliance Database'!$M149&amp;" "&amp;'Compliance Database'!$N149&amp;" "&amp;'Compliance Database'!$O149)))),1,0)</f>
        <v/>
      </c>
      <c r="B149">
        <f>IF($A149=1,SUM($A$2:$A149),"")</f>
        <v/>
      </c>
      <c r="C149">
        <f>IF($A149=1,SUM($A$2:$A149),0)</f>
        <v/>
      </c>
    </row>
    <row r="150">
      <c r="A150">
        <f>IF(AND(OR('Compliance Database'!$A150='Data Transfer'!$B$4,'Compliance Database'!$A150='Data Transfer'!$B$5),OR('Data Transfer'!$B$6="",ISNUMBER(SEARCH('Data Transfer'!$B$6,'Compliance Database'!$D150&amp;" "&amp;'Compliance Database'!$L150&amp;" "&amp;'Compliance Database'!$M150&amp;" "&amp;'Compliance Database'!$N150&amp;" "&amp;'Compliance Database'!$O150)))),1,0)</f>
        <v/>
      </c>
      <c r="B150">
        <f>IF($A150=1,SUM($A$2:$A150),"")</f>
        <v/>
      </c>
      <c r="C150">
        <f>IF($A150=1,SUM($A$2:$A150),0)</f>
        <v/>
      </c>
    </row>
    <row r="151">
      <c r="A151">
        <f>IF(AND(OR('Compliance Database'!$A151='Data Transfer'!$B$4,'Compliance Database'!$A151='Data Transfer'!$B$5),OR('Data Transfer'!$B$6="",ISNUMBER(SEARCH('Data Transfer'!$B$6,'Compliance Database'!$D151&amp;" "&amp;'Compliance Database'!$L151&amp;" "&amp;'Compliance Database'!$M151&amp;" "&amp;'Compliance Database'!$N151&amp;" "&amp;'Compliance Database'!$O151)))),1,0)</f>
        <v/>
      </c>
      <c r="B151">
        <f>IF($A151=1,SUM($A$2:$A151),"")</f>
        <v/>
      </c>
      <c r="C151">
        <f>IF($A151=1,SUM($A$2:$A151),0)</f>
        <v/>
      </c>
    </row>
    <row r="152">
      <c r="A152">
        <f>IF(AND(OR('Compliance Database'!$A152='Data Transfer'!$B$4,'Compliance Database'!$A152='Data Transfer'!$B$5),OR('Data Transfer'!$B$6="",ISNUMBER(SEARCH('Data Transfer'!$B$6,'Compliance Database'!$D152&amp;" "&amp;'Compliance Database'!$L152&amp;" "&amp;'Compliance Database'!$M152&amp;" "&amp;'Compliance Database'!$N152&amp;" "&amp;'Compliance Database'!$O152)))),1,0)</f>
        <v/>
      </c>
      <c r="B152">
        <f>IF($A152=1,SUM($A$2:$A152),"")</f>
        <v/>
      </c>
      <c r="C152">
        <f>IF($A152=1,SUM($A$2:$A152),0)</f>
        <v/>
      </c>
    </row>
    <row r="153">
      <c r="A153">
        <f>IF(AND(OR('Compliance Database'!$A153='Data Transfer'!$B$4,'Compliance Database'!$A153='Data Transfer'!$B$5),OR('Data Transfer'!$B$6="",ISNUMBER(SEARCH('Data Transfer'!$B$6,'Compliance Database'!$D153&amp;" "&amp;'Compliance Database'!$L153&amp;" "&amp;'Compliance Database'!$M153&amp;" "&amp;'Compliance Database'!$N153&amp;" "&amp;'Compliance Database'!$O153)))),1,0)</f>
        <v/>
      </c>
      <c r="B153">
        <f>IF($A153=1,SUM($A$2:$A153),"")</f>
        <v/>
      </c>
      <c r="C153">
        <f>IF($A153=1,SUM($A$2:$A153),0)</f>
        <v/>
      </c>
    </row>
    <row r="154">
      <c r="A154">
        <f>IF(AND(OR('Compliance Database'!$A154='Data Transfer'!$B$4,'Compliance Database'!$A154='Data Transfer'!$B$5),OR('Data Transfer'!$B$6="",ISNUMBER(SEARCH('Data Transfer'!$B$6,'Compliance Database'!$D154&amp;" "&amp;'Compliance Database'!$L154&amp;" "&amp;'Compliance Database'!$M154&amp;" "&amp;'Compliance Database'!$N154&amp;" "&amp;'Compliance Database'!$O154)))),1,0)</f>
        <v/>
      </c>
      <c r="B154">
        <f>IF($A154=1,SUM($A$2:$A154),"")</f>
        <v/>
      </c>
      <c r="C154">
        <f>IF($A154=1,SUM($A$2:$A154),0)</f>
        <v/>
      </c>
    </row>
    <row r="155">
      <c r="A155">
        <f>IF(AND(OR('Compliance Database'!$A155='Data Transfer'!$B$4,'Compliance Database'!$A155='Data Transfer'!$B$5),OR('Data Transfer'!$B$6="",ISNUMBER(SEARCH('Data Transfer'!$B$6,'Compliance Database'!$D155&amp;" "&amp;'Compliance Database'!$L155&amp;" "&amp;'Compliance Database'!$M155&amp;" "&amp;'Compliance Database'!$N155&amp;" "&amp;'Compliance Database'!$O155)))),1,0)</f>
        <v/>
      </c>
      <c r="B155">
        <f>IF($A155=1,SUM($A$2:$A155),"")</f>
        <v/>
      </c>
      <c r="C155">
        <f>IF($A155=1,SUM($A$2:$A155),0)</f>
        <v/>
      </c>
    </row>
    <row r="156">
      <c r="A156">
        <f>IF(AND(OR('Compliance Database'!$A156='Data Transfer'!$B$4,'Compliance Database'!$A156='Data Transfer'!$B$5),OR('Data Transfer'!$B$6="",ISNUMBER(SEARCH('Data Transfer'!$B$6,'Compliance Database'!$D156&amp;" "&amp;'Compliance Database'!$L156&amp;" "&amp;'Compliance Database'!$M156&amp;" "&amp;'Compliance Database'!$N156&amp;" "&amp;'Compliance Database'!$O156)))),1,0)</f>
        <v/>
      </c>
      <c r="B156">
        <f>IF($A156=1,SUM($A$2:$A156),"")</f>
        <v/>
      </c>
      <c r="C156">
        <f>IF($A156=1,SUM($A$2:$A156),0)</f>
        <v/>
      </c>
    </row>
    <row r="157">
      <c r="A157">
        <f>IF(AND(OR('Compliance Database'!$A157='Data Transfer'!$B$4,'Compliance Database'!$A157='Data Transfer'!$B$5),OR('Data Transfer'!$B$6="",ISNUMBER(SEARCH('Data Transfer'!$B$6,'Compliance Database'!$D157&amp;" "&amp;'Compliance Database'!$L157&amp;" "&amp;'Compliance Database'!$M157&amp;" "&amp;'Compliance Database'!$N157&amp;" "&amp;'Compliance Database'!$O157)))),1,0)</f>
        <v/>
      </c>
      <c r="B157">
        <f>IF($A157=1,SUM($A$2:$A157),"")</f>
        <v/>
      </c>
      <c r="C157">
        <f>IF($A157=1,SUM($A$2:$A157),0)</f>
        <v/>
      </c>
    </row>
    <row r="158">
      <c r="A158">
        <f>IF(AND(OR('Compliance Database'!$A158='Data Transfer'!$B$4,'Compliance Database'!$A158='Data Transfer'!$B$5),OR('Data Transfer'!$B$6="",ISNUMBER(SEARCH('Data Transfer'!$B$6,'Compliance Database'!$D158&amp;" "&amp;'Compliance Database'!$L158&amp;" "&amp;'Compliance Database'!$M158&amp;" "&amp;'Compliance Database'!$N158&amp;" "&amp;'Compliance Database'!$O158)))),1,0)</f>
        <v/>
      </c>
      <c r="B158">
        <f>IF($A158=1,SUM($A$2:$A158),"")</f>
        <v/>
      </c>
      <c r="C158">
        <f>IF($A158=1,SUM($A$2:$A158),0)</f>
        <v/>
      </c>
    </row>
    <row r="159">
      <c r="A159">
        <f>IF(AND(OR('Compliance Database'!$A159='Data Transfer'!$B$4,'Compliance Database'!$A159='Data Transfer'!$B$5),OR('Data Transfer'!$B$6="",ISNUMBER(SEARCH('Data Transfer'!$B$6,'Compliance Database'!$D159&amp;" "&amp;'Compliance Database'!$L159&amp;" "&amp;'Compliance Database'!$M159&amp;" "&amp;'Compliance Database'!$N159&amp;" "&amp;'Compliance Database'!$O159)))),1,0)</f>
        <v/>
      </c>
      <c r="B159">
        <f>IF($A159=1,SUM($A$2:$A159),"")</f>
        <v/>
      </c>
      <c r="C159">
        <f>IF($A159=1,SUM($A$2:$A159),0)</f>
        <v/>
      </c>
    </row>
    <row r="160">
      <c r="A160">
        <f>IF(AND(OR('Compliance Database'!$A160='Data Transfer'!$B$4,'Compliance Database'!$A160='Data Transfer'!$B$5),OR('Data Transfer'!$B$6="",ISNUMBER(SEARCH('Data Transfer'!$B$6,'Compliance Database'!$D160&amp;" "&amp;'Compliance Database'!$L160&amp;" "&amp;'Compliance Database'!$M160&amp;" "&amp;'Compliance Database'!$N160&amp;" "&amp;'Compliance Database'!$O160)))),1,0)</f>
        <v/>
      </c>
      <c r="B160">
        <f>IF($A160=1,SUM($A$2:$A160),"")</f>
        <v/>
      </c>
      <c r="C160">
        <f>IF($A160=1,SUM($A$2:$A160),0)</f>
        <v/>
      </c>
    </row>
    <row r="161">
      <c r="A161">
        <f>IF(AND(OR('Compliance Database'!$A161='Data Transfer'!$B$4,'Compliance Database'!$A161='Data Transfer'!$B$5),OR('Data Transfer'!$B$6="",ISNUMBER(SEARCH('Data Transfer'!$B$6,'Compliance Database'!$D161&amp;" "&amp;'Compliance Database'!$L161&amp;" "&amp;'Compliance Database'!$M161&amp;" "&amp;'Compliance Database'!$N161&amp;" "&amp;'Compliance Database'!$O161)))),1,0)</f>
        <v/>
      </c>
      <c r="B161">
        <f>IF($A161=1,SUM($A$2:$A161),"")</f>
        <v/>
      </c>
      <c r="C161">
        <f>IF($A161=1,SUM($A$2:$A161),0)</f>
        <v/>
      </c>
    </row>
    <row r="162">
      <c r="A162">
        <f>IF(AND(OR('Compliance Database'!$A162='Data Transfer'!$B$4,'Compliance Database'!$A162='Data Transfer'!$B$5),OR('Data Transfer'!$B$6="",ISNUMBER(SEARCH('Data Transfer'!$B$6,'Compliance Database'!$D162&amp;" "&amp;'Compliance Database'!$L162&amp;" "&amp;'Compliance Database'!$M162&amp;" "&amp;'Compliance Database'!$N162&amp;" "&amp;'Compliance Database'!$O162)))),1,0)</f>
        <v/>
      </c>
      <c r="B162">
        <f>IF($A162=1,SUM($A$2:$A162),"")</f>
        <v/>
      </c>
      <c r="C162">
        <f>IF($A162=1,SUM($A$2:$A162),0)</f>
        <v/>
      </c>
    </row>
    <row r="163">
      <c r="A163">
        <f>IF(AND(OR('Compliance Database'!$A163='Data Transfer'!$B$4,'Compliance Database'!$A163='Data Transfer'!$B$5),OR('Data Transfer'!$B$6="",ISNUMBER(SEARCH('Data Transfer'!$B$6,'Compliance Database'!$D163&amp;" "&amp;'Compliance Database'!$L163&amp;" "&amp;'Compliance Database'!$M163&amp;" "&amp;'Compliance Database'!$N163&amp;" "&amp;'Compliance Database'!$O163)))),1,0)</f>
        <v/>
      </c>
      <c r="B163">
        <f>IF($A163=1,SUM($A$2:$A163),"")</f>
        <v/>
      </c>
      <c r="C163">
        <f>IF($A163=1,SUM($A$2:$A163),0)</f>
        <v/>
      </c>
    </row>
    <row r="164">
      <c r="A164">
        <f>IF(AND(OR('Compliance Database'!$A164='Data Transfer'!$B$4,'Compliance Database'!$A164='Data Transfer'!$B$5),OR('Data Transfer'!$B$6="",ISNUMBER(SEARCH('Data Transfer'!$B$6,'Compliance Database'!$D164&amp;" "&amp;'Compliance Database'!$L164&amp;" "&amp;'Compliance Database'!$M164&amp;" "&amp;'Compliance Database'!$N164&amp;" "&amp;'Compliance Database'!$O164)))),1,0)</f>
        <v/>
      </c>
      <c r="B164">
        <f>IF($A164=1,SUM($A$2:$A164),"")</f>
        <v/>
      </c>
      <c r="C164">
        <f>IF($A164=1,SUM($A$2:$A164),0)</f>
        <v/>
      </c>
    </row>
    <row r="165">
      <c r="A165">
        <f>IF(AND(OR('Compliance Database'!$A165='Data Transfer'!$B$4,'Compliance Database'!$A165='Data Transfer'!$B$5),OR('Data Transfer'!$B$6="",ISNUMBER(SEARCH('Data Transfer'!$B$6,'Compliance Database'!$D165&amp;" "&amp;'Compliance Database'!$L165&amp;" "&amp;'Compliance Database'!$M165&amp;" "&amp;'Compliance Database'!$N165&amp;" "&amp;'Compliance Database'!$O165)))),1,0)</f>
        <v/>
      </c>
      <c r="B165">
        <f>IF($A165=1,SUM($A$2:$A165),"")</f>
        <v/>
      </c>
      <c r="C165">
        <f>IF($A165=1,SUM($A$2:$A165),0)</f>
        <v/>
      </c>
    </row>
    <row r="166">
      <c r="A166">
        <f>IF(AND(OR('Compliance Database'!$A166='Data Transfer'!$B$4,'Compliance Database'!$A166='Data Transfer'!$B$5),OR('Data Transfer'!$B$6="",ISNUMBER(SEARCH('Data Transfer'!$B$6,'Compliance Database'!$D166&amp;" "&amp;'Compliance Database'!$L166&amp;" "&amp;'Compliance Database'!$M166&amp;" "&amp;'Compliance Database'!$N166&amp;" "&amp;'Compliance Database'!$O166)))),1,0)</f>
        <v/>
      </c>
      <c r="B166">
        <f>IF($A166=1,SUM($A$2:$A166),"")</f>
        <v/>
      </c>
      <c r="C166">
        <f>IF($A166=1,SUM($A$2:$A166),0)</f>
        <v/>
      </c>
    </row>
    <row r="167">
      <c r="A167">
        <f>IF(AND(OR('Compliance Database'!$A167='Data Transfer'!$B$4,'Compliance Database'!$A167='Data Transfer'!$B$5),OR('Data Transfer'!$B$6="",ISNUMBER(SEARCH('Data Transfer'!$B$6,'Compliance Database'!$D167&amp;" "&amp;'Compliance Database'!$L167&amp;" "&amp;'Compliance Database'!$M167&amp;" "&amp;'Compliance Database'!$N167&amp;" "&amp;'Compliance Database'!$O167)))),1,0)</f>
        <v/>
      </c>
      <c r="B167">
        <f>IF($A167=1,SUM($A$2:$A167),"")</f>
        <v/>
      </c>
      <c r="C167">
        <f>IF($A167=1,SUM($A$2:$A167),0)</f>
        <v/>
      </c>
    </row>
    <row r="168">
      <c r="A168">
        <f>IF(AND(OR('Compliance Database'!$A168='Data Transfer'!$B$4,'Compliance Database'!$A168='Data Transfer'!$B$5),OR('Data Transfer'!$B$6="",ISNUMBER(SEARCH('Data Transfer'!$B$6,'Compliance Database'!$D168&amp;" "&amp;'Compliance Database'!$L168&amp;" "&amp;'Compliance Database'!$M168&amp;" "&amp;'Compliance Database'!$N168&amp;" "&amp;'Compliance Database'!$O168)))),1,0)</f>
        <v/>
      </c>
      <c r="B168">
        <f>IF($A168=1,SUM($A$2:$A168),"")</f>
        <v/>
      </c>
      <c r="C168">
        <f>IF($A168=1,SUM($A$2:$A168),0)</f>
        <v/>
      </c>
    </row>
    <row r="169">
      <c r="A169">
        <f>IF(AND(OR('Compliance Database'!$A169='Data Transfer'!$B$4,'Compliance Database'!$A169='Data Transfer'!$B$5),OR('Data Transfer'!$B$6="",ISNUMBER(SEARCH('Data Transfer'!$B$6,'Compliance Database'!$D169&amp;" "&amp;'Compliance Database'!$L169&amp;" "&amp;'Compliance Database'!$M169&amp;" "&amp;'Compliance Database'!$N169&amp;" "&amp;'Compliance Database'!$O169)))),1,0)</f>
        <v/>
      </c>
      <c r="B169">
        <f>IF($A169=1,SUM($A$2:$A169),"")</f>
        <v/>
      </c>
      <c r="C169">
        <f>IF($A169=1,SUM($A$2:$A169),0)</f>
        <v/>
      </c>
    </row>
    <row r="170">
      <c r="A170">
        <f>IF(AND(OR('Compliance Database'!$A170='Data Transfer'!$B$4,'Compliance Database'!$A170='Data Transfer'!$B$5),OR('Data Transfer'!$B$6="",ISNUMBER(SEARCH('Data Transfer'!$B$6,'Compliance Database'!$D170&amp;" "&amp;'Compliance Database'!$L170&amp;" "&amp;'Compliance Database'!$M170&amp;" "&amp;'Compliance Database'!$N170&amp;" "&amp;'Compliance Database'!$O170)))),1,0)</f>
        <v/>
      </c>
      <c r="B170">
        <f>IF($A170=1,SUM($A$2:$A170),"")</f>
        <v/>
      </c>
      <c r="C170">
        <f>IF($A170=1,SUM($A$2:$A170),0)</f>
        <v/>
      </c>
    </row>
    <row r="171">
      <c r="A171">
        <f>IF(AND(OR('Compliance Database'!$A171='Data Transfer'!$B$4,'Compliance Database'!$A171='Data Transfer'!$B$5),OR('Data Transfer'!$B$6="",ISNUMBER(SEARCH('Data Transfer'!$B$6,'Compliance Database'!$D171&amp;" "&amp;'Compliance Database'!$L171&amp;" "&amp;'Compliance Database'!$M171&amp;" "&amp;'Compliance Database'!$N171&amp;" "&amp;'Compliance Database'!$O171)))),1,0)</f>
        <v/>
      </c>
      <c r="B171">
        <f>IF($A171=1,SUM($A$2:$A171),"")</f>
        <v/>
      </c>
      <c r="C171">
        <f>IF($A171=1,SUM($A$2:$A171),0)</f>
        <v/>
      </c>
    </row>
    <row r="172">
      <c r="A172">
        <f>IF(AND(OR('Compliance Database'!$A172='Data Transfer'!$B$4,'Compliance Database'!$A172='Data Transfer'!$B$5),OR('Data Transfer'!$B$6="",ISNUMBER(SEARCH('Data Transfer'!$B$6,'Compliance Database'!$D172&amp;" "&amp;'Compliance Database'!$L172&amp;" "&amp;'Compliance Database'!$M172&amp;" "&amp;'Compliance Database'!$N172&amp;" "&amp;'Compliance Database'!$O172)))),1,0)</f>
        <v/>
      </c>
      <c r="B172">
        <f>IF($A172=1,SUM($A$2:$A172),"")</f>
        <v/>
      </c>
      <c r="C172">
        <f>IF($A172=1,SUM($A$2:$A172),0)</f>
        <v/>
      </c>
    </row>
    <row r="173">
      <c r="A173">
        <f>IF(AND(OR('Compliance Database'!$A173='Data Transfer'!$B$4,'Compliance Database'!$A173='Data Transfer'!$B$5),OR('Data Transfer'!$B$6="",ISNUMBER(SEARCH('Data Transfer'!$B$6,'Compliance Database'!$D173&amp;" "&amp;'Compliance Database'!$L173&amp;" "&amp;'Compliance Database'!$M173&amp;" "&amp;'Compliance Database'!$N173&amp;" "&amp;'Compliance Database'!$O173)))),1,0)</f>
        <v/>
      </c>
      <c r="B173">
        <f>IF($A173=1,SUM($A$2:$A173),"")</f>
        <v/>
      </c>
      <c r="C173">
        <f>IF($A173=1,SUM($A$2:$A173),0)</f>
        <v/>
      </c>
    </row>
    <row r="174">
      <c r="A174">
        <f>IF(AND(OR('Compliance Database'!$A174='Data Transfer'!$B$4,'Compliance Database'!$A174='Data Transfer'!$B$5),OR('Data Transfer'!$B$6="",ISNUMBER(SEARCH('Data Transfer'!$B$6,'Compliance Database'!$D174&amp;" "&amp;'Compliance Database'!$L174&amp;" "&amp;'Compliance Database'!$M174&amp;" "&amp;'Compliance Database'!$N174&amp;" "&amp;'Compliance Database'!$O174)))),1,0)</f>
        <v/>
      </c>
      <c r="B174">
        <f>IF($A174=1,SUM($A$2:$A174),"")</f>
        <v/>
      </c>
      <c r="C174">
        <f>IF($A174=1,SUM($A$2:$A174),0)</f>
        <v/>
      </c>
    </row>
    <row r="175">
      <c r="A175">
        <f>IF(AND(OR('Compliance Database'!$A175='Data Transfer'!$B$4,'Compliance Database'!$A175='Data Transfer'!$B$5),OR('Data Transfer'!$B$6="",ISNUMBER(SEARCH('Data Transfer'!$B$6,'Compliance Database'!$D175&amp;" "&amp;'Compliance Database'!$L175&amp;" "&amp;'Compliance Database'!$M175&amp;" "&amp;'Compliance Database'!$N175&amp;" "&amp;'Compliance Database'!$O175)))),1,0)</f>
        <v/>
      </c>
      <c r="B175">
        <f>IF($A175=1,SUM($A$2:$A175),"")</f>
        <v/>
      </c>
      <c r="C175">
        <f>IF($A175=1,SUM($A$2:$A175),0)</f>
        <v/>
      </c>
    </row>
    <row r="176">
      <c r="A176">
        <f>IF(AND(OR('Compliance Database'!$A176='Data Transfer'!$B$4,'Compliance Database'!$A176='Data Transfer'!$B$5),OR('Data Transfer'!$B$6="",ISNUMBER(SEARCH('Data Transfer'!$B$6,'Compliance Database'!$D176&amp;" "&amp;'Compliance Database'!$L176&amp;" "&amp;'Compliance Database'!$M176&amp;" "&amp;'Compliance Database'!$N176&amp;" "&amp;'Compliance Database'!$O176)))),1,0)</f>
        <v/>
      </c>
      <c r="B176">
        <f>IF($A176=1,SUM($A$2:$A176),"")</f>
        <v/>
      </c>
      <c r="C176">
        <f>IF($A176=1,SUM($A$2:$A176),0)</f>
        <v/>
      </c>
    </row>
    <row r="177">
      <c r="A177">
        <f>IF(AND(OR('Compliance Database'!$A177='Data Transfer'!$B$4,'Compliance Database'!$A177='Data Transfer'!$B$5),OR('Data Transfer'!$B$6="",ISNUMBER(SEARCH('Data Transfer'!$B$6,'Compliance Database'!$D177&amp;" "&amp;'Compliance Database'!$L177&amp;" "&amp;'Compliance Database'!$M177&amp;" "&amp;'Compliance Database'!$N177&amp;" "&amp;'Compliance Database'!$O177)))),1,0)</f>
        <v/>
      </c>
      <c r="B177">
        <f>IF($A177=1,SUM($A$2:$A177),"")</f>
        <v/>
      </c>
      <c r="C177">
        <f>IF($A177=1,SUM($A$2:$A177),0)</f>
        <v/>
      </c>
    </row>
    <row r="178">
      <c r="A178">
        <f>IF(AND(OR('Compliance Database'!$A178='Data Transfer'!$B$4,'Compliance Database'!$A178='Data Transfer'!$B$5),OR('Data Transfer'!$B$6="",ISNUMBER(SEARCH('Data Transfer'!$B$6,'Compliance Database'!$D178&amp;" "&amp;'Compliance Database'!$L178&amp;" "&amp;'Compliance Database'!$M178&amp;" "&amp;'Compliance Database'!$N178&amp;" "&amp;'Compliance Database'!$O178)))),1,0)</f>
        <v/>
      </c>
      <c r="B178">
        <f>IF($A178=1,SUM($A$2:$A178),"")</f>
        <v/>
      </c>
      <c r="C178">
        <f>IF($A178=1,SUM($A$2:$A178),0)</f>
        <v/>
      </c>
    </row>
    <row r="179">
      <c r="A179">
        <f>IF(AND(OR('Compliance Database'!$A179='Data Transfer'!$B$4,'Compliance Database'!$A179='Data Transfer'!$B$5),OR('Data Transfer'!$B$6="",ISNUMBER(SEARCH('Data Transfer'!$B$6,'Compliance Database'!$D179&amp;" "&amp;'Compliance Database'!$L179&amp;" "&amp;'Compliance Database'!$M179&amp;" "&amp;'Compliance Database'!$N179&amp;" "&amp;'Compliance Database'!$O179)))),1,0)</f>
        <v/>
      </c>
      <c r="B179">
        <f>IF($A179=1,SUM($A$2:$A179),"")</f>
        <v/>
      </c>
      <c r="C179">
        <f>IF($A179=1,SUM($A$2:$A179),0)</f>
        <v/>
      </c>
    </row>
    <row r="180">
      <c r="A180">
        <f>IF(AND(OR('Compliance Database'!$A180='Data Transfer'!$B$4,'Compliance Database'!$A180='Data Transfer'!$B$5),OR('Data Transfer'!$B$6="",ISNUMBER(SEARCH('Data Transfer'!$B$6,'Compliance Database'!$D180&amp;" "&amp;'Compliance Database'!$L180&amp;" "&amp;'Compliance Database'!$M180&amp;" "&amp;'Compliance Database'!$N180&amp;" "&amp;'Compliance Database'!$O180)))),1,0)</f>
        <v/>
      </c>
      <c r="B180">
        <f>IF($A180=1,SUM($A$2:$A180),"")</f>
        <v/>
      </c>
      <c r="C180">
        <f>IF($A180=1,SUM($A$2:$A180),0)</f>
        <v/>
      </c>
    </row>
    <row r="181">
      <c r="A181">
        <f>IF(AND(OR('Compliance Database'!$A181='Data Transfer'!$B$4,'Compliance Database'!$A181='Data Transfer'!$B$5),OR('Data Transfer'!$B$6="",ISNUMBER(SEARCH('Data Transfer'!$B$6,'Compliance Database'!$D181&amp;" "&amp;'Compliance Database'!$L181&amp;" "&amp;'Compliance Database'!$M181&amp;" "&amp;'Compliance Database'!$N181&amp;" "&amp;'Compliance Database'!$O181)))),1,0)</f>
        <v/>
      </c>
      <c r="B181">
        <f>IF($A181=1,SUM($A$2:$A181),"")</f>
        <v/>
      </c>
      <c r="C181">
        <f>IF($A181=1,SUM($A$2:$A181),0)</f>
        <v/>
      </c>
    </row>
    <row r="182">
      <c r="A182">
        <f>IF(AND(OR('Compliance Database'!$A182='Data Transfer'!$B$4,'Compliance Database'!$A182='Data Transfer'!$B$5),OR('Data Transfer'!$B$6="",ISNUMBER(SEARCH('Data Transfer'!$B$6,'Compliance Database'!$D182&amp;" "&amp;'Compliance Database'!$L182&amp;" "&amp;'Compliance Database'!$M182&amp;" "&amp;'Compliance Database'!$N182&amp;" "&amp;'Compliance Database'!$O182)))),1,0)</f>
        <v/>
      </c>
      <c r="B182">
        <f>IF($A182=1,SUM($A$2:$A182),"")</f>
        <v/>
      </c>
      <c r="C182">
        <f>IF($A182=1,SUM($A$2:$A182),0)</f>
        <v/>
      </c>
    </row>
    <row r="183">
      <c r="A183">
        <f>IF(AND(OR('Compliance Database'!$A183='Data Transfer'!$B$4,'Compliance Database'!$A183='Data Transfer'!$B$5),OR('Data Transfer'!$B$6="",ISNUMBER(SEARCH('Data Transfer'!$B$6,'Compliance Database'!$D183&amp;" "&amp;'Compliance Database'!$L183&amp;" "&amp;'Compliance Database'!$M183&amp;" "&amp;'Compliance Database'!$N183&amp;" "&amp;'Compliance Database'!$O183)))),1,0)</f>
        <v/>
      </c>
      <c r="B183">
        <f>IF($A183=1,SUM($A$2:$A183),"")</f>
        <v/>
      </c>
      <c r="C183">
        <f>IF($A183=1,SUM($A$2:$A183),0)</f>
        <v/>
      </c>
    </row>
    <row r="184">
      <c r="A184">
        <f>IF(AND(OR('Compliance Database'!$A184='Data Transfer'!$B$4,'Compliance Database'!$A184='Data Transfer'!$B$5),OR('Data Transfer'!$B$6="",ISNUMBER(SEARCH('Data Transfer'!$B$6,'Compliance Database'!$D184&amp;" "&amp;'Compliance Database'!$L184&amp;" "&amp;'Compliance Database'!$M184&amp;" "&amp;'Compliance Database'!$N184&amp;" "&amp;'Compliance Database'!$O184)))),1,0)</f>
        <v/>
      </c>
      <c r="B184">
        <f>IF($A184=1,SUM($A$2:$A184),"")</f>
        <v/>
      </c>
      <c r="C184">
        <f>IF($A184=1,SUM($A$2:$A184),0)</f>
        <v/>
      </c>
    </row>
    <row r="185">
      <c r="A185">
        <f>IF(AND(OR('Compliance Database'!$A185='Data Transfer'!$B$4,'Compliance Database'!$A185='Data Transfer'!$B$5),OR('Data Transfer'!$B$6="",ISNUMBER(SEARCH('Data Transfer'!$B$6,'Compliance Database'!$D185&amp;" "&amp;'Compliance Database'!$L185&amp;" "&amp;'Compliance Database'!$M185&amp;" "&amp;'Compliance Database'!$N185&amp;" "&amp;'Compliance Database'!$O185)))),1,0)</f>
        <v/>
      </c>
      <c r="B185">
        <f>IF($A185=1,SUM($A$2:$A185),"")</f>
        <v/>
      </c>
      <c r="C185">
        <f>IF($A185=1,SUM($A$2:$A185),0)</f>
        <v/>
      </c>
    </row>
    <row r="186">
      <c r="A186">
        <f>IF(AND(OR('Compliance Database'!$A186='Data Transfer'!$B$4,'Compliance Database'!$A186='Data Transfer'!$B$5),OR('Data Transfer'!$B$6="",ISNUMBER(SEARCH('Data Transfer'!$B$6,'Compliance Database'!$D186&amp;" "&amp;'Compliance Database'!$L186&amp;" "&amp;'Compliance Database'!$M186&amp;" "&amp;'Compliance Database'!$N186&amp;" "&amp;'Compliance Database'!$O186)))),1,0)</f>
        <v/>
      </c>
      <c r="B186">
        <f>IF($A186=1,SUM($A$2:$A186),"")</f>
        <v/>
      </c>
      <c r="C186">
        <f>IF($A186=1,SUM($A$2:$A186),0)</f>
        <v/>
      </c>
    </row>
    <row r="187">
      <c r="A187">
        <f>IF(AND(OR('Compliance Database'!$A187='Data Transfer'!$B$4,'Compliance Database'!$A187='Data Transfer'!$B$5),OR('Data Transfer'!$B$6="",ISNUMBER(SEARCH('Data Transfer'!$B$6,'Compliance Database'!$D187&amp;" "&amp;'Compliance Database'!$L187&amp;" "&amp;'Compliance Database'!$M187&amp;" "&amp;'Compliance Database'!$N187&amp;" "&amp;'Compliance Database'!$O187)))),1,0)</f>
        <v/>
      </c>
      <c r="B187">
        <f>IF($A187=1,SUM($A$2:$A187),"")</f>
        <v/>
      </c>
      <c r="C187">
        <f>IF($A187=1,SUM($A$2:$A187),0)</f>
        <v/>
      </c>
    </row>
    <row r="188">
      <c r="A188">
        <f>IF(AND(OR('Compliance Database'!$A188='Data Transfer'!$B$4,'Compliance Database'!$A188='Data Transfer'!$B$5),OR('Data Transfer'!$B$6="",ISNUMBER(SEARCH('Data Transfer'!$B$6,'Compliance Database'!$D188&amp;" "&amp;'Compliance Database'!$L188&amp;" "&amp;'Compliance Database'!$M188&amp;" "&amp;'Compliance Database'!$N188&amp;" "&amp;'Compliance Database'!$O188)))),1,0)</f>
        <v/>
      </c>
      <c r="B188">
        <f>IF($A188=1,SUM($A$2:$A188),"")</f>
        <v/>
      </c>
      <c r="C188">
        <f>IF($A188=1,SUM($A$2:$A188),0)</f>
        <v/>
      </c>
    </row>
    <row r="189">
      <c r="A189">
        <f>IF(AND(OR('Compliance Database'!$A189='Data Transfer'!$B$4,'Compliance Database'!$A189='Data Transfer'!$B$5),OR('Data Transfer'!$B$6="",ISNUMBER(SEARCH('Data Transfer'!$B$6,'Compliance Database'!$D189&amp;" "&amp;'Compliance Database'!$L189&amp;" "&amp;'Compliance Database'!$M189&amp;" "&amp;'Compliance Database'!$N189&amp;" "&amp;'Compliance Database'!$O189)))),1,0)</f>
        <v/>
      </c>
      <c r="B189">
        <f>IF($A189=1,SUM($A$2:$A189),"")</f>
        <v/>
      </c>
      <c r="C189">
        <f>IF($A189=1,SUM($A$2:$A189),0)</f>
        <v/>
      </c>
    </row>
    <row r="190">
      <c r="A190">
        <f>IF(AND(OR('Compliance Database'!$A190='Data Transfer'!$B$4,'Compliance Database'!$A190='Data Transfer'!$B$5),OR('Data Transfer'!$B$6="",ISNUMBER(SEARCH('Data Transfer'!$B$6,'Compliance Database'!$D190&amp;" "&amp;'Compliance Database'!$L190&amp;" "&amp;'Compliance Database'!$M190&amp;" "&amp;'Compliance Database'!$N190&amp;" "&amp;'Compliance Database'!$O190)))),1,0)</f>
        <v/>
      </c>
      <c r="B190">
        <f>IF($A190=1,SUM($A$2:$A190),"")</f>
        <v/>
      </c>
      <c r="C190">
        <f>IF($A190=1,SUM($A$2:$A190),0)</f>
        <v/>
      </c>
    </row>
    <row r="191">
      <c r="A191">
        <f>IF(AND(OR('Compliance Database'!$A191='Data Transfer'!$B$4,'Compliance Database'!$A191='Data Transfer'!$B$5),OR('Data Transfer'!$B$6="",ISNUMBER(SEARCH('Data Transfer'!$B$6,'Compliance Database'!$D191&amp;" "&amp;'Compliance Database'!$L191&amp;" "&amp;'Compliance Database'!$M191&amp;" "&amp;'Compliance Database'!$N191&amp;" "&amp;'Compliance Database'!$O191)))),1,0)</f>
        <v/>
      </c>
      <c r="B191">
        <f>IF($A191=1,SUM($A$2:$A191),"")</f>
        <v/>
      </c>
      <c r="C191">
        <f>IF($A191=1,SUM($A$2:$A191),0)</f>
        <v/>
      </c>
    </row>
    <row r="192">
      <c r="A192">
        <f>IF(AND(OR('Compliance Database'!$A192='Data Transfer'!$B$4,'Compliance Database'!$A192='Data Transfer'!$B$5),OR('Data Transfer'!$B$6="",ISNUMBER(SEARCH('Data Transfer'!$B$6,'Compliance Database'!$D192&amp;" "&amp;'Compliance Database'!$L192&amp;" "&amp;'Compliance Database'!$M192&amp;" "&amp;'Compliance Database'!$N192&amp;" "&amp;'Compliance Database'!$O192)))),1,0)</f>
        <v/>
      </c>
      <c r="B192">
        <f>IF($A192=1,SUM($A$2:$A192),"")</f>
        <v/>
      </c>
      <c r="C192">
        <f>IF($A192=1,SUM($A$2:$A192),0)</f>
        <v/>
      </c>
    </row>
    <row r="193">
      <c r="A193">
        <f>IF(AND(OR('Compliance Database'!$A193='Data Transfer'!$B$4,'Compliance Database'!$A193='Data Transfer'!$B$5),OR('Data Transfer'!$B$6="",ISNUMBER(SEARCH('Data Transfer'!$B$6,'Compliance Database'!$D193&amp;" "&amp;'Compliance Database'!$L193&amp;" "&amp;'Compliance Database'!$M193&amp;" "&amp;'Compliance Database'!$N193&amp;" "&amp;'Compliance Database'!$O193)))),1,0)</f>
        <v/>
      </c>
      <c r="B193">
        <f>IF($A193=1,SUM($A$2:$A193),"")</f>
        <v/>
      </c>
      <c r="C193">
        <f>IF($A193=1,SUM($A$2:$A193),0)</f>
        <v/>
      </c>
    </row>
    <row r="194">
      <c r="A194">
        <f>IF(AND(OR('Compliance Database'!$A194='Data Transfer'!$B$4,'Compliance Database'!$A194='Data Transfer'!$B$5),OR('Data Transfer'!$B$6="",ISNUMBER(SEARCH('Data Transfer'!$B$6,'Compliance Database'!$D194&amp;" "&amp;'Compliance Database'!$L194&amp;" "&amp;'Compliance Database'!$M194&amp;" "&amp;'Compliance Database'!$N194&amp;" "&amp;'Compliance Database'!$O194)))),1,0)</f>
        <v/>
      </c>
      <c r="B194">
        <f>IF($A194=1,SUM($A$2:$A194),"")</f>
        <v/>
      </c>
      <c r="C194">
        <f>IF($A194=1,SUM($A$2:$A194),0)</f>
        <v/>
      </c>
    </row>
    <row r="195">
      <c r="A195">
        <f>IF(AND(OR('Compliance Database'!$A195='Data Transfer'!$B$4,'Compliance Database'!$A195='Data Transfer'!$B$5),OR('Data Transfer'!$B$6="",ISNUMBER(SEARCH('Data Transfer'!$B$6,'Compliance Database'!$D195&amp;" "&amp;'Compliance Database'!$L195&amp;" "&amp;'Compliance Database'!$M195&amp;" "&amp;'Compliance Database'!$N195&amp;" "&amp;'Compliance Database'!$O195)))),1,0)</f>
        <v/>
      </c>
      <c r="B195">
        <f>IF($A195=1,SUM($A$2:$A195),"")</f>
        <v/>
      </c>
      <c r="C195">
        <f>IF($A195=1,SUM($A$2:$A195),0)</f>
        <v/>
      </c>
    </row>
    <row r="196">
      <c r="A196">
        <f>IF(AND(OR('Compliance Database'!$A196='Data Transfer'!$B$4,'Compliance Database'!$A196='Data Transfer'!$B$5),OR('Data Transfer'!$B$6="",ISNUMBER(SEARCH('Data Transfer'!$B$6,'Compliance Database'!$D196&amp;" "&amp;'Compliance Database'!$L196&amp;" "&amp;'Compliance Database'!$M196&amp;" "&amp;'Compliance Database'!$N196&amp;" "&amp;'Compliance Database'!$O196)))),1,0)</f>
        <v/>
      </c>
      <c r="B196">
        <f>IF($A196=1,SUM($A$2:$A196),"")</f>
        <v/>
      </c>
      <c r="C196">
        <f>IF($A196=1,SUM($A$2:$A196),0)</f>
        <v/>
      </c>
    </row>
    <row r="197">
      <c r="A197">
        <f>IF(AND(OR('Compliance Database'!$A197='Data Transfer'!$B$4,'Compliance Database'!$A197='Data Transfer'!$B$5),OR('Data Transfer'!$B$6="",ISNUMBER(SEARCH('Data Transfer'!$B$6,'Compliance Database'!$D197&amp;" "&amp;'Compliance Database'!$L197&amp;" "&amp;'Compliance Database'!$M197&amp;" "&amp;'Compliance Database'!$N197&amp;" "&amp;'Compliance Database'!$O197)))),1,0)</f>
        <v/>
      </c>
      <c r="B197">
        <f>IF($A197=1,SUM($A$2:$A197),"")</f>
        <v/>
      </c>
      <c r="C197">
        <f>IF($A197=1,SUM($A$2:$A197),0)</f>
        <v/>
      </c>
    </row>
    <row r="198">
      <c r="A198">
        <f>IF(AND(OR('Compliance Database'!$A198='Data Transfer'!$B$4,'Compliance Database'!$A198='Data Transfer'!$B$5),OR('Data Transfer'!$B$6="",ISNUMBER(SEARCH('Data Transfer'!$B$6,'Compliance Database'!$D198&amp;" "&amp;'Compliance Database'!$L198&amp;" "&amp;'Compliance Database'!$M198&amp;" "&amp;'Compliance Database'!$N198&amp;" "&amp;'Compliance Database'!$O198)))),1,0)</f>
        <v/>
      </c>
      <c r="B198">
        <f>IF($A198=1,SUM($A$2:$A198),"")</f>
        <v/>
      </c>
      <c r="C198">
        <f>IF($A198=1,SUM($A$2:$A198),0)</f>
        <v/>
      </c>
    </row>
    <row r="199">
      <c r="A199">
        <f>IF(AND(OR('Compliance Database'!$A199='Data Transfer'!$B$4,'Compliance Database'!$A199='Data Transfer'!$B$5),OR('Data Transfer'!$B$6="",ISNUMBER(SEARCH('Data Transfer'!$B$6,'Compliance Database'!$D199&amp;" "&amp;'Compliance Database'!$L199&amp;" "&amp;'Compliance Database'!$M199&amp;" "&amp;'Compliance Database'!$N199&amp;" "&amp;'Compliance Database'!$O199)))),1,0)</f>
        <v/>
      </c>
      <c r="B199">
        <f>IF($A199=1,SUM($A$2:$A199),"")</f>
        <v/>
      </c>
      <c r="C199">
        <f>IF($A199=1,SUM($A$2:$A199),0)</f>
        <v/>
      </c>
    </row>
    <row r="200">
      <c r="A200">
        <f>IF(AND(OR('Compliance Database'!$A200='Data Transfer'!$B$4,'Compliance Database'!$A200='Data Transfer'!$B$5),OR('Data Transfer'!$B$6="",ISNUMBER(SEARCH('Data Transfer'!$B$6,'Compliance Database'!$D200&amp;" "&amp;'Compliance Database'!$L200&amp;" "&amp;'Compliance Database'!$M200&amp;" "&amp;'Compliance Database'!$N200&amp;" "&amp;'Compliance Database'!$O200)))),1,0)</f>
        <v/>
      </c>
      <c r="B200">
        <f>IF($A200=1,SUM($A$2:$A200),"")</f>
        <v/>
      </c>
      <c r="C200">
        <f>IF($A200=1,SUM($A$2:$A200),0)</f>
        <v/>
      </c>
    </row>
    <row r="201">
      <c r="A201">
        <f>IF(AND(OR('Compliance Database'!$A201='Data Transfer'!$B$4,'Compliance Database'!$A201='Data Transfer'!$B$5),OR('Data Transfer'!$B$6="",ISNUMBER(SEARCH('Data Transfer'!$B$6,'Compliance Database'!$D201&amp;" "&amp;'Compliance Database'!$L201&amp;" "&amp;'Compliance Database'!$M201&amp;" "&amp;'Compliance Database'!$N201&amp;" "&amp;'Compliance Database'!$O201)))),1,0)</f>
        <v/>
      </c>
      <c r="B201">
        <f>IF($A201=1,SUM($A$2:$A201),"")</f>
        <v/>
      </c>
      <c r="C201">
        <f>IF($A201=1,SUM($A$2:$A201),0)</f>
        <v/>
      </c>
    </row>
    <row r="202">
      <c r="A202">
        <f>IF(AND(OR('Compliance Database'!$A202='Data Transfer'!$B$4,'Compliance Database'!$A202='Data Transfer'!$B$5),OR('Data Transfer'!$B$6="",ISNUMBER(SEARCH('Data Transfer'!$B$6,'Compliance Database'!$D202&amp;" "&amp;'Compliance Database'!$L202&amp;" "&amp;'Compliance Database'!$M202&amp;" "&amp;'Compliance Database'!$N202&amp;" "&amp;'Compliance Database'!$O202)))),1,0)</f>
        <v/>
      </c>
      <c r="B202">
        <f>IF($A202=1,SUM($A$2:$A202),"")</f>
        <v/>
      </c>
      <c r="C202">
        <f>IF($A202=1,SUM($A$2:$A202),0)</f>
        <v/>
      </c>
    </row>
    <row r="203">
      <c r="A203">
        <f>IF(AND(OR('Compliance Database'!$A203='Data Transfer'!$B$4,'Compliance Database'!$A203='Data Transfer'!$B$5),OR('Data Transfer'!$B$6="",ISNUMBER(SEARCH('Data Transfer'!$B$6,'Compliance Database'!$D203&amp;" "&amp;'Compliance Database'!$L203&amp;" "&amp;'Compliance Database'!$M203&amp;" "&amp;'Compliance Database'!$N203&amp;" "&amp;'Compliance Database'!$O203)))),1,0)</f>
        <v/>
      </c>
      <c r="B203">
        <f>IF($A203=1,SUM($A$2:$A203),"")</f>
        <v/>
      </c>
      <c r="C203">
        <f>IF($A203=1,SUM($A$2:$A203),0)</f>
        <v/>
      </c>
    </row>
    <row r="204">
      <c r="A204">
        <f>IF(AND(OR('Compliance Database'!$A204='Data Transfer'!$B$4,'Compliance Database'!$A204='Data Transfer'!$B$5),OR('Data Transfer'!$B$6="",ISNUMBER(SEARCH('Data Transfer'!$B$6,'Compliance Database'!$D204&amp;" "&amp;'Compliance Database'!$L204&amp;" "&amp;'Compliance Database'!$M204&amp;" "&amp;'Compliance Database'!$N204&amp;" "&amp;'Compliance Database'!$O204)))),1,0)</f>
        <v/>
      </c>
      <c r="B204">
        <f>IF($A204=1,SUM($A$2:$A204),"")</f>
        <v/>
      </c>
      <c r="C204">
        <f>IF($A204=1,SUM($A$2:$A204),0)</f>
        <v/>
      </c>
    </row>
    <row r="205">
      <c r="A205">
        <f>IF(AND(OR('Compliance Database'!$A205='Data Transfer'!$B$4,'Compliance Database'!$A205='Data Transfer'!$B$5),OR('Data Transfer'!$B$6="",ISNUMBER(SEARCH('Data Transfer'!$B$6,'Compliance Database'!$D205&amp;" "&amp;'Compliance Database'!$L205&amp;" "&amp;'Compliance Database'!$M205&amp;" "&amp;'Compliance Database'!$N205&amp;" "&amp;'Compliance Database'!$O205)))),1,0)</f>
        <v/>
      </c>
      <c r="B205">
        <f>IF($A205=1,SUM($A$2:$A205),"")</f>
        <v/>
      </c>
      <c r="C205">
        <f>IF($A205=1,SUM($A$2:$A205),0)</f>
        <v/>
      </c>
    </row>
    <row r="206">
      <c r="A206">
        <f>IF(AND(OR('Compliance Database'!$A206='Data Transfer'!$B$4,'Compliance Database'!$A206='Data Transfer'!$B$5),OR('Data Transfer'!$B$6="",ISNUMBER(SEARCH('Data Transfer'!$B$6,'Compliance Database'!$D206&amp;" "&amp;'Compliance Database'!$L206&amp;" "&amp;'Compliance Database'!$M206&amp;" "&amp;'Compliance Database'!$N206&amp;" "&amp;'Compliance Database'!$O206)))),1,0)</f>
        <v/>
      </c>
      <c r="B206">
        <f>IF($A206=1,SUM($A$2:$A206),"")</f>
        <v/>
      </c>
      <c r="C206">
        <f>IF($A206=1,SUM($A$2:$A206),0)</f>
        <v/>
      </c>
    </row>
    <row r="207">
      <c r="A207">
        <f>IF(AND(OR('Compliance Database'!$A207='Data Transfer'!$B$4,'Compliance Database'!$A207='Data Transfer'!$B$5),OR('Data Transfer'!$B$6="",ISNUMBER(SEARCH('Data Transfer'!$B$6,'Compliance Database'!$D207&amp;" "&amp;'Compliance Database'!$L207&amp;" "&amp;'Compliance Database'!$M207&amp;" "&amp;'Compliance Database'!$N207&amp;" "&amp;'Compliance Database'!$O207)))),1,0)</f>
        <v/>
      </c>
      <c r="B207">
        <f>IF($A207=1,SUM($A$2:$A207),"")</f>
        <v/>
      </c>
      <c r="C207">
        <f>IF($A207=1,SUM($A$2:$A207),0)</f>
        <v/>
      </c>
    </row>
    <row r="208">
      <c r="A208">
        <f>IF(AND(OR('Compliance Database'!$A208='Data Transfer'!$B$4,'Compliance Database'!$A208='Data Transfer'!$B$5),OR('Data Transfer'!$B$6="",ISNUMBER(SEARCH('Data Transfer'!$B$6,'Compliance Database'!$D208&amp;" "&amp;'Compliance Database'!$L208&amp;" "&amp;'Compliance Database'!$M208&amp;" "&amp;'Compliance Database'!$N208&amp;" "&amp;'Compliance Database'!$O208)))),1,0)</f>
        <v/>
      </c>
      <c r="B208">
        <f>IF($A208=1,SUM($A$2:$A208),"")</f>
        <v/>
      </c>
      <c r="C208">
        <f>IF($A208=1,SUM($A$2:$A208),0)</f>
        <v/>
      </c>
    </row>
    <row r="209">
      <c r="A209">
        <f>IF(AND(OR('Compliance Database'!$A209='Data Transfer'!$B$4,'Compliance Database'!$A209='Data Transfer'!$B$5),OR('Data Transfer'!$B$6="",ISNUMBER(SEARCH('Data Transfer'!$B$6,'Compliance Database'!$D209&amp;" "&amp;'Compliance Database'!$L209&amp;" "&amp;'Compliance Database'!$M209&amp;" "&amp;'Compliance Database'!$N209&amp;" "&amp;'Compliance Database'!$O209)))),1,0)</f>
        <v/>
      </c>
      <c r="B209">
        <f>IF($A209=1,SUM($A$2:$A209),"")</f>
        <v/>
      </c>
      <c r="C209">
        <f>IF($A209=1,SUM($A$2:$A209),0)</f>
        <v/>
      </c>
    </row>
    <row r="210">
      <c r="A210">
        <f>IF(AND(OR('Compliance Database'!$A210='Data Transfer'!$B$4,'Compliance Database'!$A210='Data Transfer'!$B$5),OR('Data Transfer'!$B$6="",ISNUMBER(SEARCH('Data Transfer'!$B$6,'Compliance Database'!$D210&amp;" "&amp;'Compliance Database'!$L210&amp;" "&amp;'Compliance Database'!$M210&amp;" "&amp;'Compliance Database'!$N210&amp;" "&amp;'Compliance Database'!$O210)))),1,0)</f>
        <v/>
      </c>
      <c r="B210">
        <f>IF($A210=1,SUM($A$2:$A210),"")</f>
        <v/>
      </c>
      <c r="C210">
        <f>IF($A210=1,SUM($A$2:$A210),0)</f>
        <v/>
      </c>
    </row>
    <row r="211">
      <c r="A211">
        <f>IF(AND(OR('Compliance Database'!$A211='Data Transfer'!$B$4,'Compliance Database'!$A211='Data Transfer'!$B$5),OR('Data Transfer'!$B$6="",ISNUMBER(SEARCH('Data Transfer'!$B$6,'Compliance Database'!$D211&amp;" "&amp;'Compliance Database'!$L211&amp;" "&amp;'Compliance Database'!$M211&amp;" "&amp;'Compliance Database'!$N211&amp;" "&amp;'Compliance Database'!$O211)))),1,0)</f>
        <v/>
      </c>
      <c r="B211">
        <f>IF($A211=1,SUM($A$2:$A211),"")</f>
        <v/>
      </c>
      <c r="C211">
        <f>IF($A211=1,SUM($A$2:$A211),0)</f>
        <v/>
      </c>
    </row>
    <row r="212">
      <c r="A212">
        <f>IF(AND(OR('Compliance Database'!$A212='Data Transfer'!$B$4,'Compliance Database'!$A212='Data Transfer'!$B$5),OR('Data Transfer'!$B$6="",ISNUMBER(SEARCH('Data Transfer'!$B$6,'Compliance Database'!$D212&amp;" "&amp;'Compliance Database'!$L212&amp;" "&amp;'Compliance Database'!$M212&amp;" "&amp;'Compliance Database'!$N212&amp;" "&amp;'Compliance Database'!$O212)))),1,0)</f>
        <v/>
      </c>
      <c r="B212">
        <f>IF($A212=1,SUM($A$2:$A212),"")</f>
        <v/>
      </c>
      <c r="C212">
        <f>IF($A212=1,SUM($A$2:$A212),0)</f>
        <v/>
      </c>
    </row>
    <row r="213">
      <c r="A213">
        <f>IF(AND(OR('Compliance Database'!$A213='Data Transfer'!$B$4,'Compliance Database'!$A213='Data Transfer'!$B$5),OR('Data Transfer'!$B$6="",ISNUMBER(SEARCH('Data Transfer'!$B$6,'Compliance Database'!$D213&amp;" "&amp;'Compliance Database'!$L213&amp;" "&amp;'Compliance Database'!$M213&amp;" "&amp;'Compliance Database'!$N213&amp;" "&amp;'Compliance Database'!$O213)))),1,0)</f>
        <v/>
      </c>
      <c r="B213">
        <f>IF($A213=1,SUM($A$2:$A213),"")</f>
        <v/>
      </c>
      <c r="C213">
        <f>IF($A213=1,SUM($A$2:$A213),0)</f>
        <v/>
      </c>
    </row>
    <row r="214">
      <c r="A214">
        <f>IF(AND(OR('Compliance Database'!$A214='Data Transfer'!$B$4,'Compliance Database'!$A214='Data Transfer'!$B$5),OR('Data Transfer'!$B$6="",ISNUMBER(SEARCH('Data Transfer'!$B$6,'Compliance Database'!$D214&amp;" "&amp;'Compliance Database'!$L214&amp;" "&amp;'Compliance Database'!$M214&amp;" "&amp;'Compliance Database'!$N214&amp;" "&amp;'Compliance Database'!$O214)))),1,0)</f>
        <v/>
      </c>
      <c r="B214">
        <f>IF($A214=1,SUM($A$2:$A214),"")</f>
        <v/>
      </c>
      <c r="C214">
        <f>IF($A214=1,SUM($A$2:$A214),0)</f>
        <v/>
      </c>
    </row>
    <row r="215">
      <c r="A215">
        <f>IF(AND(OR('Compliance Database'!$A215='Data Transfer'!$B$4,'Compliance Database'!$A215='Data Transfer'!$B$5),OR('Data Transfer'!$B$6="",ISNUMBER(SEARCH('Data Transfer'!$B$6,'Compliance Database'!$D215&amp;" "&amp;'Compliance Database'!$L215&amp;" "&amp;'Compliance Database'!$M215&amp;" "&amp;'Compliance Database'!$N215&amp;" "&amp;'Compliance Database'!$O215)))),1,0)</f>
        <v/>
      </c>
      <c r="B215">
        <f>IF($A215=1,SUM($A$2:$A215),"")</f>
        <v/>
      </c>
      <c r="C215">
        <f>IF($A215=1,SUM($A$2:$A215),0)</f>
        <v/>
      </c>
    </row>
    <row r="216">
      <c r="A216">
        <f>IF(AND(OR('Compliance Database'!$A216='Data Transfer'!$B$4,'Compliance Database'!$A216='Data Transfer'!$B$5),OR('Data Transfer'!$B$6="",ISNUMBER(SEARCH('Data Transfer'!$B$6,'Compliance Database'!$D216&amp;" "&amp;'Compliance Database'!$L216&amp;" "&amp;'Compliance Database'!$M216&amp;" "&amp;'Compliance Database'!$N216&amp;" "&amp;'Compliance Database'!$O216)))),1,0)</f>
        <v/>
      </c>
      <c r="B216">
        <f>IF($A216=1,SUM($A$2:$A216),"")</f>
        <v/>
      </c>
      <c r="C216">
        <f>IF($A216=1,SUM($A$2:$A216),0)</f>
        <v/>
      </c>
    </row>
    <row r="217">
      <c r="A217">
        <f>IF(AND(OR('Compliance Database'!$A217='Data Transfer'!$B$4,'Compliance Database'!$A217='Data Transfer'!$B$5),OR('Data Transfer'!$B$6="",ISNUMBER(SEARCH('Data Transfer'!$B$6,'Compliance Database'!$D217&amp;" "&amp;'Compliance Database'!$L217&amp;" "&amp;'Compliance Database'!$M217&amp;" "&amp;'Compliance Database'!$N217&amp;" "&amp;'Compliance Database'!$O217)))),1,0)</f>
        <v/>
      </c>
      <c r="B217">
        <f>IF($A217=1,SUM($A$2:$A217),"")</f>
        <v/>
      </c>
      <c r="C217">
        <f>IF($A217=1,SUM($A$2:$A217),0)</f>
        <v/>
      </c>
    </row>
    <row r="218">
      <c r="A218">
        <f>IF(AND(OR('Compliance Database'!$A218='Data Transfer'!$B$4,'Compliance Database'!$A218='Data Transfer'!$B$5),OR('Data Transfer'!$B$6="",ISNUMBER(SEARCH('Data Transfer'!$B$6,'Compliance Database'!$D218&amp;" "&amp;'Compliance Database'!$L218&amp;" "&amp;'Compliance Database'!$M218&amp;" "&amp;'Compliance Database'!$N218&amp;" "&amp;'Compliance Database'!$O218)))),1,0)</f>
        <v/>
      </c>
      <c r="B218">
        <f>IF($A218=1,SUM($A$2:$A218),"")</f>
        <v/>
      </c>
      <c r="C218">
        <f>IF($A218=1,SUM($A$2:$A218),0)</f>
        <v/>
      </c>
    </row>
    <row r="219">
      <c r="A219">
        <f>IF(AND(OR('Compliance Database'!$A219='Data Transfer'!$B$4,'Compliance Database'!$A219='Data Transfer'!$B$5),OR('Data Transfer'!$B$6="",ISNUMBER(SEARCH('Data Transfer'!$B$6,'Compliance Database'!$D219&amp;" "&amp;'Compliance Database'!$L219&amp;" "&amp;'Compliance Database'!$M219&amp;" "&amp;'Compliance Database'!$N219&amp;" "&amp;'Compliance Database'!$O219)))),1,0)</f>
        <v/>
      </c>
      <c r="B219">
        <f>IF($A219=1,SUM($A$2:$A219),"")</f>
        <v/>
      </c>
      <c r="C219">
        <f>IF($A219=1,SUM($A$2:$A219),0)</f>
        <v/>
      </c>
    </row>
    <row r="220">
      <c r="A220">
        <f>IF(AND(OR('Compliance Database'!$A220='Data Transfer'!$B$4,'Compliance Database'!$A220='Data Transfer'!$B$5),OR('Data Transfer'!$B$6="",ISNUMBER(SEARCH('Data Transfer'!$B$6,'Compliance Database'!$D220&amp;" "&amp;'Compliance Database'!$L220&amp;" "&amp;'Compliance Database'!$M220&amp;" "&amp;'Compliance Database'!$N220&amp;" "&amp;'Compliance Database'!$O220)))),1,0)</f>
        <v/>
      </c>
      <c r="B220">
        <f>IF($A220=1,SUM($A$2:$A220),"")</f>
        <v/>
      </c>
      <c r="C220">
        <f>IF($A220=1,SUM($A$2:$A220),0)</f>
        <v/>
      </c>
    </row>
    <row r="221">
      <c r="A221">
        <f>IF(AND(OR('Compliance Database'!$A221='Data Transfer'!$B$4,'Compliance Database'!$A221='Data Transfer'!$B$5),OR('Data Transfer'!$B$6="",ISNUMBER(SEARCH('Data Transfer'!$B$6,'Compliance Database'!$D221&amp;" "&amp;'Compliance Database'!$L221&amp;" "&amp;'Compliance Database'!$M221&amp;" "&amp;'Compliance Database'!$N221&amp;" "&amp;'Compliance Database'!$O221)))),1,0)</f>
        <v/>
      </c>
      <c r="B221">
        <f>IF($A221=1,SUM($A$2:$A221),"")</f>
        <v/>
      </c>
      <c r="C221">
        <f>IF($A221=1,SUM($A$2:$A221),0)</f>
        <v/>
      </c>
    </row>
    <row r="222">
      <c r="A222">
        <f>IF(AND(OR('Compliance Database'!$A222='Data Transfer'!$B$4,'Compliance Database'!$A222='Data Transfer'!$B$5),OR('Data Transfer'!$B$6="",ISNUMBER(SEARCH('Data Transfer'!$B$6,'Compliance Database'!$D222&amp;" "&amp;'Compliance Database'!$L222&amp;" "&amp;'Compliance Database'!$M222&amp;" "&amp;'Compliance Database'!$N222&amp;" "&amp;'Compliance Database'!$O222)))),1,0)</f>
        <v/>
      </c>
      <c r="B222">
        <f>IF($A222=1,SUM($A$2:$A222),"")</f>
        <v/>
      </c>
      <c r="C222">
        <f>IF($A222=1,SUM($A$2:$A222),0)</f>
        <v/>
      </c>
    </row>
    <row r="223">
      <c r="A223">
        <f>IF(AND(OR('Compliance Database'!$A223='Data Transfer'!$B$4,'Compliance Database'!$A223='Data Transfer'!$B$5),OR('Data Transfer'!$B$6="",ISNUMBER(SEARCH('Data Transfer'!$B$6,'Compliance Database'!$D223&amp;" "&amp;'Compliance Database'!$L223&amp;" "&amp;'Compliance Database'!$M223&amp;" "&amp;'Compliance Database'!$N223&amp;" "&amp;'Compliance Database'!$O223)))),1,0)</f>
        <v/>
      </c>
      <c r="B223">
        <f>IF($A223=1,SUM($A$2:$A223),"")</f>
        <v/>
      </c>
      <c r="C223">
        <f>IF($A223=1,SUM($A$2:$A223),0)</f>
        <v/>
      </c>
    </row>
    <row r="224">
      <c r="A224">
        <f>IF(AND(OR('Compliance Database'!$A224='Data Transfer'!$B$4,'Compliance Database'!$A224='Data Transfer'!$B$5),OR('Data Transfer'!$B$6="",ISNUMBER(SEARCH('Data Transfer'!$B$6,'Compliance Database'!$D224&amp;" "&amp;'Compliance Database'!$L224&amp;" "&amp;'Compliance Database'!$M224&amp;" "&amp;'Compliance Database'!$N224&amp;" "&amp;'Compliance Database'!$O224)))),1,0)</f>
        <v/>
      </c>
      <c r="B224">
        <f>IF($A224=1,SUM($A$2:$A224),"")</f>
        <v/>
      </c>
      <c r="C224">
        <f>IF($A224=1,SUM($A$2:$A224),0)</f>
        <v/>
      </c>
    </row>
    <row r="225">
      <c r="A225">
        <f>IF(AND(OR('Compliance Database'!$A225='Data Transfer'!$B$4,'Compliance Database'!$A225='Data Transfer'!$B$5),OR('Data Transfer'!$B$6="",ISNUMBER(SEARCH('Data Transfer'!$B$6,'Compliance Database'!$D225&amp;" "&amp;'Compliance Database'!$L225&amp;" "&amp;'Compliance Database'!$M225&amp;" "&amp;'Compliance Database'!$N225&amp;" "&amp;'Compliance Database'!$O225)))),1,0)</f>
        <v/>
      </c>
      <c r="B225">
        <f>IF($A225=1,SUM($A$2:$A225),"")</f>
        <v/>
      </c>
      <c r="C225">
        <f>IF($A225=1,SUM($A$2:$A225),0)</f>
        <v/>
      </c>
    </row>
    <row r="226">
      <c r="A226">
        <f>IF(AND(OR('Compliance Database'!$A226='Data Transfer'!$B$4,'Compliance Database'!$A226='Data Transfer'!$B$5),OR('Data Transfer'!$B$6="",ISNUMBER(SEARCH('Data Transfer'!$B$6,'Compliance Database'!$D226&amp;" "&amp;'Compliance Database'!$L226&amp;" "&amp;'Compliance Database'!$M226&amp;" "&amp;'Compliance Database'!$N226&amp;" "&amp;'Compliance Database'!$O226)))),1,0)</f>
        <v/>
      </c>
      <c r="B226">
        <f>IF($A226=1,SUM($A$2:$A226),"")</f>
        <v/>
      </c>
      <c r="C226">
        <f>IF($A226=1,SUM($A$2:$A226),0)</f>
        <v/>
      </c>
    </row>
    <row r="227">
      <c r="A227">
        <f>IF(AND(OR('Compliance Database'!$A227='Data Transfer'!$B$4,'Compliance Database'!$A227='Data Transfer'!$B$5),OR('Data Transfer'!$B$6="",ISNUMBER(SEARCH('Data Transfer'!$B$6,'Compliance Database'!$D227&amp;" "&amp;'Compliance Database'!$L227&amp;" "&amp;'Compliance Database'!$M227&amp;" "&amp;'Compliance Database'!$N227&amp;" "&amp;'Compliance Database'!$O227)))),1,0)</f>
        <v/>
      </c>
      <c r="B227">
        <f>IF($A227=1,SUM($A$2:$A227),"")</f>
        <v/>
      </c>
      <c r="C227">
        <f>IF($A227=1,SUM($A$2:$A227),0)</f>
        <v/>
      </c>
    </row>
    <row r="228">
      <c r="A228">
        <f>IF(AND(OR('Compliance Database'!$A228='Data Transfer'!$B$4,'Compliance Database'!$A228='Data Transfer'!$B$5),OR('Data Transfer'!$B$6="",ISNUMBER(SEARCH('Data Transfer'!$B$6,'Compliance Database'!$D228&amp;" "&amp;'Compliance Database'!$L228&amp;" "&amp;'Compliance Database'!$M228&amp;" "&amp;'Compliance Database'!$N228&amp;" "&amp;'Compliance Database'!$O228)))),1,0)</f>
        <v/>
      </c>
      <c r="B228">
        <f>IF($A228=1,SUM($A$2:$A228),"")</f>
        <v/>
      </c>
      <c r="C228">
        <f>IF($A228=1,SUM($A$2:$A228),0)</f>
        <v/>
      </c>
    </row>
    <row r="229">
      <c r="A229">
        <f>IF(AND(OR('Compliance Database'!$A229='Data Transfer'!$B$4,'Compliance Database'!$A229='Data Transfer'!$B$5),OR('Data Transfer'!$B$6="",ISNUMBER(SEARCH('Data Transfer'!$B$6,'Compliance Database'!$D229&amp;" "&amp;'Compliance Database'!$L229&amp;" "&amp;'Compliance Database'!$M229&amp;" "&amp;'Compliance Database'!$N229&amp;" "&amp;'Compliance Database'!$O229)))),1,0)</f>
        <v/>
      </c>
      <c r="B229">
        <f>IF($A229=1,SUM($A$2:$A229),"")</f>
        <v/>
      </c>
      <c r="C229">
        <f>IF($A229=1,SUM($A$2:$A229),0)</f>
        <v/>
      </c>
    </row>
    <row r="230">
      <c r="A230">
        <f>IF(AND(OR('Compliance Database'!$A230='Data Transfer'!$B$4,'Compliance Database'!$A230='Data Transfer'!$B$5),OR('Data Transfer'!$B$6="",ISNUMBER(SEARCH('Data Transfer'!$B$6,'Compliance Database'!$D230&amp;" "&amp;'Compliance Database'!$L230&amp;" "&amp;'Compliance Database'!$M230&amp;" "&amp;'Compliance Database'!$N230&amp;" "&amp;'Compliance Database'!$O230)))),1,0)</f>
        <v/>
      </c>
      <c r="B230">
        <f>IF($A230=1,SUM($A$2:$A230),"")</f>
        <v/>
      </c>
      <c r="C230">
        <f>IF($A230=1,SUM($A$2:$A230),0)</f>
        <v/>
      </c>
    </row>
    <row r="231">
      <c r="A231">
        <f>IF(AND(OR('Compliance Database'!$A231='Data Transfer'!$B$4,'Compliance Database'!$A231='Data Transfer'!$B$5),OR('Data Transfer'!$B$6="",ISNUMBER(SEARCH('Data Transfer'!$B$6,'Compliance Database'!$D231&amp;" "&amp;'Compliance Database'!$L231&amp;" "&amp;'Compliance Database'!$M231&amp;" "&amp;'Compliance Database'!$N231&amp;" "&amp;'Compliance Database'!$O231)))),1,0)</f>
        <v/>
      </c>
      <c r="B231">
        <f>IF($A231=1,SUM($A$2:$A231),"")</f>
        <v/>
      </c>
      <c r="C231">
        <f>IF($A231=1,SUM($A$2:$A231),0)</f>
        <v/>
      </c>
    </row>
    <row r="232">
      <c r="A232">
        <f>IF(AND(OR('Compliance Database'!$A232='Data Transfer'!$B$4,'Compliance Database'!$A232='Data Transfer'!$B$5),OR('Data Transfer'!$B$6="",ISNUMBER(SEARCH('Data Transfer'!$B$6,'Compliance Database'!$D232&amp;" "&amp;'Compliance Database'!$L232&amp;" "&amp;'Compliance Database'!$M232&amp;" "&amp;'Compliance Database'!$N232&amp;" "&amp;'Compliance Database'!$O232)))),1,0)</f>
        <v/>
      </c>
      <c r="B232">
        <f>IF($A232=1,SUM($A$2:$A232),"")</f>
        <v/>
      </c>
      <c r="C232">
        <f>IF($A232=1,SUM($A$2:$A232),0)</f>
        <v/>
      </c>
    </row>
    <row r="233">
      <c r="A233">
        <f>IF(AND(OR('Compliance Database'!$A233='Data Transfer'!$B$4,'Compliance Database'!$A233='Data Transfer'!$B$5),OR('Data Transfer'!$B$6="",ISNUMBER(SEARCH('Data Transfer'!$B$6,'Compliance Database'!$D233&amp;" "&amp;'Compliance Database'!$L233&amp;" "&amp;'Compliance Database'!$M233&amp;" "&amp;'Compliance Database'!$N233&amp;" "&amp;'Compliance Database'!$O233)))),1,0)</f>
        <v/>
      </c>
      <c r="B233">
        <f>IF($A233=1,SUM($A$2:$A233),"")</f>
        <v/>
      </c>
      <c r="C233">
        <f>IF($A233=1,SUM($A$2:$A233),0)</f>
        <v/>
      </c>
    </row>
    <row r="234">
      <c r="A234">
        <f>IF(AND(OR('Compliance Database'!$A234='Data Transfer'!$B$4,'Compliance Database'!$A234='Data Transfer'!$B$5),OR('Data Transfer'!$B$6="",ISNUMBER(SEARCH('Data Transfer'!$B$6,'Compliance Database'!$D234&amp;" "&amp;'Compliance Database'!$L234&amp;" "&amp;'Compliance Database'!$M234&amp;" "&amp;'Compliance Database'!$N234&amp;" "&amp;'Compliance Database'!$O234)))),1,0)</f>
        <v/>
      </c>
      <c r="B234">
        <f>IF($A234=1,SUM($A$2:$A234),"")</f>
        <v/>
      </c>
      <c r="C234">
        <f>IF($A234=1,SUM($A$2:$A234),0)</f>
        <v/>
      </c>
    </row>
    <row r="235">
      <c r="A235">
        <f>IF(AND(OR('Compliance Database'!$A235='Data Transfer'!$B$4,'Compliance Database'!$A235='Data Transfer'!$B$5),OR('Data Transfer'!$B$6="",ISNUMBER(SEARCH('Data Transfer'!$B$6,'Compliance Database'!$D235&amp;" "&amp;'Compliance Database'!$L235&amp;" "&amp;'Compliance Database'!$M235&amp;" "&amp;'Compliance Database'!$N235&amp;" "&amp;'Compliance Database'!$O235)))),1,0)</f>
        <v/>
      </c>
      <c r="B235">
        <f>IF($A235=1,SUM($A$2:$A235),"")</f>
        <v/>
      </c>
      <c r="C235">
        <f>IF($A235=1,SUM($A$2:$A235),0)</f>
        <v/>
      </c>
    </row>
    <row r="236">
      <c r="A236">
        <f>IF(AND(OR('Compliance Database'!$A236='Data Transfer'!$B$4,'Compliance Database'!$A236='Data Transfer'!$B$5),OR('Data Transfer'!$B$6="",ISNUMBER(SEARCH('Data Transfer'!$B$6,'Compliance Database'!$D236&amp;" "&amp;'Compliance Database'!$L236&amp;" "&amp;'Compliance Database'!$M236&amp;" "&amp;'Compliance Database'!$N236&amp;" "&amp;'Compliance Database'!$O236)))),1,0)</f>
        <v/>
      </c>
      <c r="B236">
        <f>IF($A236=1,SUM($A$2:$A236),"")</f>
        <v/>
      </c>
      <c r="C236">
        <f>IF($A236=1,SUM($A$2:$A236),0)</f>
        <v/>
      </c>
    </row>
    <row r="237">
      <c r="A237">
        <f>IF(AND(OR('Compliance Database'!$A237='Data Transfer'!$B$4,'Compliance Database'!$A237='Data Transfer'!$B$5),OR('Data Transfer'!$B$6="",ISNUMBER(SEARCH('Data Transfer'!$B$6,'Compliance Database'!$D237&amp;" "&amp;'Compliance Database'!$L237&amp;" "&amp;'Compliance Database'!$M237&amp;" "&amp;'Compliance Database'!$N237&amp;" "&amp;'Compliance Database'!$O237)))),1,0)</f>
        <v/>
      </c>
      <c r="B237">
        <f>IF($A237=1,SUM($A$2:$A237),"")</f>
        <v/>
      </c>
      <c r="C237">
        <f>IF($A237=1,SUM($A$2:$A237),0)</f>
        <v/>
      </c>
    </row>
    <row r="238">
      <c r="A238">
        <f>IF(AND(OR('Compliance Database'!$A238='Data Transfer'!$B$4,'Compliance Database'!$A238='Data Transfer'!$B$5),OR('Data Transfer'!$B$6="",ISNUMBER(SEARCH('Data Transfer'!$B$6,'Compliance Database'!$D238&amp;" "&amp;'Compliance Database'!$L238&amp;" "&amp;'Compliance Database'!$M238&amp;" "&amp;'Compliance Database'!$N238&amp;" "&amp;'Compliance Database'!$O238)))),1,0)</f>
        <v/>
      </c>
      <c r="B238">
        <f>IF($A238=1,SUM($A$2:$A238),"")</f>
        <v/>
      </c>
      <c r="C238">
        <f>IF($A238=1,SUM($A$2:$A238),0)</f>
        <v/>
      </c>
    </row>
    <row r="239">
      <c r="A239">
        <f>IF(AND(OR('Compliance Database'!$A239='Data Transfer'!$B$4,'Compliance Database'!$A239='Data Transfer'!$B$5),OR('Data Transfer'!$B$6="",ISNUMBER(SEARCH('Data Transfer'!$B$6,'Compliance Database'!$D239&amp;" "&amp;'Compliance Database'!$L239&amp;" "&amp;'Compliance Database'!$M239&amp;" "&amp;'Compliance Database'!$N239&amp;" "&amp;'Compliance Database'!$O239)))),1,0)</f>
        <v/>
      </c>
      <c r="B239">
        <f>IF($A239=1,SUM($A$2:$A239),"")</f>
        <v/>
      </c>
      <c r="C239">
        <f>IF($A239=1,SUM($A$2:$A239),0)</f>
        <v/>
      </c>
    </row>
    <row r="240">
      <c r="A240">
        <f>IF(AND(OR('Compliance Database'!$A240='Data Transfer'!$B$4,'Compliance Database'!$A240='Data Transfer'!$B$5),OR('Data Transfer'!$B$6="",ISNUMBER(SEARCH('Data Transfer'!$B$6,'Compliance Database'!$D240&amp;" "&amp;'Compliance Database'!$L240&amp;" "&amp;'Compliance Database'!$M240&amp;" "&amp;'Compliance Database'!$N240&amp;" "&amp;'Compliance Database'!$O240)))),1,0)</f>
        <v/>
      </c>
      <c r="B240">
        <f>IF($A240=1,SUM($A$2:$A240),"")</f>
        <v/>
      </c>
      <c r="C240">
        <f>IF($A240=1,SUM($A$2:$A240),0)</f>
        <v/>
      </c>
    </row>
    <row r="241">
      <c r="A241">
        <f>IF(AND(OR('Compliance Database'!$A241='Data Transfer'!$B$4,'Compliance Database'!$A241='Data Transfer'!$B$5),OR('Data Transfer'!$B$6="",ISNUMBER(SEARCH('Data Transfer'!$B$6,'Compliance Database'!$D241&amp;" "&amp;'Compliance Database'!$L241&amp;" "&amp;'Compliance Database'!$M241&amp;" "&amp;'Compliance Database'!$N241&amp;" "&amp;'Compliance Database'!$O241)))),1,0)</f>
        <v/>
      </c>
      <c r="B241">
        <f>IF($A241=1,SUM($A$2:$A241),"")</f>
        <v/>
      </c>
      <c r="C241">
        <f>IF($A241=1,SUM($A$2:$A241),0)</f>
        <v/>
      </c>
    </row>
    <row r="242">
      <c r="A242">
        <f>IF(AND(OR('Compliance Database'!$A242='Data Transfer'!$B$4,'Compliance Database'!$A242='Data Transfer'!$B$5),OR('Data Transfer'!$B$6="",ISNUMBER(SEARCH('Data Transfer'!$B$6,'Compliance Database'!$D242&amp;" "&amp;'Compliance Database'!$L242&amp;" "&amp;'Compliance Database'!$M242&amp;" "&amp;'Compliance Database'!$N242&amp;" "&amp;'Compliance Database'!$O242)))),1,0)</f>
        <v/>
      </c>
      <c r="B242">
        <f>IF($A242=1,SUM($A$2:$A242),"")</f>
        <v/>
      </c>
      <c r="C242">
        <f>IF($A242=1,SUM($A$2:$A242),0)</f>
        <v/>
      </c>
    </row>
    <row r="243">
      <c r="A243">
        <f>IF(AND(OR('Compliance Database'!$A243='Data Transfer'!$B$4,'Compliance Database'!$A243='Data Transfer'!$B$5),OR('Data Transfer'!$B$6="",ISNUMBER(SEARCH('Data Transfer'!$B$6,'Compliance Database'!$D243&amp;" "&amp;'Compliance Database'!$L243&amp;" "&amp;'Compliance Database'!$M243&amp;" "&amp;'Compliance Database'!$N243&amp;" "&amp;'Compliance Database'!$O243)))),1,0)</f>
        <v/>
      </c>
      <c r="B243">
        <f>IF($A243=1,SUM($A$2:$A243),"")</f>
        <v/>
      </c>
      <c r="C243">
        <f>IF($A243=1,SUM($A$2:$A243),0)</f>
        <v/>
      </c>
    </row>
    <row r="244">
      <c r="A244">
        <f>IF(AND(OR('Compliance Database'!$A244='Data Transfer'!$B$4,'Compliance Database'!$A244='Data Transfer'!$B$5),OR('Data Transfer'!$B$6="",ISNUMBER(SEARCH('Data Transfer'!$B$6,'Compliance Database'!$D244&amp;" "&amp;'Compliance Database'!$L244&amp;" "&amp;'Compliance Database'!$M244&amp;" "&amp;'Compliance Database'!$N244&amp;" "&amp;'Compliance Database'!$O244)))),1,0)</f>
        <v/>
      </c>
      <c r="B244">
        <f>IF($A244=1,SUM($A$2:$A244),"")</f>
        <v/>
      </c>
      <c r="C244">
        <f>IF($A244=1,SUM($A$2:$A244),0)</f>
        <v/>
      </c>
    </row>
    <row r="245">
      <c r="A245">
        <f>IF(AND(OR('Compliance Database'!$A245='Data Transfer'!$B$4,'Compliance Database'!$A245='Data Transfer'!$B$5),OR('Data Transfer'!$B$6="",ISNUMBER(SEARCH('Data Transfer'!$B$6,'Compliance Database'!$D245&amp;" "&amp;'Compliance Database'!$L245&amp;" "&amp;'Compliance Database'!$M245&amp;" "&amp;'Compliance Database'!$N245&amp;" "&amp;'Compliance Database'!$O245)))),1,0)</f>
        <v/>
      </c>
      <c r="B245">
        <f>IF($A245=1,SUM($A$2:$A245),"")</f>
        <v/>
      </c>
      <c r="C245">
        <f>IF($A245=1,SUM($A$2:$A245),0)</f>
        <v/>
      </c>
    </row>
    <row r="246">
      <c r="A246">
        <f>IF(AND(OR('Compliance Database'!$A246='Data Transfer'!$B$4,'Compliance Database'!$A246='Data Transfer'!$B$5),OR('Data Transfer'!$B$6="",ISNUMBER(SEARCH('Data Transfer'!$B$6,'Compliance Database'!$D246&amp;" "&amp;'Compliance Database'!$L246&amp;" "&amp;'Compliance Database'!$M246&amp;" "&amp;'Compliance Database'!$N246&amp;" "&amp;'Compliance Database'!$O246)))),1,0)</f>
        <v/>
      </c>
      <c r="B246">
        <f>IF($A246=1,SUM($A$2:$A246),"")</f>
        <v/>
      </c>
      <c r="C246">
        <f>IF($A246=1,SUM($A$2:$A246),0)</f>
        <v/>
      </c>
    </row>
    <row r="247">
      <c r="A247">
        <f>IF(AND(OR('Compliance Database'!$A247='Data Transfer'!$B$4,'Compliance Database'!$A247='Data Transfer'!$B$5),OR('Data Transfer'!$B$6="",ISNUMBER(SEARCH('Data Transfer'!$B$6,'Compliance Database'!$D247&amp;" "&amp;'Compliance Database'!$L247&amp;" "&amp;'Compliance Database'!$M247&amp;" "&amp;'Compliance Database'!$N247&amp;" "&amp;'Compliance Database'!$O247)))),1,0)</f>
        <v/>
      </c>
      <c r="B247">
        <f>IF($A247=1,SUM($A$2:$A247),"")</f>
        <v/>
      </c>
      <c r="C247">
        <f>IF($A247=1,SUM($A$2:$A247),0)</f>
        <v/>
      </c>
    </row>
    <row r="248">
      <c r="A248">
        <f>IF(AND(OR('Compliance Database'!$A248='Data Transfer'!$B$4,'Compliance Database'!$A248='Data Transfer'!$B$5),OR('Data Transfer'!$B$6="",ISNUMBER(SEARCH('Data Transfer'!$B$6,'Compliance Database'!$D248&amp;" "&amp;'Compliance Database'!$L248&amp;" "&amp;'Compliance Database'!$M248&amp;" "&amp;'Compliance Database'!$N248&amp;" "&amp;'Compliance Database'!$O248)))),1,0)</f>
        <v/>
      </c>
      <c r="B248">
        <f>IF($A248=1,SUM($A$2:$A248),"")</f>
        <v/>
      </c>
      <c r="C248">
        <f>IF($A248=1,SUM($A$2:$A248),0)</f>
        <v/>
      </c>
    </row>
    <row r="249">
      <c r="A249">
        <f>IF(AND(OR('Compliance Database'!$A249='Data Transfer'!$B$4,'Compliance Database'!$A249='Data Transfer'!$B$5),OR('Data Transfer'!$B$6="",ISNUMBER(SEARCH('Data Transfer'!$B$6,'Compliance Database'!$D249&amp;" "&amp;'Compliance Database'!$L249&amp;" "&amp;'Compliance Database'!$M249&amp;" "&amp;'Compliance Database'!$N249&amp;" "&amp;'Compliance Database'!$O249)))),1,0)</f>
        <v/>
      </c>
      <c r="B249">
        <f>IF($A249=1,SUM($A$2:$A249),"")</f>
        <v/>
      </c>
      <c r="C249">
        <f>IF($A249=1,SUM($A$2:$A249),0)</f>
        <v/>
      </c>
    </row>
    <row r="250">
      <c r="A250">
        <f>IF(AND(OR('Compliance Database'!$A250='Data Transfer'!$B$4,'Compliance Database'!$A250='Data Transfer'!$B$5),OR('Data Transfer'!$B$6="",ISNUMBER(SEARCH('Data Transfer'!$B$6,'Compliance Database'!$D250&amp;" "&amp;'Compliance Database'!$L250&amp;" "&amp;'Compliance Database'!$M250&amp;" "&amp;'Compliance Database'!$N250&amp;" "&amp;'Compliance Database'!$O250)))),1,0)</f>
        <v/>
      </c>
      <c r="B250">
        <f>IF($A250=1,SUM($A$2:$A250),"")</f>
        <v/>
      </c>
      <c r="C250">
        <f>IF($A250=1,SUM($A$2:$A250),0)</f>
        <v/>
      </c>
    </row>
    <row r="251">
      <c r="A251">
        <f>IF(AND(OR('Compliance Database'!$A251='Data Transfer'!$B$4,'Compliance Database'!$A251='Data Transfer'!$B$5),OR('Data Transfer'!$B$6="",ISNUMBER(SEARCH('Data Transfer'!$B$6,'Compliance Database'!$D251&amp;" "&amp;'Compliance Database'!$L251&amp;" "&amp;'Compliance Database'!$M251&amp;" "&amp;'Compliance Database'!$N251&amp;" "&amp;'Compliance Database'!$O251)))),1,0)</f>
        <v/>
      </c>
      <c r="B251">
        <f>IF($A251=1,SUM($A$2:$A251),"")</f>
        <v/>
      </c>
      <c r="C251">
        <f>IF($A251=1,SUM($A$2:$A251),0)</f>
        <v/>
      </c>
    </row>
    <row r="252">
      <c r="A252">
        <f>IF(AND(OR('Compliance Database'!$A252='Data Transfer'!$B$4,'Compliance Database'!$A252='Data Transfer'!$B$5),OR('Data Transfer'!$B$6="",ISNUMBER(SEARCH('Data Transfer'!$B$6,'Compliance Database'!$D252&amp;" "&amp;'Compliance Database'!$L252&amp;" "&amp;'Compliance Database'!$M252&amp;" "&amp;'Compliance Database'!$N252&amp;" "&amp;'Compliance Database'!$O252)))),1,0)</f>
        <v/>
      </c>
      <c r="B252">
        <f>IF($A252=1,SUM($A$2:$A252),"")</f>
        <v/>
      </c>
      <c r="C252">
        <f>IF($A252=1,SUM($A$2:$A252),0)</f>
        <v/>
      </c>
    </row>
    <row r="253">
      <c r="A253">
        <f>IF(AND(OR('Compliance Database'!$A253='Data Transfer'!$B$4,'Compliance Database'!$A253='Data Transfer'!$B$5),OR('Data Transfer'!$B$6="",ISNUMBER(SEARCH('Data Transfer'!$B$6,'Compliance Database'!$D253&amp;" "&amp;'Compliance Database'!$L253&amp;" "&amp;'Compliance Database'!$M253&amp;" "&amp;'Compliance Database'!$N253&amp;" "&amp;'Compliance Database'!$O253)))),1,0)</f>
        <v/>
      </c>
      <c r="B253">
        <f>IF($A253=1,SUM($A$2:$A253),"")</f>
        <v/>
      </c>
      <c r="C253">
        <f>IF($A253=1,SUM($A$2:$A253),0)</f>
        <v/>
      </c>
    </row>
    <row r="254">
      <c r="A254">
        <f>IF(AND(OR('Compliance Database'!$A254='Data Transfer'!$B$4,'Compliance Database'!$A254='Data Transfer'!$B$5),OR('Data Transfer'!$B$6="",ISNUMBER(SEARCH('Data Transfer'!$B$6,'Compliance Database'!$D254&amp;" "&amp;'Compliance Database'!$L254&amp;" "&amp;'Compliance Database'!$M254&amp;" "&amp;'Compliance Database'!$N254&amp;" "&amp;'Compliance Database'!$O254)))),1,0)</f>
        <v/>
      </c>
      <c r="B254">
        <f>IF($A254=1,SUM($A$2:$A254),"")</f>
        <v/>
      </c>
      <c r="C254">
        <f>IF($A254=1,SUM($A$2:$A254),0)</f>
        <v/>
      </c>
    </row>
    <row r="255">
      <c r="A255">
        <f>IF(AND(OR('Compliance Database'!$A255='Data Transfer'!$B$4,'Compliance Database'!$A255='Data Transfer'!$B$5),OR('Data Transfer'!$B$6="",ISNUMBER(SEARCH('Data Transfer'!$B$6,'Compliance Database'!$D255&amp;" "&amp;'Compliance Database'!$L255&amp;" "&amp;'Compliance Database'!$M255&amp;" "&amp;'Compliance Database'!$N255&amp;" "&amp;'Compliance Database'!$O255)))),1,0)</f>
        <v/>
      </c>
      <c r="B255">
        <f>IF($A255=1,SUM($A$2:$A255),"")</f>
        <v/>
      </c>
      <c r="C255">
        <f>IF($A255=1,SUM($A$2:$A255),0)</f>
        <v/>
      </c>
    </row>
    <row r="256">
      <c r="A256">
        <f>IF(AND(OR('Compliance Database'!$A256='Data Transfer'!$B$4,'Compliance Database'!$A256='Data Transfer'!$B$5),OR('Data Transfer'!$B$6="",ISNUMBER(SEARCH('Data Transfer'!$B$6,'Compliance Database'!$D256&amp;" "&amp;'Compliance Database'!$L256&amp;" "&amp;'Compliance Database'!$M256&amp;" "&amp;'Compliance Database'!$N256&amp;" "&amp;'Compliance Database'!$O256)))),1,0)</f>
        <v/>
      </c>
      <c r="B256">
        <f>IF($A256=1,SUM($A$2:$A256),"")</f>
        <v/>
      </c>
      <c r="C256">
        <f>IF($A256=1,SUM($A$2:$A256),0)</f>
        <v/>
      </c>
    </row>
    <row r="257">
      <c r="A257">
        <f>IF(AND(OR('Compliance Database'!$A257='Data Transfer'!$B$4,'Compliance Database'!$A257='Data Transfer'!$B$5),OR('Data Transfer'!$B$6="",ISNUMBER(SEARCH('Data Transfer'!$B$6,'Compliance Database'!$D257&amp;" "&amp;'Compliance Database'!$L257&amp;" "&amp;'Compliance Database'!$M257&amp;" "&amp;'Compliance Database'!$N257&amp;" "&amp;'Compliance Database'!$O257)))),1,0)</f>
        <v/>
      </c>
      <c r="B257">
        <f>IF($A257=1,SUM($A$2:$A257),"")</f>
        <v/>
      </c>
      <c r="C257">
        <f>IF($A257=1,SUM($A$2:$A257),0)</f>
        <v/>
      </c>
    </row>
    <row r="258">
      <c r="A258">
        <f>IF(AND(OR('Compliance Database'!$A258='Data Transfer'!$B$4,'Compliance Database'!$A258='Data Transfer'!$B$5),OR('Data Transfer'!$B$6="",ISNUMBER(SEARCH('Data Transfer'!$B$6,'Compliance Database'!$D258&amp;" "&amp;'Compliance Database'!$L258&amp;" "&amp;'Compliance Database'!$M258&amp;" "&amp;'Compliance Database'!$N258&amp;" "&amp;'Compliance Database'!$O258)))),1,0)</f>
        <v/>
      </c>
      <c r="B258">
        <f>IF($A258=1,SUM($A$2:$A258),"")</f>
        <v/>
      </c>
      <c r="C258">
        <f>IF($A258=1,SUM($A$2:$A258),0)</f>
        <v/>
      </c>
    </row>
    <row r="259">
      <c r="A259">
        <f>IF(AND(OR('Compliance Database'!$A259='Data Transfer'!$B$4,'Compliance Database'!$A259='Data Transfer'!$B$5),OR('Data Transfer'!$B$6="",ISNUMBER(SEARCH('Data Transfer'!$B$6,'Compliance Database'!$D259&amp;" "&amp;'Compliance Database'!$L259&amp;" "&amp;'Compliance Database'!$M259&amp;" "&amp;'Compliance Database'!$N259&amp;" "&amp;'Compliance Database'!$O259)))),1,0)</f>
        <v/>
      </c>
      <c r="B259">
        <f>IF($A259=1,SUM($A$2:$A259),"")</f>
        <v/>
      </c>
      <c r="C259">
        <f>IF($A259=1,SUM($A$2:$A259),0)</f>
        <v/>
      </c>
    </row>
    <row r="260">
      <c r="A260">
        <f>IF(AND(OR('Compliance Database'!$A260='Data Transfer'!$B$4,'Compliance Database'!$A260='Data Transfer'!$B$5),OR('Data Transfer'!$B$6="",ISNUMBER(SEARCH('Data Transfer'!$B$6,'Compliance Database'!$D260&amp;" "&amp;'Compliance Database'!$L260&amp;" "&amp;'Compliance Database'!$M260&amp;" "&amp;'Compliance Database'!$N260&amp;" "&amp;'Compliance Database'!$O260)))),1,0)</f>
        <v/>
      </c>
      <c r="B260">
        <f>IF($A260=1,SUM($A$2:$A260),"")</f>
        <v/>
      </c>
      <c r="C260">
        <f>IF($A260=1,SUM($A$2:$A260),0)</f>
        <v/>
      </c>
    </row>
    <row r="261">
      <c r="A261">
        <f>IF(AND(OR('Compliance Database'!$A261='Data Transfer'!$B$4,'Compliance Database'!$A261='Data Transfer'!$B$5),OR('Data Transfer'!$B$6="",ISNUMBER(SEARCH('Data Transfer'!$B$6,'Compliance Database'!$D261&amp;" "&amp;'Compliance Database'!$L261&amp;" "&amp;'Compliance Database'!$M261&amp;" "&amp;'Compliance Database'!$N261&amp;" "&amp;'Compliance Database'!$O261)))),1,0)</f>
        <v/>
      </c>
      <c r="B261">
        <f>IF($A261=1,SUM($A$2:$A261),"")</f>
        <v/>
      </c>
      <c r="C261">
        <f>IF($A261=1,SUM($A$2:$A261),0)</f>
        <v/>
      </c>
    </row>
    <row r="262">
      <c r="A262">
        <f>IF(AND(OR('Compliance Database'!$A262='Data Transfer'!$B$4,'Compliance Database'!$A262='Data Transfer'!$B$5),OR('Data Transfer'!$B$6="",ISNUMBER(SEARCH('Data Transfer'!$B$6,'Compliance Database'!$D262&amp;" "&amp;'Compliance Database'!$L262&amp;" "&amp;'Compliance Database'!$M262&amp;" "&amp;'Compliance Database'!$N262&amp;" "&amp;'Compliance Database'!$O262)))),1,0)</f>
        <v/>
      </c>
      <c r="B262">
        <f>IF($A262=1,SUM($A$2:$A262),"")</f>
        <v/>
      </c>
      <c r="C262">
        <f>IF($A262=1,SUM($A$2:$A262),0)</f>
        <v/>
      </c>
    </row>
    <row r="263">
      <c r="A263">
        <f>IF(AND(OR('Compliance Database'!$A263='Data Transfer'!$B$4,'Compliance Database'!$A263='Data Transfer'!$B$5),OR('Data Transfer'!$B$6="",ISNUMBER(SEARCH('Data Transfer'!$B$6,'Compliance Database'!$D263&amp;" "&amp;'Compliance Database'!$L263&amp;" "&amp;'Compliance Database'!$M263&amp;" "&amp;'Compliance Database'!$N263&amp;" "&amp;'Compliance Database'!$O263)))),1,0)</f>
        <v/>
      </c>
      <c r="B263">
        <f>IF($A263=1,SUM($A$2:$A263),"")</f>
        <v/>
      </c>
      <c r="C263">
        <f>IF($A263=1,SUM($A$2:$A263),0)</f>
        <v/>
      </c>
    </row>
    <row r="264">
      <c r="A264">
        <f>IF(AND(OR('Compliance Database'!$A264='Data Transfer'!$B$4,'Compliance Database'!$A264='Data Transfer'!$B$5),OR('Data Transfer'!$B$6="",ISNUMBER(SEARCH('Data Transfer'!$B$6,'Compliance Database'!$D264&amp;" "&amp;'Compliance Database'!$L264&amp;" "&amp;'Compliance Database'!$M264&amp;" "&amp;'Compliance Database'!$N264&amp;" "&amp;'Compliance Database'!$O264)))),1,0)</f>
        <v/>
      </c>
      <c r="B264">
        <f>IF($A264=1,SUM($A$2:$A264),"")</f>
        <v/>
      </c>
      <c r="C264">
        <f>IF($A264=1,SUM($A$2:$A264),0)</f>
        <v/>
      </c>
    </row>
    <row r="265">
      <c r="A265">
        <f>IF(AND(OR('Compliance Database'!$A265='Data Transfer'!$B$4,'Compliance Database'!$A265='Data Transfer'!$B$5),OR('Data Transfer'!$B$6="",ISNUMBER(SEARCH('Data Transfer'!$B$6,'Compliance Database'!$D265&amp;" "&amp;'Compliance Database'!$L265&amp;" "&amp;'Compliance Database'!$M265&amp;" "&amp;'Compliance Database'!$N265&amp;" "&amp;'Compliance Database'!$O265)))),1,0)</f>
        <v/>
      </c>
      <c r="B265">
        <f>IF($A265=1,SUM($A$2:$A265),"")</f>
        <v/>
      </c>
      <c r="C265">
        <f>IF($A265=1,SUM($A$2:$A265),0)</f>
        <v/>
      </c>
    </row>
    <row r="266">
      <c r="A266">
        <f>IF(AND(OR('Compliance Database'!$A266='Data Transfer'!$B$4,'Compliance Database'!$A266='Data Transfer'!$B$5),OR('Data Transfer'!$B$6="",ISNUMBER(SEARCH('Data Transfer'!$B$6,'Compliance Database'!$D266&amp;" "&amp;'Compliance Database'!$L266&amp;" "&amp;'Compliance Database'!$M266&amp;" "&amp;'Compliance Database'!$N266&amp;" "&amp;'Compliance Database'!$O266)))),1,0)</f>
        <v/>
      </c>
      <c r="B266">
        <f>IF($A266=1,SUM($A$2:$A266),"")</f>
        <v/>
      </c>
      <c r="C266">
        <f>IF($A266=1,SUM($A$2:$A266),0)</f>
        <v/>
      </c>
    </row>
    <row r="267">
      <c r="A267">
        <f>IF(AND(OR('Compliance Database'!$A267='Data Transfer'!$B$4,'Compliance Database'!$A267='Data Transfer'!$B$5),OR('Data Transfer'!$B$6="",ISNUMBER(SEARCH('Data Transfer'!$B$6,'Compliance Database'!$D267&amp;" "&amp;'Compliance Database'!$L267&amp;" "&amp;'Compliance Database'!$M267&amp;" "&amp;'Compliance Database'!$N267&amp;" "&amp;'Compliance Database'!$O267)))),1,0)</f>
        <v/>
      </c>
      <c r="B267">
        <f>IF($A267=1,SUM($A$2:$A267),"")</f>
        <v/>
      </c>
      <c r="C267">
        <f>IF($A267=1,SUM($A$2:$A267),0)</f>
        <v/>
      </c>
    </row>
    <row r="268">
      <c r="A268">
        <f>IF(AND(OR('Compliance Database'!$A268='Data Transfer'!$B$4,'Compliance Database'!$A268='Data Transfer'!$B$5),OR('Data Transfer'!$B$6="",ISNUMBER(SEARCH('Data Transfer'!$B$6,'Compliance Database'!$D268&amp;" "&amp;'Compliance Database'!$L268&amp;" "&amp;'Compliance Database'!$M268&amp;" "&amp;'Compliance Database'!$N268&amp;" "&amp;'Compliance Database'!$O268)))),1,0)</f>
        <v/>
      </c>
      <c r="B268">
        <f>IF($A268=1,SUM($A$2:$A268),"")</f>
        <v/>
      </c>
      <c r="C268">
        <f>IF($A268=1,SUM($A$2:$A268),0)</f>
        <v/>
      </c>
    </row>
    <row r="269">
      <c r="A269">
        <f>IF(AND(OR('Compliance Database'!$A269='Data Transfer'!$B$4,'Compliance Database'!$A269='Data Transfer'!$B$5),OR('Data Transfer'!$B$6="",ISNUMBER(SEARCH('Data Transfer'!$B$6,'Compliance Database'!$D269&amp;" "&amp;'Compliance Database'!$L269&amp;" "&amp;'Compliance Database'!$M269&amp;" "&amp;'Compliance Database'!$N269&amp;" "&amp;'Compliance Database'!$O269)))),1,0)</f>
        <v/>
      </c>
      <c r="B269">
        <f>IF($A269=1,SUM($A$2:$A269),"")</f>
        <v/>
      </c>
      <c r="C269">
        <f>IF($A269=1,SUM($A$2:$A269),0)</f>
        <v/>
      </c>
    </row>
    <row r="270">
      <c r="A270">
        <f>IF(AND(OR('Compliance Database'!$A270='Data Transfer'!$B$4,'Compliance Database'!$A270='Data Transfer'!$B$5),OR('Data Transfer'!$B$6="",ISNUMBER(SEARCH('Data Transfer'!$B$6,'Compliance Database'!$D270&amp;" "&amp;'Compliance Database'!$L270&amp;" "&amp;'Compliance Database'!$M270&amp;" "&amp;'Compliance Database'!$N270&amp;" "&amp;'Compliance Database'!$O270)))),1,0)</f>
        <v/>
      </c>
      <c r="B270">
        <f>IF($A270=1,SUM($A$2:$A270),"")</f>
        <v/>
      </c>
      <c r="C270">
        <f>IF($A270=1,SUM($A$2:$A270),0)</f>
        <v/>
      </c>
    </row>
    <row r="271">
      <c r="A271">
        <f>IF(AND(OR('Compliance Database'!$A271='Data Transfer'!$B$4,'Compliance Database'!$A271='Data Transfer'!$B$5),OR('Data Transfer'!$B$6="",ISNUMBER(SEARCH('Data Transfer'!$B$6,'Compliance Database'!$D271&amp;" "&amp;'Compliance Database'!$L271&amp;" "&amp;'Compliance Database'!$M271&amp;" "&amp;'Compliance Database'!$N271&amp;" "&amp;'Compliance Database'!$O271)))),1,0)</f>
        <v/>
      </c>
      <c r="B271">
        <f>IF($A271=1,SUM($A$2:$A271),"")</f>
        <v/>
      </c>
      <c r="C271">
        <f>IF($A271=1,SUM($A$2:$A271),0)</f>
        <v/>
      </c>
    </row>
    <row r="272">
      <c r="A272">
        <f>IF(AND(OR('Compliance Database'!$A272='Data Transfer'!$B$4,'Compliance Database'!$A272='Data Transfer'!$B$5),OR('Data Transfer'!$B$6="",ISNUMBER(SEARCH('Data Transfer'!$B$6,'Compliance Database'!$D272&amp;" "&amp;'Compliance Database'!$L272&amp;" "&amp;'Compliance Database'!$M272&amp;" "&amp;'Compliance Database'!$N272&amp;" "&amp;'Compliance Database'!$O272)))),1,0)</f>
        <v/>
      </c>
      <c r="B272">
        <f>IF($A272=1,SUM($A$2:$A272),"")</f>
        <v/>
      </c>
      <c r="C272">
        <f>IF($A272=1,SUM($A$2:$A272),0)</f>
        <v/>
      </c>
    </row>
    <row r="273">
      <c r="A273">
        <f>IF(AND(OR('Compliance Database'!$A273='Data Transfer'!$B$4,'Compliance Database'!$A273='Data Transfer'!$B$5),OR('Data Transfer'!$B$6="",ISNUMBER(SEARCH('Data Transfer'!$B$6,'Compliance Database'!$D273&amp;" "&amp;'Compliance Database'!$L273&amp;" "&amp;'Compliance Database'!$M273&amp;" "&amp;'Compliance Database'!$N273&amp;" "&amp;'Compliance Database'!$O273)))),1,0)</f>
        <v/>
      </c>
      <c r="B273">
        <f>IF($A273=1,SUM($A$2:$A273),"")</f>
        <v/>
      </c>
      <c r="C273">
        <f>IF($A273=1,SUM($A$2:$A273),0)</f>
        <v/>
      </c>
    </row>
    <row r="274">
      <c r="A274">
        <f>IF(AND(OR('Compliance Database'!$A274='Data Transfer'!$B$4,'Compliance Database'!$A274='Data Transfer'!$B$5),OR('Data Transfer'!$B$6="",ISNUMBER(SEARCH('Data Transfer'!$B$6,'Compliance Database'!$D274&amp;" "&amp;'Compliance Database'!$L274&amp;" "&amp;'Compliance Database'!$M274&amp;" "&amp;'Compliance Database'!$N274&amp;" "&amp;'Compliance Database'!$O274)))),1,0)</f>
        <v/>
      </c>
      <c r="B274">
        <f>IF($A274=1,SUM($A$2:$A274),"")</f>
        <v/>
      </c>
      <c r="C274">
        <f>IF($A274=1,SUM($A$2:$A274),0)</f>
        <v/>
      </c>
    </row>
    <row r="275">
      <c r="A275">
        <f>IF(AND(OR('Compliance Database'!$A275='Data Transfer'!$B$4,'Compliance Database'!$A275='Data Transfer'!$B$5),OR('Data Transfer'!$B$6="",ISNUMBER(SEARCH('Data Transfer'!$B$6,'Compliance Database'!$D275&amp;" "&amp;'Compliance Database'!$L275&amp;" "&amp;'Compliance Database'!$M275&amp;" "&amp;'Compliance Database'!$N275&amp;" "&amp;'Compliance Database'!$O275)))),1,0)</f>
        <v/>
      </c>
      <c r="B275">
        <f>IF($A275=1,SUM($A$2:$A275),"")</f>
        <v/>
      </c>
      <c r="C275">
        <f>IF($A275=1,SUM($A$2:$A275),0)</f>
        <v/>
      </c>
    </row>
    <row r="276">
      <c r="A276">
        <f>IF(AND(OR('Compliance Database'!$A276='Data Transfer'!$B$4,'Compliance Database'!$A276='Data Transfer'!$B$5),OR('Data Transfer'!$B$6="",ISNUMBER(SEARCH('Data Transfer'!$B$6,'Compliance Database'!$D276&amp;" "&amp;'Compliance Database'!$L276&amp;" "&amp;'Compliance Database'!$M276&amp;" "&amp;'Compliance Database'!$N276&amp;" "&amp;'Compliance Database'!$O276)))),1,0)</f>
        <v/>
      </c>
      <c r="B276">
        <f>IF($A276=1,SUM($A$2:$A276),"")</f>
        <v/>
      </c>
      <c r="C276">
        <f>IF($A276=1,SUM($A$2:$A276),0)</f>
        <v/>
      </c>
    </row>
    <row r="277">
      <c r="A277">
        <f>IF(AND(OR('Compliance Database'!$A277='Data Transfer'!$B$4,'Compliance Database'!$A277='Data Transfer'!$B$5),OR('Data Transfer'!$B$6="",ISNUMBER(SEARCH('Data Transfer'!$B$6,'Compliance Database'!$D277&amp;" "&amp;'Compliance Database'!$L277&amp;" "&amp;'Compliance Database'!$M277&amp;" "&amp;'Compliance Database'!$N277&amp;" "&amp;'Compliance Database'!$O277)))),1,0)</f>
        <v/>
      </c>
      <c r="B277">
        <f>IF($A277=1,SUM($A$2:$A277),"")</f>
        <v/>
      </c>
      <c r="C277">
        <f>IF($A277=1,SUM($A$2:$A277),0)</f>
        <v/>
      </c>
    </row>
    <row r="278">
      <c r="A278">
        <f>IF(AND(OR('Compliance Database'!$A278='Data Transfer'!$B$4,'Compliance Database'!$A278='Data Transfer'!$B$5),OR('Data Transfer'!$B$6="",ISNUMBER(SEARCH('Data Transfer'!$B$6,'Compliance Database'!$D278&amp;" "&amp;'Compliance Database'!$L278&amp;" "&amp;'Compliance Database'!$M278&amp;" "&amp;'Compliance Database'!$N278&amp;" "&amp;'Compliance Database'!$O278)))),1,0)</f>
        <v/>
      </c>
      <c r="B278">
        <f>IF($A278=1,SUM($A$2:$A278),"")</f>
        <v/>
      </c>
      <c r="C278">
        <f>IF($A278=1,SUM($A$2:$A278),0)</f>
        <v/>
      </c>
    </row>
    <row r="279">
      <c r="A279">
        <f>IF(AND(OR('Compliance Database'!$A279='Data Transfer'!$B$4,'Compliance Database'!$A279='Data Transfer'!$B$5),OR('Data Transfer'!$B$6="",ISNUMBER(SEARCH('Data Transfer'!$B$6,'Compliance Database'!$D279&amp;" "&amp;'Compliance Database'!$L279&amp;" "&amp;'Compliance Database'!$M279&amp;" "&amp;'Compliance Database'!$N279&amp;" "&amp;'Compliance Database'!$O279)))),1,0)</f>
        <v/>
      </c>
      <c r="B279">
        <f>IF($A279=1,SUM($A$2:$A279),"")</f>
        <v/>
      </c>
      <c r="C279">
        <f>IF($A279=1,SUM($A$2:$A279),0)</f>
        <v/>
      </c>
    </row>
    <row r="280">
      <c r="A280">
        <f>IF(AND(OR('Compliance Database'!$A280='Data Transfer'!$B$4,'Compliance Database'!$A280='Data Transfer'!$B$5),OR('Data Transfer'!$B$6="",ISNUMBER(SEARCH('Data Transfer'!$B$6,'Compliance Database'!$D280&amp;" "&amp;'Compliance Database'!$L280&amp;" "&amp;'Compliance Database'!$M280&amp;" "&amp;'Compliance Database'!$N280&amp;" "&amp;'Compliance Database'!$O280)))),1,0)</f>
        <v/>
      </c>
      <c r="B280">
        <f>IF($A280=1,SUM($A$2:$A280),"")</f>
        <v/>
      </c>
      <c r="C280">
        <f>IF($A280=1,SUM($A$2:$A280),0)</f>
        <v/>
      </c>
    </row>
    <row r="281">
      <c r="A281">
        <f>IF(AND(OR('Compliance Database'!$A281='Data Transfer'!$B$4,'Compliance Database'!$A281='Data Transfer'!$B$5),OR('Data Transfer'!$B$6="",ISNUMBER(SEARCH('Data Transfer'!$B$6,'Compliance Database'!$D281&amp;" "&amp;'Compliance Database'!$L281&amp;" "&amp;'Compliance Database'!$M281&amp;" "&amp;'Compliance Database'!$N281&amp;" "&amp;'Compliance Database'!$O281)))),1,0)</f>
        <v/>
      </c>
      <c r="B281">
        <f>IF($A281=1,SUM($A$2:$A281),"")</f>
        <v/>
      </c>
      <c r="C281">
        <f>IF($A281=1,SUM($A$2:$A281),0)</f>
        <v/>
      </c>
    </row>
    <row r="282">
      <c r="A282">
        <f>IF(AND(OR('Compliance Database'!$A282='Data Transfer'!$B$4,'Compliance Database'!$A282='Data Transfer'!$B$5),OR('Data Transfer'!$B$6="",ISNUMBER(SEARCH('Data Transfer'!$B$6,'Compliance Database'!$D282&amp;" "&amp;'Compliance Database'!$L282&amp;" "&amp;'Compliance Database'!$M282&amp;" "&amp;'Compliance Database'!$N282&amp;" "&amp;'Compliance Database'!$O282)))),1,0)</f>
        <v/>
      </c>
      <c r="B282">
        <f>IF($A282=1,SUM($A$2:$A282),"")</f>
        <v/>
      </c>
      <c r="C282">
        <f>IF($A282=1,SUM($A$2:$A282),0)</f>
        <v/>
      </c>
    </row>
    <row r="283">
      <c r="A283">
        <f>IF(AND(OR('Compliance Database'!$A283='Data Transfer'!$B$4,'Compliance Database'!$A283='Data Transfer'!$B$5),OR('Data Transfer'!$B$6="",ISNUMBER(SEARCH('Data Transfer'!$B$6,'Compliance Database'!$D283&amp;" "&amp;'Compliance Database'!$L283&amp;" "&amp;'Compliance Database'!$M283&amp;" "&amp;'Compliance Database'!$N283&amp;" "&amp;'Compliance Database'!$O283)))),1,0)</f>
        <v/>
      </c>
      <c r="B283">
        <f>IF($A283=1,SUM($A$2:$A283),"")</f>
        <v/>
      </c>
      <c r="C283">
        <f>IF($A283=1,SUM($A$2:$A283),0)</f>
        <v/>
      </c>
    </row>
    <row r="284">
      <c r="A284">
        <f>IF(AND(OR('Compliance Database'!$A284='Data Transfer'!$B$4,'Compliance Database'!$A284='Data Transfer'!$B$5),OR('Data Transfer'!$B$6="",ISNUMBER(SEARCH('Data Transfer'!$B$6,'Compliance Database'!$D284&amp;" "&amp;'Compliance Database'!$L284&amp;" "&amp;'Compliance Database'!$M284&amp;" "&amp;'Compliance Database'!$N284&amp;" "&amp;'Compliance Database'!$O284)))),1,0)</f>
        <v/>
      </c>
      <c r="B284">
        <f>IF($A284=1,SUM($A$2:$A284),"")</f>
        <v/>
      </c>
      <c r="C284">
        <f>IF($A284=1,SUM($A$2:$A284),0)</f>
        <v/>
      </c>
    </row>
    <row r="285">
      <c r="A285">
        <f>IF(AND(OR('Compliance Database'!$A285='Data Transfer'!$B$4,'Compliance Database'!$A285='Data Transfer'!$B$5),OR('Data Transfer'!$B$6="",ISNUMBER(SEARCH('Data Transfer'!$B$6,'Compliance Database'!$D285&amp;" "&amp;'Compliance Database'!$L285&amp;" "&amp;'Compliance Database'!$M285&amp;" "&amp;'Compliance Database'!$N285&amp;" "&amp;'Compliance Database'!$O285)))),1,0)</f>
        <v/>
      </c>
      <c r="B285">
        <f>IF($A285=1,SUM($A$2:$A285),"")</f>
        <v/>
      </c>
      <c r="C285">
        <f>IF($A285=1,SUM($A$2:$A285),0)</f>
        <v/>
      </c>
    </row>
    <row r="286">
      <c r="A286">
        <f>IF(AND(OR('Compliance Database'!$A286='Data Transfer'!$B$4,'Compliance Database'!$A286='Data Transfer'!$B$5),OR('Data Transfer'!$B$6="",ISNUMBER(SEARCH('Data Transfer'!$B$6,'Compliance Database'!$D286&amp;" "&amp;'Compliance Database'!$L286&amp;" "&amp;'Compliance Database'!$M286&amp;" "&amp;'Compliance Database'!$N286&amp;" "&amp;'Compliance Database'!$O286)))),1,0)</f>
        <v/>
      </c>
      <c r="B286">
        <f>IF($A286=1,SUM($A$2:$A286),"")</f>
        <v/>
      </c>
      <c r="C286">
        <f>IF($A286=1,SUM($A$2:$A286),0)</f>
        <v/>
      </c>
    </row>
    <row r="287">
      <c r="A287">
        <f>IF(AND(OR('Compliance Database'!$A287='Data Transfer'!$B$4,'Compliance Database'!$A287='Data Transfer'!$B$5),OR('Data Transfer'!$B$6="",ISNUMBER(SEARCH('Data Transfer'!$B$6,'Compliance Database'!$D287&amp;" "&amp;'Compliance Database'!$L287&amp;" "&amp;'Compliance Database'!$M287&amp;" "&amp;'Compliance Database'!$N287&amp;" "&amp;'Compliance Database'!$O287)))),1,0)</f>
        <v/>
      </c>
      <c r="B287">
        <f>IF($A287=1,SUM($A$2:$A287),"")</f>
        <v/>
      </c>
      <c r="C287">
        <f>IF($A287=1,SUM($A$2:$A287),0)</f>
        <v/>
      </c>
    </row>
    <row r="288">
      <c r="A288">
        <f>IF(AND(OR('Compliance Database'!$A288='Data Transfer'!$B$4,'Compliance Database'!$A288='Data Transfer'!$B$5),OR('Data Transfer'!$B$6="",ISNUMBER(SEARCH('Data Transfer'!$B$6,'Compliance Database'!$D288&amp;" "&amp;'Compliance Database'!$L288&amp;" "&amp;'Compliance Database'!$M288&amp;" "&amp;'Compliance Database'!$N288&amp;" "&amp;'Compliance Database'!$O288)))),1,0)</f>
        <v/>
      </c>
      <c r="B288">
        <f>IF($A288=1,SUM($A$2:$A288),"")</f>
        <v/>
      </c>
      <c r="C288">
        <f>IF($A288=1,SUM($A$2:$A288),0)</f>
        <v/>
      </c>
    </row>
    <row r="289">
      <c r="A289">
        <f>IF(AND(OR('Compliance Database'!$A289='Data Transfer'!$B$4,'Compliance Database'!$A289='Data Transfer'!$B$5),OR('Data Transfer'!$B$6="",ISNUMBER(SEARCH('Data Transfer'!$B$6,'Compliance Database'!$D289&amp;" "&amp;'Compliance Database'!$L289&amp;" "&amp;'Compliance Database'!$M289&amp;" "&amp;'Compliance Database'!$N289&amp;" "&amp;'Compliance Database'!$O289)))),1,0)</f>
        <v/>
      </c>
      <c r="B289">
        <f>IF($A289=1,SUM($A$2:$A289),"")</f>
        <v/>
      </c>
      <c r="C289">
        <f>IF($A289=1,SUM($A$2:$A289),0)</f>
        <v/>
      </c>
    </row>
    <row r="290">
      <c r="A290">
        <f>IF(AND(OR('Compliance Database'!$A290='Data Transfer'!$B$4,'Compliance Database'!$A290='Data Transfer'!$B$5),OR('Data Transfer'!$B$6="",ISNUMBER(SEARCH('Data Transfer'!$B$6,'Compliance Database'!$D290&amp;" "&amp;'Compliance Database'!$L290&amp;" "&amp;'Compliance Database'!$M290&amp;" "&amp;'Compliance Database'!$N290&amp;" "&amp;'Compliance Database'!$O290)))),1,0)</f>
        <v/>
      </c>
      <c r="B290">
        <f>IF($A290=1,SUM($A$2:$A290),"")</f>
        <v/>
      </c>
      <c r="C290">
        <f>IF($A290=1,SUM($A$2:$A290),0)</f>
        <v/>
      </c>
    </row>
    <row r="291">
      <c r="A291">
        <f>IF(AND(OR('Compliance Database'!$A291='Data Transfer'!$B$4,'Compliance Database'!$A291='Data Transfer'!$B$5),OR('Data Transfer'!$B$6="",ISNUMBER(SEARCH('Data Transfer'!$B$6,'Compliance Database'!$D291&amp;" "&amp;'Compliance Database'!$L291&amp;" "&amp;'Compliance Database'!$M291&amp;" "&amp;'Compliance Database'!$N291&amp;" "&amp;'Compliance Database'!$O291)))),1,0)</f>
        <v/>
      </c>
      <c r="B291">
        <f>IF($A291=1,SUM($A$2:$A291),"")</f>
        <v/>
      </c>
      <c r="C291">
        <f>IF($A291=1,SUM($A$2:$A291),0)</f>
        <v/>
      </c>
    </row>
    <row r="292">
      <c r="A292">
        <f>IF(AND(OR('Compliance Database'!$A292='Data Transfer'!$B$4,'Compliance Database'!$A292='Data Transfer'!$B$5),OR('Data Transfer'!$B$6="",ISNUMBER(SEARCH('Data Transfer'!$B$6,'Compliance Database'!$D292&amp;" "&amp;'Compliance Database'!$L292&amp;" "&amp;'Compliance Database'!$M292&amp;" "&amp;'Compliance Database'!$N292&amp;" "&amp;'Compliance Database'!$O292)))),1,0)</f>
        <v/>
      </c>
      <c r="B292">
        <f>IF($A292=1,SUM($A$2:$A292),"")</f>
        <v/>
      </c>
      <c r="C292">
        <f>IF($A292=1,SUM($A$2:$A292),0)</f>
        <v/>
      </c>
    </row>
    <row r="293">
      <c r="A293">
        <f>IF(AND(OR('Compliance Database'!$A293='Data Transfer'!$B$4,'Compliance Database'!$A293='Data Transfer'!$B$5),OR('Data Transfer'!$B$6="",ISNUMBER(SEARCH('Data Transfer'!$B$6,'Compliance Database'!$D293&amp;" "&amp;'Compliance Database'!$L293&amp;" "&amp;'Compliance Database'!$M293&amp;" "&amp;'Compliance Database'!$N293&amp;" "&amp;'Compliance Database'!$O293)))),1,0)</f>
        <v/>
      </c>
      <c r="B293">
        <f>IF($A293=1,SUM($A$2:$A293),"")</f>
        <v/>
      </c>
      <c r="C293">
        <f>IF($A293=1,SUM($A$2:$A293),0)</f>
        <v/>
      </c>
    </row>
    <row r="294">
      <c r="A294">
        <f>IF(AND(OR('Compliance Database'!$A294='Data Transfer'!$B$4,'Compliance Database'!$A294='Data Transfer'!$B$5),OR('Data Transfer'!$B$6="",ISNUMBER(SEARCH('Data Transfer'!$B$6,'Compliance Database'!$D294&amp;" "&amp;'Compliance Database'!$L294&amp;" "&amp;'Compliance Database'!$M294&amp;" "&amp;'Compliance Database'!$N294&amp;" "&amp;'Compliance Database'!$O294)))),1,0)</f>
        <v/>
      </c>
      <c r="B294">
        <f>IF($A294=1,SUM($A$2:$A294),"")</f>
        <v/>
      </c>
      <c r="C294">
        <f>IF($A294=1,SUM($A$2:$A294),0)</f>
        <v/>
      </c>
    </row>
    <row r="295">
      <c r="A295">
        <f>IF(AND(OR('Compliance Database'!$A295='Data Transfer'!$B$4,'Compliance Database'!$A295='Data Transfer'!$B$5),OR('Data Transfer'!$B$6="",ISNUMBER(SEARCH('Data Transfer'!$B$6,'Compliance Database'!$D295&amp;" "&amp;'Compliance Database'!$L295&amp;" "&amp;'Compliance Database'!$M295&amp;" "&amp;'Compliance Database'!$N295&amp;" "&amp;'Compliance Database'!$O295)))),1,0)</f>
        <v/>
      </c>
      <c r="B295">
        <f>IF($A295=1,SUM($A$2:$A295),"")</f>
        <v/>
      </c>
      <c r="C295">
        <f>IF($A295=1,SUM($A$2:$A295),0)</f>
        <v/>
      </c>
    </row>
    <row r="296">
      <c r="A296">
        <f>IF(AND(OR('Compliance Database'!$A296='Data Transfer'!$B$4,'Compliance Database'!$A296='Data Transfer'!$B$5),OR('Data Transfer'!$B$6="",ISNUMBER(SEARCH('Data Transfer'!$B$6,'Compliance Database'!$D296&amp;" "&amp;'Compliance Database'!$L296&amp;" "&amp;'Compliance Database'!$M296&amp;" "&amp;'Compliance Database'!$N296&amp;" "&amp;'Compliance Database'!$O296)))),1,0)</f>
        <v/>
      </c>
      <c r="B296">
        <f>IF($A296=1,SUM($A$2:$A296),"")</f>
        <v/>
      </c>
      <c r="C296">
        <f>IF($A296=1,SUM($A$2:$A296),0)</f>
        <v/>
      </c>
    </row>
    <row r="297">
      <c r="A297">
        <f>IF(AND(OR('Compliance Database'!$A297='Data Transfer'!$B$4,'Compliance Database'!$A297='Data Transfer'!$B$5),OR('Data Transfer'!$B$6="",ISNUMBER(SEARCH('Data Transfer'!$B$6,'Compliance Database'!$D297&amp;" "&amp;'Compliance Database'!$L297&amp;" "&amp;'Compliance Database'!$M297&amp;" "&amp;'Compliance Database'!$N297&amp;" "&amp;'Compliance Database'!$O297)))),1,0)</f>
        <v/>
      </c>
      <c r="B297">
        <f>IF($A297=1,SUM($A$2:$A297),"")</f>
        <v/>
      </c>
      <c r="C297">
        <f>IF($A297=1,SUM($A$2:$A297),0)</f>
        <v/>
      </c>
    </row>
    <row r="298">
      <c r="A298">
        <f>IF(AND(OR('Compliance Database'!$A298='Data Transfer'!$B$4,'Compliance Database'!$A298='Data Transfer'!$B$5),OR('Data Transfer'!$B$6="",ISNUMBER(SEARCH('Data Transfer'!$B$6,'Compliance Database'!$D298&amp;" "&amp;'Compliance Database'!$L298&amp;" "&amp;'Compliance Database'!$M298&amp;" "&amp;'Compliance Database'!$N298&amp;" "&amp;'Compliance Database'!$O298)))),1,0)</f>
        <v/>
      </c>
      <c r="B298">
        <f>IF($A298=1,SUM($A$2:$A298),"")</f>
        <v/>
      </c>
      <c r="C298">
        <f>IF($A298=1,SUM($A$2:$A298),0)</f>
        <v/>
      </c>
    </row>
    <row r="299">
      <c r="A299">
        <f>IF(AND(OR('Compliance Database'!$A299='Data Transfer'!$B$4,'Compliance Database'!$A299='Data Transfer'!$B$5),OR('Data Transfer'!$B$6="",ISNUMBER(SEARCH('Data Transfer'!$B$6,'Compliance Database'!$D299&amp;" "&amp;'Compliance Database'!$L299&amp;" "&amp;'Compliance Database'!$M299&amp;" "&amp;'Compliance Database'!$N299&amp;" "&amp;'Compliance Database'!$O299)))),1,0)</f>
        <v/>
      </c>
      <c r="B299">
        <f>IF($A299=1,SUM($A$2:$A299),"")</f>
        <v/>
      </c>
      <c r="C299">
        <f>IF($A299=1,SUM($A$2:$A299),0)</f>
        <v/>
      </c>
    </row>
    <row r="300">
      <c r="A300">
        <f>IF(AND(OR('Compliance Database'!$A300='Data Transfer'!$B$4,'Compliance Database'!$A300='Data Transfer'!$B$5),OR('Data Transfer'!$B$6="",ISNUMBER(SEARCH('Data Transfer'!$B$6,'Compliance Database'!$D300&amp;" "&amp;'Compliance Database'!$L300&amp;" "&amp;'Compliance Database'!$M300&amp;" "&amp;'Compliance Database'!$N300&amp;" "&amp;'Compliance Database'!$O300)))),1,0)</f>
        <v/>
      </c>
      <c r="B300">
        <f>IF($A300=1,SUM($A$2:$A300),"")</f>
        <v/>
      </c>
      <c r="C300">
        <f>IF($A300=1,SUM($A$2:$A300),0)</f>
        <v/>
      </c>
    </row>
    <row r="301">
      <c r="A301">
        <f>IF(AND(OR('Compliance Database'!$A301='Data Transfer'!$B$4,'Compliance Database'!$A301='Data Transfer'!$B$5),OR('Data Transfer'!$B$6="",ISNUMBER(SEARCH('Data Transfer'!$B$6,'Compliance Database'!$D301&amp;" "&amp;'Compliance Database'!$L301&amp;" "&amp;'Compliance Database'!$M301&amp;" "&amp;'Compliance Database'!$N301&amp;" "&amp;'Compliance Database'!$O301)))),1,0)</f>
        <v/>
      </c>
      <c r="B301">
        <f>IF($A301=1,SUM($A$2:$A301),"")</f>
        <v/>
      </c>
      <c r="C301">
        <f>IF($A301=1,SUM($A$2:$A301),0)</f>
        <v/>
      </c>
    </row>
    <row r="302">
      <c r="A302">
        <f>IF(AND(OR('Compliance Database'!$A302='Data Transfer'!$B$4,'Compliance Database'!$A302='Data Transfer'!$B$5),OR('Data Transfer'!$B$6="",ISNUMBER(SEARCH('Data Transfer'!$B$6,'Compliance Database'!$D302&amp;" "&amp;'Compliance Database'!$L302&amp;" "&amp;'Compliance Database'!$M302&amp;" "&amp;'Compliance Database'!$N302&amp;" "&amp;'Compliance Database'!$O302)))),1,0)</f>
        <v/>
      </c>
      <c r="B302">
        <f>IF($A302=1,SUM($A$2:$A302),"")</f>
        <v/>
      </c>
      <c r="C302">
        <f>IF($A302=1,SUM($A$2:$A302),0)</f>
        <v/>
      </c>
    </row>
    <row r="303">
      <c r="A303">
        <f>IF(AND(OR('Compliance Database'!$A303='Data Transfer'!$B$4,'Compliance Database'!$A303='Data Transfer'!$B$5),OR('Data Transfer'!$B$6="",ISNUMBER(SEARCH('Data Transfer'!$B$6,'Compliance Database'!$D303&amp;" "&amp;'Compliance Database'!$L303&amp;" "&amp;'Compliance Database'!$M303&amp;" "&amp;'Compliance Database'!$N303&amp;" "&amp;'Compliance Database'!$O303)))),1,0)</f>
        <v/>
      </c>
      <c r="B303">
        <f>IF($A303=1,SUM($A$2:$A303),"")</f>
        <v/>
      </c>
      <c r="C303">
        <f>IF($A303=1,SUM($A$2:$A303),0)</f>
        <v/>
      </c>
    </row>
    <row r="304">
      <c r="A304">
        <f>IF(AND(OR('Compliance Database'!$A304='Data Transfer'!$B$4,'Compliance Database'!$A304='Data Transfer'!$B$5),OR('Data Transfer'!$B$6="",ISNUMBER(SEARCH('Data Transfer'!$B$6,'Compliance Database'!$D304&amp;" "&amp;'Compliance Database'!$L304&amp;" "&amp;'Compliance Database'!$M304&amp;" "&amp;'Compliance Database'!$N304&amp;" "&amp;'Compliance Database'!$O304)))),1,0)</f>
        <v/>
      </c>
      <c r="B304">
        <f>IF($A304=1,SUM($A$2:$A304),"")</f>
        <v/>
      </c>
      <c r="C304">
        <f>IF($A304=1,SUM($A$2:$A304),0)</f>
        <v/>
      </c>
    </row>
    <row r="305">
      <c r="A305">
        <f>IF(AND(OR('Compliance Database'!$A305='Data Transfer'!$B$4,'Compliance Database'!$A305='Data Transfer'!$B$5),OR('Data Transfer'!$B$6="",ISNUMBER(SEARCH('Data Transfer'!$B$6,'Compliance Database'!$D305&amp;" "&amp;'Compliance Database'!$L305&amp;" "&amp;'Compliance Database'!$M305&amp;" "&amp;'Compliance Database'!$N305&amp;" "&amp;'Compliance Database'!$O305)))),1,0)</f>
        <v/>
      </c>
      <c r="B305">
        <f>IF($A305=1,SUM($A$2:$A305),"")</f>
        <v/>
      </c>
      <c r="C305">
        <f>IF($A305=1,SUM($A$2:$A305),0)</f>
        <v/>
      </c>
    </row>
    <row r="306">
      <c r="A306">
        <f>IF(AND(OR('Compliance Database'!$A306='Data Transfer'!$B$4,'Compliance Database'!$A306='Data Transfer'!$B$5),OR('Data Transfer'!$B$6="",ISNUMBER(SEARCH('Data Transfer'!$B$6,'Compliance Database'!$D306&amp;" "&amp;'Compliance Database'!$L306&amp;" "&amp;'Compliance Database'!$M306&amp;" "&amp;'Compliance Database'!$N306&amp;" "&amp;'Compliance Database'!$O306)))),1,0)</f>
        <v/>
      </c>
      <c r="B306">
        <f>IF($A306=1,SUM($A$2:$A306),"")</f>
        <v/>
      </c>
      <c r="C306">
        <f>IF($A306=1,SUM($A$2:$A306),0)</f>
        <v/>
      </c>
    </row>
    <row r="307">
      <c r="A307">
        <f>IF(AND(OR('Compliance Database'!$A307='Data Transfer'!$B$4,'Compliance Database'!$A307='Data Transfer'!$B$5),OR('Data Transfer'!$B$6="",ISNUMBER(SEARCH('Data Transfer'!$B$6,'Compliance Database'!$D307&amp;" "&amp;'Compliance Database'!$L307&amp;" "&amp;'Compliance Database'!$M307&amp;" "&amp;'Compliance Database'!$N307&amp;" "&amp;'Compliance Database'!$O307)))),1,0)</f>
        <v/>
      </c>
      <c r="B307">
        <f>IF($A307=1,SUM($A$2:$A307),"")</f>
        <v/>
      </c>
      <c r="C307">
        <f>IF($A307=1,SUM($A$2:$A307),0)</f>
        <v/>
      </c>
    </row>
    <row r="308">
      <c r="A308">
        <f>IF(AND(OR('Compliance Database'!$A308='Data Transfer'!$B$4,'Compliance Database'!$A308='Data Transfer'!$B$5),OR('Data Transfer'!$B$6="",ISNUMBER(SEARCH('Data Transfer'!$B$6,'Compliance Database'!$D308&amp;" "&amp;'Compliance Database'!$L308&amp;" "&amp;'Compliance Database'!$M308&amp;" "&amp;'Compliance Database'!$N308&amp;" "&amp;'Compliance Database'!$O308)))),1,0)</f>
        <v/>
      </c>
      <c r="B308">
        <f>IF($A308=1,SUM($A$2:$A308),"")</f>
        <v/>
      </c>
      <c r="C308">
        <f>IF($A308=1,SUM($A$2:$A308),0)</f>
        <v/>
      </c>
    </row>
    <row r="309">
      <c r="A309">
        <f>IF(AND(OR('Compliance Database'!$A309='Data Transfer'!$B$4,'Compliance Database'!$A309='Data Transfer'!$B$5),OR('Data Transfer'!$B$6="",ISNUMBER(SEARCH('Data Transfer'!$B$6,'Compliance Database'!$D309&amp;" "&amp;'Compliance Database'!$L309&amp;" "&amp;'Compliance Database'!$M309&amp;" "&amp;'Compliance Database'!$N309&amp;" "&amp;'Compliance Database'!$O309)))),1,0)</f>
        <v/>
      </c>
      <c r="B309">
        <f>IF($A309=1,SUM($A$2:$A309),"")</f>
        <v/>
      </c>
      <c r="C309">
        <f>IF($A309=1,SUM($A$2:$A309),0)</f>
        <v/>
      </c>
    </row>
    <row r="310">
      <c r="A310">
        <f>IF(AND(OR('Compliance Database'!$A310='Data Transfer'!$B$4,'Compliance Database'!$A310='Data Transfer'!$B$5),OR('Data Transfer'!$B$6="",ISNUMBER(SEARCH('Data Transfer'!$B$6,'Compliance Database'!$D310&amp;" "&amp;'Compliance Database'!$L310&amp;" "&amp;'Compliance Database'!$M310&amp;" "&amp;'Compliance Database'!$N310&amp;" "&amp;'Compliance Database'!$O310)))),1,0)</f>
        <v/>
      </c>
      <c r="B310">
        <f>IF($A310=1,SUM($A$2:$A310),"")</f>
        <v/>
      </c>
      <c r="C310">
        <f>IF($A310=1,SUM($A$2:$A310),0)</f>
        <v/>
      </c>
    </row>
    <row r="311">
      <c r="A311">
        <f>IF(AND(OR('Compliance Database'!$A311='Data Transfer'!$B$4,'Compliance Database'!$A311='Data Transfer'!$B$5),OR('Data Transfer'!$B$6="",ISNUMBER(SEARCH('Data Transfer'!$B$6,'Compliance Database'!$D311&amp;" "&amp;'Compliance Database'!$L311&amp;" "&amp;'Compliance Database'!$M311&amp;" "&amp;'Compliance Database'!$N311&amp;" "&amp;'Compliance Database'!$O311)))),1,0)</f>
        <v/>
      </c>
      <c r="B311">
        <f>IF($A311=1,SUM($A$2:$A311),"")</f>
        <v/>
      </c>
      <c r="C311">
        <f>IF($A311=1,SUM($A$2:$A311),0)</f>
        <v/>
      </c>
    </row>
    <row r="312">
      <c r="A312">
        <f>IF(AND(OR('Compliance Database'!$A312='Data Transfer'!$B$4,'Compliance Database'!$A312='Data Transfer'!$B$5),OR('Data Transfer'!$B$6="",ISNUMBER(SEARCH('Data Transfer'!$B$6,'Compliance Database'!$D312&amp;" "&amp;'Compliance Database'!$L312&amp;" "&amp;'Compliance Database'!$M312&amp;" "&amp;'Compliance Database'!$N312&amp;" "&amp;'Compliance Database'!$O312)))),1,0)</f>
        <v/>
      </c>
      <c r="B312">
        <f>IF($A312=1,SUM($A$2:$A312),"")</f>
        <v/>
      </c>
      <c r="C312">
        <f>IF($A312=1,SUM($A$2:$A312),0)</f>
        <v/>
      </c>
    </row>
    <row r="313">
      <c r="A313">
        <f>IF(AND(OR('Compliance Database'!$A313='Data Transfer'!$B$4,'Compliance Database'!$A313='Data Transfer'!$B$5),OR('Data Transfer'!$B$6="",ISNUMBER(SEARCH('Data Transfer'!$B$6,'Compliance Database'!$D313&amp;" "&amp;'Compliance Database'!$L313&amp;" "&amp;'Compliance Database'!$M313&amp;" "&amp;'Compliance Database'!$N313&amp;" "&amp;'Compliance Database'!$O313)))),1,0)</f>
        <v/>
      </c>
      <c r="B313">
        <f>IF($A313=1,SUM($A$2:$A313),"")</f>
        <v/>
      </c>
      <c r="C313">
        <f>IF($A313=1,SUM($A$2:$A313),0)</f>
        <v/>
      </c>
    </row>
    <row r="314">
      <c r="A314">
        <f>IF(AND(OR('Compliance Database'!$A314='Data Transfer'!$B$4,'Compliance Database'!$A314='Data Transfer'!$B$5),OR('Data Transfer'!$B$6="",ISNUMBER(SEARCH('Data Transfer'!$B$6,'Compliance Database'!$D314&amp;" "&amp;'Compliance Database'!$L314&amp;" "&amp;'Compliance Database'!$M314&amp;" "&amp;'Compliance Database'!$N314&amp;" "&amp;'Compliance Database'!$O314)))),1,0)</f>
        <v/>
      </c>
      <c r="B314">
        <f>IF($A314=1,SUM($A$2:$A314),"")</f>
        <v/>
      </c>
      <c r="C314">
        <f>IF($A314=1,SUM($A$2:$A314),0)</f>
        <v/>
      </c>
    </row>
    <row r="315">
      <c r="A315">
        <f>IF(AND(OR('Compliance Database'!$A315='Data Transfer'!$B$4,'Compliance Database'!$A315='Data Transfer'!$B$5),OR('Data Transfer'!$B$6="",ISNUMBER(SEARCH('Data Transfer'!$B$6,'Compliance Database'!$D315&amp;" "&amp;'Compliance Database'!$L315&amp;" "&amp;'Compliance Database'!$M315&amp;" "&amp;'Compliance Database'!$N315&amp;" "&amp;'Compliance Database'!$O315)))),1,0)</f>
        <v/>
      </c>
      <c r="B315">
        <f>IF($A315=1,SUM($A$2:$A315),"")</f>
        <v/>
      </c>
      <c r="C315">
        <f>IF($A315=1,SUM($A$2:$A315),0)</f>
        <v/>
      </c>
    </row>
    <row r="316">
      <c r="A316">
        <f>IF(AND(OR('Compliance Database'!$A316='Data Transfer'!$B$4,'Compliance Database'!$A316='Data Transfer'!$B$5),OR('Data Transfer'!$B$6="",ISNUMBER(SEARCH('Data Transfer'!$B$6,'Compliance Database'!$D316&amp;" "&amp;'Compliance Database'!$L316&amp;" "&amp;'Compliance Database'!$M316&amp;" "&amp;'Compliance Database'!$N316&amp;" "&amp;'Compliance Database'!$O316)))),1,0)</f>
        <v/>
      </c>
      <c r="B316">
        <f>IF($A316=1,SUM($A$2:$A316),"")</f>
        <v/>
      </c>
      <c r="C316">
        <f>IF($A316=1,SUM($A$2:$A316),0)</f>
        <v/>
      </c>
    </row>
    <row r="317">
      <c r="A317">
        <f>IF(AND(OR('Compliance Database'!$A317='Data Transfer'!$B$4,'Compliance Database'!$A317='Data Transfer'!$B$5),OR('Data Transfer'!$B$6="",ISNUMBER(SEARCH('Data Transfer'!$B$6,'Compliance Database'!$D317&amp;" "&amp;'Compliance Database'!$L317&amp;" "&amp;'Compliance Database'!$M317&amp;" "&amp;'Compliance Database'!$N317&amp;" "&amp;'Compliance Database'!$O317)))),1,0)</f>
        <v/>
      </c>
      <c r="B317">
        <f>IF($A317=1,SUM($A$2:$A317),"")</f>
        <v/>
      </c>
      <c r="C317">
        <f>IF($A317=1,SUM($A$2:$A317),0)</f>
        <v/>
      </c>
    </row>
    <row r="318">
      <c r="A318">
        <f>IF(AND(OR('Compliance Database'!$A318='Data Transfer'!$B$4,'Compliance Database'!$A318='Data Transfer'!$B$5),OR('Data Transfer'!$B$6="",ISNUMBER(SEARCH('Data Transfer'!$B$6,'Compliance Database'!$D318&amp;" "&amp;'Compliance Database'!$L318&amp;" "&amp;'Compliance Database'!$M318&amp;" "&amp;'Compliance Database'!$N318&amp;" "&amp;'Compliance Database'!$O318)))),1,0)</f>
        <v/>
      </c>
      <c r="B318">
        <f>IF($A318=1,SUM($A$2:$A318),"")</f>
        <v/>
      </c>
      <c r="C318">
        <f>IF($A318=1,SUM($A$2:$A318),0)</f>
        <v/>
      </c>
    </row>
    <row r="319">
      <c r="A319">
        <f>IF(AND(OR('Compliance Database'!$A319='Data Transfer'!$B$4,'Compliance Database'!$A319='Data Transfer'!$B$5),OR('Data Transfer'!$B$6="",ISNUMBER(SEARCH('Data Transfer'!$B$6,'Compliance Database'!$D319&amp;" "&amp;'Compliance Database'!$L319&amp;" "&amp;'Compliance Database'!$M319&amp;" "&amp;'Compliance Database'!$N319&amp;" "&amp;'Compliance Database'!$O319)))),1,0)</f>
        <v/>
      </c>
      <c r="B319">
        <f>IF($A319=1,SUM($A$2:$A319),"")</f>
        <v/>
      </c>
      <c r="C319">
        <f>IF($A319=1,SUM($A$2:$A319),0)</f>
        <v/>
      </c>
    </row>
    <row r="320">
      <c r="A320">
        <f>IF(AND(OR('Compliance Database'!$A320='Data Transfer'!$B$4,'Compliance Database'!$A320='Data Transfer'!$B$5),OR('Data Transfer'!$B$6="",ISNUMBER(SEARCH('Data Transfer'!$B$6,'Compliance Database'!$D320&amp;" "&amp;'Compliance Database'!$L320&amp;" "&amp;'Compliance Database'!$M320&amp;" "&amp;'Compliance Database'!$N320&amp;" "&amp;'Compliance Database'!$O320)))),1,0)</f>
        <v/>
      </c>
      <c r="B320">
        <f>IF($A320=1,SUM($A$2:$A320),"")</f>
        <v/>
      </c>
      <c r="C320">
        <f>IF($A320=1,SUM($A$2:$A320),0)</f>
        <v/>
      </c>
    </row>
    <row r="321">
      <c r="A321">
        <f>IF(AND(OR('Compliance Database'!$A321='Data Transfer'!$B$4,'Compliance Database'!$A321='Data Transfer'!$B$5),OR('Data Transfer'!$B$6="",ISNUMBER(SEARCH('Data Transfer'!$B$6,'Compliance Database'!$D321&amp;" "&amp;'Compliance Database'!$L321&amp;" "&amp;'Compliance Database'!$M321&amp;" "&amp;'Compliance Database'!$N321&amp;" "&amp;'Compliance Database'!$O321)))),1,0)</f>
        <v/>
      </c>
      <c r="B321">
        <f>IF($A321=1,SUM($A$2:$A321),"")</f>
        <v/>
      </c>
      <c r="C321">
        <f>IF($A321=1,SUM($A$2:$A321),0)</f>
        <v/>
      </c>
    </row>
    <row r="322">
      <c r="A322">
        <f>IF(AND(OR('Compliance Database'!$A322='Data Transfer'!$B$4,'Compliance Database'!$A322='Data Transfer'!$B$5),OR('Data Transfer'!$B$6="",ISNUMBER(SEARCH('Data Transfer'!$B$6,'Compliance Database'!$D322&amp;" "&amp;'Compliance Database'!$L322&amp;" "&amp;'Compliance Database'!$M322&amp;" "&amp;'Compliance Database'!$N322&amp;" "&amp;'Compliance Database'!$O322)))),1,0)</f>
        <v/>
      </c>
      <c r="B322">
        <f>IF($A322=1,SUM($A$2:$A322),"")</f>
        <v/>
      </c>
      <c r="C322">
        <f>IF($A322=1,SUM($A$2:$A322),0)</f>
        <v/>
      </c>
    </row>
    <row r="323">
      <c r="A323">
        <f>IF(AND(OR('Compliance Database'!$A323='Data Transfer'!$B$4,'Compliance Database'!$A323='Data Transfer'!$B$5),OR('Data Transfer'!$B$6="",ISNUMBER(SEARCH('Data Transfer'!$B$6,'Compliance Database'!$D323&amp;" "&amp;'Compliance Database'!$L323&amp;" "&amp;'Compliance Database'!$M323&amp;" "&amp;'Compliance Database'!$N323&amp;" "&amp;'Compliance Database'!$O323)))),1,0)</f>
        <v/>
      </c>
      <c r="B323">
        <f>IF($A323=1,SUM($A$2:$A323),"")</f>
        <v/>
      </c>
      <c r="C323">
        <f>IF($A323=1,SUM($A$2:$A323),0)</f>
        <v/>
      </c>
    </row>
    <row r="324">
      <c r="A324">
        <f>IF(AND(OR('Compliance Database'!$A324='Data Transfer'!$B$4,'Compliance Database'!$A324='Data Transfer'!$B$5),OR('Data Transfer'!$B$6="",ISNUMBER(SEARCH('Data Transfer'!$B$6,'Compliance Database'!$D324&amp;" "&amp;'Compliance Database'!$L324&amp;" "&amp;'Compliance Database'!$M324&amp;" "&amp;'Compliance Database'!$N324&amp;" "&amp;'Compliance Database'!$O324)))),1,0)</f>
        <v/>
      </c>
      <c r="B324">
        <f>IF($A324=1,SUM($A$2:$A324),"")</f>
        <v/>
      </c>
      <c r="C324">
        <f>IF($A324=1,SUM($A$2:$A324),0)</f>
        <v/>
      </c>
    </row>
    <row r="325">
      <c r="A325">
        <f>IF(AND(OR('Compliance Database'!$A325='Data Transfer'!$B$4,'Compliance Database'!$A325='Data Transfer'!$B$5),OR('Data Transfer'!$B$6="",ISNUMBER(SEARCH('Data Transfer'!$B$6,'Compliance Database'!$D325&amp;" "&amp;'Compliance Database'!$L325&amp;" "&amp;'Compliance Database'!$M325&amp;" "&amp;'Compliance Database'!$N325&amp;" "&amp;'Compliance Database'!$O325)))),1,0)</f>
        <v/>
      </c>
      <c r="B325">
        <f>IF($A325=1,SUM($A$2:$A325),"")</f>
        <v/>
      </c>
      <c r="C325">
        <f>IF($A325=1,SUM($A$2:$A325),0)</f>
        <v/>
      </c>
    </row>
    <row r="326">
      <c r="A326">
        <f>IF(AND(OR('Compliance Database'!$A326='Data Transfer'!$B$4,'Compliance Database'!$A326='Data Transfer'!$B$5),OR('Data Transfer'!$B$6="",ISNUMBER(SEARCH('Data Transfer'!$B$6,'Compliance Database'!$D326&amp;" "&amp;'Compliance Database'!$L326&amp;" "&amp;'Compliance Database'!$M326&amp;" "&amp;'Compliance Database'!$N326&amp;" "&amp;'Compliance Database'!$O326)))),1,0)</f>
        <v/>
      </c>
      <c r="B326">
        <f>IF($A326=1,SUM($A$2:$A326),"")</f>
        <v/>
      </c>
      <c r="C326">
        <f>IF($A326=1,SUM($A$2:$A326),0)</f>
        <v/>
      </c>
    </row>
    <row r="327">
      <c r="A327">
        <f>IF(AND(OR('Compliance Database'!$A327='Data Transfer'!$B$4,'Compliance Database'!$A327='Data Transfer'!$B$5),OR('Data Transfer'!$B$6="",ISNUMBER(SEARCH('Data Transfer'!$B$6,'Compliance Database'!$D327&amp;" "&amp;'Compliance Database'!$L327&amp;" "&amp;'Compliance Database'!$M327&amp;" "&amp;'Compliance Database'!$N327&amp;" "&amp;'Compliance Database'!$O327)))),1,0)</f>
        <v/>
      </c>
      <c r="B327">
        <f>IF($A327=1,SUM($A$2:$A327),"")</f>
        <v/>
      </c>
      <c r="C327">
        <f>IF($A327=1,SUM($A$2:$A327),0)</f>
        <v/>
      </c>
    </row>
    <row r="328">
      <c r="A328">
        <f>IF(AND(OR('Compliance Database'!$A328='Data Transfer'!$B$4,'Compliance Database'!$A328='Data Transfer'!$B$5),OR('Data Transfer'!$B$6="",ISNUMBER(SEARCH('Data Transfer'!$B$6,'Compliance Database'!$D328&amp;" "&amp;'Compliance Database'!$L328&amp;" "&amp;'Compliance Database'!$M328&amp;" "&amp;'Compliance Database'!$N328&amp;" "&amp;'Compliance Database'!$O328)))),1,0)</f>
        <v/>
      </c>
      <c r="B328">
        <f>IF($A328=1,SUM($A$2:$A328),"")</f>
        <v/>
      </c>
      <c r="C328">
        <f>IF($A328=1,SUM($A$2:$A328),0)</f>
        <v/>
      </c>
    </row>
    <row r="329">
      <c r="A329">
        <f>IF(AND(OR('Compliance Database'!$A329='Data Transfer'!$B$4,'Compliance Database'!$A329='Data Transfer'!$B$5),OR('Data Transfer'!$B$6="",ISNUMBER(SEARCH('Data Transfer'!$B$6,'Compliance Database'!$D329&amp;" "&amp;'Compliance Database'!$L329&amp;" "&amp;'Compliance Database'!$M329&amp;" "&amp;'Compliance Database'!$N329&amp;" "&amp;'Compliance Database'!$O329)))),1,0)</f>
        <v/>
      </c>
      <c r="B329">
        <f>IF($A329=1,SUM($A$2:$A329),"")</f>
        <v/>
      </c>
      <c r="C329">
        <f>IF($A329=1,SUM($A$2:$A329),0)</f>
        <v/>
      </c>
    </row>
    <row r="330">
      <c r="A330">
        <f>IF(AND(OR('Compliance Database'!$A330='Data Transfer'!$B$4,'Compliance Database'!$A330='Data Transfer'!$B$5),OR('Data Transfer'!$B$6="",ISNUMBER(SEARCH('Data Transfer'!$B$6,'Compliance Database'!$D330&amp;" "&amp;'Compliance Database'!$L330&amp;" "&amp;'Compliance Database'!$M330&amp;" "&amp;'Compliance Database'!$N330&amp;" "&amp;'Compliance Database'!$O330)))),1,0)</f>
        <v/>
      </c>
      <c r="B330">
        <f>IF($A330=1,SUM($A$2:$A330),"")</f>
        <v/>
      </c>
      <c r="C330">
        <f>IF($A330=1,SUM($A$2:$A330),0)</f>
        <v/>
      </c>
    </row>
    <row r="331">
      <c r="A331">
        <f>IF(AND(OR('Compliance Database'!$A331='Data Transfer'!$B$4,'Compliance Database'!$A331='Data Transfer'!$B$5),OR('Data Transfer'!$B$6="",ISNUMBER(SEARCH('Data Transfer'!$B$6,'Compliance Database'!$D331&amp;" "&amp;'Compliance Database'!$L331&amp;" "&amp;'Compliance Database'!$M331&amp;" "&amp;'Compliance Database'!$N331&amp;" "&amp;'Compliance Database'!$O331)))),1,0)</f>
        <v/>
      </c>
      <c r="B331">
        <f>IF($A331=1,SUM($A$2:$A331),"")</f>
        <v/>
      </c>
      <c r="C331">
        <f>IF($A331=1,SUM($A$2:$A331),0)</f>
        <v/>
      </c>
    </row>
    <row r="332">
      <c r="A332">
        <f>IF(AND(OR('Compliance Database'!$A332='Data Transfer'!$B$4,'Compliance Database'!$A332='Data Transfer'!$B$5),OR('Data Transfer'!$B$6="",ISNUMBER(SEARCH('Data Transfer'!$B$6,'Compliance Database'!$D332&amp;" "&amp;'Compliance Database'!$L332&amp;" "&amp;'Compliance Database'!$M332&amp;" "&amp;'Compliance Database'!$N332&amp;" "&amp;'Compliance Database'!$O332)))),1,0)</f>
        <v/>
      </c>
      <c r="B332">
        <f>IF($A332=1,SUM($A$2:$A332),"")</f>
        <v/>
      </c>
      <c r="C332">
        <f>IF($A332=1,SUM($A$2:$A332),0)</f>
        <v/>
      </c>
    </row>
    <row r="333">
      <c r="A333">
        <f>IF(AND(OR('Compliance Database'!$A333='Data Transfer'!$B$4,'Compliance Database'!$A333='Data Transfer'!$B$5),OR('Data Transfer'!$B$6="",ISNUMBER(SEARCH('Data Transfer'!$B$6,'Compliance Database'!$D333&amp;" "&amp;'Compliance Database'!$L333&amp;" "&amp;'Compliance Database'!$M333&amp;" "&amp;'Compliance Database'!$N333&amp;" "&amp;'Compliance Database'!$O333)))),1,0)</f>
        <v/>
      </c>
      <c r="B333">
        <f>IF($A333=1,SUM($A$2:$A333),"")</f>
        <v/>
      </c>
      <c r="C333">
        <f>IF($A333=1,SUM($A$2:$A333),0)</f>
        <v/>
      </c>
    </row>
    <row r="334">
      <c r="A334">
        <f>IF(AND(OR('Compliance Database'!$A334='Data Transfer'!$B$4,'Compliance Database'!$A334='Data Transfer'!$B$5),OR('Data Transfer'!$B$6="",ISNUMBER(SEARCH('Data Transfer'!$B$6,'Compliance Database'!$D334&amp;" "&amp;'Compliance Database'!$L334&amp;" "&amp;'Compliance Database'!$M334&amp;" "&amp;'Compliance Database'!$N334&amp;" "&amp;'Compliance Database'!$O334)))),1,0)</f>
        <v/>
      </c>
      <c r="B334">
        <f>IF($A334=1,SUM($A$2:$A334),"")</f>
        <v/>
      </c>
      <c r="C334">
        <f>IF($A334=1,SUM($A$2:$A334),0)</f>
        <v/>
      </c>
    </row>
    <row r="335">
      <c r="A335">
        <f>IF(AND(OR('Compliance Database'!$A335='Data Transfer'!$B$4,'Compliance Database'!$A335='Data Transfer'!$B$5),OR('Data Transfer'!$B$6="",ISNUMBER(SEARCH('Data Transfer'!$B$6,'Compliance Database'!$D335&amp;" "&amp;'Compliance Database'!$L335&amp;" "&amp;'Compliance Database'!$M335&amp;" "&amp;'Compliance Database'!$N335&amp;" "&amp;'Compliance Database'!$O335)))),1,0)</f>
        <v/>
      </c>
      <c r="B335">
        <f>IF($A335=1,SUM($A$2:$A335),"")</f>
        <v/>
      </c>
      <c r="C335">
        <f>IF($A335=1,SUM($A$2:$A335),0)</f>
        <v/>
      </c>
    </row>
    <row r="336">
      <c r="A336">
        <f>IF(AND(OR('Compliance Database'!$A336='Data Transfer'!$B$4,'Compliance Database'!$A336='Data Transfer'!$B$5),OR('Data Transfer'!$B$6="",ISNUMBER(SEARCH('Data Transfer'!$B$6,'Compliance Database'!$D336&amp;" "&amp;'Compliance Database'!$L336&amp;" "&amp;'Compliance Database'!$M336&amp;" "&amp;'Compliance Database'!$N336&amp;" "&amp;'Compliance Database'!$O336)))),1,0)</f>
        <v/>
      </c>
      <c r="B336">
        <f>IF($A336=1,SUM($A$2:$A336),"")</f>
        <v/>
      </c>
      <c r="C336">
        <f>IF($A336=1,SUM($A$2:$A336),0)</f>
        <v/>
      </c>
    </row>
    <row r="337">
      <c r="A337">
        <f>IF(AND(OR('Compliance Database'!$A337='Data Transfer'!$B$4,'Compliance Database'!$A337='Data Transfer'!$B$5),OR('Data Transfer'!$B$6="",ISNUMBER(SEARCH('Data Transfer'!$B$6,'Compliance Database'!$D337&amp;" "&amp;'Compliance Database'!$L337&amp;" "&amp;'Compliance Database'!$M337&amp;" "&amp;'Compliance Database'!$N337&amp;" "&amp;'Compliance Database'!$O337)))),1,0)</f>
        <v/>
      </c>
      <c r="B337">
        <f>IF($A337=1,SUM($A$2:$A337),"")</f>
        <v/>
      </c>
      <c r="C337">
        <f>IF($A337=1,SUM($A$2:$A337),0)</f>
        <v/>
      </c>
    </row>
    <row r="338">
      <c r="A338">
        <f>IF(AND(OR('Compliance Database'!$A338='Data Transfer'!$B$4,'Compliance Database'!$A338='Data Transfer'!$B$5),OR('Data Transfer'!$B$6="",ISNUMBER(SEARCH('Data Transfer'!$B$6,'Compliance Database'!$D338&amp;" "&amp;'Compliance Database'!$L338&amp;" "&amp;'Compliance Database'!$M338&amp;" "&amp;'Compliance Database'!$N338&amp;" "&amp;'Compliance Database'!$O338)))),1,0)</f>
        <v/>
      </c>
      <c r="B338">
        <f>IF($A338=1,SUM($A$2:$A338),"")</f>
        <v/>
      </c>
      <c r="C338">
        <f>IF($A338=1,SUM($A$2:$A338),0)</f>
        <v/>
      </c>
    </row>
    <row r="339">
      <c r="A339">
        <f>IF(AND(OR('Compliance Database'!$A339='Data Transfer'!$B$4,'Compliance Database'!$A339='Data Transfer'!$B$5),OR('Data Transfer'!$B$6="",ISNUMBER(SEARCH('Data Transfer'!$B$6,'Compliance Database'!$D339&amp;" "&amp;'Compliance Database'!$L339&amp;" "&amp;'Compliance Database'!$M339&amp;" "&amp;'Compliance Database'!$N339&amp;" "&amp;'Compliance Database'!$O339)))),1,0)</f>
        <v/>
      </c>
      <c r="B339">
        <f>IF($A339=1,SUM($A$2:$A339),"")</f>
        <v/>
      </c>
      <c r="C339">
        <f>IF($A339=1,SUM($A$2:$A339),0)</f>
        <v/>
      </c>
    </row>
    <row r="340">
      <c r="A340">
        <f>IF(AND(OR('Compliance Database'!$A340='Data Transfer'!$B$4,'Compliance Database'!$A340='Data Transfer'!$B$5),OR('Data Transfer'!$B$6="",ISNUMBER(SEARCH('Data Transfer'!$B$6,'Compliance Database'!$D340&amp;" "&amp;'Compliance Database'!$L340&amp;" "&amp;'Compliance Database'!$M340&amp;" "&amp;'Compliance Database'!$N340&amp;" "&amp;'Compliance Database'!$O340)))),1,0)</f>
        <v/>
      </c>
      <c r="B340">
        <f>IF($A340=1,SUM($A$2:$A340),"")</f>
        <v/>
      </c>
      <c r="C340">
        <f>IF($A340=1,SUM($A$2:$A340),0)</f>
        <v/>
      </c>
    </row>
    <row r="341">
      <c r="A341">
        <f>IF(AND(OR('Compliance Database'!$A341='Data Transfer'!$B$4,'Compliance Database'!$A341='Data Transfer'!$B$5),OR('Data Transfer'!$B$6="",ISNUMBER(SEARCH('Data Transfer'!$B$6,'Compliance Database'!$D341&amp;" "&amp;'Compliance Database'!$L341&amp;" "&amp;'Compliance Database'!$M341&amp;" "&amp;'Compliance Database'!$N341&amp;" "&amp;'Compliance Database'!$O341)))),1,0)</f>
        <v/>
      </c>
      <c r="B341">
        <f>IF($A341=1,SUM($A$2:$A341),"")</f>
        <v/>
      </c>
      <c r="C341">
        <f>IF($A341=1,SUM($A$2:$A341),0)</f>
        <v/>
      </c>
    </row>
    <row r="342">
      <c r="A342">
        <f>IF(AND(OR('Compliance Database'!$A342='Data Transfer'!$B$4,'Compliance Database'!$A342='Data Transfer'!$B$5),OR('Data Transfer'!$B$6="",ISNUMBER(SEARCH('Data Transfer'!$B$6,'Compliance Database'!$D342&amp;" "&amp;'Compliance Database'!$L342&amp;" "&amp;'Compliance Database'!$M342&amp;" "&amp;'Compliance Database'!$N342&amp;" "&amp;'Compliance Database'!$O342)))),1,0)</f>
        <v/>
      </c>
      <c r="B342">
        <f>IF($A342=1,SUM($A$2:$A342),"")</f>
        <v/>
      </c>
      <c r="C342">
        <f>IF($A342=1,SUM($A$2:$A342),0)</f>
        <v/>
      </c>
    </row>
    <row r="343">
      <c r="A343">
        <f>IF(AND(OR('Compliance Database'!$A343='Data Transfer'!$B$4,'Compliance Database'!$A343='Data Transfer'!$B$5),OR('Data Transfer'!$B$6="",ISNUMBER(SEARCH('Data Transfer'!$B$6,'Compliance Database'!$D343&amp;" "&amp;'Compliance Database'!$L343&amp;" "&amp;'Compliance Database'!$M343&amp;" "&amp;'Compliance Database'!$N343&amp;" "&amp;'Compliance Database'!$O343)))),1,0)</f>
        <v/>
      </c>
      <c r="B343">
        <f>IF($A343=1,SUM($A$2:$A343),"")</f>
        <v/>
      </c>
      <c r="C343">
        <f>IF($A343=1,SUM($A$2:$A343),0)</f>
        <v/>
      </c>
    </row>
    <row r="344">
      <c r="A344">
        <f>IF(AND(OR('Compliance Database'!$A344='Data Transfer'!$B$4,'Compliance Database'!$A344='Data Transfer'!$B$5),OR('Data Transfer'!$B$6="",ISNUMBER(SEARCH('Data Transfer'!$B$6,'Compliance Database'!$D344&amp;" "&amp;'Compliance Database'!$L344&amp;" "&amp;'Compliance Database'!$M344&amp;" "&amp;'Compliance Database'!$N344&amp;" "&amp;'Compliance Database'!$O344)))),1,0)</f>
        <v/>
      </c>
      <c r="B344">
        <f>IF($A344=1,SUM($A$2:$A344),"")</f>
        <v/>
      </c>
      <c r="C344">
        <f>IF($A344=1,SUM($A$2:$A344),0)</f>
        <v/>
      </c>
    </row>
    <row r="345">
      <c r="A345">
        <f>IF(AND(OR('Compliance Database'!$A345='Data Transfer'!$B$4,'Compliance Database'!$A345='Data Transfer'!$B$5),OR('Data Transfer'!$B$6="",ISNUMBER(SEARCH('Data Transfer'!$B$6,'Compliance Database'!$D345&amp;" "&amp;'Compliance Database'!$L345&amp;" "&amp;'Compliance Database'!$M345&amp;" "&amp;'Compliance Database'!$N345&amp;" "&amp;'Compliance Database'!$O345)))),1,0)</f>
        <v/>
      </c>
      <c r="B345">
        <f>IF($A345=1,SUM($A$2:$A345),"")</f>
        <v/>
      </c>
      <c r="C345">
        <f>IF($A345=1,SUM($A$2:$A345),0)</f>
        <v/>
      </c>
    </row>
    <row r="346">
      <c r="A346">
        <f>IF(AND(OR('Compliance Database'!$A346='Data Transfer'!$B$4,'Compliance Database'!$A346='Data Transfer'!$B$5),OR('Data Transfer'!$B$6="",ISNUMBER(SEARCH('Data Transfer'!$B$6,'Compliance Database'!$D346&amp;" "&amp;'Compliance Database'!$L346&amp;" "&amp;'Compliance Database'!$M346&amp;" "&amp;'Compliance Database'!$N346&amp;" "&amp;'Compliance Database'!$O346)))),1,0)</f>
        <v/>
      </c>
      <c r="B346">
        <f>IF($A346=1,SUM($A$2:$A346),"")</f>
        <v/>
      </c>
      <c r="C346">
        <f>IF($A346=1,SUM($A$2:$A346),0)</f>
        <v/>
      </c>
    </row>
    <row r="347">
      <c r="A347">
        <f>IF(AND(OR('Compliance Database'!$A347='Data Transfer'!$B$4,'Compliance Database'!$A347='Data Transfer'!$B$5),OR('Data Transfer'!$B$6="",ISNUMBER(SEARCH('Data Transfer'!$B$6,'Compliance Database'!$D347&amp;" "&amp;'Compliance Database'!$L347&amp;" "&amp;'Compliance Database'!$M347&amp;" "&amp;'Compliance Database'!$N347&amp;" "&amp;'Compliance Database'!$O347)))),1,0)</f>
        <v/>
      </c>
      <c r="B347">
        <f>IF($A347=1,SUM($A$2:$A347),"")</f>
        <v/>
      </c>
      <c r="C347">
        <f>IF($A347=1,SUM($A$2:$A347),0)</f>
        <v/>
      </c>
    </row>
    <row r="348">
      <c r="A348">
        <f>IF(AND(OR('Compliance Database'!$A348='Data Transfer'!$B$4,'Compliance Database'!$A348='Data Transfer'!$B$5),OR('Data Transfer'!$B$6="",ISNUMBER(SEARCH('Data Transfer'!$B$6,'Compliance Database'!$D348&amp;" "&amp;'Compliance Database'!$L348&amp;" "&amp;'Compliance Database'!$M348&amp;" "&amp;'Compliance Database'!$N348&amp;" "&amp;'Compliance Database'!$O348)))),1,0)</f>
        <v/>
      </c>
      <c r="B348">
        <f>IF($A348=1,SUM($A$2:$A348),"")</f>
        <v/>
      </c>
      <c r="C348">
        <f>IF($A348=1,SUM($A$2:$A348),0)</f>
        <v/>
      </c>
    </row>
    <row r="349">
      <c r="A349">
        <f>IF(AND(OR('Compliance Database'!$A349='Data Transfer'!$B$4,'Compliance Database'!$A349='Data Transfer'!$B$5),OR('Data Transfer'!$B$6="",ISNUMBER(SEARCH('Data Transfer'!$B$6,'Compliance Database'!$D349&amp;" "&amp;'Compliance Database'!$L349&amp;" "&amp;'Compliance Database'!$M349&amp;" "&amp;'Compliance Database'!$N349&amp;" "&amp;'Compliance Database'!$O349)))),1,0)</f>
        <v/>
      </c>
      <c r="B349">
        <f>IF($A349=1,SUM($A$2:$A349),"")</f>
        <v/>
      </c>
      <c r="C349">
        <f>IF($A349=1,SUM($A$2:$A349),0)</f>
        <v/>
      </c>
    </row>
    <row r="350">
      <c r="A350">
        <f>IF(AND(OR('Compliance Database'!$A350='Data Transfer'!$B$4,'Compliance Database'!$A350='Data Transfer'!$B$5),OR('Data Transfer'!$B$6="",ISNUMBER(SEARCH('Data Transfer'!$B$6,'Compliance Database'!$D350&amp;" "&amp;'Compliance Database'!$L350&amp;" "&amp;'Compliance Database'!$M350&amp;" "&amp;'Compliance Database'!$N350&amp;" "&amp;'Compliance Database'!$O350)))),1,0)</f>
        <v/>
      </c>
      <c r="B350">
        <f>IF($A350=1,SUM($A$2:$A350),"")</f>
        <v/>
      </c>
      <c r="C350">
        <f>IF($A350=1,SUM($A$2:$A350),0)</f>
        <v/>
      </c>
    </row>
    <row r="351">
      <c r="A351">
        <f>IF(AND(OR('Compliance Database'!$A351='Data Transfer'!$B$4,'Compliance Database'!$A351='Data Transfer'!$B$5),OR('Data Transfer'!$B$6="",ISNUMBER(SEARCH('Data Transfer'!$B$6,'Compliance Database'!$D351&amp;" "&amp;'Compliance Database'!$L351&amp;" "&amp;'Compliance Database'!$M351&amp;" "&amp;'Compliance Database'!$N351&amp;" "&amp;'Compliance Database'!$O351)))),1,0)</f>
        <v/>
      </c>
      <c r="B351">
        <f>IF($A351=1,SUM($A$2:$A351),"")</f>
        <v/>
      </c>
      <c r="C351">
        <f>IF($A351=1,SUM($A$2:$A351),0)</f>
        <v/>
      </c>
    </row>
    <row r="352">
      <c r="A352">
        <f>IF(AND(OR('Compliance Database'!$A352='Data Transfer'!$B$4,'Compliance Database'!$A352='Data Transfer'!$B$5),OR('Data Transfer'!$B$6="",ISNUMBER(SEARCH('Data Transfer'!$B$6,'Compliance Database'!$D352&amp;" "&amp;'Compliance Database'!$L352&amp;" "&amp;'Compliance Database'!$M352&amp;" "&amp;'Compliance Database'!$N352&amp;" "&amp;'Compliance Database'!$O352)))),1,0)</f>
        <v/>
      </c>
      <c r="B352">
        <f>IF($A352=1,SUM($A$2:$A352),"")</f>
        <v/>
      </c>
      <c r="C352">
        <f>IF($A352=1,SUM($A$2:$A352),0)</f>
        <v/>
      </c>
    </row>
    <row r="353">
      <c r="A353">
        <f>IF(AND(OR('Compliance Database'!$A353='Data Transfer'!$B$4,'Compliance Database'!$A353='Data Transfer'!$B$5),OR('Data Transfer'!$B$6="",ISNUMBER(SEARCH('Data Transfer'!$B$6,'Compliance Database'!$D353&amp;" "&amp;'Compliance Database'!$L353&amp;" "&amp;'Compliance Database'!$M353&amp;" "&amp;'Compliance Database'!$N353&amp;" "&amp;'Compliance Database'!$O353)))),1,0)</f>
        <v/>
      </c>
      <c r="B353">
        <f>IF($A353=1,SUM($A$2:$A353),"")</f>
        <v/>
      </c>
      <c r="C353">
        <f>IF($A353=1,SUM($A$2:$A353),0)</f>
        <v/>
      </c>
    </row>
    <row r="354">
      <c r="A354">
        <f>IF(AND(OR('Compliance Database'!$A354='Data Transfer'!$B$4,'Compliance Database'!$A354='Data Transfer'!$B$5),OR('Data Transfer'!$B$6="",ISNUMBER(SEARCH('Data Transfer'!$B$6,'Compliance Database'!$D354&amp;" "&amp;'Compliance Database'!$L354&amp;" "&amp;'Compliance Database'!$M354&amp;" "&amp;'Compliance Database'!$N354&amp;" "&amp;'Compliance Database'!$O354)))),1,0)</f>
        <v/>
      </c>
      <c r="B354">
        <f>IF($A354=1,SUM($A$2:$A354),"")</f>
        <v/>
      </c>
      <c r="C354">
        <f>IF($A354=1,SUM($A$2:$A354),0)</f>
        <v/>
      </c>
    </row>
    <row r="355">
      <c r="A355">
        <f>IF(AND(OR('Compliance Database'!$A355='Data Transfer'!$B$4,'Compliance Database'!$A355='Data Transfer'!$B$5),OR('Data Transfer'!$B$6="",ISNUMBER(SEARCH('Data Transfer'!$B$6,'Compliance Database'!$D355&amp;" "&amp;'Compliance Database'!$L355&amp;" "&amp;'Compliance Database'!$M355&amp;" "&amp;'Compliance Database'!$N355&amp;" "&amp;'Compliance Database'!$O355)))),1,0)</f>
        <v/>
      </c>
      <c r="B355">
        <f>IF($A355=1,SUM($A$2:$A355),"")</f>
        <v/>
      </c>
      <c r="C355">
        <f>IF($A355=1,SUM($A$2:$A355),0)</f>
        <v/>
      </c>
    </row>
    <row r="356">
      <c r="A356">
        <f>IF(AND(OR('Compliance Database'!$A356='Data Transfer'!$B$4,'Compliance Database'!$A356='Data Transfer'!$B$5),OR('Data Transfer'!$B$6="",ISNUMBER(SEARCH('Data Transfer'!$B$6,'Compliance Database'!$D356&amp;" "&amp;'Compliance Database'!$L356&amp;" "&amp;'Compliance Database'!$M356&amp;" "&amp;'Compliance Database'!$N356&amp;" "&amp;'Compliance Database'!$O356)))),1,0)</f>
        <v/>
      </c>
      <c r="B356">
        <f>IF($A356=1,SUM($A$2:$A356),"")</f>
        <v/>
      </c>
      <c r="C356">
        <f>IF($A356=1,SUM($A$2:$A356),0)</f>
        <v/>
      </c>
    </row>
    <row r="357">
      <c r="A357">
        <f>IF(AND(OR('Compliance Database'!$A357='Data Transfer'!$B$4,'Compliance Database'!$A357='Data Transfer'!$B$5),OR('Data Transfer'!$B$6="",ISNUMBER(SEARCH('Data Transfer'!$B$6,'Compliance Database'!$D357&amp;" "&amp;'Compliance Database'!$L357&amp;" "&amp;'Compliance Database'!$M357&amp;" "&amp;'Compliance Database'!$N357&amp;" "&amp;'Compliance Database'!$O357)))),1,0)</f>
        <v/>
      </c>
      <c r="B357">
        <f>IF($A357=1,SUM($A$2:$A357),"")</f>
        <v/>
      </c>
      <c r="C357">
        <f>IF($A357=1,SUM($A$2:$A357),0)</f>
        <v/>
      </c>
    </row>
    <row r="358">
      <c r="A358">
        <f>IF(AND(OR('Compliance Database'!$A358='Data Transfer'!$B$4,'Compliance Database'!$A358='Data Transfer'!$B$5),OR('Data Transfer'!$B$6="",ISNUMBER(SEARCH('Data Transfer'!$B$6,'Compliance Database'!$D358&amp;" "&amp;'Compliance Database'!$L358&amp;" "&amp;'Compliance Database'!$M358&amp;" "&amp;'Compliance Database'!$N358&amp;" "&amp;'Compliance Database'!$O358)))),1,0)</f>
        <v/>
      </c>
      <c r="B358">
        <f>IF($A358=1,SUM($A$2:$A358),"")</f>
        <v/>
      </c>
      <c r="C358">
        <f>IF($A358=1,SUM($A$2:$A358),0)</f>
        <v/>
      </c>
    </row>
    <row r="359">
      <c r="A359">
        <f>IF(AND(OR('Compliance Database'!$A359='Data Transfer'!$B$4,'Compliance Database'!$A359='Data Transfer'!$B$5),OR('Data Transfer'!$B$6="",ISNUMBER(SEARCH('Data Transfer'!$B$6,'Compliance Database'!$D359&amp;" "&amp;'Compliance Database'!$L359&amp;" "&amp;'Compliance Database'!$M359&amp;" "&amp;'Compliance Database'!$N359&amp;" "&amp;'Compliance Database'!$O359)))),1,0)</f>
        <v/>
      </c>
      <c r="B359">
        <f>IF($A359=1,SUM($A$2:$A359),"")</f>
        <v/>
      </c>
      <c r="C359">
        <f>IF($A359=1,SUM($A$2:$A359),0)</f>
        <v/>
      </c>
    </row>
    <row r="360">
      <c r="A360">
        <f>IF(AND(OR('Compliance Database'!$A360='Data Transfer'!$B$4,'Compliance Database'!$A360='Data Transfer'!$B$5),OR('Data Transfer'!$B$6="",ISNUMBER(SEARCH('Data Transfer'!$B$6,'Compliance Database'!$D360&amp;" "&amp;'Compliance Database'!$L360&amp;" "&amp;'Compliance Database'!$M360&amp;" "&amp;'Compliance Database'!$N360&amp;" "&amp;'Compliance Database'!$O360)))),1,0)</f>
        <v/>
      </c>
      <c r="B360">
        <f>IF($A360=1,SUM($A$2:$A360),"")</f>
        <v/>
      </c>
      <c r="C360">
        <f>IF($A360=1,SUM($A$2:$A360),0)</f>
        <v/>
      </c>
    </row>
    <row r="361">
      <c r="A361">
        <f>IF(AND(OR('Compliance Database'!$A361='Data Transfer'!$B$4,'Compliance Database'!$A361='Data Transfer'!$B$5),OR('Data Transfer'!$B$6="",ISNUMBER(SEARCH('Data Transfer'!$B$6,'Compliance Database'!$D361&amp;" "&amp;'Compliance Database'!$L361&amp;" "&amp;'Compliance Database'!$M361&amp;" "&amp;'Compliance Database'!$N361&amp;" "&amp;'Compliance Database'!$O361)))),1,0)</f>
        <v/>
      </c>
      <c r="B361">
        <f>IF($A361=1,SUM($A$2:$A361),"")</f>
        <v/>
      </c>
      <c r="C361">
        <f>IF($A361=1,SUM($A$2:$A361),0)</f>
        <v/>
      </c>
    </row>
    <row r="362">
      <c r="A362">
        <f>IF(AND(OR('Compliance Database'!$A362='Data Transfer'!$B$4,'Compliance Database'!$A362='Data Transfer'!$B$5),OR('Data Transfer'!$B$6="",ISNUMBER(SEARCH('Data Transfer'!$B$6,'Compliance Database'!$D362&amp;" "&amp;'Compliance Database'!$L362&amp;" "&amp;'Compliance Database'!$M362&amp;" "&amp;'Compliance Database'!$N362&amp;" "&amp;'Compliance Database'!$O362)))),1,0)</f>
        <v/>
      </c>
      <c r="B362">
        <f>IF($A362=1,SUM($A$2:$A362),"")</f>
        <v/>
      </c>
      <c r="C362">
        <f>IF($A362=1,SUM($A$2:$A362),0)</f>
        <v/>
      </c>
    </row>
    <row r="363">
      <c r="A363">
        <f>IF(AND(OR('Compliance Database'!$A363='Data Transfer'!$B$4,'Compliance Database'!$A363='Data Transfer'!$B$5),OR('Data Transfer'!$B$6="",ISNUMBER(SEARCH('Data Transfer'!$B$6,'Compliance Database'!$D363&amp;" "&amp;'Compliance Database'!$L363&amp;" "&amp;'Compliance Database'!$M363&amp;" "&amp;'Compliance Database'!$N363&amp;" "&amp;'Compliance Database'!$O363)))),1,0)</f>
        <v/>
      </c>
      <c r="B363">
        <f>IF($A363=1,SUM($A$2:$A363),"")</f>
        <v/>
      </c>
      <c r="C363">
        <f>IF($A363=1,SUM($A$2:$A363),0)</f>
        <v/>
      </c>
    </row>
    <row r="364">
      <c r="A364">
        <f>IF(AND(OR('Compliance Database'!$A364='Data Transfer'!$B$4,'Compliance Database'!$A364='Data Transfer'!$B$5),OR('Data Transfer'!$B$6="",ISNUMBER(SEARCH('Data Transfer'!$B$6,'Compliance Database'!$D364&amp;" "&amp;'Compliance Database'!$L364&amp;" "&amp;'Compliance Database'!$M364&amp;" "&amp;'Compliance Database'!$N364&amp;" "&amp;'Compliance Database'!$O364)))),1,0)</f>
        <v/>
      </c>
      <c r="B364">
        <f>IF($A364=1,SUM($A$2:$A364),"")</f>
        <v/>
      </c>
      <c r="C364">
        <f>IF($A364=1,SUM($A$2:$A364),0)</f>
        <v/>
      </c>
    </row>
    <row r="365">
      <c r="A365">
        <f>IF(AND(OR('Compliance Database'!$A365='Data Transfer'!$B$4,'Compliance Database'!$A365='Data Transfer'!$B$5),OR('Data Transfer'!$B$6="",ISNUMBER(SEARCH('Data Transfer'!$B$6,'Compliance Database'!$D365&amp;" "&amp;'Compliance Database'!$L365&amp;" "&amp;'Compliance Database'!$M365&amp;" "&amp;'Compliance Database'!$N365&amp;" "&amp;'Compliance Database'!$O365)))),1,0)</f>
        <v/>
      </c>
      <c r="B365">
        <f>IF($A365=1,SUM($A$2:$A365),"")</f>
        <v/>
      </c>
      <c r="C365">
        <f>IF($A365=1,SUM($A$2:$A365),0)</f>
        <v/>
      </c>
    </row>
    <row r="366">
      <c r="A366">
        <f>IF(AND(OR('Compliance Database'!$A366='Data Transfer'!$B$4,'Compliance Database'!$A366='Data Transfer'!$B$5),OR('Data Transfer'!$B$6="",ISNUMBER(SEARCH('Data Transfer'!$B$6,'Compliance Database'!$D366&amp;" "&amp;'Compliance Database'!$L366&amp;" "&amp;'Compliance Database'!$M366&amp;" "&amp;'Compliance Database'!$N366&amp;" "&amp;'Compliance Database'!$O366)))),1,0)</f>
        <v/>
      </c>
      <c r="B366">
        <f>IF($A366=1,SUM($A$2:$A366),"")</f>
        <v/>
      </c>
      <c r="C366">
        <f>IF($A366=1,SUM($A$2:$A366),0)</f>
        <v/>
      </c>
    </row>
    <row r="367">
      <c r="A367">
        <f>IF(AND(OR('Compliance Database'!$A367='Data Transfer'!$B$4,'Compliance Database'!$A367='Data Transfer'!$B$5),OR('Data Transfer'!$B$6="",ISNUMBER(SEARCH('Data Transfer'!$B$6,'Compliance Database'!$D367&amp;" "&amp;'Compliance Database'!$L367&amp;" "&amp;'Compliance Database'!$M367&amp;" "&amp;'Compliance Database'!$N367&amp;" "&amp;'Compliance Database'!$O367)))),1,0)</f>
        <v/>
      </c>
      <c r="B367">
        <f>IF($A367=1,SUM($A$2:$A367),"")</f>
        <v/>
      </c>
      <c r="C367">
        <f>IF($A367=1,SUM($A$2:$A367),0)</f>
        <v/>
      </c>
    </row>
    <row r="368">
      <c r="A368">
        <f>IF(AND(OR('Compliance Database'!$A368='Data Transfer'!$B$4,'Compliance Database'!$A368='Data Transfer'!$B$5),OR('Data Transfer'!$B$6="",ISNUMBER(SEARCH('Data Transfer'!$B$6,'Compliance Database'!$D368&amp;" "&amp;'Compliance Database'!$L368&amp;" "&amp;'Compliance Database'!$M368&amp;" "&amp;'Compliance Database'!$N368&amp;" "&amp;'Compliance Database'!$O368)))),1,0)</f>
        <v/>
      </c>
      <c r="B368">
        <f>IF($A368=1,SUM($A$2:$A368),"")</f>
        <v/>
      </c>
      <c r="C368">
        <f>IF($A368=1,SUM($A$2:$A368),0)</f>
        <v/>
      </c>
    </row>
    <row r="369">
      <c r="A369">
        <f>IF(AND(OR('Compliance Database'!$A369='Data Transfer'!$B$4,'Compliance Database'!$A369='Data Transfer'!$B$5),OR('Data Transfer'!$B$6="",ISNUMBER(SEARCH('Data Transfer'!$B$6,'Compliance Database'!$D369&amp;" "&amp;'Compliance Database'!$L369&amp;" "&amp;'Compliance Database'!$M369&amp;" "&amp;'Compliance Database'!$N369&amp;" "&amp;'Compliance Database'!$O369)))),1,0)</f>
        <v/>
      </c>
      <c r="B369">
        <f>IF($A369=1,SUM($A$2:$A369),"")</f>
        <v/>
      </c>
      <c r="C369">
        <f>IF($A369=1,SUM($A$2:$A369),0)</f>
        <v/>
      </c>
    </row>
    <row r="370">
      <c r="A370">
        <f>IF(AND(OR('Compliance Database'!$A370='Data Transfer'!$B$4,'Compliance Database'!$A370='Data Transfer'!$B$5),OR('Data Transfer'!$B$6="",ISNUMBER(SEARCH('Data Transfer'!$B$6,'Compliance Database'!$D370&amp;" "&amp;'Compliance Database'!$L370&amp;" "&amp;'Compliance Database'!$M370&amp;" "&amp;'Compliance Database'!$N370&amp;" "&amp;'Compliance Database'!$O370)))),1,0)</f>
        <v/>
      </c>
      <c r="B370">
        <f>IF($A370=1,SUM($A$2:$A370),"")</f>
        <v/>
      </c>
      <c r="C370">
        <f>IF($A370=1,SUM($A$2:$A370),0)</f>
        <v/>
      </c>
    </row>
    <row r="371">
      <c r="A371">
        <f>IF(AND(OR('Compliance Database'!$A371='Data Transfer'!$B$4,'Compliance Database'!$A371='Data Transfer'!$B$5),OR('Data Transfer'!$B$6="",ISNUMBER(SEARCH('Data Transfer'!$B$6,'Compliance Database'!$D371&amp;" "&amp;'Compliance Database'!$L371&amp;" "&amp;'Compliance Database'!$M371&amp;" "&amp;'Compliance Database'!$N371&amp;" "&amp;'Compliance Database'!$O371)))),1,0)</f>
        <v/>
      </c>
      <c r="B371">
        <f>IF($A371=1,SUM($A$2:$A371),"")</f>
        <v/>
      </c>
      <c r="C371">
        <f>IF($A371=1,SUM($A$2:$A371),0)</f>
        <v/>
      </c>
    </row>
    <row r="372">
      <c r="A372">
        <f>IF(AND(OR('Compliance Database'!$A372='Data Transfer'!$B$4,'Compliance Database'!$A372='Data Transfer'!$B$5),OR('Data Transfer'!$B$6="",ISNUMBER(SEARCH('Data Transfer'!$B$6,'Compliance Database'!$D372&amp;" "&amp;'Compliance Database'!$L372&amp;" "&amp;'Compliance Database'!$M372&amp;" "&amp;'Compliance Database'!$N372&amp;" "&amp;'Compliance Database'!$O372)))),1,0)</f>
        <v/>
      </c>
      <c r="B372">
        <f>IF($A372=1,SUM($A$2:$A372),"")</f>
        <v/>
      </c>
      <c r="C372">
        <f>IF($A372=1,SUM($A$2:$A372),0)</f>
        <v/>
      </c>
    </row>
    <row r="373">
      <c r="A373">
        <f>IF(AND(OR('Compliance Database'!$A373='Data Transfer'!$B$4,'Compliance Database'!$A373='Data Transfer'!$B$5),OR('Data Transfer'!$B$6="",ISNUMBER(SEARCH('Data Transfer'!$B$6,'Compliance Database'!$D373&amp;" "&amp;'Compliance Database'!$L373&amp;" "&amp;'Compliance Database'!$M373&amp;" "&amp;'Compliance Database'!$N373&amp;" "&amp;'Compliance Database'!$O373)))),1,0)</f>
        <v/>
      </c>
      <c r="B373">
        <f>IF($A373=1,SUM($A$2:$A373),"")</f>
        <v/>
      </c>
      <c r="C373">
        <f>IF($A373=1,SUM($A$2:$A373),0)</f>
        <v/>
      </c>
    </row>
    <row r="374">
      <c r="A374">
        <f>IF(AND(OR('Compliance Database'!$A374='Data Transfer'!$B$4,'Compliance Database'!$A374='Data Transfer'!$B$5),OR('Data Transfer'!$B$6="",ISNUMBER(SEARCH('Data Transfer'!$B$6,'Compliance Database'!$D374&amp;" "&amp;'Compliance Database'!$L374&amp;" "&amp;'Compliance Database'!$M374&amp;" "&amp;'Compliance Database'!$N374&amp;" "&amp;'Compliance Database'!$O374)))),1,0)</f>
        <v/>
      </c>
      <c r="B374">
        <f>IF($A374=1,SUM($A$2:$A374),"")</f>
        <v/>
      </c>
      <c r="C374">
        <f>IF($A374=1,SUM($A$2:$A374),0)</f>
        <v/>
      </c>
    </row>
    <row r="375">
      <c r="A375">
        <f>IF(AND(OR('Compliance Database'!$A375='Data Transfer'!$B$4,'Compliance Database'!$A375='Data Transfer'!$B$5),OR('Data Transfer'!$B$6="",ISNUMBER(SEARCH('Data Transfer'!$B$6,'Compliance Database'!$D375&amp;" "&amp;'Compliance Database'!$L375&amp;" "&amp;'Compliance Database'!$M375&amp;" "&amp;'Compliance Database'!$N375&amp;" "&amp;'Compliance Database'!$O375)))),1,0)</f>
        <v/>
      </c>
      <c r="B375">
        <f>IF($A375=1,SUM($A$2:$A375),"")</f>
        <v/>
      </c>
      <c r="C375">
        <f>IF($A375=1,SUM($A$2:$A375),0)</f>
        <v/>
      </c>
    </row>
    <row r="376">
      <c r="A376">
        <f>IF(AND(OR('Compliance Database'!$A376='Data Transfer'!$B$4,'Compliance Database'!$A376='Data Transfer'!$B$5),OR('Data Transfer'!$B$6="",ISNUMBER(SEARCH('Data Transfer'!$B$6,'Compliance Database'!$D376&amp;" "&amp;'Compliance Database'!$L376&amp;" "&amp;'Compliance Database'!$M376&amp;" "&amp;'Compliance Database'!$N376&amp;" "&amp;'Compliance Database'!$O376)))),1,0)</f>
        <v/>
      </c>
      <c r="B376">
        <f>IF($A376=1,SUM($A$2:$A376),"")</f>
        <v/>
      </c>
      <c r="C376">
        <f>IF($A376=1,SUM($A$2:$A376),0)</f>
        <v/>
      </c>
    </row>
    <row r="377">
      <c r="A377">
        <f>IF(AND(OR('Compliance Database'!$A377='Data Transfer'!$B$4,'Compliance Database'!$A377='Data Transfer'!$B$5),OR('Data Transfer'!$B$6="",ISNUMBER(SEARCH('Data Transfer'!$B$6,'Compliance Database'!$D377&amp;" "&amp;'Compliance Database'!$L377&amp;" "&amp;'Compliance Database'!$M377&amp;" "&amp;'Compliance Database'!$N377&amp;" "&amp;'Compliance Database'!$O377)))),1,0)</f>
        <v/>
      </c>
      <c r="B377">
        <f>IF($A377=1,SUM($A$2:$A377),"")</f>
        <v/>
      </c>
      <c r="C377">
        <f>IF($A377=1,SUM($A$2:$A377),0)</f>
        <v/>
      </c>
    </row>
    <row r="378">
      <c r="A378">
        <f>IF(AND(OR('Compliance Database'!$A378='Data Transfer'!$B$4,'Compliance Database'!$A378='Data Transfer'!$B$5),OR('Data Transfer'!$B$6="",ISNUMBER(SEARCH('Data Transfer'!$B$6,'Compliance Database'!$D378&amp;" "&amp;'Compliance Database'!$L378&amp;" "&amp;'Compliance Database'!$M378&amp;" "&amp;'Compliance Database'!$N378&amp;" "&amp;'Compliance Database'!$O378)))),1,0)</f>
        <v/>
      </c>
      <c r="B378">
        <f>IF($A378=1,SUM($A$2:$A378),"")</f>
        <v/>
      </c>
      <c r="C378">
        <f>IF($A378=1,SUM($A$2:$A378),0)</f>
        <v/>
      </c>
    </row>
    <row r="379">
      <c r="A379">
        <f>IF(AND(OR('Compliance Database'!$A379='Data Transfer'!$B$4,'Compliance Database'!$A379='Data Transfer'!$B$5),OR('Data Transfer'!$B$6="",ISNUMBER(SEARCH('Data Transfer'!$B$6,'Compliance Database'!$D379&amp;" "&amp;'Compliance Database'!$L379&amp;" "&amp;'Compliance Database'!$M379&amp;" "&amp;'Compliance Database'!$N379&amp;" "&amp;'Compliance Database'!$O379)))),1,0)</f>
        <v/>
      </c>
      <c r="B379">
        <f>IF($A379=1,SUM($A$2:$A379),"")</f>
        <v/>
      </c>
      <c r="C379">
        <f>IF($A379=1,SUM($A$2:$A379),0)</f>
        <v/>
      </c>
    </row>
    <row r="380">
      <c r="A380">
        <f>IF(AND(OR('Compliance Database'!$A380='Data Transfer'!$B$4,'Compliance Database'!$A380='Data Transfer'!$B$5),OR('Data Transfer'!$B$6="",ISNUMBER(SEARCH('Data Transfer'!$B$6,'Compliance Database'!$D380&amp;" "&amp;'Compliance Database'!$L380&amp;" "&amp;'Compliance Database'!$M380&amp;" "&amp;'Compliance Database'!$N380&amp;" "&amp;'Compliance Database'!$O380)))),1,0)</f>
        <v/>
      </c>
      <c r="B380">
        <f>IF($A380=1,SUM($A$2:$A380),"")</f>
        <v/>
      </c>
      <c r="C380">
        <f>IF($A380=1,SUM($A$2:$A380),0)</f>
        <v/>
      </c>
    </row>
    <row r="381">
      <c r="A381">
        <f>IF(AND(OR('Compliance Database'!$A381='Data Transfer'!$B$4,'Compliance Database'!$A381='Data Transfer'!$B$5),OR('Data Transfer'!$B$6="",ISNUMBER(SEARCH('Data Transfer'!$B$6,'Compliance Database'!$D381&amp;" "&amp;'Compliance Database'!$L381&amp;" "&amp;'Compliance Database'!$M381&amp;" "&amp;'Compliance Database'!$N381&amp;" "&amp;'Compliance Database'!$O381)))),1,0)</f>
        <v/>
      </c>
      <c r="B381">
        <f>IF($A381=1,SUM($A$2:$A381),"")</f>
        <v/>
      </c>
      <c r="C381">
        <f>IF($A381=1,SUM($A$2:$A381),0)</f>
        <v/>
      </c>
    </row>
    <row r="382">
      <c r="A382">
        <f>IF(AND(OR('Compliance Database'!$A382='Data Transfer'!$B$4,'Compliance Database'!$A382='Data Transfer'!$B$5),OR('Data Transfer'!$B$6="",ISNUMBER(SEARCH('Data Transfer'!$B$6,'Compliance Database'!$D382&amp;" "&amp;'Compliance Database'!$L382&amp;" "&amp;'Compliance Database'!$M382&amp;" "&amp;'Compliance Database'!$N382&amp;" "&amp;'Compliance Database'!$O382)))),1,0)</f>
        <v/>
      </c>
      <c r="B382">
        <f>IF($A382=1,SUM($A$2:$A382),"")</f>
        <v/>
      </c>
      <c r="C382">
        <f>IF($A382=1,SUM($A$2:$A382),0)</f>
        <v/>
      </c>
    </row>
    <row r="383">
      <c r="A383">
        <f>IF(AND(OR('Compliance Database'!$A383='Data Transfer'!$B$4,'Compliance Database'!$A383='Data Transfer'!$B$5),OR('Data Transfer'!$B$6="",ISNUMBER(SEARCH('Data Transfer'!$B$6,'Compliance Database'!$D383&amp;" "&amp;'Compliance Database'!$L383&amp;" "&amp;'Compliance Database'!$M383&amp;" "&amp;'Compliance Database'!$N383&amp;" "&amp;'Compliance Database'!$O383)))),1,0)</f>
        <v/>
      </c>
      <c r="B383">
        <f>IF($A383=1,SUM($A$2:$A383),"")</f>
        <v/>
      </c>
      <c r="C383">
        <f>IF($A383=1,SUM($A$2:$A383),0)</f>
        <v/>
      </c>
    </row>
    <row r="384">
      <c r="A384">
        <f>IF(AND(OR('Compliance Database'!$A384='Data Transfer'!$B$4,'Compliance Database'!$A384='Data Transfer'!$B$5),OR('Data Transfer'!$B$6="",ISNUMBER(SEARCH('Data Transfer'!$B$6,'Compliance Database'!$D384&amp;" "&amp;'Compliance Database'!$L384&amp;" "&amp;'Compliance Database'!$M384&amp;" "&amp;'Compliance Database'!$N384&amp;" "&amp;'Compliance Database'!$O384)))),1,0)</f>
        <v/>
      </c>
      <c r="B384">
        <f>IF($A384=1,SUM($A$2:$A384),"")</f>
        <v/>
      </c>
      <c r="C384">
        <f>IF($A384=1,SUM($A$2:$A384),0)</f>
        <v/>
      </c>
    </row>
    <row r="385">
      <c r="A385">
        <f>IF(AND(OR('Compliance Database'!$A385='Data Transfer'!$B$4,'Compliance Database'!$A385='Data Transfer'!$B$5),OR('Data Transfer'!$B$6="",ISNUMBER(SEARCH('Data Transfer'!$B$6,'Compliance Database'!$D385&amp;" "&amp;'Compliance Database'!$L385&amp;" "&amp;'Compliance Database'!$M385&amp;" "&amp;'Compliance Database'!$N385&amp;" "&amp;'Compliance Database'!$O385)))),1,0)</f>
        <v/>
      </c>
      <c r="B385">
        <f>IF($A385=1,SUM($A$2:$A385),"")</f>
        <v/>
      </c>
      <c r="C385">
        <f>IF($A385=1,SUM($A$2:$A385),0)</f>
        <v/>
      </c>
    </row>
    <row r="386">
      <c r="A386">
        <f>IF(AND(OR('Compliance Database'!$A386='Data Transfer'!$B$4,'Compliance Database'!$A386='Data Transfer'!$B$5),OR('Data Transfer'!$B$6="",ISNUMBER(SEARCH('Data Transfer'!$B$6,'Compliance Database'!$D386&amp;" "&amp;'Compliance Database'!$L386&amp;" "&amp;'Compliance Database'!$M386&amp;" "&amp;'Compliance Database'!$N386&amp;" "&amp;'Compliance Database'!$O386)))),1,0)</f>
        <v/>
      </c>
      <c r="B386">
        <f>IF($A386=1,SUM($A$2:$A386),"")</f>
        <v/>
      </c>
      <c r="C386">
        <f>IF($A386=1,SUM($A$2:$A386),0)</f>
        <v/>
      </c>
    </row>
    <row r="387">
      <c r="A387">
        <f>IF(AND(OR('Compliance Database'!$A387='Data Transfer'!$B$4,'Compliance Database'!$A387='Data Transfer'!$B$5),OR('Data Transfer'!$B$6="",ISNUMBER(SEARCH('Data Transfer'!$B$6,'Compliance Database'!$D387&amp;" "&amp;'Compliance Database'!$L387&amp;" "&amp;'Compliance Database'!$M387&amp;" "&amp;'Compliance Database'!$N387&amp;" "&amp;'Compliance Database'!$O387)))),1,0)</f>
        <v/>
      </c>
      <c r="B387">
        <f>IF($A387=1,SUM($A$2:$A387),"")</f>
        <v/>
      </c>
      <c r="C387">
        <f>IF($A387=1,SUM($A$2:$A387),0)</f>
        <v/>
      </c>
    </row>
    <row r="388">
      <c r="A388">
        <f>IF(AND(OR('Compliance Database'!$A388='Data Transfer'!$B$4,'Compliance Database'!$A388='Data Transfer'!$B$5),OR('Data Transfer'!$B$6="",ISNUMBER(SEARCH('Data Transfer'!$B$6,'Compliance Database'!$D388&amp;" "&amp;'Compliance Database'!$L388&amp;" "&amp;'Compliance Database'!$M388&amp;" "&amp;'Compliance Database'!$N388&amp;" "&amp;'Compliance Database'!$O388)))),1,0)</f>
        <v/>
      </c>
      <c r="B388">
        <f>IF($A388=1,SUM($A$2:$A388),"")</f>
        <v/>
      </c>
      <c r="C388">
        <f>IF($A388=1,SUM($A$2:$A388),0)</f>
        <v/>
      </c>
    </row>
    <row r="389">
      <c r="A389">
        <f>IF(AND(OR('Compliance Database'!$A389='Data Transfer'!$B$4,'Compliance Database'!$A389='Data Transfer'!$B$5),OR('Data Transfer'!$B$6="",ISNUMBER(SEARCH('Data Transfer'!$B$6,'Compliance Database'!$D389&amp;" "&amp;'Compliance Database'!$L389&amp;" "&amp;'Compliance Database'!$M389&amp;" "&amp;'Compliance Database'!$N389&amp;" "&amp;'Compliance Database'!$O389)))),1,0)</f>
        <v/>
      </c>
      <c r="B389">
        <f>IF($A389=1,SUM($A$2:$A389),"")</f>
        <v/>
      </c>
      <c r="C389">
        <f>IF($A389=1,SUM($A$2:$A389),0)</f>
        <v/>
      </c>
    </row>
    <row r="390">
      <c r="A390">
        <f>IF(AND(OR('Compliance Database'!$A390='Data Transfer'!$B$4,'Compliance Database'!$A390='Data Transfer'!$B$5),OR('Data Transfer'!$B$6="",ISNUMBER(SEARCH('Data Transfer'!$B$6,'Compliance Database'!$D390&amp;" "&amp;'Compliance Database'!$L390&amp;" "&amp;'Compliance Database'!$M390&amp;" "&amp;'Compliance Database'!$N390&amp;" "&amp;'Compliance Database'!$O390)))),1,0)</f>
        <v/>
      </c>
      <c r="B390">
        <f>IF($A390=1,SUM($A$2:$A390),"")</f>
        <v/>
      </c>
      <c r="C390">
        <f>IF($A390=1,SUM($A$2:$A390),0)</f>
        <v/>
      </c>
    </row>
    <row r="391">
      <c r="A391">
        <f>IF(AND(OR('Compliance Database'!$A391='Data Transfer'!$B$4,'Compliance Database'!$A391='Data Transfer'!$B$5),OR('Data Transfer'!$B$6="",ISNUMBER(SEARCH('Data Transfer'!$B$6,'Compliance Database'!$D391&amp;" "&amp;'Compliance Database'!$L391&amp;" "&amp;'Compliance Database'!$M391&amp;" "&amp;'Compliance Database'!$N391&amp;" "&amp;'Compliance Database'!$O391)))),1,0)</f>
        <v/>
      </c>
      <c r="B391">
        <f>IF($A391=1,SUM($A$2:$A391),"")</f>
        <v/>
      </c>
      <c r="C391">
        <f>IF($A391=1,SUM($A$2:$A391),0)</f>
        <v/>
      </c>
    </row>
    <row r="392">
      <c r="A392">
        <f>IF(AND(OR('Compliance Database'!$A392='Data Transfer'!$B$4,'Compliance Database'!$A392='Data Transfer'!$B$5),OR('Data Transfer'!$B$6="",ISNUMBER(SEARCH('Data Transfer'!$B$6,'Compliance Database'!$D392&amp;" "&amp;'Compliance Database'!$L392&amp;" "&amp;'Compliance Database'!$M392&amp;" "&amp;'Compliance Database'!$N392&amp;" "&amp;'Compliance Database'!$O392)))),1,0)</f>
        <v/>
      </c>
      <c r="B392">
        <f>IF($A392=1,SUM($A$2:$A392),"")</f>
        <v/>
      </c>
      <c r="C392">
        <f>IF($A392=1,SUM($A$2:$A392),0)</f>
        <v/>
      </c>
    </row>
    <row r="393">
      <c r="A393">
        <f>IF(AND(OR('Compliance Database'!$A393='Data Transfer'!$B$4,'Compliance Database'!$A393='Data Transfer'!$B$5),OR('Data Transfer'!$B$6="",ISNUMBER(SEARCH('Data Transfer'!$B$6,'Compliance Database'!$D393&amp;" "&amp;'Compliance Database'!$L393&amp;" "&amp;'Compliance Database'!$M393&amp;" "&amp;'Compliance Database'!$N393&amp;" "&amp;'Compliance Database'!$O393)))),1,0)</f>
        <v/>
      </c>
      <c r="B393">
        <f>IF($A393=1,SUM($A$2:$A393),"")</f>
        <v/>
      </c>
      <c r="C393">
        <f>IF($A393=1,SUM($A$2:$A393),0)</f>
        <v/>
      </c>
    </row>
    <row r="394">
      <c r="A394">
        <f>IF(AND(OR('Compliance Database'!$A394='Data Transfer'!$B$4,'Compliance Database'!$A394='Data Transfer'!$B$5),OR('Data Transfer'!$B$6="",ISNUMBER(SEARCH('Data Transfer'!$B$6,'Compliance Database'!$D394&amp;" "&amp;'Compliance Database'!$L394&amp;" "&amp;'Compliance Database'!$M394&amp;" "&amp;'Compliance Database'!$N394&amp;" "&amp;'Compliance Database'!$O394)))),1,0)</f>
        <v/>
      </c>
      <c r="B394">
        <f>IF($A394=1,SUM($A$2:$A394),"")</f>
        <v/>
      </c>
      <c r="C394">
        <f>IF($A394=1,SUM($A$2:$A394),0)</f>
        <v/>
      </c>
    </row>
    <row r="395">
      <c r="A395">
        <f>IF(AND(OR('Compliance Database'!$A395='Data Transfer'!$B$4,'Compliance Database'!$A395='Data Transfer'!$B$5),OR('Data Transfer'!$B$6="",ISNUMBER(SEARCH('Data Transfer'!$B$6,'Compliance Database'!$D395&amp;" "&amp;'Compliance Database'!$L395&amp;" "&amp;'Compliance Database'!$M395&amp;" "&amp;'Compliance Database'!$N395&amp;" "&amp;'Compliance Database'!$O395)))),1,0)</f>
        <v/>
      </c>
      <c r="B395">
        <f>IF($A395=1,SUM($A$2:$A395),"")</f>
        <v/>
      </c>
      <c r="C395">
        <f>IF($A395=1,SUM($A$2:$A395),0)</f>
        <v/>
      </c>
    </row>
    <row r="396">
      <c r="A396">
        <f>IF(AND(OR('Compliance Database'!$A396='Data Transfer'!$B$4,'Compliance Database'!$A396='Data Transfer'!$B$5),OR('Data Transfer'!$B$6="",ISNUMBER(SEARCH('Data Transfer'!$B$6,'Compliance Database'!$D396&amp;" "&amp;'Compliance Database'!$L396&amp;" "&amp;'Compliance Database'!$M396&amp;" "&amp;'Compliance Database'!$N396&amp;" "&amp;'Compliance Database'!$O396)))),1,0)</f>
        <v/>
      </c>
      <c r="B396">
        <f>IF($A396=1,SUM($A$2:$A396),"")</f>
        <v/>
      </c>
      <c r="C396">
        <f>IF($A396=1,SUM($A$2:$A396),0)</f>
        <v/>
      </c>
    </row>
    <row r="397">
      <c r="A397">
        <f>IF(AND(OR('Compliance Database'!$A397='Data Transfer'!$B$4,'Compliance Database'!$A397='Data Transfer'!$B$5),OR('Data Transfer'!$B$6="",ISNUMBER(SEARCH('Data Transfer'!$B$6,'Compliance Database'!$D397&amp;" "&amp;'Compliance Database'!$L397&amp;" "&amp;'Compliance Database'!$M397&amp;" "&amp;'Compliance Database'!$N397&amp;" "&amp;'Compliance Database'!$O397)))),1,0)</f>
        <v/>
      </c>
      <c r="B397">
        <f>IF($A397=1,SUM($A$2:$A397),"")</f>
        <v/>
      </c>
      <c r="C397">
        <f>IF($A397=1,SUM($A$2:$A397),0)</f>
        <v/>
      </c>
    </row>
    <row r="398">
      <c r="A398">
        <f>IF(AND(OR('Compliance Database'!$A398='Data Transfer'!$B$4,'Compliance Database'!$A398='Data Transfer'!$B$5),OR('Data Transfer'!$B$6="",ISNUMBER(SEARCH('Data Transfer'!$B$6,'Compliance Database'!$D398&amp;" "&amp;'Compliance Database'!$L398&amp;" "&amp;'Compliance Database'!$M398&amp;" "&amp;'Compliance Database'!$N398&amp;" "&amp;'Compliance Database'!$O398)))),1,0)</f>
        <v/>
      </c>
      <c r="B398">
        <f>IF($A398=1,SUM($A$2:$A398),"")</f>
        <v/>
      </c>
      <c r="C398">
        <f>IF($A398=1,SUM($A$2:$A398),0)</f>
        <v/>
      </c>
    </row>
    <row r="399">
      <c r="A399">
        <f>IF(AND(OR('Compliance Database'!$A399='Data Transfer'!$B$4,'Compliance Database'!$A399='Data Transfer'!$B$5),OR('Data Transfer'!$B$6="",ISNUMBER(SEARCH('Data Transfer'!$B$6,'Compliance Database'!$D399&amp;" "&amp;'Compliance Database'!$L399&amp;" "&amp;'Compliance Database'!$M399&amp;" "&amp;'Compliance Database'!$N399&amp;" "&amp;'Compliance Database'!$O399)))),1,0)</f>
        <v/>
      </c>
      <c r="B399">
        <f>IF($A399=1,SUM($A$2:$A399),"")</f>
        <v/>
      </c>
      <c r="C399">
        <f>IF($A399=1,SUM($A$2:$A399),0)</f>
        <v/>
      </c>
    </row>
    <row r="400">
      <c r="A400">
        <f>IF(AND(OR('Compliance Database'!$A400='Data Transfer'!$B$4,'Compliance Database'!$A400='Data Transfer'!$B$5),OR('Data Transfer'!$B$6="",ISNUMBER(SEARCH('Data Transfer'!$B$6,'Compliance Database'!$D400&amp;" "&amp;'Compliance Database'!$L400&amp;" "&amp;'Compliance Database'!$M400&amp;" "&amp;'Compliance Database'!$N400&amp;" "&amp;'Compliance Database'!$O400)))),1,0)</f>
        <v/>
      </c>
      <c r="B400">
        <f>IF($A400=1,SUM($A$2:$A400),"")</f>
        <v/>
      </c>
      <c r="C400">
        <f>IF($A400=1,SUM($A$2:$A400),0)</f>
        <v/>
      </c>
    </row>
    <row r="401">
      <c r="A401">
        <f>IF(AND(OR('Compliance Database'!$A401='Data Transfer'!$B$4,'Compliance Database'!$A401='Data Transfer'!$B$5),OR('Data Transfer'!$B$6="",ISNUMBER(SEARCH('Data Transfer'!$B$6,'Compliance Database'!$D401&amp;" "&amp;'Compliance Database'!$L401&amp;" "&amp;'Compliance Database'!$M401&amp;" "&amp;'Compliance Database'!$N401&amp;" "&amp;'Compliance Database'!$O401)))),1,0)</f>
        <v/>
      </c>
      <c r="B401">
        <f>IF($A401=1,SUM($A$2:$A401),"")</f>
        <v/>
      </c>
      <c r="C401">
        <f>IF($A401=1,SUM($A$2:$A401),0)</f>
        <v/>
      </c>
    </row>
    <row r="402">
      <c r="A402">
        <f>IF(AND(OR('Compliance Database'!$A402='Data Transfer'!$B$4,'Compliance Database'!$A402='Data Transfer'!$B$5),OR('Data Transfer'!$B$6="",ISNUMBER(SEARCH('Data Transfer'!$B$6,'Compliance Database'!$D402&amp;" "&amp;'Compliance Database'!$L402&amp;" "&amp;'Compliance Database'!$M402&amp;" "&amp;'Compliance Database'!$N402&amp;" "&amp;'Compliance Database'!$O402)))),1,0)</f>
        <v/>
      </c>
      <c r="B402">
        <f>IF($A402=1,SUM($A$2:$A402),"")</f>
        <v/>
      </c>
      <c r="C402">
        <f>IF($A402=1,SUM($A$2:$A402),0)</f>
        <v/>
      </c>
    </row>
    <row r="403">
      <c r="A403">
        <f>IF(AND(OR('Compliance Database'!$A403='Data Transfer'!$B$4,'Compliance Database'!$A403='Data Transfer'!$B$5),OR('Data Transfer'!$B$6="",ISNUMBER(SEARCH('Data Transfer'!$B$6,'Compliance Database'!$D403&amp;" "&amp;'Compliance Database'!$L403&amp;" "&amp;'Compliance Database'!$M403&amp;" "&amp;'Compliance Database'!$N403&amp;" "&amp;'Compliance Database'!$O403)))),1,0)</f>
        <v/>
      </c>
      <c r="B403">
        <f>IF($A403=1,SUM($A$2:$A403),"")</f>
        <v/>
      </c>
      <c r="C403">
        <f>IF($A403=1,SUM($A$2:$A403),0)</f>
        <v/>
      </c>
    </row>
    <row r="404">
      <c r="A404">
        <f>IF(AND(OR('Compliance Database'!$A404='Data Transfer'!$B$4,'Compliance Database'!$A404='Data Transfer'!$B$5),OR('Data Transfer'!$B$6="",ISNUMBER(SEARCH('Data Transfer'!$B$6,'Compliance Database'!$D404&amp;" "&amp;'Compliance Database'!$L404&amp;" "&amp;'Compliance Database'!$M404&amp;" "&amp;'Compliance Database'!$N404&amp;" "&amp;'Compliance Database'!$O404)))),1,0)</f>
        <v/>
      </c>
      <c r="B404">
        <f>IF($A404=1,SUM($A$2:$A404),"")</f>
        <v/>
      </c>
      <c r="C404">
        <f>IF($A404=1,SUM($A$2:$A404),0)</f>
        <v/>
      </c>
    </row>
    <row r="405">
      <c r="A405">
        <f>IF(AND(OR('Compliance Database'!$A405='Data Transfer'!$B$4,'Compliance Database'!$A405='Data Transfer'!$B$5),OR('Data Transfer'!$B$6="",ISNUMBER(SEARCH('Data Transfer'!$B$6,'Compliance Database'!$D405&amp;" "&amp;'Compliance Database'!$L405&amp;" "&amp;'Compliance Database'!$M405&amp;" "&amp;'Compliance Database'!$N405&amp;" "&amp;'Compliance Database'!$O405)))),1,0)</f>
        <v/>
      </c>
      <c r="B405">
        <f>IF($A405=1,SUM($A$2:$A405),"")</f>
        <v/>
      </c>
      <c r="C405">
        <f>IF($A405=1,SUM($A$2:$A405),0)</f>
        <v/>
      </c>
    </row>
    <row r="406">
      <c r="A406">
        <f>IF(AND(OR('Compliance Database'!$A406='Data Transfer'!$B$4,'Compliance Database'!$A406='Data Transfer'!$B$5),OR('Data Transfer'!$B$6="",ISNUMBER(SEARCH('Data Transfer'!$B$6,'Compliance Database'!$D406&amp;" "&amp;'Compliance Database'!$L406&amp;" "&amp;'Compliance Database'!$M406&amp;" "&amp;'Compliance Database'!$N406&amp;" "&amp;'Compliance Database'!$O406)))),1,0)</f>
        <v/>
      </c>
      <c r="B406">
        <f>IF($A406=1,SUM($A$2:$A406),"")</f>
        <v/>
      </c>
      <c r="C406">
        <f>IF($A406=1,SUM($A$2:$A406),0)</f>
        <v/>
      </c>
    </row>
    <row r="407">
      <c r="A407">
        <f>IF(AND(OR('Compliance Database'!$A407='Data Transfer'!$B$4,'Compliance Database'!$A407='Data Transfer'!$B$5),OR('Data Transfer'!$B$6="",ISNUMBER(SEARCH('Data Transfer'!$B$6,'Compliance Database'!$D407&amp;" "&amp;'Compliance Database'!$L407&amp;" "&amp;'Compliance Database'!$M407&amp;" "&amp;'Compliance Database'!$N407&amp;" "&amp;'Compliance Database'!$O407)))),1,0)</f>
        <v/>
      </c>
      <c r="B407">
        <f>IF($A407=1,SUM($A$2:$A407),"")</f>
        <v/>
      </c>
      <c r="C407">
        <f>IF($A407=1,SUM($A$2:$A407),0)</f>
        <v/>
      </c>
    </row>
    <row r="408">
      <c r="A408">
        <f>IF(AND(OR('Compliance Database'!$A408='Data Transfer'!$B$4,'Compliance Database'!$A408='Data Transfer'!$B$5),OR('Data Transfer'!$B$6="",ISNUMBER(SEARCH('Data Transfer'!$B$6,'Compliance Database'!$D408&amp;" "&amp;'Compliance Database'!$L408&amp;" "&amp;'Compliance Database'!$M408&amp;" "&amp;'Compliance Database'!$N408&amp;" "&amp;'Compliance Database'!$O408)))),1,0)</f>
        <v/>
      </c>
      <c r="B408">
        <f>IF($A408=1,SUM($A$2:$A408),"")</f>
        <v/>
      </c>
      <c r="C408">
        <f>IF($A408=1,SUM($A$2:$A408),0)</f>
        <v/>
      </c>
    </row>
    <row r="409">
      <c r="A409">
        <f>IF(AND(OR('Compliance Database'!$A409='Data Transfer'!$B$4,'Compliance Database'!$A409='Data Transfer'!$B$5),OR('Data Transfer'!$B$6="",ISNUMBER(SEARCH('Data Transfer'!$B$6,'Compliance Database'!$D409&amp;" "&amp;'Compliance Database'!$L409&amp;" "&amp;'Compliance Database'!$M409&amp;" "&amp;'Compliance Database'!$N409&amp;" "&amp;'Compliance Database'!$O409)))),1,0)</f>
        <v/>
      </c>
      <c r="B409">
        <f>IF($A409=1,SUM($A$2:$A409),"")</f>
        <v/>
      </c>
      <c r="C409">
        <f>IF($A409=1,SUM($A$2:$A409),0)</f>
        <v/>
      </c>
    </row>
    <row r="410">
      <c r="A410">
        <f>IF(AND(OR('Compliance Database'!$A410='Data Transfer'!$B$4,'Compliance Database'!$A410='Data Transfer'!$B$5),OR('Data Transfer'!$B$6="",ISNUMBER(SEARCH('Data Transfer'!$B$6,'Compliance Database'!$D410&amp;" "&amp;'Compliance Database'!$L410&amp;" "&amp;'Compliance Database'!$M410&amp;" "&amp;'Compliance Database'!$N410&amp;" "&amp;'Compliance Database'!$O410)))),1,0)</f>
        <v/>
      </c>
      <c r="B410">
        <f>IF($A410=1,SUM($A$2:$A410),"")</f>
        <v/>
      </c>
      <c r="C410">
        <f>IF($A410=1,SUM($A$2:$A410),0)</f>
        <v/>
      </c>
    </row>
    <row r="411">
      <c r="A411">
        <f>IF(AND(OR('Compliance Database'!$A411='Data Transfer'!$B$4,'Compliance Database'!$A411='Data Transfer'!$B$5),OR('Data Transfer'!$B$6="",ISNUMBER(SEARCH('Data Transfer'!$B$6,'Compliance Database'!$D411&amp;" "&amp;'Compliance Database'!$L411&amp;" "&amp;'Compliance Database'!$M411&amp;" "&amp;'Compliance Database'!$N411&amp;" "&amp;'Compliance Database'!$O411)))),1,0)</f>
        <v/>
      </c>
      <c r="B411">
        <f>IF($A411=1,SUM($A$2:$A411),"")</f>
        <v/>
      </c>
      <c r="C411">
        <f>IF($A411=1,SUM($A$2:$A411),0)</f>
        <v/>
      </c>
    </row>
    <row r="412">
      <c r="A412">
        <f>IF(AND(OR('Compliance Database'!$A412='Data Transfer'!$B$4,'Compliance Database'!$A412='Data Transfer'!$B$5),OR('Data Transfer'!$B$6="",ISNUMBER(SEARCH('Data Transfer'!$B$6,'Compliance Database'!$D412&amp;" "&amp;'Compliance Database'!$L412&amp;" "&amp;'Compliance Database'!$M412&amp;" "&amp;'Compliance Database'!$N412&amp;" "&amp;'Compliance Database'!$O412)))),1,0)</f>
        <v/>
      </c>
      <c r="B412">
        <f>IF($A412=1,SUM($A$2:$A412),"")</f>
        <v/>
      </c>
      <c r="C412">
        <f>IF($A412=1,SUM($A$2:$A412),0)</f>
        <v/>
      </c>
    </row>
    <row r="413">
      <c r="A413">
        <f>IF(AND(OR('Compliance Database'!$A413='Data Transfer'!$B$4,'Compliance Database'!$A413='Data Transfer'!$B$5),OR('Data Transfer'!$B$6="",ISNUMBER(SEARCH('Data Transfer'!$B$6,'Compliance Database'!$D413&amp;" "&amp;'Compliance Database'!$L413&amp;" "&amp;'Compliance Database'!$M413&amp;" "&amp;'Compliance Database'!$N413&amp;" "&amp;'Compliance Database'!$O413)))),1,0)</f>
        <v/>
      </c>
      <c r="B413">
        <f>IF($A413=1,SUM($A$2:$A413),"")</f>
        <v/>
      </c>
      <c r="C413">
        <f>IF($A413=1,SUM($A$2:$A413),0)</f>
        <v/>
      </c>
    </row>
    <row r="414">
      <c r="A414">
        <f>IF(AND(OR('Compliance Database'!$A414='Data Transfer'!$B$4,'Compliance Database'!$A414='Data Transfer'!$B$5),OR('Data Transfer'!$B$6="",ISNUMBER(SEARCH('Data Transfer'!$B$6,'Compliance Database'!$D414&amp;" "&amp;'Compliance Database'!$L414&amp;" "&amp;'Compliance Database'!$M414&amp;" "&amp;'Compliance Database'!$N414&amp;" "&amp;'Compliance Database'!$O414)))),1,0)</f>
        <v/>
      </c>
      <c r="B414">
        <f>IF($A414=1,SUM($A$2:$A414),"")</f>
        <v/>
      </c>
      <c r="C414">
        <f>IF($A414=1,SUM($A$2:$A414),0)</f>
        <v/>
      </c>
    </row>
    <row r="415">
      <c r="A415">
        <f>IF(AND(OR('Compliance Database'!$A415='Data Transfer'!$B$4,'Compliance Database'!$A415='Data Transfer'!$B$5),OR('Data Transfer'!$B$6="",ISNUMBER(SEARCH('Data Transfer'!$B$6,'Compliance Database'!$D415&amp;" "&amp;'Compliance Database'!$L415&amp;" "&amp;'Compliance Database'!$M415&amp;" "&amp;'Compliance Database'!$N415&amp;" "&amp;'Compliance Database'!$O415)))),1,0)</f>
        <v/>
      </c>
      <c r="B415">
        <f>IF($A415=1,SUM($A$2:$A415),"")</f>
        <v/>
      </c>
      <c r="C415">
        <f>IF($A415=1,SUM($A$2:$A415),0)</f>
        <v/>
      </c>
    </row>
    <row r="416">
      <c r="A416">
        <f>IF(AND(OR('Compliance Database'!$A416='Data Transfer'!$B$4,'Compliance Database'!$A416='Data Transfer'!$B$5),OR('Data Transfer'!$B$6="",ISNUMBER(SEARCH('Data Transfer'!$B$6,'Compliance Database'!$D416&amp;" "&amp;'Compliance Database'!$L416&amp;" "&amp;'Compliance Database'!$M416&amp;" "&amp;'Compliance Database'!$N416&amp;" "&amp;'Compliance Database'!$O416)))),1,0)</f>
        <v/>
      </c>
      <c r="B416">
        <f>IF($A416=1,SUM($A$2:$A416),"")</f>
        <v/>
      </c>
      <c r="C416">
        <f>IF($A416=1,SUM($A$2:$A416),0)</f>
        <v/>
      </c>
    </row>
    <row r="417">
      <c r="A417">
        <f>IF(AND(OR('Compliance Database'!$A417='Data Transfer'!$B$4,'Compliance Database'!$A417='Data Transfer'!$B$5),OR('Data Transfer'!$B$6="",ISNUMBER(SEARCH('Data Transfer'!$B$6,'Compliance Database'!$D417&amp;" "&amp;'Compliance Database'!$L417&amp;" "&amp;'Compliance Database'!$M417&amp;" "&amp;'Compliance Database'!$N417&amp;" "&amp;'Compliance Database'!$O417)))),1,0)</f>
        <v/>
      </c>
      <c r="B417">
        <f>IF($A417=1,SUM($A$2:$A417),"")</f>
        <v/>
      </c>
      <c r="C417">
        <f>IF($A417=1,SUM($A$2:$A417),0)</f>
        <v/>
      </c>
    </row>
    <row r="418">
      <c r="A418">
        <f>IF(AND(OR('Compliance Database'!$A418='Data Transfer'!$B$4,'Compliance Database'!$A418='Data Transfer'!$B$5),OR('Data Transfer'!$B$6="",ISNUMBER(SEARCH('Data Transfer'!$B$6,'Compliance Database'!$D418&amp;" "&amp;'Compliance Database'!$L418&amp;" "&amp;'Compliance Database'!$M418&amp;" "&amp;'Compliance Database'!$N418&amp;" "&amp;'Compliance Database'!$O418)))),1,0)</f>
        <v/>
      </c>
      <c r="B418">
        <f>IF($A418=1,SUM($A$2:$A418),"")</f>
        <v/>
      </c>
      <c r="C418">
        <f>IF($A418=1,SUM($A$2:$A418),0)</f>
        <v/>
      </c>
    </row>
    <row r="419">
      <c r="A419">
        <f>IF(AND(OR('Compliance Database'!$A419='Data Transfer'!$B$4,'Compliance Database'!$A419='Data Transfer'!$B$5),OR('Data Transfer'!$B$6="",ISNUMBER(SEARCH('Data Transfer'!$B$6,'Compliance Database'!$D419&amp;" "&amp;'Compliance Database'!$L419&amp;" "&amp;'Compliance Database'!$M419&amp;" "&amp;'Compliance Database'!$N419&amp;" "&amp;'Compliance Database'!$O419)))),1,0)</f>
        <v/>
      </c>
      <c r="B419">
        <f>IF($A419=1,SUM($A$2:$A419),"")</f>
        <v/>
      </c>
      <c r="C419">
        <f>IF($A419=1,SUM($A$2:$A419),0)</f>
        <v/>
      </c>
    </row>
    <row r="420">
      <c r="A420">
        <f>IF(AND(OR('Compliance Database'!$A420='Data Transfer'!$B$4,'Compliance Database'!$A420='Data Transfer'!$B$5),OR('Data Transfer'!$B$6="",ISNUMBER(SEARCH('Data Transfer'!$B$6,'Compliance Database'!$D420&amp;" "&amp;'Compliance Database'!$L420&amp;" "&amp;'Compliance Database'!$M420&amp;" "&amp;'Compliance Database'!$N420&amp;" "&amp;'Compliance Database'!$O420)))),1,0)</f>
        <v/>
      </c>
      <c r="B420">
        <f>IF($A420=1,SUM($A$2:$A420),"")</f>
        <v/>
      </c>
      <c r="C420">
        <f>IF($A420=1,SUM($A$2:$A420),0)</f>
        <v/>
      </c>
    </row>
    <row r="421">
      <c r="A421">
        <f>IF(AND(OR('Compliance Database'!$A421='Data Transfer'!$B$4,'Compliance Database'!$A421='Data Transfer'!$B$5),OR('Data Transfer'!$B$6="",ISNUMBER(SEARCH('Data Transfer'!$B$6,'Compliance Database'!$D421&amp;" "&amp;'Compliance Database'!$L421&amp;" "&amp;'Compliance Database'!$M421&amp;" "&amp;'Compliance Database'!$N421&amp;" "&amp;'Compliance Database'!$O421)))),1,0)</f>
        <v/>
      </c>
      <c r="B421">
        <f>IF($A421=1,SUM($A$2:$A421),"")</f>
        <v/>
      </c>
      <c r="C421">
        <f>IF($A421=1,SUM($A$2:$A421),0)</f>
        <v/>
      </c>
    </row>
    <row r="422">
      <c r="A422">
        <f>IF(AND(OR('Compliance Database'!$A422='Data Transfer'!$B$4,'Compliance Database'!$A422='Data Transfer'!$B$5),OR('Data Transfer'!$B$6="",ISNUMBER(SEARCH('Data Transfer'!$B$6,'Compliance Database'!$D422&amp;" "&amp;'Compliance Database'!$L422&amp;" "&amp;'Compliance Database'!$M422&amp;" "&amp;'Compliance Database'!$N422&amp;" "&amp;'Compliance Database'!$O422)))),1,0)</f>
        <v/>
      </c>
      <c r="B422">
        <f>IF($A422=1,SUM($A$2:$A422),"")</f>
        <v/>
      </c>
      <c r="C422">
        <f>IF($A422=1,SUM($A$2:$A422),0)</f>
        <v/>
      </c>
    </row>
    <row r="423">
      <c r="A423">
        <f>IF(AND(OR('Compliance Database'!$A423='Data Transfer'!$B$4,'Compliance Database'!$A423='Data Transfer'!$B$5),OR('Data Transfer'!$B$6="",ISNUMBER(SEARCH('Data Transfer'!$B$6,'Compliance Database'!$D423&amp;" "&amp;'Compliance Database'!$L423&amp;" "&amp;'Compliance Database'!$M423&amp;" "&amp;'Compliance Database'!$N423&amp;" "&amp;'Compliance Database'!$O423)))),1,0)</f>
        <v/>
      </c>
      <c r="B423">
        <f>IF($A423=1,SUM($A$2:$A423),"")</f>
        <v/>
      </c>
      <c r="C423">
        <f>IF($A423=1,SUM($A$2:$A423),0)</f>
        <v/>
      </c>
    </row>
    <row r="424">
      <c r="A424">
        <f>IF(AND(OR('Compliance Database'!$A424='Data Transfer'!$B$4,'Compliance Database'!$A424='Data Transfer'!$B$5),OR('Data Transfer'!$B$6="",ISNUMBER(SEARCH('Data Transfer'!$B$6,'Compliance Database'!$D424&amp;" "&amp;'Compliance Database'!$L424&amp;" "&amp;'Compliance Database'!$M424&amp;" "&amp;'Compliance Database'!$N424&amp;" "&amp;'Compliance Database'!$O424)))),1,0)</f>
        <v/>
      </c>
      <c r="B424">
        <f>IF($A424=1,SUM($A$2:$A424),"")</f>
        <v/>
      </c>
      <c r="C424">
        <f>IF($A424=1,SUM($A$2:$A424),0)</f>
        <v/>
      </c>
    </row>
    <row r="425">
      <c r="A425">
        <f>IF(AND(OR('Compliance Database'!$A425='Data Transfer'!$B$4,'Compliance Database'!$A425='Data Transfer'!$B$5),OR('Data Transfer'!$B$6="",ISNUMBER(SEARCH('Data Transfer'!$B$6,'Compliance Database'!$D425&amp;" "&amp;'Compliance Database'!$L425&amp;" "&amp;'Compliance Database'!$M425&amp;" "&amp;'Compliance Database'!$N425&amp;" "&amp;'Compliance Database'!$O425)))),1,0)</f>
        <v/>
      </c>
      <c r="B425">
        <f>IF($A425=1,SUM($A$2:$A425),"")</f>
        <v/>
      </c>
      <c r="C425">
        <f>IF($A425=1,SUM($A$2:$A425),0)</f>
        <v/>
      </c>
    </row>
    <row r="426">
      <c r="A426">
        <f>IF(AND(OR('Compliance Database'!$A426='Data Transfer'!$B$4,'Compliance Database'!$A426='Data Transfer'!$B$5),OR('Data Transfer'!$B$6="",ISNUMBER(SEARCH('Data Transfer'!$B$6,'Compliance Database'!$D426&amp;" "&amp;'Compliance Database'!$L426&amp;" "&amp;'Compliance Database'!$M426&amp;" "&amp;'Compliance Database'!$N426&amp;" "&amp;'Compliance Database'!$O426)))),1,0)</f>
        <v/>
      </c>
      <c r="B426">
        <f>IF($A426=1,SUM($A$2:$A426),"")</f>
        <v/>
      </c>
      <c r="C426">
        <f>IF($A426=1,SUM($A$2:$A426),0)</f>
        <v/>
      </c>
    </row>
    <row r="427">
      <c r="A427">
        <f>IF(AND(OR('Compliance Database'!$A427='Data Transfer'!$B$4,'Compliance Database'!$A427='Data Transfer'!$B$5),OR('Data Transfer'!$B$6="",ISNUMBER(SEARCH('Data Transfer'!$B$6,'Compliance Database'!$D427&amp;" "&amp;'Compliance Database'!$L427&amp;" "&amp;'Compliance Database'!$M427&amp;" "&amp;'Compliance Database'!$N427&amp;" "&amp;'Compliance Database'!$O427)))),1,0)</f>
        <v/>
      </c>
      <c r="B427">
        <f>IF($A427=1,SUM($A$2:$A427),"")</f>
        <v/>
      </c>
      <c r="C427">
        <f>IF($A427=1,SUM($A$2:$A427),0)</f>
        <v/>
      </c>
    </row>
    <row r="428">
      <c r="A428">
        <f>IF(AND(OR('Compliance Database'!$A428='Data Transfer'!$B$4,'Compliance Database'!$A428='Data Transfer'!$B$5),OR('Data Transfer'!$B$6="",ISNUMBER(SEARCH('Data Transfer'!$B$6,'Compliance Database'!$D428&amp;" "&amp;'Compliance Database'!$L428&amp;" "&amp;'Compliance Database'!$M428&amp;" "&amp;'Compliance Database'!$N428&amp;" "&amp;'Compliance Database'!$O428)))),1,0)</f>
        <v/>
      </c>
      <c r="B428">
        <f>IF($A428=1,SUM($A$2:$A428),"")</f>
        <v/>
      </c>
      <c r="C428">
        <f>IF($A428=1,SUM($A$2:$A428),0)</f>
        <v/>
      </c>
    </row>
    <row r="429">
      <c r="A429">
        <f>IF(AND(OR('Compliance Database'!$A429='Data Transfer'!$B$4,'Compliance Database'!$A429='Data Transfer'!$B$5),OR('Data Transfer'!$B$6="",ISNUMBER(SEARCH('Data Transfer'!$B$6,'Compliance Database'!$D429&amp;" "&amp;'Compliance Database'!$L429&amp;" "&amp;'Compliance Database'!$M429&amp;" "&amp;'Compliance Database'!$N429&amp;" "&amp;'Compliance Database'!$O429)))),1,0)</f>
        <v/>
      </c>
      <c r="B429">
        <f>IF($A429=1,SUM($A$2:$A429),"")</f>
        <v/>
      </c>
      <c r="C429">
        <f>IF($A429=1,SUM($A$2:$A429),0)</f>
        <v/>
      </c>
    </row>
    <row r="430">
      <c r="A430">
        <f>IF(AND(OR('Compliance Database'!$A430='Data Transfer'!$B$4,'Compliance Database'!$A430='Data Transfer'!$B$5),OR('Data Transfer'!$B$6="",ISNUMBER(SEARCH('Data Transfer'!$B$6,'Compliance Database'!$D430&amp;" "&amp;'Compliance Database'!$L430&amp;" "&amp;'Compliance Database'!$M430&amp;" "&amp;'Compliance Database'!$N430&amp;" "&amp;'Compliance Database'!$O430)))),1,0)</f>
        <v/>
      </c>
      <c r="B430">
        <f>IF($A430=1,SUM($A$2:$A430),"")</f>
        <v/>
      </c>
      <c r="C430">
        <f>IF($A430=1,SUM($A$2:$A430),0)</f>
        <v/>
      </c>
    </row>
    <row r="431">
      <c r="A431">
        <f>IF(AND(OR('Compliance Database'!$A431='Data Transfer'!$B$4,'Compliance Database'!$A431='Data Transfer'!$B$5),OR('Data Transfer'!$B$6="",ISNUMBER(SEARCH('Data Transfer'!$B$6,'Compliance Database'!$D431&amp;" "&amp;'Compliance Database'!$L431&amp;" "&amp;'Compliance Database'!$M431&amp;" "&amp;'Compliance Database'!$N431&amp;" "&amp;'Compliance Database'!$O431)))),1,0)</f>
        <v/>
      </c>
      <c r="B431">
        <f>IF($A431=1,SUM($A$2:$A431),"")</f>
        <v/>
      </c>
      <c r="C431">
        <f>IF($A431=1,SUM($A$2:$A431),0)</f>
        <v/>
      </c>
    </row>
    <row r="432">
      <c r="A432">
        <f>IF(AND(OR('Compliance Database'!$A432='Data Transfer'!$B$4,'Compliance Database'!$A432='Data Transfer'!$B$5),OR('Data Transfer'!$B$6="",ISNUMBER(SEARCH('Data Transfer'!$B$6,'Compliance Database'!$D432&amp;" "&amp;'Compliance Database'!$L432&amp;" "&amp;'Compliance Database'!$M432&amp;" "&amp;'Compliance Database'!$N432&amp;" "&amp;'Compliance Database'!$O432)))),1,0)</f>
        <v/>
      </c>
      <c r="B432">
        <f>IF($A432=1,SUM($A$2:$A432),"")</f>
        <v/>
      </c>
      <c r="C432">
        <f>IF($A432=1,SUM($A$2:$A432),0)</f>
        <v/>
      </c>
    </row>
    <row r="433">
      <c r="A433">
        <f>IF(AND(OR('Compliance Database'!$A433='Data Transfer'!$B$4,'Compliance Database'!$A433='Data Transfer'!$B$5),OR('Data Transfer'!$B$6="",ISNUMBER(SEARCH('Data Transfer'!$B$6,'Compliance Database'!$D433&amp;" "&amp;'Compliance Database'!$L433&amp;" "&amp;'Compliance Database'!$M433&amp;" "&amp;'Compliance Database'!$N433&amp;" "&amp;'Compliance Database'!$O433)))),1,0)</f>
        <v/>
      </c>
      <c r="B433">
        <f>IF($A433=1,SUM($A$2:$A433),"")</f>
        <v/>
      </c>
      <c r="C433">
        <f>IF($A433=1,SUM($A$2:$A433),0)</f>
        <v/>
      </c>
    </row>
    <row r="434">
      <c r="A434">
        <f>IF(AND(OR('Compliance Database'!$A434='Data Transfer'!$B$4,'Compliance Database'!$A434='Data Transfer'!$B$5),OR('Data Transfer'!$B$6="",ISNUMBER(SEARCH('Data Transfer'!$B$6,'Compliance Database'!$D434&amp;" "&amp;'Compliance Database'!$L434&amp;" "&amp;'Compliance Database'!$M434&amp;" "&amp;'Compliance Database'!$N434&amp;" "&amp;'Compliance Database'!$O434)))),1,0)</f>
        <v/>
      </c>
      <c r="B434">
        <f>IF($A434=1,SUM($A$2:$A434),"")</f>
        <v/>
      </c>
      <c r="C434">
        <f>IF($A434=1,SUM($A$2:$A434),0)</f>
        <v/>
      </c>
    </row>
    <row r="435">
      <c r="A435">
        <f>IF(AND(OR('Compliance Database'!$A435='Data Transfer'!$B$4,'Compliance Database'!$A435='Data Transfer'!$B$5),OR('Data Transfer'!$B$6="",ISNUMBER(SEARCH('Data Transfer'!$B$6,'Compliance Database'!$D435&amp;" "&amp;'Compliance Database'!$L435&amp;" "&amp;'Compliance Database'!$M435&amp;" "&amp;'Compliance Database'!$N435&amp;" "&amp;'Compliance Database'!$O435)))),1,0)</f>
        <v/>
      </c>
      <c r="B435">
        <f>IF($A435=1,SUM($A$2:$A435),"")</f>
        <v/>
      </c>
      <c r="C435">
        <f>IF($A435=1,SUM($A$2:$A435),0)</f>
        <v/>
      </c>
    </row>
    <row r="436">
      <c r="A436">
        <f>IF(AND(OR('Compliance Database'!$A436='Data Transfer'!$B$4,'Compliance Database'!$A436='Data Transfer'!$B$5),OR('Data Transfer'!$B$6="",ISNUMBER(SEARCH('Data Transfer'!$B$6,'Compliance Database'!$D436&amp;" "&amp;'Compliance Database'!$L436&amp;" "&amp;'Compliance Database'!$M436&amp;" "&amp;'Compliance Database'!$N436&amp;" "&amp;'Compliance Database'!$O436)))),1,0)</f>
        <v/>
      </c>
      <c r="B436">
        <f>IF($A436=1,SUM($A$2:$A436),"")</f>
        <v/>
      </c>
      <c r="C436">
        <f>IF($A436=1,SUM($A$2:$A436),0)</f>
        <v/>
      </c>
    </row>
    <row r="437">
      <c r="A437">
        <f>IF(AND(OR('Compliance Database'!$A437='Data Transfer'!$B$4,'Compliance Database'!$A437='Data Transfer'!$B$5),OR('Data Transfer'!$B$6="",ISNUMBER(SEARCH('Data Transfer'!$B$6,'Compliance Database'!$D437&amp;" "&amp;'Compliance Database'!$L437&amp;" "&amp;'Compliance Database'!$M437&amp;" "&amp;'Compliance Database'!$N437&amp;" "&amp;'Compliance Database'!$O437)))),1,0)</f>
        <v/>
      </c>
      <c r="B437">
        <f>IF($A437=1,SUM($A$2:$A437),"")</f>
        <v/>
      </c>
      <c r="C437">
        <f>IF($A437=1,SUM($A$2:$A437),0)</f>
        <v/>
      </c>
    </row>
    <row r="438">
      <c r="A438">
        <f>IF(AND(OR('Compliance Database'!$A438='Data Transfer'!$B$4,'Compliance Database'!$A438='Data Transfer'!$B$5),OR('Data Transfer'!$B$6="",ISNUMBER(SEARCH('Data Transfer'!$B$6,'Compliance Database'!$D438&amp;" "&amp;'Compliance Database'!$L438&amp;" "&amp;'Compliance Database'!$M438&amp;" "&amp;'Compliance Database'!$N438&amp;" "&amp;'Compliance Database'!$O438)))),1,0)</f>
        <v/>
      </c>
      <c r="B438">
        <f>IF($A438=1,SUM($A$2:$A438),"")</f>
        <v/>
      </c>
      <c r="C438">
        <f>IF($A438=1,SUM($A$2:$A438),0)</f>
        <v/>
      </c>
    </row>
    <row r="439">
      <c r="A439">
        <f>IF(AND(OR('Compliance Database'!$A439='Data Transfer'!$B$4,'Compliance Database'!$A439='Data Transfer'!$B$5),OR('Data Transfer'!$B$6="",ISNUMBER(SEARCH('Data Transfer'!$B$6,'Compliance Database'!$D439&amp;" "&amp;'Compliance Database'!$L439&amp;" "&amp;'Compliance Database'!$M439&amp;" "&amp;'Compliance Database'!$N439&amp;" "&amp;'Compliance Database'!$O439)))),1,0)</f>
        <v/>
      </c>
      <c r="B439">
        <f>IF($A439=1,SUM($A$2:$A439),"")</f>
        <v/>
      </c>
      <c r="C439">
        <f>IF($A439=1,SUM($A$2:$A439),0)</f>
        <v/>
      </c>
    </row>
    <row r="440">
      <c r="A440">
        <f>IF(AND(OR('Compliance Database'!$A440='Data Transfer'!$B$4,'Compliance Database'!$A440='Data Transfer'!$B$5),OR('Data Transfer'!$B$6="",ISNUMBER(SEARCH('Data Transfer'!$B$6,'Compliance Database'!$D440&amp;" "&amp;'Compliance Database'!$L440&amp;" "&amp;'Compliance Database'!$M440&amp;" "&amp;'Compliance Database'!$N440&amp;" "&amp;'Compliance Database'!$O440)))),1,0)</f>
        <v/>
      </c>
      <c r="B440">
        <f>IF($A440=1,SUM($A$2:$A440),"")</f>
        <v/>
      </c>
      <c r="C440">
        <f>IF($A440=1,SUM($A$2:$A440),0)</f>
        <v/>
      </c>
    </row>
    <row r="441">
      <c r="A441">
        <f>IF(AND(OR('Compliance Database'!$A441='Data Transfer'!$B$4,'Compliance Database'!$A441='Data Transfer'!$B$5),OR('Data Transfer'!$B$6="",ISNUMBER(SEARCH('Data Transfer'!$B$6,'Compliance Database'!$D441&amp;" "&amp;'Compliance Database'!$L441&amp;" "&amp;'Compliance Database'!$M441&amp;" "&amp;'Compliance Database'!$N441&amp;" "&amp;'Compliance Database'!$O441)))),1,0)</f>
        <v/>
      </c>
      <c r="B441">
        <f>IF($A441=1,SUM($A$2:$A441),"")</f>
        <v/>
      </c>
      <c r="C441">
        <f>IF($A441=1,SUM($A$2:$A441),0)</f>
        <v/>
      </c>
    </row>
    <row r="442">
      <c r="A442">
        <f>IF(AND(OR('Compliance Database'!$A442='Data Transfer'!$B$4,'Compliance Database'!$A442='Data Transfer'!$B$5),OR('Data Transfer'!$B$6="",ISNUMBER(SEARCH('Data Transfer'!$B$6,'Compliance Database'!$D442&amp;" "&amp;'Compliance Database'!$L442&amp;" "&amp;'Compliance Database'!$M442&amp;" "&amp;'Compliance Database'!$N442&amp;" "&amp;'Compliance Database'!$O442)))),1,0)</f>
        <v/>
      </c>
      <c r="B442">
        <f>IF($A442=1,SUM($A$2:$A442),"")</f>
        <v/>
      </c>
      <c r="C442">
        <f>IF($A442=1,SUM($A$2:$A442),0)</f>
        <v/>
      </c>
    </row>
    <row r="443">
      <c r="A443">
        <f>IF(AND(OR('Compliance Database'!$A443='Data Transfer'!$B$4,'Compliance Database'!$A443='Data Transfer'!$B$5),OR('Data Transfer'!$B$6="",ISNUMBER(SEARCH('Data Transfer'!$B$6,'Compliance Database'!$D443&amp;" "&amp;'Compliance Database'!$L443&amp;" "&amp;'Compliance Database'!$M443&amp;" "&amp;'Compliance Database'!$N443&amp;" "&amp;'Compliance Database'!$O443)))),1,0)</f>
        <v/>
      </c>
      <c r="B443">
        <f>IF($A443=1,SUM($A$2:$A443),"")</f>
        <v/>
      </c>
      <c r="C443">
        <f>IF($A443=1,SUM($A$2:$A443),0)</f>
        <v/>
      </c>
    </row>
    <row r="444">
      <c r="A444">
        <f>IF(AND(OR('Compliance Database'!$A444='Data Transfer'!$B$4,'Compliance Database'!$A444='Data Transfer'!$B$5),OR('Data Transfer'!$B$6="",ISNUMBER(SEARCH('Data Transfer'!$B$6,'Compliance Database'!$D444&amp;" "&amp;'Compliance Database'!$L444&amp;" "&amp;'Compliance Database'!$M444&amp;" "&amp;'Compliance Database'!$N444&amp;" "&amp;'Compliance Database'!$O444)))),1,0)</f>
        <v/>
      </c>
      <c r="B444">
        <f>IF($A444=1,SUM($A$2:$A444),"")</f>
        <v/>
      </c>
      <c r="C444">
        <f>IF($A444=1,SUM($A$2:$A444),0)</f>
        <v/>
      </c>
    </row>
    <row r="445">
      <c r="A445">
        <f>IF(AND(OR('Compliance Database'!$A445='Data Transfer'!$B$4,'Compliance Database'!$A445='Data Transfer'!$B$5),OR('Data Transfer'!$B$6="",ISNUMBER(SEARCH('Data Transfer'!$B$6,'Compliance Database'!$D445&amp;" "&amp;'Compliance Database'!$L445&amp;" "&amp;'Compliance Database'!$M445&amp;" "&amp;'Compliance Database'!$N445&amp;" "&amp;'Compliance Database'!$O445)))),1,0)</f>
        <v/>
      </c>
      <c r="B445">
        <f>IF($A445=1,SUM($A$2:$A445),"")</f>
        <v/>
      </c>
      <c r="C445">
        <f>IF($A445=1,SUM($A$2:$A445),0)</f>
        <v/>
      </c>
    </row>
    <row r="446">
      <c r="A446">
        <f>IF(AND(OR('Compliance Database'!$A446='Data Transfer'!$B$4,'Compliance Database'!$A446='Data Transfer'!$B$5),OR('Data Transfer'!$B$6="",ISNUMBER(SEARCH('Data Transfer'!$B$6,'Compliance Database'!$D446&amp;" "&amp;'Compliance Database'!$L446&amp;" "&amp;'Compliance Database'!$M446&amp;" "&amp;'Compliance Database'!$N446&amp;" "&amp;'Compliance Database'!$O446)))),1,0)</f>
        <v/>
      </c>
      <c r="B446">
        <f>IF($A446=1,SUM($A$2:$A446),"")</f>
        <v/>
      </c>
      <c r="C446">
        <f>IF($A446=1,SUM($A$2:$A446),0)</f>
        <v/>
      </c>
    </row>
    <row r="447">
      <c r="A447">
        <f>IF(AND(OR('Compliance Database'!$A447='Data Transfer'!$B$4,'Compliance Database'!$A447='Data Transfer'!$B$5),OR('Data Transfer'!$B$6="",ISNUMBER(SEARCH('Data Transfer'!$B$6,'Compliance Database'!$D447&amp;" "&amp;'Compliance Database'!$L447&amp;" "&amp;'Compliance Database'!$M447&amp;" "&amp;'Compliance Database'!$N447&amp;" "&amp;'Compliance Database'!$O447)))),1,0)</f>
        <v/>
      </c>
      <c r="B447">
        <f>IF($A447=1,SUM($A$2:$A447),"")</f>
        <v/>
      </c>
      <c r="C447">
        <f>IF($A447=1,SUM($A$2:$A447),0)</f>
        <v/>
      </c>
    </row>
    <row r="448">
      <c r="A448">
        <f>IF(AND(OR('Compliance Database'!$A448='Data Transfer'!$B$4,'Compliance Database'!$A448='Data Transfer'!$B$5),OR('Data Transfer'!$B$6="",ISNUMBER(SEARCH('Data Transfer'!$B$6,'Compliance Database'!$D448&amp;" "&amp;'Compliance Database'!$L448&amp;" "&amp;'Compliance Database'!$M448&amp;" "&amp;'Compliance Database'!$N448&amp;" "&amp;'Compliance Database'!$O448)))),1,0)</f>
        <v/>
      </c>
      <c r="B448">
        <f>IF($A448=1,SUM($A$2:$A448),"")</f>
        <v/>
      </c>
      <c r="C448">
        <f>IF($A448=1,SUM($A$2:$A448),0)</f>
        <v/>
      </c>
    </row>
    <row r="449">
      <c r="A449">
        <f>IF(AND(OR('Compliance Database'!$A449='Data Transfer'!$B$4,'Compliance Database'!$A449='Data Transfer'!$B$5),OR('Data Transfer'!$B$6="",ISNUMBER(SEARCH('Data Transfer'!$B$6,'Compliance Database'!$D449&amp;" "&amp;'Compliance Database'!$L449&amp;" "&amp;'Compliance Database'!$M449&amp;" "&amp;'Compliance Database'!$N449&amp;" "&amp;'Compliance Database'!$O449)))),1,0)</f>
        <v/>
      </c>
      <c r="B449">
        <f>IF($A449=1,SUM($A$2:$A449),"")</f>
        <v/>
      </c>
      <c r="C449">
        <f>IF($A449=1,SUM($A$2:$A449),0)</f>
        <v/>
      </c>
    </row>
    <row r="450">
      <c r="A450">
        <f>IF(AND(OR('Compliance Database'!$A450='Data Transfer'!$B$4,'Compliance Database'!$A450='Data Transfer'!$B$5),OR('Data Transfer'!$B$6="",ISNUMBER(SEARCH('Data Transfer'!$B$6,'Compliance Database'!$D450&amp;" "&amp;'Compliance Database'!$L450&amp;" "&amp;'Compliance Database'!$M450&amp;" "&amp;'Compliance Database'!$N450&amp;" "&amp;'Compliance Database'!$O450)))),1,0)</f>
        <v/>
      </c>
      <c r="B450">
        <f>IF($A450=1,SUM($A$2:$A450),"")</f>
        <v/>
      </c>
      <c r="C450">
        <f>IF($A450=1,SUM($A$2:$A450),0)</f>
        <v/>
      </c>
    </row>
    <row r="451">
      <c r="A451">
        <f>IF(AND(OR('Compliance Database'!$A451='Data Transfer'!$B$4,'Compliance Database'!$A451='Data Transfer'!$B$5),OR('Data Transfer'!$B$6="",ISNUMBER(SEARCH('Data Transfer'!$B$6,'Compliance Database'!$D451&amp;" "&amp;'Compliance Database'!$L451&amp;" "&amp;'Compliance Database'!$M451&amp;" "&amp;'Compliance Database'!$N451&amp;" "&amp;'Compliance Database'!$O451)))),1,0)</f>
        <v/>
      </c>
      <c r="B451">
        <f>IF($A451=1,SUM($A$2:$A451),"")</f>
        <v/>
      </c>
      <c r="C451">
        <f>IF($A451=1,SUM($A$2:$A451),0)</f>
        <v/>
      </c>
    </row>
    <row r="452">
      <c r="A452">
        <f>IF(AND(OR('Compliance Database'!$A452='Data Transfer'!$B$4,'Compliance Database'!$A452='Data Transfer'!$B$5),OR('Data Transfer'!$B$6="",ISNUMBER(SEARCH('Data Transfer'!$B$6,'Compliance Database'!$D452&amp;" "&amp;'Compliance Database'!$L452&amp;" "&amp;'Compliance Database'!$M452&amp;" "&amp;'Compliance Database'!$N452&amp;" "&amp;'Compliance Database'!$O452)))),1,0)</f>
        <v/>
      </c>
      <c r="B452">
        <f>IF($A452=1,SUM($A$2:$A452),"")</f>
        <v/>
      </c>
      <c r="C452">
        <f>IF($A452=1,SUM($A$2:$A452),0)</f>
        <v/>
      </c>
    </row>
    <row r="453">
      <c r="A453">
        <f>IF(AND(OR('Compliance Database'!$A453='Data Transfer'!$B$4,'Compliance Database'!$A453='Data Transfer'!$B$5),OR('Data Transfer'!$B$6="",ISNUMBER(SEARCH('Data Transfer'!$B$6,'Compliance Database'!$D453&amp;" "&amp;'Compliance Database'!$L453&amp;" "&amp;'Compliance Database'!$M453&amp;" "&amp;'Compliance Database'!$N453&amp;" "&amp;'Compliance Database'!$O453)))),1,0)</f>
        <v/>
      </c>
      <c r="B453">
        <f>IF($A453=1,SUM($A$2:$A453),"")</f>
        <v/>
      </c>
      <c r="C453">
        <f>IF($A453=1,SUM($A$2:$A453),0)</f>
        <v/>
      </c>
    </row>
    <row r="454">
      <c r="A454">
        <f>IF(AND(OR('Compliance Database'!$A454='Data Transfer'!$B$4,'Compliance Database'!$A454='Data Transfer'!$B$5),OR('Data Transfer'!$B$6="",ISNUMBER(SEARCH('Data Transfer'!$B$6,'Compliance Database'!$D454&amp;" "&amp;'Compliance Database'!$L454&amp;" "&amp;'Compliance Database'!$M454&amp;" "&amp;'Compliance Database'!$N454&amp;" "&amp;'Compliance Database'!$O454)))),1,0)</f>
        <v/>
      </c>
      <c r="B454">
        <f>IF($A454=1,SUM($A$2:$A454),"")</f>
        <v/>
      </c>
      <c r="C454">
        <f>IF($A454=1,SUM($A$2:$A454),0)</f>
        <v/>
      </c>
    </row>
    <row r="455">
      <c r="A455">
        <f>IF(AND(OR('Compliance Database'!$A455='Data Transfer'!$B$4,'Compliance Database'!$A455='Data Transfer'!$B$5),OR('Data Transfer'!$B$6="",ISNUMBER(SEARCH('Data Transfer'!$B$6,'Compliance Database'!$D455&amp;" "&amp;'Compliance Database'!$L455&amp;" "&amp;'Compliance Database'!$M455&amp;" "&amp;'Compliance Database'!$N455&amp;" "&amp;'Compliance Database'!$O455)))),1,0)</f>
        <v/>
      </c>
      <c r="B455">
        <f>IF($A455=1,SUM($A$2:$A455),"")</f>
        <v/>
      </c>
      <c r="C455">
        <f>IF($A455=1,SUM($A$2:$A455),0)</f>
        <v/>
      </c>
    </row>
    <row r="456">
      <c r="A456">
        <f>IF(AND(OR('Compliance Database'!$A456='Data Transfer'!$B$4,'Compliance Database'!$A456='Data Transfer'!$B$5),OR('Data Transfer'!$B$6="",ISNUMBER(SEARCH('Data Transfer'!$B$6,'Compliance Database'!$D456&amp;" "&amp;'Compliance Database'!$L456&amp;" "&amp;'Compliance Database'!$M456&amp;" "&amp;'Compliance Database'!$N456&amp;" "&amp;'Compliance Database'!$O456)))),1,0)</f>
        <v/>
      </c>
      <c r="B456">
        <f>IF($A456=1,SUM($A$2:$A456),"")</f>
        <v/>
      </c>
      <c r="C456">
        <f>IF($A456=1,SUM($A$2:$A456),0)</f>
        <v/>
      </c>
    </row>
    <row r="457">
      <c r="A457">
        <f>IF(AND(OR('Compliance Database'!$A457='Data Transfer'!$B$4,'Compliance Database'!$A457='Data Transfer'!$B$5),OR('Data Transfer'!$B$6="",ISNUMBER(SEARCH('Data Transfer'!$B$6,'Compliance Database'!$D457&amp;" "&amp;'Compliance Database'!$L457&amp;" "&amp;'Compliance Database'!$M457&amp;" "&amp;'Compliance Database'!$N457&amp;" "&amp;'Compliance Database'!$O457)))),1,0)</f>
        <v/>
      </c>
      <c r="B457">
        <f>IF($A457=1,SUM($A$2:$A457),"")</f>
        <v/>
      </c>
      <c r="C457">
        <f>IF($A457=1,SUM($A$2:$A457),0)</f>
        <v/>
      </c>
    </row>
    <row r="458">
      <c r="A458">
        <f>IF(AND(OR('Compliance Database'!$A458='Data Transfer'!$B$4,'Compliance Database'!$A458='Data Transfer'!$B$5),OR('Data Transfer'!$B$6="",ISNUMBER(SEARCH('Data Transfer'!$B$6,'Compliance Database'!$D458&amp;" "&amp;'Compliance Database'!$L458&amp;" "&amp;'Compliance Database'!$M458&amp;" "&amp;'Compliance Database'!$N458&amp;" "&amp;'Compliance Database'!$O458)))),1,0)</f>
        <v/>
      </c>
      <c r="B458">
        <f>IF($A458=1,SUM($A$2:$A458),"")</f>
        <v/>
      </c>
      <c r="C458">
        <f>IF($A458=1,SUM($A$2:$A458),0)</f>
        <v/>
      </c>
    </row>
    <row r="459">
      <c r="A459">
        <f>IF(AND(OR('Compliance Database'!$A459='Data Transfer'!$B$4,'Compliance Database'!$A459='Data Transfer'!$B$5),OR('Data Transfer'!$B$6="",ISNUMBER(SEARCH('Data Transfer'!$B$6,'Compliance Database'!$D459&amp;" "&amp;'Compliance Database'!$L459&amp;" "&amp;'Compliance Database'!$M459&amp;" "&amp;'Compliance Database'!$N459&amp;" "&amp;'Compliance Database'!$O459)))),1,0)</f>
        <v/>
      </c>
      <c r="B459">
        <f>IF($A459=1,SUM($A$2:$A459),"")</f>
        <v/>
      </c>
      <c r="C459">
        <f>IF($A459=1,SUM($A$2:$A459),0)</f>
        <v/>
      </c>
    </row>
    <row r="460">
      <c r="A460">
        <f>IF(AND(OR('Compliance Database'!$A460='Data Transfer'!$B$4,'Compliance Database'!$A460='Data Transfer'!$B$5),OR('Data Transfer'!$B$6="",ISNUMBER(SEARCH('Data Transfer'!$B$6,'Compliance Database'!$D460&amp;" "&amp;'Compliance Database'!$L460&amp;" "&amp;'Compliance Database'!$M460&amp;" "&amp;'Compliance Database'!$N460&amp;" "&amp;'Compliance Database'!$O460)))),1,0)</f>
        <v/>
      </c>
      <c r="B460">
        <f>IF($A460=1,SUM($A$2:$A460),"")</f>
        <v/>
      </c>
      <c r="C460">
        <f>IF($A460=1,SUM($A$2:$A460),0)</f>
        <v/>
      </c>
    </row>
    <row r="461">
      <c r="A461">
        <f>IF(AND(OR('Compliance Database'!$A461='Data Transfer'!$B$4,'Compliance Database'!$A461='Data Transfer'!$B$5),OR('Data Transfer'!$B$6="",ISNUMBER(SEARCH('Data Transfer'!$B$6,'Compliance Database'!$D461&amp;" "&amp;'Compliance Database'!$L461&amp;" "&amp;'Compliance Database'!$M461&amp;" "&amp;'Compliance Database'!$N461&amp;" "&amp;'Compliance Database'!$O461)))),1,0)</f>
        <v/>
      </c>
      <c r="B461">
        <f>IF($A461=1,SUM($A$2:$A461),"")</f>
        <v/>
      </c>
      <c r="C461">
        <f>IF($A461=1,SUM($A$2:$A461),0)</f>
        <v/>
      </c>
    </row>
    <row r="462">
      <c r="A462">
        <f>IF(AND(OR('Compliance Database'!$A462='Data Transfer'!$B$4,'Compliance Database'!$A462='Data Transfer'!$B$5),OR('Data Transfer'!$B$6="",ISNUMBER(SEARCH('Data Transfer'!$B$6,'Compliance Database'!$D462&amp;" "&amp;'Compliance Database'!$L462&amp;" "&amp;'Compliance Database'!$M462&amp;" "&amp;'Compliance Database'!$N462&amp;" "&amp;'Compliance Database'!$O462)))),1,0)</f>
        <v/>
      </c>
      <c r="B462">
        <f>IF($A462=1,SUM($A$2:$A462),"")</f>
        <v/>
      </c>
      <c r="C462">
        <f>IF($A462=1,SUM($A$2:$A462),0)</f>
        <v/>
      </c>
    </row>
    <row r="463">
      <c r="A463">
        <f>IF(AND(OR('Compliance Database'!$A463='Data Transfer'!$B$4,'Compliance Database'!$A463='Data Transfer'!$B$5),OR('Data Transfer'!$B$6="",ISNUMBER(SEARCH('Data Transfer'!$B$6,'Compliance Database'!$D463&amp;" "&amp;'Compliance Database'!$L463&amp;" "&amp;'Compliance Database'!$M463&amp;" "&amp;'Compliance Database'!$N463&amp;" "&amp;'Compliance Database'!$O463)))),1,0)</f>
        <v/>
      </c>
      <c r="B463">
        <f>IF($A463=1,SUM($A$2:$A463),"")</f>
        <v/>
      </c>
      <c r="C463">
        <f>IF($A463=1,SUM($A$2:$A463),0)</f>
        <v/>
      </c>
    </row>
    <row r="464">
      <c r="A464">
        <f>IF(AND(OR('Compliance Database'!$A464='Data Transfer'!$B$4,'Compliance Database'!$A464='Data Transfer'!$B$5),OR('Data Transfer'!$B$6="",ISNUMBER(SEARCH('Data Transfer'!$B$6,'Compliance Database'!$D464&amp;" "&amp;'Compliance Database'!$L464&amp;" "&amp;'Compliance Database'!$M464&amp;" "&amp;'Compliance Database'!$N464&amp;" "&amp;'Compliance Database'!$O464)))),1,0)</f>
        <v/>
      </c>
      <c r="B464">
        <f>IF($A464=1,SUM($A$2:$A464),"")</f>
        <v/>
      </c>
      <c r="C464">
        <f>IF($A464=1,SUM($A$2:$A464),0)</f>
        <v/>
      </c>
    </row>
    <row r="465">
      <c r="A465">
        <f>IF(AND(OR('Compliance Database'!$A465='Data Transfer'!$B$4,'Compliance Database'!$A465='Data Transfer'!$B$5),OR('Data Transfer'!$B$6="",ISNUMBER(SEARCH('Data Transfer'!$B$6,'Compliance Database'!$D465&amp;" "&amp;'Compliance Database'!$L465&amp;" "&amp;'Compliance Database'!$M465&amp;" "&amp;'Compliance Database'!$N465&amp;" "&amp;'Compliance Database'!$O465)))),1,0)</f>
        <v/>
      </c>
      <c r="B465">
        <f>IF($A465=1,SUM($A$2:$A465),"")</f>
        <v/>
      </c>
      <c r="C465">
        <f>IF($A465=1,SUM($A$2:$A465),0)</f>
        <v/>
      </c>
    </row>
    <row r="466">
      <c r="A466">
        <f>IF(AND(OR('Compliance Database'!$A466='Data Transfer'!$B$4,'Compliance Database'!$A466='Data Transfer'!$B$5),OR('Data Transfer'!$B$6="",ISNUMBER(SEARCH('Data Transfer'!$B$6,'Compliance Database'!$D466&amp;" "&amp;'Compliance Database'!$L466&amp;" "&amp;'Compliance Database'!$M466&amp;" "&amp;'Compliance Database'!$N466&amp;" "&amp;'Compliance Database'!$O466)))),1,0)</f>
        <v/>
      </c>
      <c r="B466">
        <f>IF($A466=1,SUM($A$2:$A466),"")</f>
        <v/>
      </c>
      <c r="C466">
        <f>IF($A466=1,SUM($A$2:$A466),0)</f>
        <v/>
      </c>
    </row>
    <row r="467">
      <c r="A467">
        <f>IF(AND(OR('Compliance Database'!$A467='Data Transfer'!$B$4,'Compliance Database'!$A467='Data Transfer'!$B$5),OR('Data Transfer'!$B$6="",ISNUMBER(SEARCH('Data Transfer'!$B$6,'Compliance Database'!$D467&amp;" "&amp;'Compliance Database'!$L467&amp;" "&amp;'Compliance Database'!$M467&amp;" "&amp;'Compliance Database'!$N467&amp;" "&amp;'Compliance Database'!$O467)))),1,0)</f>
        <v/>
      </c>
      <c r="B467">
        <f>IF($A467=1,SUM($A$2:$A467),"")</f>
        <v/>
      </c>
      <c r="C467">
        <f>IF($A467=1,SUM($A$2:$A467),0)</f>
        <v/>
      </c>
    </row>
    <row r="468">
      <c r="A468">
        <f>IF(AND(OR('Compliance Database'!$A468='Data Transfer'!$B$4,'Compliance Database'!$A468='Data Transfer'!$B$5),OR('Data Transfer'!$B$6="",ISNUMBER(SEARCH('Data Transfer'!$B$6,'Compliance Database'!$D468&amp;" "&amp;'Compliance Database'!$L468&amp;" "&amp;'Compliance Database'!$M468&amp;" "&amp;'Compliance Database'!$N468&amp;" "&amp;'Compliance Database'!$O468)))),1,0)</f>
        <v/>
      </c>
      <c r="B468">
        <f>IF($A468=1,SUM($A$2:$A468),"")</f>
        <v/>
      </c>
      <c r="C468">
        <f>IF($A468=1,SUM($A$2:$A468),0)</f>
        <v/>
      </c>
    </row>
    <row r="469">
      <c r="A469">
        <f>IF(AND(OR('Compliance Database'!$A469='Data Transfer'!$B$4,'Compliance Database'!$A469='Data Transfer'!$B$5),OR('Data Transfer'!$B$6="",ISNUMBER(SEARCH('Data Transfer'!$B$6,'Compliance Database'!$D469&amp;" "&amp;'Compliance Database'!$L469&amp;" "&amp;'Compliance Database'!$M469&amp;" "&amp;'Compliance Database'!$N469&amp;" "&amp;'Compliance Database'!$O469)))),1,0)</f>
        <v/>
      </c>
      <c r="B469">
        <f>IF($A469=1,SUM($A$2:$A469),"")</f>
        <v/>
      </c>
      <c r="C469">
        <f>IF($A469=1,SUM($A$2:$A469),0)</f>
        <v/>
      </c>
    </row>
    <row r="470">
      <c r="A470">
        <f>IF(AND(OR('Compliance Database'!$A470='Data Transfer'!$B$4,'Compliance Database'!$A470='Data Transfer'!$B$5),OR('Data Transfer'!$B$6="",ISNUMBER(SEARCH('Data Transfer'!$B$6,'Compliance Database'!$D470&amp;" "&amp;'Compliance Database'!$L470&amp;" "&amp;'Compliance Database'!$M470&amp;" "&amp;'Compliance Database'!$N470&amp;" "&amp;'Compliance Database'!$O470)))),1,0)</f>
        <v/>
      </c>
      <c r="B470">
        <f>IF($A470=1,SUM($A$2:$A470),"")</f>
        <v/>
      </c>
      <c r="C470">
        <f>IF($A470=1,SUM($A$2:$A470),0)</f>
        <v/>
      </c>
    </row>
    <row r="471">
      <c r="A471">
        <f>IF(AND(OR('Compliance Database'!$A471='Data Transfer'!$B$4,'Compliance Database'!$A471='Data Transfer'!$B$5),OR('Data Transfer'!$B$6="",ISNUMBER(SEARCH('Data Transfer'!$B$6,'Compliance Database'!$D471&amp;" "&amp;'Compliance Database'!$L471&amp;" "&amp;'Compliance Database'!$M471&amp;" "&amp;'Compliance Database'!$N471&amp;" "&amp;'Compliance Database'!$O471)))),1,0)</f>
        <v/>
      </c>
      <c r="B471">
        <f>IF($A471=1,SUM($A$2:$A471),"")</f>
        <v/>
      </c>
      <c r="C471">
        <f>IF($A471=1,SUM($A$2:$A471),0)</f>
        <v/>
      </c>
    </row>
    <row r="472">
      <c r="A472">
        <f>IF(AND(OR('Compliance Database'!$A472='Data Transfer'!$B$4,'Compliance Database'!$A472='Data Transfer'!$B$5),OR('Data Transfer'!$B$6="",ISNUMBER(SEARCH('Data Transfer'!$B$6,'Compliance Database'!$D472&amp;" "&amp;'Compliance Database'!$L472&amp;" "&amp;'Compliance Database'!$M472&amp;" "&amp;'Compliance Database'!$N472&amp;" "&amp;'Compliance Database'!$O472)))),1,0)</f>
        <v/>
      </c>
      <c r="B472">
        <f>IF($A472=1,SUM($A$2:$A472),"")</f>
        <v/>
      </c>
      <c r="C472">
        <f>IF($A472=1,SUM($A$2:$A472),0)</f>
        <v/>
      </c>
    </row>
    <row r="473">
      <c r="A473">
        <f>IF(AND(OR('Compliance Database'!$A473='Data Transfer'!$B$4,'Compliance Database'!$A473='Data Transfer'!$B$5),OR('Data Transfer'!$B$6="",ISNUMBER(SEARCH('Data Transfer'!$B$6,'Compliance Database'!$D473&amp;" "&amp;'Compliance Database'!$L473&amp;" "&amp;'Compliance Database'!$M473&amp;" "&amp;'Compliance Database'!$N473&amp;" "&amp;'Compliance Database'!$O473)))),1,0)</f>
        <v/>
      </c>
      <c r="B473">
        <f>IF($A473=1,SUM($A$2:$A473),"")</f>
        <v/>
      </c>
      <c r="C473">
        <f>IF($A473=1,SUM($A$2:$A473),0)</f>
        <v/>
      </c>
    </row>
    <row r="474">
      <c r="A474">
        <f>IF(AND(OR('Compliance Database'!$A474='Data Transfer'!$B$4,'Compliance Database'!$A474='Data Transfer'!$B$5),OR('Data Transfer'!$B$6="",ISNUMBER(SEARCH('Data Transfer'!$B$6,'Compliance Database'!$D474&amp;" "&amp;'Compliance Database'!$L474&amp;" "&amp;'Compliance Database'!$M474&amp;" "&amp;'Compliance Database'!$N474&amp;" "&amp;'Compliance Database'!$O474)))),1,0)</f>
        <v/>
      </c>
      <c r="B474">
        <f>IF($A474=1,SUM($A$2:$A474),"")</f>
        <v/>
      </c>
      <c r="C474">
        <f>IF($A474=1,SUM($A$2:$A474),0)</f>
        <v/>
      </c>
    </row>
    <row r="475">
      <c r="A475">
        <f>IF(AND(OR('Compliance Database'!$A475='Data Transfer'!$B$4,'Compliance Database'!$A475='Data Transfer'!$B$5),OR('Data Transfer'!$B$6="",ISNUMBER(SEARCH('Data Transfer'!$B$6,'Compliance Database'!$D475&amp;" "&amp;'Compliance Database'!$L475&amp;" "&amp;'Compliance Database'!$M475&amp;" "&amp;'Compliance Database'!$N475&amp;" "&amp;'Compliance Database'!$O475)))),1,0)</f>
        <v/>
      </c>
      <c r="B475">
        <f>IF($A475=1,SUM($A$2:$A475),"")</f>
        <v/>
      </c>
      <c r="C475">
        <f>IF($A475=1,SUM($A$2:$A475),0)</f>
        <v/>
      </c>
    </row>
    <row r="476">
      <c r="A476">
        <f>IF(AND(OR('Compliance Database'!$A476='Data Transfer'!$B$4,'Compliance Database'!$A476='Data Transfer'!$B$5),OR('Data Transfer'!$B$6="",ISNUMBER(SEARCH('Data Transfer'!$B$6,'Compliance Database'!$D476&amp;" "&amp;'Compliance Database'!$L476&amp;" "&amp;'Compliance Database'!$M476&amp;" "&amp;'Compliance Database'!$N476&amp;" "&amp;'Compliance Database'!$O476)))),1,0)</f>
        <v/>
      </c>
      <c r="B476">
        <f>IF($A476=1,SUM($A$2:$A476),"")</f>
        <v/>
      </c>
      <c r="C476">
        <f>IF($A476=1,SUM($A$2:$A476),0)</f>
        <v/>
      </c>
    </row>
    <row r="477">
      <c r="A477">
        <f>IF(AND(OR('Compliance Database'!$A477='Data Transfer'!$B$4,'Compliance Database'!$A477='Data Transfer'!$B$5),OR('Data Transfer'!$B$6="",ISNUMBER(SEARCH('Data Transfer'!$B$6,'Compliance Database'!$D477&amp;" "&amp;'Compliance Database'!$L477&amp;" "&amp;'Compliance Database'!$M477&amp;" "&amp;'Compliance Database'!$N477&amp;" "&amp;'Compliance Database'!$O477)))),1,0)</f>
        <v/>
      </c>
      <c r="B477">
        <f>IF($A477=1,SUM($A$2:$A477),"")</f>
        <v/>
      </c>
      <c r="C477">
        <f>IF($A477=1,SUM($A$2:$A477),0)</f>
        <v/>
      </c>
    </row>
    <row r="478">
      <c r="A478">
        <f>IF(AND(OR('Compliance Database'!$A478='Data Transfer'!$B$4,'Compliance Database'!$A478='Data Transfer'!$B$5),OR('Data Transfer'!$B$6="",ISNUMBER(SEARCH('Data Transfer'!$B$6,'Compliance Database'!$D478&amp;" "&amp;'Compliance Database'!$L478&amp;" "&amp;'Compliance Database'!$M478&amp;" "&amp;'Compliance Database'!$N478&amp;" "&amp;'Compliance Database'!$O478)))),1,0)</f>
        <v/>
      </c>
      <c r="B478">
        <f>IF($A478=1,SUM($A$2:$A478),"")</f>
        <v/>
      </c>
      <c r="C478">
        <f>IF($A478=1,SUM($A$2:$A478),0)</f>
        <v/>
      </c>
    </row>
    <row r="479">
      <c r="A479">
        <f>IF(AND(OR('Compliance Database'!$A479='Data Transfer'!$B$4,'Compliance Database'!$A479='Data Transfer'!$B$5),OR('Data Transfer'!$B$6="",ISNUMBER(SEARCH('Data Transfer'!$B$6,'Compliance Database'!$D479&amp;" "&amp;'Compliance Database'!$L479&amp;" "&amp;'Compliance Database'!$M479&amp;" "&amp;'Compliance Database'!$N479&amp;" "&amp;'Compliance Database'!$O479)))),1,0)</f>
        <v/>
      </c>
      <c r="B479">
        <f>IF($A479=1,SUM($A$2:$A479),"")</f>
        <v/>
      </c>
      <c r="C479">
        <f>IF($A479=1,SUM($A$2:$A479),0)</f>
        <v/>
      </c>
    </row>
    <row r="480">
      <c r="A480">
        <f>IF(AND(OR('Compliance Database'!$A480='Data Transfer'!$B$4,'Compliance Database'!$A480='Data Transfer'!$B$5),OR('Data Transfer'!$B$6="",ISNUMBER(SEARCH('Data Transfer'!$B$6,'Compliance Database'!$D480&amp;" "&amp;'Compliance Database'!$L480&amp;" "&amp;'Compliance Database'!$M480&amp;" "&amp;'Compliance Database'!$N480&amp;" "&amp;'Compliance Database'!$O480)))),1,0)</f>
        <v/>
      </c>
      <c r="B480">
        <f>IF($A480=1,SUM($A$2:$A480),"")</f>
        <v/>
      </c>
      <c r="C480">
        <f>IF($A480=1,SUM($A$2:$A480),0)</f>
        <v/>
      </c>
    </row>
    <row r="481">
      <c r="A481">
        <f>IF(AND(OR('Compliance Database'!$A481='Data Transfer'!$B$4,'Compliance Database'!$A481='Data Transfer'!$B$5),OR('Data Transfer'!$B$6="",ISNUMBER(SEARCH('Data Transfer'!$B$6,'Compliance Database'!$D481&amp;" "&amp;'Compliance Database'!$L481&amp;" "&amp;'Compliance Database'!$M481&amp;" "&amp;'Compliance Database'!$N481&amp;" "&amp;'Compliance Database'!$O481)))),1,0)</f>
        <v/>
      </c>
      <c r="B481">
        <f>IF($A481=1,SUM($A$2:$A481),"")</f>
        <v/>
      </c>
      <c r="C481">
        <f>IF($A481=1,SUM($A$2:$A481),0)</f>
        <v/>
      </c>
    </row>
    <row r="482">
      <c r="A482">
        <f>IF(AND(OR('Compliance Database'!$A482='Data Transfer'!$B$4,'Compliance Database'!$A482='Data Transfer'!$B$5),OR('Data Transfer'!$B$6="",ISNUMBER(SEARCH('Data Transfer'!$B$6,'Compliance Database'!$D482&amp;" "&amp;'Compliance Database'!$L482&amp;" "&amp;'Compliance Database'!$M482&amp;" "&amp;'Compliance Database'!$N482&amp;" "&amp;'Compliance Database'!$O482)))),1,0)</f>
        <v/>
      </c>
      <c r="B482">
        <f>IF($A482=1,SUM($A$2:$A482),"")</f>
        <v/>
      </c>
      <c r="C482">
        <f>IF($A482=1,SUM($A$2:$A482),0)</f>
        <v/>
      </c>
    </row>
    <row r="483">
      <c r="A483">
        <f>IF(AND(OR('Compliance Database'!$A483='Data Transfer'!$B$4,'Compliance Database'!$A483='Data Transfer'!$B$5),OR('Data Transfer'!$B$6="",ISNUMBER(SEARCH('Data Transfer'!$B$6,'Compliance Database'!$D483&amp;" "&amp;'Compliance Database'!$L483&amp;" "&amp;'Compliance Database'!$M483&amp;" "&amp;'Compliance Database'!$N483&amp;" "&amp;'Compliance Database'!$O483)))),1,0)</f>
        <v/>
      </c>
      <c r="B483">
        <f>IF($A483=1,SUM($A$2:$A483),"")</f>
        <v/>
      </c>
      <c r="C483">
        <f>IF($A483=1,SUM($A$2:$A483),0)</f>
        <v/>
      </c>
    </row>
    <row r="484">
      <c r="A484">
        <f>IF(AND(OR('Compliance Database'!$A484='Data Transfer'!$B$4,'Compliance Database'!$A484='Data Transfer'!$B$5),OR('Data Transfer'!$B$6="",ISNUMBER(SEARCH('Data Transfer'!$B$6,'Compliance Database'!$D484&amp;" "&amp;'Compliance Database'!$L484&amp;" "&amp;'Compliance Database'!$M484&amp;" "&amp;'Compliance Database'!$N484&amp;" "&amp;'Compliance Database'!$O484)))),1,0)</f>
        <v/>
      </c>
      <c r="B484">
        <f>IF($A484=1,SUM($A$2:$A484),"")</f>
        <v/>
      </c>
      <c r="C484">
        <f>IF($A484=1,SUM($A$2:$A484),0)</f>
        <v/>
      </c>
    </row>
    <row r="485">
      <c r="A485">
        <f>IF(AND(OR('Compliance Database'!$A485='Data Transfer'!$B$4,'Compliance Database'!$A485='Data Transfer'!$B$5),OR('Data Transfer'!$B$6="",ISNUMBER(SEARCH('Data Transfer'!$B$6,'Compliance Database'!$D485&amp;" "&amp;'Compliance Database'!$L485&amp;" "&amp;'Compliance Database'!$M485&amp;" "&amp;'Compliance Database'!$N485&amp;" "&amp;'Compliance Database'!$O485)))),1,0)</f>
        <v/>
      </c>
      <c r="B485">
        <f>IF($A485=1,SUM($A$2:$A485),"")</f>
        <v/>
      </c>
      <c r="C485">
        <f>IF($A485=1,SUM($A$2:$A485),0)</f>
        <v/>
      </c>
    </row>
    <row r="486">
      <c r="A486">
        <f>IF(AND(OR('Compliance Database'!$A486='Data Transfer'!$B$4,'Compliance Database'!$A486='Data Transfer'!$B$5),OR('Data Transfer'!$B$6="",ISNUMBER(SEARCH('Data Transfer'!$B$6,'Compliance Database'!$D486&amp;" "&amp;'Compliance Database'!$L486&amp;" "&amp;'Compliance Database'!$M486&amp;" "&amp;'Compliance Database'!$N486&amp;" "&amp;'Compliance Database'!$O486)))),1,0)</f>
        <v/>
      </c>
      <c r="B486">
        <f>IF($A486=1,SUM($A$2:$A486),"")</f>
        <v/>
      </c>
      <c r="C486">
        <f>IF($A486=1,SUM($A$2:$A486),0)</f>
        <v/>
      </c>
    </row>
    <row r="487">
      <c r="A487">
        <f>IF(AND(OR('Compliance Database'!$A487='Data Transfer'!$B$4,'Compliance Database'!$A487='Data Transfer'!$B$5),OR('Data Transfer'!$B$6="",ISNUMBER(SEARCH('Data Transfer'!$B$6,'Compliance Database'!$D487&amp;" "&amp;'Compliance Database'!$L487&amp;" "&amp;'Compliance Database'!$M487&amp;" "&amp;'Compliance Database'!$N487&amp;" "&amp;'Compliance Database'!$O487)))),1,0)</f>
        <v/>
      </c>
      <c r="B487">
        <f>IF($A487=1,SUM($A$2:$A487),"")</f>
        <v/>
      </c>
      <c r="C487">
        <f>IF($A487=1,SUM($A$2:$A487),0)</f>
        <v/>
      </c>
    </row>
    <row r="488">
      <c r="A488">
        <f>IF(AND(OR('Compliance Database'!$A488='Data Transfer'!$B$4,'Compliance Database'!$A488='Data Transfer'!$B$5),OR('Data Transfer'!$B$6="",ISNUMBER(SEARCH('Data Transfer'!$B$6,'Compliance Database'!$D488&amp;" "&amp;'Compliance Database'!$L488&amp;" "&amp;'Compliance Database'!$M488&amp;" "&amp;'Compliance Database'!$N488&amp;" "&amp;'Compliance Database'!$O488)))),1,0)</f>
        <v/>
      </c>
      <c r="B488">
        <f>IF($A488=1,SUM($A$2:$A488),"")</f>
        <v/>
      </c>
      <c r="C488">
        <f>IF($A488=1,SUM($A$2:$A488),0)</f>
        <v/>
      </c>
    </row>
    <row r="489">
      <c r="A489">
        <f>IF(AND(OR('Compliance Database'!$A489='Data Transfer'!$B$4,'Compliance Database'!$A489='Data Transfer'!$B$5),OR('Data Transfer'!$B$6="",ISNUMBER(SEARCH('Data Transfer'!$B$6,'Compliance Database'!$D489&amp;" "&amp;'Compliance Database'!$L489&amp;" "&amp;'Compliance Database'!$M489&amp;" "&amp;'Compliance Database'!$N489&amp;" "&amp;'Compliance Database'!$O489)))),1,0)</f>
        <v/>
      </c>
      <c r="B489">
        <f>IF($A489=1,SUM($A$2:$A489),"")</f>
        <v/>
      </c>
      <c r="C489">
        <f>IF($A489=1,SUM($A$2:$A489),0)</f>
        <v/>
      </c>
    </row>
    <row r="490">
      <c r="A490">
        <f>IF(AND(OR('Compliance Database'!$A490='Data Transfer'!$B$4,'Compliance Database'!$A490='Data Transfer'!$B$5),OR('Data Transfer'!$B$6="",ISNUMBER(SEARCH('Data Transfer'!$B$6,'Compliance Database'!$D490&amp;" "&amp;'Compliance Database'!$L490&amp;" "&amp;'Compliance Database'!$M490&amp;" "&amp;'Compliance Database'!$N490&amp;" "&amp;'Compliance Database'!$O490)))),1,0)</f>
        <v/>
      </c>
      <c r="B490">
        <f>IF($A490=1,SUM($A$2:$A490),"")</f>
        <v/>
      </c>
      <c r="C490">
        <f>IF($A490=1,SUM($A$2:$A490),0)</f>
        <v/>
      </c>
    </row>
    <row r="491">
      <c r="A491">
        <f>IF(AND(OR('Compliance Database'!$A491='Data Transfer'!$B$4,'Compliance Database'!$A491='Data Transfer'!$B$5),OR('Data Transfer'!$B$6="",ISNUMBER(SEARCH('Data Transfer'!$B$6,'Compliance Database'!$D491&amp;" "&amp;'Compliance Database'!$L491&amp;" "&amp;'Compliance Database'!$M491&amp;" "&amp;'Compliance Database'!$N491&amp;" "&amp;'Compliance Database'!$O491)))),1,0)</f>
        <v/>
      </c>
      <c r="B491">
        <f>IF($A491=1,SUM($A$2:$A491),"")</f>
        <v/>
      </c>
      <c r="C491">
        <f>IF($A491=1,SUM($A$2:$A491),0)</f>
        <v/>
      </c>
    </row>
    <row r="492">
      <c r="A492">
        <f>IF(AND(OR('Compliance Database'!$A492='Data Transfer'!$B$4,'Compliance Database'!$A492='Data Transfer'!$B$5),OR('Data Transfer'!$B$6="",ISNUMBER(SEARCH('Data Transfer'!$B$6,'Compliance Database'!$D492&amp;" "&amp;'Compliance Database'!$L492&amp;" "&amp;'Compliance Database'!$M492&amp;" "&amp;'Compliance Database'!$N492&amp;" "&amp;'Compliance Database'!$O492)))),1,0)</f>
        <v/>
      </c>
      <c r="B492">
        <f>IF($A492=1,SUM($A$2:$A492),"")</f>
        <v/>
      </c>
      <c r="C492">
        <f>IF($A492=1,SUM($A$2:$A492),0)</f>
        <v/>
      </c>
    </row>
    <row r="493">
      <c r="A493">
        <f>IF(AND(OR('Compliance Database'!$A493='Data Transfer'!$B$4,'Compliance Database'!$A493='Data Transfer'!$B$5),OR('Data Transfer'!$B$6="",ISNUMBER(SEARCH('Data Transfer'!$B$6,'Compliance Database'!$D493&amp;" "&amp;'Compliance Database'!$L493&amp;" "&amp;'Compliance Database'!$M493&amp;" "&amp;'Compliance Database'!$N493&amp;" "&amp;'Compliance Database'!$O493)))),1,0)</f>
        <v/>
      </c>
      <c r="B493">
        <f>IF($A493=1,SUM($A$2:$A493),"")</f>
        <v/>
      </c>
      <c r="C493">
        <f>IF($A493=1,SUM($A$2:$A493),0)</f>
        <v/>
      </c>
    </row>
    <row r="494">
      <c r="A494">
        <f>IF(AND(OR('Compliance Database'!$A494='Data Transfer'!$B$4,'Compliance Database'!$A494='Data Transfer'!$B$5),OR('Data Transfer'!$B$6="",ISNUMBER(SEARCH('Data Transfer'!$B$6,'Compliance Database'!$D494&amp;" "&amp;'Compliance Database'!$L494&amp;" "&amp;'Compliance Database'!$M494&amp;" "&amp;'Compliance Database'!$N494&amp;" "&amp;'Compliance Database'!$O494)))),1,0)</f>
        <v/>
      </c>
      <c r="B494">
        <f>IF($A494=1,SUM($A$2:$A494),"")</f>
        <v/>
      </c>
      <c r="C494">
        <f>IF($A494=1,SUM($A$2:$A494),0)</f>
        <v/>
      </c>
    </row>
    <row r="495">
      <c r="A495">
        <f>IF(AND(OR('Compliance Database'!$A495='Data Transfer'!$B$4,'Compliance Database'!$A495='Data Transfer'!$B$5),OR('Data Transfer'!$B$6="",ISNUMBER(SEARCH('Data Transfer'!$B$6,'Compliance Database'!$D495&amp;" "&amp;'Compliance Database'!$L495&amp;" "&amp;'Compliance Database'!$M495&amp;" "&amp;'Compliance Database'!$N495&amp;" "&amp;'Compliance Database'!$O495)))),1,0)</f>
        <v/>
      </c>
      <c r="B495">
        <f>IF($A495=1,SUM($A$2:$A495),"")</f>
        <v/>
      </c>
      <c r="C495">
        <f>IF($A495=1,SUM($A$2:$A495),0)</f>
        <v/>
      </c>
    </row>
    <row r="496">
      <c r="A496">
        <f>IF(AND(OR('Compliance Database'!$A496='Data Transfer'!$B$4,'Compliance Database'!$A496='Data Transfer'!$B$5),OR('Data Transfer'!$B$6="",ISNUMBER(SEARCH('Data Transfer'!$B$6,'Compliance Database'!$D496&amp;" "&amp;'Compliance Database'!$L496&amp;" "&amp;'Compliance Database'!$M496&amp;" "&amp;'Compliance Database'!$N496&amp;" "&amp;'Compliance Database'!$O496)))),1,0)</f>
        <v/>
      </c>
      <c r="B496">
        <f>IF($A496=1,SUM($A$2:$A496),"")</f>
        <v/>
      </c>
      <c r="C496">
        <f>IF($A496=1,SUM($A$2:$A496),0)</f>
        <v/>
      </c>
    </row>
    <row r="497">
      <c r="A497">
        <f>IF(AND(OR('Compliance Database'!$A497='Data Transfer'!$B$4,'Compliance Database'!$A497='Data Transfer'!$B$5),OR('Data Transfer'!$B$6="",ISNUMBER(SEARCH('Data Transfer'!$B$6,'Compliance Database'!$D497&amp;" "&amp;'Compliance Database'!$L497&amp;" "&amp;'Compliance Database'!$M497&amp;" "&amp;'Compliance Database'!$N497&amp;" "&amp;'Compliance Database'!$O497)))),1,0)</f>
        <v/>
      </c>
      <c r="B497">
        <f>IF($A497=1,SUM($A$2:$A497),"")</f>
        <v/>
      </c>
      <c r="C497">
        <f>IF($A497=1,SUM($A$2:$A497),0)</f>
        <v/>
      </c>
    </row>
    <row r="498">
      <c r="A498">
        <f>IF(AND(OR('Compliance Database'!$A498='Data Transfer'!$B$4,'Compliance Database'!$A498='Data Transfer'!$B$5),OR('Data Transfer'!$B$6="",ISNUMBER(SEARCH('Data Transfer'!$B$6,'Compliance Database'!$D498&amp;" "&amp;'Compliance Database'!$L498&amp;" "&amp;'Compliance Database'!$M498&amp;" "&amp;'Compliance Database'!$N498&amp;" "&amp;'Compliance Database'!$O498)))),1,0)</f>
        <v/>
      </c>
      <c r="B498">
        <f>IF($A498=1,SUM($A$2:$A498),"")</f>
        <v/>
      </c>
      <c r="C498">
        <f>IF($A498=1,SUM($A$2:$A498),0)</f>
        <v/>
      </c>
    </row>
    <row r="499">
      <c r="A499">
        <f>IF(AND(OR('Compliance Database'!$A499='Data Transfer'!$B$4,'Compliance Database'!$A499='Data Transfer'!$B$5),OR('Data Transfer'!$B$6="",ISNUMBER(SEARCH('Data Transfer'!$B$6,'Compliance Database'!$D499&amp;" "&amp;'Compliance Database'!$L499&amp;" "&amp;'Compliance Database'!$M499&amp;" "&amp;'Compliance Database'!$N499&amp;" "&amp;'Compliance Database'!$O499)))),1,0)</f>
        <v/>
      </c>
      <c r="B499">
        <f>IF($A499=1,SUM($A$2:$A499),"")</f>
        <v/>
      </c>
      <c r="C499">
        <f>IF($A499=1,SUM($A$2:$A499),0)</f>
        <v/>
      </c>
    </row>
    <row r="500">
      <c r="A500">
        <f>IF(AND(OR('Compliance Database'!$A500='Data Transfer'!$B$4,'Compliance Database'!$A500='Data Transfer'!$B$5),OR('Data Transfer'!$B$6="",ISNUMBER(SEARCH('Data Transfer'!$B$6,'Compliance Database'!$D500&amp;" "&amp;'Compliance Database'!$L500&amp;" "&amp;'Compliance Database'!$M500&amp;" "&amp;'Compliance Database'!$N500&amp;" "&amp;'Compliance Database'!$O500)))),1,0)</f>
        <v/>
      </c>
      <c r="B500">
        <f>IF($A500=1,SUM($A$2:$A500),"")</f>
        <v/>
      </c>
      <c r="C500">
        <f>IF($A500=1,SUM($A$2:$A500),0)</f>
        <v/>
      </c>
    </row>
    <row r="501">
      <c r="A501">
        <f>IF(AND(OR('Compliance Database'!$A501='Data Transfer'!$B$4,'Compliance Database'!$A501='Data Transfer'!$B$5),OR('Data Transfer'!$B$6="",ISNUMBER(SEARCH('Data Transfer'!$B$6,'Compliance Database'!$D501&amp;" "&amp;'Compliance Database'!$L501&amp;" "&amp;'Compliance Database'!$M501&amp;" "&amp;'Compliance Database'!$N501&amp;" "&amp;'Compliance Database'!$O501)))),1,0)</f>
        <v/>
      </c>
      <c r="B501">
        <f>IF($A501=1,SUM($A$2:$A501),"")</f>
        <v/>
      </c>
      <c r="C501">
        <f>IF($A501=1,SUM($A$2:$A501),0)</f>
        <v/>
      </c>
    </row>
    <row r="502">
      <c r="A502">
        <f>IF(AND(OR('Compliance Database'!$A502='Data Transfer'!$B$4,'Compliance Database'!$A502='Data Transfer'!$B$5),OR('Data Transfer'!$B$6="",ISNUMBER(SEARCH('Data Transfer'!$B$6,'Compliance Database'!$D502&amp;" "&amp;'Compliance Database'!$L502&amp;" "&amp;'Compliance Database'!$M502&amp;" "&amp;'Compliance Database'!$N502&amp;" "&amp;'Compliance Database'!$O502)))),1,0)</f>
        <v/>
      </c>
      <c r="B502">
        <f>IF($A502=1,SUM($A$2:$A502),"")</f>
        <v/>
      </c>
      <c r="C502">
        <f>IF($A502=1,SUM($A$2:$A502),0)</f>
        <v/>
      </c>
    </row>
    <row r="503">
      <c r="A503">
        <f>IF(AND(OR('Compliance Database'!$A503='Data Transfer'!$B$4,'Compliance Database'!$A503='Data Transfer'!$B$5),OR('Data Transfer'!$B$6="",ISNUMBER(SEARCH('Data Transfer'!$B$6,'Compliance Database'!$D503&amp;" "&amp;'Compliance Database'!$L503&amp;" "&amp;'Compliance Database'!$M503&amp;" "&amp;'Compliance Database'!$N503&amp;" "&amp;'Compliance Database'!$O503)))),1,0)</f>
        <v/>
      </c>
      <c r="B503">
        <f>IF($A503=1,SUM($A$2:$A503),"")</f>
        <v/>
      </c>
      <c r="C503">
        <f>IF($A503=1,SUM($A$2:$A503),0)</f>
        <v/>
      </c>
    </row>
    <row r="504">
      <c r="A504">
        <f>IF(AND(OR('Compliance Database'!$A504='Data Transfer'!$B$4,'Compliance Database'!$A504='Data Transfer'!$B$5),OR('Data Transfer'!$B$6="",ISNUMBER(SEARCH('Data Transfer'!$B$6,'Compliance Database'!$D504&amp;" "&amp;'Compliance Database'!$L504&amp;" "&amp;'Compliance Database'!$M504&amp;" "&amp;'Compliance Database'!$N504&amp;" "&amp;'Compliance Database'!$O504)))),1,0)</f>
        <v/>
      </c>
      <c r="B504">
        <f>IF($A504=1,SUM($A$2:$A504),"")</f>
        <v/>
      </c>
      <c r="C504">
        <f>IF($A504=1,SUM($A$2:$A504),0)</f>
        <v/>
      </c>
    </row>
    <row r="505">
      <c r="A505">
        <f>IF(AND(OR('Compliance Database'!$A505='Data Transfer'!$B$4,'Compliance Database'!$A505='Data Transfer'!$B$5),OR('Data Transfer'!$B$6="",ISNUMBER(SEARCH('Data Transfer'!$B$6,'Compliance Database'!$D505&amp;" "&amp;'Compliance Database'!$L505&amp;" "&amp;'Compliance Database'!$M505&amp;" "&amp;'Compliance Database'!$N505&amp;" "&amp;'Compliance Database'!$O505)))),1,0)</f>
        <v/>
      </c>
      <c r="B505">
        <f>IF($A505=1,SUM($A$2:$A505),"")</f>
        <v/>
      </c>
      <c r="C505">
        <f>IF($A505=1,SUM($A$2:$A505),0)</f>
        <v/>
      </c>
    </row>
    <row r="506">
      <c r="A506">
        <f>IF(AND(OR('Compliance Database'!$A506='Data Transfer'!$B$4,'Compliance Database'!$A506='Data Transfer'!$B$5),OR('Data Transfer'!$B$6="",ISNUMBER(SEARCH('Data Transfer'!$B$6,'Compliance Database'!$D506&amp;" "&amp;'Compliance Database'!$L506&amp;" "&amp;'Compliance Database'!$M506&amp;" "&amp;'Compliance Database'!$N506&amp;" "&amp;'Compliance Database'!$O506)))),1,0)</f>
        <v/>
      </c>
      <c r="B506">
        <f>IF($A506=1,SUM($A$2:$A506),"")</f>
        <v/>
      </c>
      <c r="C506">
        <f>IF($A506=1,SUM($A$2:$A506),0)</f>
        <v/>
      </c>
    </row>
    <row r="507">
      <c r="A507">
        <f>IF(AND(OR('Compliance Database'!$A507='Data Transfer'!$B$4,'Compliance Database'!$A507='Data Transfer'!$B$5),OR('Data Transfer'!$B$6="",ISNUMBER(SEARCH('Data Transfer'!$B$6,'Compliance Database'!$D507&amp;" "&amp;'Compliance Database'!$L507&amp;" "&amp;'Compliance Database'!$M507&amp;" "&amp;'Compliance Database'!$N507&amp;" "&amp;'Compliance Database'!$O507)))),1,0)</f>
        <v/>
      </c>
      <c r="B507">
        <f>IF($A507=1,SUM($A$2:$A507),"")</f>
        <v/>
      </c>
      <c r="C507">
        <f>IF($A507=1,SUM($A$2:$A507),0)</f>
        <v/>
      </c>
    </row>
    <row r="508">
      <c r="A508">
        <f>IF(AND(OR('Compliance Database'!$A508='Data Transfer'!$B$4,'Compliance Database'!$A508='Data Transfer'!$B$5),OR('Data Transfer'!$B$6="",ISNUMBER(SEARCH('Data Transfer'!$B$6,'Compliance Database'!$D508&amp;" "&amp;'Compliance Database'!$L508&amp;" "&amp;'Compliance Database'!$M508&amp;" "&amp;'Compliance Database'!$N508&amp;" "&amp;'Compliance Database'!$O508)))),1,0)</f>
        <v/>
      </c>
      <c r="B508">
        <f>IF($A508=1,SUM($A$2:$A508),"")</f>
        <v/>
      </c>
      <c r="C508">
        <f>IF($A508=1,SUM($A$2:$A508),0)</f>
        <v/>
      </c>
    </row>
    <row r="509">
      <c r="A509">
        <f>IF(AND(OR('Compliance Database'!$A509='Data Transfer'!$B$4,'Compliance Database'!$A509='Data Transfer'!$B$5),OR('Data Transfer'!$B$6="",ISNUMBER(SEARCH('Data Transfer'!$B$6,'Compliance Database'!$D509&amp;" "&amp;'Compliance Database'!$L509&amp;" "&amp;'Compliance Database'!$M509&amp;" "&amp;'Compliance Database'!$N509&amp;" "&amp;'Compliance Database'!$O509)))),1,0)</f>
        <v/>
      </c>
      <c r="B509">
        <f>IF($A509=1,SUM($A$2:$A509),"")</f>
        <v/>
      </c>
      <c r="C509">
        <f>IF($A509=1,SUM($A$2:$A509),0)</f>
        <v/>
      </c>
    </row>
    <row r="510">
      <c r="A510">
        <f>IF(AND(OR('Compliance Database'!$A510='Data Transfer'!$B$4,'Compliance Database'!$A510='Data Transfer'!$B$5),OR('Data Transfer'!$B$6="",ISNUMBER(SEARCH('Data Transfer'!$B$6,'Compliance Database'!$D510&amp;" "&amp;'Compliance Database'!$L510&amp;" "&amp;'Compliance Database'!$M510&amp;" "&amp;'Compliance Database'!$N510&amp;" "&amp;'Compliance Database'!$O510)))),1,0)</f>
        <v/>
      </c>
      <c r="B510">
        <f>IF($A510=1,SUM($A$2:$A510),"")</f>
        <v/>
      </c>
      <c r="C510">
        <f>IF($A510=1,SUM($A$2:$A510),0)</f>
        <v/>
      </c>
    </row>
    <row r="511">
      <c r="A511">
        <f>IF(AND(OR('Compliance Database'!$A511='Data Transfer'!$B$4,'Compliance Database'!$A511='Data Transfer'!$B$5),OR('Data Transfer'!$B$6="",ISNUMBER(SEARCH('Data Transfer'!$B$6,'Compliance Database'!$D511&amp;" "&amp;'Compliance Database'!$L511&amp;" "&amp;'Compliance Database'!$M511&amp;" "&amp;'Compliance Database'!$N511&amp;" "&amp;'Compliance Database'!$O511)))),1,0)</f>
        <v/>
      </c>
      <c r="B511">
        <f>IF($A511=1,SUM($A$2:$A511),"")</f>
        <v/>
      </c>
      <c r="C511">
        <f>IF($A511=1,SUM($A$2:$A511),0)</f>
        <v/>
      </c>
    </row>
    <row r="512">
      <c r="A512">
        <f>IF(AND(OR('Compliance Database'!$A512='Data Transfer'!$B$4,'Compliance Database'!$A512='Data Transfer'!$B$5),OR('Data Transfer'!$B$6="",ISNUMBER(SEARCH('Data Transfer'!$B$6,'Compliance Database'!$D512&amp;" "&amp;'Compliance Database'!$L512&amp;" "&amp;'Compliance Database'!$M512&amp;" "&amp;'Compliance Database'!$N512&amp;" "&amp;'Compliance Database'!$O512)))),1,0)</f>
        <v/>
      </c>
      <c r="B512">
        <f>IF($A512=1,SUM($A$2:$A512),"")</f>
        <v/>
      </c>
      <c r="C512">
        <f>IF($A512=1,SUM($A$2:$A512),0)</f>
        <v/>
      </c>
    </row>
    <row r="513">
      <c r="A513">
        <f>IF(AND(OR('Compliance Database'!$A513='Data Transfer'!$B$4,'Compliance Database'!$A513='Data Transfer'!$B$5),OR('Data Transfer'!$B$6="",ISNUMBER(SEARCH('Data Transfer'!$B$6,'Compliance Database'!$D513&amp;" "&amp;'Compliance Database'!$L513&amp;" "&amp;'Compliance Database'!$M513&amp;" "&amp;'Compliance Database'!$N513&amp;" "&amp;'Compliance Database'!$O513)))),1,0)</f>
        <v/>
      </c>
      <c r="B513">
        <f>IF($A513=1,SUM($A$2:$A513),"")</f>
        <v/>
      </c>
      <c r="C513">
        <f>IF($A513=1,SUM($A$2:$A513),0)</f>
        <v/>
      </c>
    </row>
    <row r="514">
      <c r="A514">
        <f>IF(AND(OR('Compliance Database'!$A514='Data Transfer'!$B$4,'Compliance Database'!$A514='Data Transfer'!$B$5),OR('Data Transfer'!$B$6="",ISNUMBER(SEARCH('Data Transfer'!$B$6,'Compliance Database'!$D514&amp;" "&amp;'Compliance Database'!$L514&amp;" "&amp;'Compliance Database'!$M514&amp;" "&amp;'Compliance Database'!$N514&amp;" "&amp;'Compliance Database'!$O514)))),1,0)</f>
        <v/>
      </c>
      <c r="B514">
        <f>IF($A514=1,SUM($A$2:$A514),"")</f>
        <v/>
      </c>
      <c r="C514">
        <f>IF($A514=1,SUM($A$2:$A514),0)</f>
        <v/>
      </c>
    </row>
    <row r="515">
      <c r="A515">
        <f>IF(AND(OR('Compliance Database'!$A515='Data Transfer'!$B$4,'Compliance Database'!$A515='Data Transfer'!$B$5),OR('Data Transfer'!$B$6="",ISNUMBER(SEARCH('Data Transfer'!$B$6,'Compliance Database'!$D515&amp;" "&amp;'Compliance Database'!$L515&amp;" "&amp;'Compliance Database'!$M515&amp;" "&amp;'Compliance Database'!$N515&amp;" "&amp;'Compliance Database'!$O515)))),1,0)</f>
        <v/>
      </c>
      <c r="B515">
        <f>IF($A515=1,SUM($A$2:$A515),"")</f>
        <v/>
      </c>
      <c r="C515">
        <f>IF($A515=1,SUM($A$2:$A515),0)</f>
        <v/>
      </c>
    </row>
    <row r="516">
      <c r="A516">
        <f>IF(AND(OR('Compliance Database'!$A516='Data Transfer'!$B$4,'Compliance Database'!$A516='Data Transfer'!$B$5),OR('Data Transfer'!$B$6="",ISNUMBER(SEARCH('Data Transfer'!$B$6,'Compliance Database'!$D516&amp;" "&amp;'Compliance Database'!$L516&amp;" "&amp;'Compliance Database'!$M516&amp;" "&amp;'Compliance Database'!$N516&amp;" "&amp;'Compliance Database'!$O516)))),1,0)</f>
        <v/>
      </c>
      <c r="B516">
        <f>IF($A516=1,SUM($A$2:$A516),"")</f>
        <v/>
      </c>
      <c r="C516">
        <f>IF($A516=1,SUM($A$2:$A516),0)</f>
        <v/>
      </c>
    </row>
    <row r="517">
      <c r="A517">
        <f>IF(AND(OR('Compliance Database'!$A517='Data Transfer'!$B$4,'Compliance Database'!$A517='Data Transfer'!$B$5),OR('Data Transfer'!$B$6="",ISNUMBER(SEARCH('Data Transfer'!$B$6,'Compliance Database'!$D517&amp;" "&amp;'Compliance Database'!$L517&amp;" "&amp;'Compliance Database'!$M517&amp;" "&amp;'Compliance Database'!$N517&amp;" "&amp;'Compliance Database'!$O517)))),1,0)</f>
        <v/>
      </c>
      <c r="B517">
        <f>IF($A517=1,SUM($A$2:$A517),"")</f>
        <v/>
      </c>
      <c r="C517">
        <f>IF($A517=1,SUM($A$2:$A517),0)</f>
        <v/>
      </c>
    </row>
    <row r="518">
      <c r="A518">
        <f>IF(AND(OR('Compliance Database'!$A518='Data Transfer'!$B$4,'Compliance Database'!$A518='Data Transfer'!$B$5),OR('Data Transfer'!$B$6="",ISNUMBER(SEARCH('Data Transfer'!$B$6,'Compliance Database'!$D518&amp;" "&amp;'Compliance Database'!$L518&amp;" "&amp;'Compliance Database'!$M518&amp;" "&amp;'Compliance Database'!$N518&amp;" "&amp;'Compliance Database'!$O518)))),1,0)</f>
        <v/>
      </c>
      <c r="B518">
        <f>IF($A518=1,SUM($A$2:$A518),"")</f>
        <v/>
      </c>
      <c r="C518">
        <f>IF($A518=1,SUM($A$2:$A518),0)</f>
        <v/>
      </c>
    </row>
    <row r="519">
      <c r="A519">
        <f>IF(AND(OR('Compliance Database'!$A519='Data Transfer'!$B$4,'Compliance Database'!$A519='Data Transfer'!$B$5),OR('Data Transfer'!$B$6="",ISNUMBER(SEARCH('Data Transfer'!$B$6,'Compliance Database'!$D519&amp;" "&amp;'Compliance Database'!$L519&amp;" "&amp;'Compliance Database'!$M519&amp;" "&amp;'Compliance Database'!$N519&amp;" "&amp;'Compliance Database'!$O519)))),1,0)</f>
        <v/>
      </c>
      <c r="B519">
        <f>IF($A519=1,SUM($A$2:$A519),"")</f>
        <v/>
      </c>
      <c r="C519">
        <f>IF($A519=1,SUM($A$2:$A519),0)</f>
        <v/>
      </c>
    </row>
    <row r="520">
      <c r="A520">
        <f>IF(AND(OR('Compliance Database'!$A520='Data Transfer'!$B$4,'Compliance Database'!$A520='Data Transfer'!$B$5),OR('Data Transfer'!$B$6="",ISNUMBER(SEARCH('Data Transfer'!$B$6,'Compliance Database'!$D520&amp;" "&amp;'Compliance Database'!$L520&amp;" "&amp;'Compliance Database'!$M520&amp;" "&amp;'Compliance Database'!$N520&amp;" "&amp;'Compliance Database'!$O520)))),1,0)</f>
        <v/>
      </c>
      <c r="B520">
        <f>IF($A520=1,SUM($A$2:$A520),"")</f>
        <v/>
      </c>
      <c r="C520">
        <f>IF($A520=1,SUM($A$2:$A520),0)</f>
        <v/>
      </c>
    </row>
    <row r="521">
      <c r="A521">
        <f>IF(AND(OR('Compliance Database'!$A521='Data Transfer'!$B$4,'Compliance Database'!$A521='Data Transfer'!$B$5),OR('Data Transfer'!$B$6="",ISNUMBER(SEARCH('Data Transfer'!$B$6,'Compliance Database'!$D521&amp;" "&amp;'Compliance Database'!$L521&amp;" "&amp;'Compliance Database'!$M521&amp;" "&amp;'Compliance Database'!$N521&amp;" "&amp;'Compliance Database'!$O521)))),1,0)</f>
        <v/>
      </c>
      <c r="B521">
        <f>IF($A521=1,SUM($A$2:$A521),"")</f>
        <v/>
      </c>
      <c r="C521">
        <f>IF($A521=1,SUM($A$2:$A521),0)</f>
        <v/>
      </c>
    </row>
    <row r="522">
      <c r="A522">
        <f>IF(AND(OR('Compliance Database'!$A522='Data Transfer'!$B$4,'Compliance Database'!$A522='Data Transfer'!$B$5),OR('Data Transfer'!$B$6="",ISNUMBER(SEARCH('Data Transfer'!$B$6,'Compliance Database'!$D522&amp;" "&amp;'Compliance Database'!$L522&amp;" "&amp;'Compliance Database'!$M522&amp;" "&amp;'Compliance Database'!$N522&amp;" "&amp;'Compliance Database'!$O522)))),1,0)</f>
        <v/>
      </c>
      <c r="B522">
        <f>IF($A522=1,SUM($A$2:$A522),"")</f>
        <v/>
      </c>
      <c r="C522">
        <f>IF($A522=1,SUM($A$2:$A522),0)</f>
        <v/>
      </c>
    </row>
    <row r="523">
      <c r="A523">
        <f>IF(AND(OR('Compliance Database'!$A523='Data Transfer'!$B$4,'Compliance Database'!$A523='Data Transfer'!$B$5),OR('Data Transfer'!$B$6="",ISNUMBER(SEARCH('Data Transfer'!$B$6,'Compliance Database'!$D523&amp;" "&amp;'Compliance Database'!$L523&amp;" "&amp;'Compliance Database'!$M523&amp;" "&amp;'Compliance Database'!$N523&amp;" "&amp;'Compliance Database'!$O523)))),1,0)</f>
        <v/>
      </c>
      <c r="B523">
        <f>IF($A523=1,SUM($A$2:$A523),"")</f>
        <v/>
      </c>
      <c r="C523">
        <f>IF($A523=1,SUM($A$2:$A523),0)</f>
        <v/>
      </c>
    </row>
    <row r="524">
      <c r="A524">
        <f>IF(AND(OR('Compliance Database'!$A524='Data Transfer'!$B$4,'Compliance Database'!$A524='Data Transfer'!$B$5),OR('Data Transfer'!$B$6="",ISNUMBER(SEARCH('Data Transfer'!$B$6,'Compliance Database'!$D524&amp;" "&amp;'Compliance Database'!$L524&amp;" "&amp;'Compliance Database'!$M524&amp;" "&amp;'Compliance Database'!$N524&amp;" "&amp;'Compliance Database'!$O524)))),1,0)</f>
        <v/>
      </c>
      <c r="B524">
        <f>IF($A524=1,SUM($A$2:$A524),"")</f>
        <v/>
      </c>
      <c r="C524">
        <f>IF($A524=1,SUM($A$2:$A524),0)</f>
        <v/>
      </c>
    </row>
    <row r="525">
      <c r="A525">
        <f>IF(AND(OR('Compliance Database'!$A525='Data Transfer'!$B$4,'Compliance Database'!$A525='Data Transfer'!$B$5),OR('Data Transfer'!$B$6="",ISNUMBER(SEARCH('Data Transfer'!$B$6,'Compliance Database'!$D525&amp;" "&amp;'Compliance Database'!$L525&amp;" "&amp;'Compliance Database'!$M525&amp;" "&amp;'Compliance Database'!$N525&amp;" "&amp;'Compliance Database'!$O525)))),1,0)</f>
        <v/>
      </c>
      <c r="B525">
        <f>IF($A525=1,SUM($A$2:$A525),"")</f>
        <v/>
      </c>
      <c r="C525">
        <f>IF($A525=1,SUM($A$2:$A525),0)</f>
        <v/>
      </c>
    </row>
    <row r="526">
      <c r="A526">
        <f>IF(AND(OR('Compliance Database'!$A526='Data Transfer'!$B$4,'Compliance Database'!$A526='Data Transfer'!$B$5),OR('Data Transfer'!$B$6="",ISNUMBER(SEARCH('Data Transfer'!$B$6,'Compliance Database'!$D526&amp;" "&amp;'Compliance Database'!$L526&amp;" "&amp;'Compliance Database'!$M526&amp;" "&amp;'Compliance Database'!$N526&amp;" "&amp;'Compliance Database'!$O526)))),1,0)</f>
        <v/>
      </c>
      <c r="B526">
        <f>IF($A526=1,SUM($A$2:$A526),"")</f>
        <v/>
      </c>
      <c r="C526">
        <f>IF($A526=1,SUM($A$2:$A526),0)</f>
        <v/>
      </c>
    </row>
    <row r="527">
      <c r="A527">
        <f>IF(AND(OR('Compliance Database'!$A527='Data Transfer'!$B$4,'Compliance Database'!$A527='Data Transfer'!$B$5),OR('Data Transfer'!$B$6="",ISNUMBER(SEARCH('Data Transfer'!$B$6,'Compliance Database'!$D527&amp;" "&amp;'Compliance Database'!$L527&amp;" "&amp;'Compliance Database'!$M527&amp;" "&amp;'Compliance Database'!$N527&amp;" "&amp;'Compliance Database'!$O527)))),1,0)</f>
        <v/>
      </c>
      <c r="B527">
        <f>IF($A527=1,SUM($A$2:$A527),"")</f>
        <v/>
      </c>
      <c r="C527">
        <f>IF($A527=1,SUM($A$2:$A527),0)</f>
        <v/>
      </c>
    </row>
    <row r="528">
      <c r="A528">
        <f>IF(AND(OR('Compliance Database'!$A528='Data Transfer'!$B$4,'Compliance Database'!$A528='Data Transfer'!$B$5),OR('Data Transfer'!$B$6="",ISNUMBER(SEARCH('Data Transfer'!$B$6,'Compliance Database'!$D528&amp;" "&amp;'Compliance Database'!$L528&amp;" "&amp;'Compliance Database'!$M528&amp;" "&amp;'Compliance Database'!$N528&amp;" "&amp;'Compliance Database'!$O528)))),1,0)</f>
        <v/>
      </c>
      <c r="B528">
        <f>IF($A528=1,SUM($A$2:$A528),"")</f>
        <v/>
      </c>
      <c r="C528">
        <f>IF($A528=1,SUM($A$2:$A528),0)</f>
        <v/>
      </c>
    </row>
    <row r="529">
      <c r="A529">
        <f>IF(AND(OR('Compliance Database'!$A529='Data Transfer'!$B$4,'Compliance Database'!$A529='Data Transfer'!$B$5),OR('Data Transfer'!$B$6="",ISNUMBER(SEARCH('Data Transfer'!$B$6,'Compliance Database'!$D529&amp;" "&amp;'Compliance Database'!$L529&amp;" "&amp;'Compliance Database'!$M529&amp;" "&amp;'Compliance Database'!$N529&amp;" "&amp;'Compliance Database'!$O529)))),1,0)</f>
        <v/>
      </c>
      <c r="B529">
        <f>IF($A529=1,SUM($A$2:$A529),"")</f>
        <v/>
      </c>
      <c r="C529">
        <f>IF($A529=1,SUM($A$2:$A529),0)</f>
        <v/>
      </c>
    </row>
    <row r="530">
      <c r="A530">
        <f>IF(AND(OR('Compliance Database'!$A530='Data Transfer'!$B$4,'Compliance Database'!$A530='Data Transfer'!$B$5),OR('Data Transfer'!$B$6="",ISNUMBER(SEARCH('Data Transfer'!$B$6,'Compliance Database'!$D530&amp;" "&amp;'Compliance Database'!$L530&amp;" "&amp;'Compliance Database'!$M530&amp;" "&amp;'Compliance Database'!$N530&amp;" "&amp;'Compliance Database'!$O530)))),1,0)</f>
        <v/>
      </c>
      <c r="B530">
        <f>IF($A530=1,SUM($A$2:$A530),"")</f>
        <v/>
      </c>
      <c r="C530">
        <f>IF($A530=1,SUM($A$2:$A530),0)</f>
        <v/>
      </c>
    </row>
    <row r="531">
      <c r="A531">
        <f>IF(AND(OR('Compliance Database'!$A531='Data Transfer'!$B$4,'Compliance Database'!$A531='Data Transfer'!$B$5),OR('Data Transfer'!$B$6="",ISNUMBER(SEARCH('Data Transfer'!$B$6,'Compliance Database'!$D531&amp;" "&amp;'Compliance Database'!$L531&amp;" "&amp;'Compliance Database'!$M531&amp;" "&amp;'Compliance Database'!$N531&amp;" "&amp;'Compliance Database'!$O531)))),1,0)</f>
        <v/>
      </c>
      <c r="B531">
        <f>IF($A531=1,SUM($A$2:$A531),"")</f>
        <v/>
      </c>
      <c r="C531">
        <f>IF($A531=1,SUM($A$2:$A531),0)</f>
        <v/>
      </c>
    </row>
    <row r="532">
      <c r="A532">
        <f>IF(AND(OR('Compliance Database'!$A532='Data Transfer'!$B$4,'Compliance Database'!$A532='Data Transfer'!$B$5),OR('Data Transfer'!$B$6="",ISNUMBER(SEARCH('Data Transfer'!$B$6,'Compliance Database'!$D532&amp;" "&amp;'Compliance Database'!$L532&amp;" "&amp;'Compliance Database'!$M532&amp;" "&amp;'Compliance Database'!$N532&amp;" "&amp;'Compliance Database'!$O532)))),1,0)</f>
        <v/>
      </c>
      <c r="B532">
        <f>IF($A532=1,SUM($A$2:$A532),"")</f>
        <v/>
      </c>
      <c r="C532">
        <f>IF($A532=1,SUM($A$2:$A532),0)</f>
        <v/>
      </c>
    </row>
    <row r="533">
      <c r="A533">
        <f>IF(AND(OR('Compliance Database'!$A533='Data Transfer'!$B$4,'Compliance Database'!$A533='Data Transfer'!$B$5),OR('Data Transfer'!$B$6="",ISNUMBER(SEARCH('Data Transfer'!$B$6,'Compliance Database'!$D533&amp;" "&amp;'Compliance Database'!$L533&amp;" "&amp;'Compliance Database'!$M533&amp;" "&amp;'Compliance Database'!$N533&amp;" "&amp;'Compliance Database'!$O533)))),1,0)</f>
        <v/>
      </c>
      <c r="B533">
        <f>IF($A533=1,SUM($A$2:$A533),"")</f>
        <v/>
      </c>
      <c r="C533">
        <f>IF($A533=1,SUM($A$2:$A533),0)</f>
        <v/>
      </c>
    </row>
    <row r="534">
      <c r="A534">
        <f>IF(AND(OR('Compliance Database'!$A534='Data Transfer'!$B$4,'Compliance Database'!$A534='Data Transfer'!$B$5),OR('Data Transfer'!$B$6="",ISNUMBER(SEARCH('Data Transfer'!$B$6,'Compliance Database'!$D534&amp;" "&amp;'Compliance Database'!$L534&amp;" "&amp;'Compliance Database'!$M534&amp;" "&amp;'Compliance Database'!$N534&amp;" "&amp;'Compliance Database'!$O534)))),1,0)</f>
        <v/>
      </c>
      <c r="B534">
        <f>IF($A534=1,SUM($A$2:$A534),"")</f>
        <v/>
      </c>
      <c r="C534">
        <f>IF($A534=1,SUM($A$2:$A534),0)</f>
        <v/>
      </c>
    </row>
    <row r="535">
      <c r="A535">
        <f>IF(AND(OR('Compliance Database'!$A535='Data Transfer'!$B$4,'Compliance Database'!$A535='Data Transfer'!$B$5),OR('Data Transfer'!$B$6="",ISNUMBER(SEARCH('Data Transfer'!$B$6,'Compliance Database'!$D535&amp;" "&amp;'Compliance Database'!$L535&amp;" "&amp;'Compliance Database'!$M535&amp;" "&amp;'Compliance Database'!$N535&amp;" "&amp;'Compliance Database'!$O535)))),1,0)</f>
        <v/>
      </c>
      <c r="B535">
        <f>IF($A535=1,SUM($A$2:$A535),"")</f>
        <v/>
      </c>
      <c r="C535">
        <f>IF($A535=1,SUM($A$2:$A535),0)</f>
        <v/>
      </c>
    </row>
    <row r="536">
      <c r="A536">
        <f>IF(AND(OR('Compliance Database'!$A536='Data Transfer'!$B$4,'Compliance Database'!$A536='Data Transfer'!$B$5),OR('Data Transfer'!$B$6="",ISNUMBER(SEARCH('Data Transfer'!$B$6,'Compliance Database'!$D536&amp;" "&amp;'Compliance Database'!$L536&amp;" "&amp;'Compliance Database'!$M536&amp;" "&amp;'Compliance Database'!$N536&amp;" "&amp;'Compliance Database'!$O536)))),1,0)</f>
        <v/>
      </c>
      <c r="B536">
        <f>IF($A536=1,SUM($A$2:$A536),"")</f>
        <v/>
      </c>
      <c r="C536">
        <f>IF($A536=1,SUM($A$2:$A536),0)</f>
        <v/>
      </c>
    </row>
    <row r="537">
      <c r="A537">
        <f>IF(AND(OR('Compliance Database'!$A537='Data Transfer'!$B$4,'Compliance Database'!$A537='Data Transfer'!$B$5),OR('Data Transfer'!$B$6="",ISNUMBER(SEARCH('Data Transfer'!$B$6,'Compliance Database'!$D537&amp;" "&amp;'Compliance Database'!$L537&amp;" "&amp;'Compliance Database'!$M537&amp;" "&amp;'Compliance Database'!$N537&amp;" "&amp;'Compliance Database'!$O537)))),1,0)</f>
        <v/>
      </c>
      <c r="B537">
        <f>IF($A537=1,SUM($A$2:$A537),"")</f>
        <v/>
      </c>
      <c r="C537">
        <f>IF($A537=1,SUM($A$2:$A537),0)</f>
        <v/>
      </c>
    </row>
    <row r="538">
      <c r="A538">
        <f>IF(AND(OR('Compliance Database'!$A538='Data Transfer'!$B$4,'Compliance Database'!$A538='Data Transfer'!$B$5),OR('Data Transfer'!$B$6="",ISNUMBER(SEARCH('Data Transfer'!$B$6,'Compliance Database'!$D538&amp;" "&amp;'Compliance Database'!$L538&amp;" "&amp;'Compliance Database'!$M538&amp;" "&amp;'Compliance Database'!$N538&amp;" "&amp;'Compliance Database'!$O538)))),1,0)</f>
        <v/>
      </c>
      <c r="B538">
        <f>IF($A538=1,SUM($A$2:$A538),"")</f>
        <v/>
      </c>
      <c r="C538">
        <f>IF($A538=1,SUM($A$2:$A538),0)</f>
        <v/>
      </c>
    </row>
    <row r="539">
      <c r="A539">
        <f>IF(AND(OR('Compliance Database'!$A539='Data Transfer'!$B$4,'Compliance Database'!$A539='Data Transfer'!$B$5),OR('Data Transfer'!$B$6="",ISNUMBER(SEARCH('Data Transfer'!$B$6,'Compliance Database'!$D539&amp;" "&amp;'Compliance Database'!$L539&amp;" "&amp;'Compliance Database'!$M539&amp;" "&amp;'Compliance Database'!$N539&amp;" "&amp;'Compliance Database'!$O539)))),1,0)</f>
        <v/>
      </c>
      <c r="B539">
        <f>IF($A539=1,SUM($A$2:$A539),"")</f>
        <v/>
      </c>
      <c r="C539">
        <f>IF($A539=1,SUM($A$2:$A539),0)</f>
        <v/>
      </c>
    </row>
    <row r="540">
      <c r="A540">
        <f>IF(AND(OR('Compliance Database'!$A540='Data Transfer'!$B$4,'Compliance Database'!$A540='Data Transfer'!$B$5),OR('Data Transfer'!$B$6="",ISNUMBER(SEARCH('Data Transfer'!$B$6,'Compliance Database'!$D540&amp;" "&amp;'Compliance Database'!$L540&amp;" "&amp;'Compliance Database'!$M540&amp;" "&amp;'Compliance Database'!$N540&amp;" "&amp;'Compliance Database'!$O540)))),1,0)</f>
        <v/>
      </c>
      <c r="B540">
        <f>IF($A540=1,SUM($A$2:$A540),"")</f>
        <v/>
      </c>
      <c r="C540">
        <f>IF($A540=1,SUM($A$2:$A540),0)</f>
        <v/>
      </c>
    </row>
    <row r="541">
      <c r="A541">
        <f>IF(AND(OR('Compliance Database'!$A541='Data Transfer'!$B$4,'Compliance Database'!$A541='Data Transfer'!$B$5),OR('Data Transfer'!$B$6="",ISNUMBER(SEARCH('Data Transfer'!$B$6,'Compliance Database'!$D541&amp;" "&amp;'Compliance Database'!$L541&amp;" "&amp;'Compliance Database'!$M541&amp;" "&amp;'Compliance Database'!$N541&amp;" "&amp;'Compliance Database'!$O541)))),1,0)</f>
        <v/>
      </c>
      <c r="B541">
        <f>IF($A541=1,SUM($A$2:$A541),"")</f>
        <v/>
      </c>
      <c r="C541">
        <f>IF($A541=1,SUM($A$2:$A541),0)</f>
        <v/>
      </c>
    </row>
    <row r="542">
      <c r="A542">
        <f>IF(AND(OR('Compliance Database'!$A542='Data Transfer'!$B$4,'Compliance Database'!$A542='Data Transfer'!$B$5),OR('Data Transfer'!$B$6="",ISNUMBER(SEARCH('Data Transfer'!$B$6,'Compliance Database'!$D542&amp;" "&amp;'Compliance Database'!$L542&amp;" "&amp;'Compliance Database'!$M542&amp;" "&amp;'Compliance Database'!$N542&amp;" "&amp;'Compliance Database'!$O542)))),1,0)</f>
        <v/>
      </c>
      <c r="B542">
        <f>IF($A542=1,SUM($A$2:$A542),"")</f>
        <v/>
      </c>
      <c r="C542">
        <f>IF($A542=1,SUM($A$2:$A542),0)</f>
        <v/>
      </c>
    </row>
    <row r="543">
      <c r="A543">
        <f>IF(AND(OR('Compliance Database'!$A543='Data Transfer'!$B$4,'Compliance Database'!$A543='Data Transfer'!$B$5),OR('Data Transfer'!$B$6="",ISNUMBER(SEARCH('Data Transfer'!$B$6,'Compliance Database'!$D543&amp;" "&amp;'Compliance Database'!$L543&amp;" "&amp;'Compliance Database'!$M543&amp;" "&amp;'Compliance Database'!$N543&amp;" "&amp;'Compliance Database'!$O543)))),1,0)</f>
        <v/>
      </c>
      <c r="B543">
        <f>IF($A543=1,SUM($A$2:$A543),"")</f>
        <v/>
      </c>
      <c r="C543">
        <f>IF($A543=1,SUM($A$2:$A543),0)</f>
        <v/>
      </c>
    </row>
    <row r="544">
      <c r="A544">
        <f>IF(AND(OR('Compliance Database'!$A544='Data Transfer'!$B$4,'Compliance Database'!$A544='Data Transfer'!$B$5),OR('Data Transfer'!$B$6="",ISNUMBER(SEARCH('Data Transfer'!$B$6,'Compliance Database'!$D544&amp;" "&amp;'Compliance Database'!$L544&amp;" "&amp;'Compliance Database'!$M544&amp;" "&amp;'Compliance Database'!$N544&amp;" "&amp;'Compliance Database'!$O544)))),1,0)</f>
        <v/>
      </c>
      <c r="B544">
        <f>IF($A544=1,SUM($A$2:$A544),"")</f>
        <v/>
      </c>
      <c r="C544">
        <f>IF($A544=1,SUM($A$2:$A544),0)</f>
        <v/>
      </c>
    </row>
    <row r="545">
      <c r="A545">
        <f>IF(AND(OR('Compliance Database'!$A545='Data Transfer'!$B$4,'Compliance Database'!$A545='Data Transfer'!$B$5),OR('Data Transfer'!$B$6="",ISNUMBER(SEARCH('Data Transfer'!$B$6,'Compliance Database'!$D545&amp;" "&amp;'Compliance Database'!$L545&amp;" "&amp;'Compliance Database'!$M545&amp;" "&amp;'Compliance Database'!$N545&amp;" "&amp;'Compliance Database'!$O545)))),1,0)</f>
        <v/>
      </c>
      <c r="B545">
        <f>IF($A545=1,SUM($A$2:$A545),"")</f>
        <v/>
      </c>
      <c r="C545">
        <f>IF($A545=1,SUM($A$2:$A545),0)</f>
        <v/>
      </c>
    </row>
    <row r="546">
      <c r="A546">
        <f>IF(AND(OR('Compliance Database'!$A546='Data Transfer'!$B$4,'Compliance Database'!$A546='Data Transfer'!$B$5),OR('Data Transfer'!$B$6="",ISNUMBER(SEARCH('Data Transfer'!$B$6,'Compliance Database'!$D546&amp;" "&amp;'Compliance Database'!$L546&amp;" "&amp;'Compliance Database'!$M546&amp;" "&amp;'Compliance Database'!$N546&amp;" "&amp;'Compliance Database'!$O546)))),1,0)</f>
        <v/>
      </c>
      <c r="B546">
        <f>IF($A546=1,SUM($A$2:$A546),"")</f>
        <v/>
      </c>
      <c r="C546">
        <f>IF($A546=1,SUM($A$2:$A546),0)</f>
        <v/>
      </c>
    </row>
    <row r="547">
      <c r="A547">
        <f>IF(AND(OR('Compliance Database'!$A547='Data Transfer'!$B$4,'Compliance Database'!$A547='Data Transfer'!$B$5),OR('Data Transfer'!$B$6="",ISNUMBER(SEARCH('Data Transfer'!$B$6,'Compliance Database'!$D547&amp;" "&amp;'Compliance Database'!$L547&amp;" "&amp;'Compliance Database'!$M547&amp;" "&amp;'Compliance Database'!$N547&amp;" "&amp;'Compliance Database'!$O547)))),1,0)</f>
        <v/>
      </c>
      <c r="B547">
        <f>IF($A547=1,SUM($A$2:$A547),"")</f>
        <v/>
      </c>
      <c r="C547">
        <f>IF($A547=1,SUM($A$2:$A547),0)</f>
        <v/>
      </c>
    </row>
    <row r="548">
      <c r="A548">
        <f>IF(AND(OR('Compliance Database'!$A548='Data Transfer'!$B$4,'Compliance Database'!$A548='Data Transfer'!$B$5),OR('Data Transfer'!$B$6="",ISNUMBER(SEARCH('Data Transfer'!$B$6,'Compliance Database'!$D548&amp;" "&amp;'Compliance Database'!$L548&amp;" "&amp;'Compliance Database'!$M548&amp;" "&amp;'Compliance Database'!$N548&amp;" "&amp;'Compliance Database'!$O548)))),1,0)</f>
        <v/>
      </c>
      <c r="B548">
        <f>IF($A548=1,SUM($A$2:$A548),"")</f>
        <v/>
      </c>
      <c r="C548">
        <f>IF($A548=1,SUM($A$2:$A548),0)</f>
        <v/>
      </c>
    </row>
    <row r="549">
      <c r="A549">
        <f>IF(AND(OR('Compliance Database'!$A549='Data Transfer'!$B$4,'Compliance Database'!$A549='Data Transfer'!$B$5),OR('Data Transfer'!$B$6="",ISNUMBER(SEARCH('Data Transfer'!$B$6,'Compliance Database'!$D549&amp;" "&amp;'Compliance Database'!$L549&amp;" "&amp;'Compliance Database'!$M549&amp;" "&amp;'Compliance Database'!$N549&amp;" "&amp;'Compliance Database'!$O549)))),1,0)</f>
        <v/>
      </c>
      <c r="B549">
        <f>IF($A549=1,SUM($A$2:$A549),"")</f>
        <v/>
      </c>
      <c r="C549">
        <f>IF($A549=1,SUM($A$2:$A549),0)</f>
        <v/>
      </c>
    </row>
    <row r="550">
      <c r="A550">
        <f>IF(AND(OR('Compliance Database'!$A550='Data Transfer'!$B$4,'Compliance Database'!$A550='Data Transfer'!$B$5),OR('Data Transfer'!$B$6="",ISNUMBER(SEARCH('Data Transfer'!$B$6,'Compliance Database'!$D550&amp;" "&amp;'Compliance Database'!$L550&amp;" "&amp;'Compliance Database'!$M550&amp;" "&amp;'Compliance Database'!$N550&amp;" "&amp;'Compliance Database'!$O550)))),1,0)</f>
        <v/>
      </c>
      <c r="B550">
        <f>IF($A550=1,SUM($A$2:$A550),"")</f>
        <v/>
      </c>
      <c r="C550">
        <f>IF($A550=1,SUM($A$2:$A550),0)</f>
        <v/>
      </c>
    </row>
    <row r="551">
      <c r="A551">
        <f>IF(AND(OR('Compliance Database'!$A551='Data Transfer'!$B$4,'Compliance Database'!$A551='Data Transfer'!$B$5),OR('Data Transfer'!$B$6="",ISNUMBER(SEARCH('Data Transfer'!$B$6,'Compliance Database'!$D551&amp;" "&amp;'Compliance Database'!$L551&amp;" "&amp;'Compliance Database'!$M551&amp;" "&amp;'Compliance Database'!$N551&amp;" "&amp;'Compliance Database'!$O551)))),1,0)</f>
        <v/>
      </c>
      <c r="B551">
        <f>IF($A551=1,SUM($A$2:$A551),"")</f>
        <v/>
      </c>
      <c r="C551">
        <f>IF($A551=1,SUM($A$2:$A551),0)</f>
        <v/>
      </c>
    </row>
    <row r="552">
      <c r="A552">
        <f>IF(AND(OR('Compliance Database'!$A552='Data Transfer'!$B$4,'Compliance Database'!$A552='Data Transfer'!$B$5),OR('Data Transfer'!$B$6="",ISNUMBER(SEARCH('Data Transfer'!$B$6,'Compliance Database'!$D552&amp;" "&amp;'Compliance Database'!$L552&amp;" "&amp;'Compliance Database'!$M552&amp;" "&amp;'Compliance Database'!$N552&amp;" "&amp;'Compliance Database'!$O552)))),1,0)</f>
        <v/>
      </c>
      <c r="B552">
        <f>IF($A552=1,SUM($A$2:$A552),"")</f>
        <v/>
      </c>
      <c r="C552">
        <f>IF($A552=1,SUM($A$2:$A552),0)</f>
        <v/>
      </c>
    </row>
    <row r="553">
      <c r="A553">
        <f>IF(AND(OR('Compliance Database'!$A553='Data Transfer'!$B$4,'Compliance Database'!$A553='Data Transfer'!$B$5),OR('Data Transfer'!$B$6="",ISNUMBER(SEARCH('Data Transfer'!$B$6,'Compliance Database'!$D553&amp;" "&amp;'Compliance Database'!$L553&amp;" "&amp;'Compliance Database'!$M553&amp;" "&amp;'Compliance Database'!$N553&amp;" "&amp;'Compliance Database'!$O553)))),1,0)</f>
        <v/>
      </c>
      <c r="B553">
        <f>IF($A553=1,SUM($A$2:$A553),"")</f>
        <v/>
      </c>
      <c r="C553">
        <f>IF($A553=1,SUM($A$2:$A553),0)</f>
        <v/>
      </c>
    </row>
    <row r="554">
      <c r="A554">
        <f>IF(AND(OR('Compliance Database'!$A554='Data Transfer'!$B$4,'Compliance Database'!$A554='Data Transfer'!$B$5),OR('Data Transfer'!$B$6="",ISNUMBER(SEARCH('Data Transfer'!$B$6,'Compliance Database'!$D554&amp;" "&amp;'Compliance Database'!$L554&amp;" "&amp;'Compliance Database'!$M554&amp;" "&amp;'Compliance Database'!$N554&amp;" "&amp;'Compliance Database'!$O554)))),1,0)</f>
        <v/>
      </c>
      <c r="B554">
        <f>IF($A554=1,SUM($A$2:$A554),"")</f>
        <v/>
      </c>
      <c r="C554">
        <f>IF($A554=1,SUM($A$2:$A554),0)</f>
        <v/>
      </c>
    </row>
    <row r="555">
      <c r="A555">
        <f>IF(AND(OR('Compliance Database'!$A555='Data Transfer'!$B$4,'Compliance Database'!$A555='Data Transfer'!$B$5),OR('Data Transfer'!$B$6="",ISNUMBER(SEARCH('Data Transfer'!$B$6,'Compliance Database'!$D555&amp;" "&amp;'Compliance Database'!$L555&amp;" "&amp;'Compliance Database'!$M555&amp;" "&amp;'Compliance Database'!$N555&amp;" "&amp;'Compliance Database'!$O555)))),1,0)</f>
        <v/>
      </c>
      <c r="B555">
        <f>IF($A555=1,SUM($A$2:$A555),"")</f>
        <v/>
      </c>
      <c r="C555">
        <f>IF($A555=1,SUM($A$2:$A555),0)</f>
        <v/>
      </c>
    </row>
    <row r="556">
      <c r="A556">
        <f>IF(AND(OR('Compliance Database'!$A556='Data Transfer'!$B$4,'Compliance Database'!$A556='Data Transfer'!$B$5),OR('Data Transfer'!$B$6="",ISNUMBER(SEARCH('Data Transfer'!$B$6,'Compliance Database'!$D556&amp;" "&amp;'Compliance Database'!$L556&amp;" "&amp;'Compliance Database'!$M556&amp;" "&amp;'Compliance Database'!$N556&amp;" "&amp;'Compliance Database'!$O556)))),1,0)</f>
        <v/>
      </c>
      <c r="B556">
        <f>IF($A556=1,SUM($A$2:$A556),"")</f>
        <v/>
      </c>
      <c r="C556">
        <f>IF($A556=1,SUM($A$2:$A556),0)</f>
        <v/>
      </c>
    </row>
    <row r="557">
      <c r="A557">
        <f>IF(AND(OR('Compliance Database'!$A557='Data Transfer'!$B$4,'Compliance Database'!$A557='Data Transfer'!$B$5),OR('Data Transfer'!$B$6="",ISNUMBER(SEARCH('Data Transfer'!$B$6,'Compliance Database'!$D557&amp;" "&amp;'Compliance Database'!$L557&amp;" "&amp;'Compliance Database'!$M557&amp;" "&amp;'Compliance Database'!$N557&amp;" "&amp;'Compliance Database'!$O557)))),1,0)</f>
        <v/>
      </c>
      <c r="B557">
        <f>IF($A557=1,SUM($A$2:$A557),"")</f>
        <v/>
      </c>
      <c r="C557">
        <f>IF($A557=1,SUM($A$2:$A557),0)</f>
        <v/>
      </c>
    </row>
    <row r="558">
      <c r="A558">
        <f>IF(AND(OR('Compliance Database'!$A558='Data Transfer'!$B$4,'Compliance Database'!$A558='Data Transfer'!$B$5),OR('Data Transfer'!$B$6="",ISNUMBER(SEARCH('Data Transfer'!$B$6,'Compliance Database'!$D558&amp;" "&amp;'Compliance Database'!$L558&amp;" "&amp;'Compliance Database'!$M558&amp;" "&amp;'Compliance Database'!$N558&amp;" "&amp;'Compliance Database'!$O558)))),1,0)</f>
        <v/>
      </c>
      <c r="B558">
        <f>IF($A558=1,SUM($A$2:$A558),"")</f>
        <v/>
      </c>
      <c r="C558">
        <f>IF($A558=1,SUM($A$2:$A558),0)</f>
        <v/>
      </c>
    </row>
    <row r="559">
      <c r="A559">
        <f>IF(AND(OR('Compliance Database'!$A559='Data Transfer'!$B$4,'Compliance Database'!$A559='Data Transfer'!$B$5),OR('Data Transfer'!$B$6="",ISNUMBER(SEARCH('Data Transfer'!$B$6,'Compliance Database'!$D559&amp;" "&amp;'Compliance Database'!$L559&amp;" "&amp;'Compliance Database'!$M559&amp;" "&amp;'Compliance Database'!$N559&amp;" "&amp;'Compliance Database'!$O559)))),1,0)</f>
        <v/>
      </c>
      <c r="B559">
        <f>IF($A559=1,SUM($A$2:$A559),"")</f>
        <v/>
      </c>
      <c r="C559">
        <f>IF($A559=1,SUM($A$2:$A559),0)</f>
        <v/>
      </c>
    </row>
    <row r="560">
      <c r="A560">
        <f>IF(AND(OR('Compliance Database'!$A560='Data Transfer'!$B$4,'Compliance Database'!$A560='Data Transfer'!$B$5),OR('Data Transfer'!$B$6="",ISNUMBER(SEARCH('Data Transfer'!$B$6,'Compliance Database'!$D560&amp;" "&amp;'Compliance Database'!$L560&amp;" "&amp;'Compliance Database'!$M560&amp;" "&amp;'Compliance Database'!$N560&amp;" "&amp;'Compliance Database'!$O560)))),1,0)</f>
        <v/>
      </c>
      <c r="B560">
        <f>IF($A560=1,SUM($A$2:$A560),"")</f>
        <v/>
      </c>
      <c r="C560">
        <f>IF($A560=1,SUM($A$2:$A560),0)</f>
        <v/>
      </c>
    </row>
    <row r="561">
      <c r="A561">
        <f>IF(AND(OR('Compliance Database'!$A561='Data Transfer'!$B$4,'Compliance Database'!$A561='Data Transfer'!$B$5),OR('Data Transfer'!$B$6="",ISNUMBER(SEARCH('Data Transfer'!$B$6,'Compliance Database'!$D561&amp;" "&amp;'Compliance Database'!$L561&amp;" "&amp;'Compliance Database'!$M561&amp;" "&amp;'Compliance Database'!$N561&amp;" "&amp;'Compliance Database'!$O561)))),1,0)</f>
        <v/>
      </c>
      <c r="B561">
        <f>IF($A561=1,SUM($A$2:$A561),"")</f>
        <v/>
      </c>
      <c r="C561">
        <f>IF($A561=1,SUM($A$2:$A561),0)</f>
        <v/>
      </c>
    </row>
    <row r="562">
      <c r="A562">
        <f>IF(AND(OR('Compliance Database'!$A562='Data Transfer'!$B$4,'Compliance Database'!$A562='Data Transfer'!$B$5),OR('Data Transfer'!$B$6="",ISNUMBER(SEARCH('Data Transfer'!$B$6,'Compliance Database'!$D562&amp;" "&amp;'Compliance Database'!$L562&amp;" "&amp;'Compliance Database'!$M562&amp;" "&amp;'Compliance Database'!$N562&amp;" "&amp;'Compliance Database'!$O562)))),1,0)</f>
        <v/>
      </c>
      <c r="B562">
        <f>IF($A562=1,SUM($A$2:$A562),"")</f>
        <v/>
      </c>
      <c r="C562">
        <f>IF($A562=1,SUM($A$2:$A562),0)</f>
        <v/>
      </c>
    </row>
    <row r="563">
      <c r="A563">
        <f>IF(AND(OR('Compliance Database'!$A563='Data Transfer'!$B$4,'Compliance Database'!$A563='Data Transfer'!$B$5),OR('Data Transfer'!$B$6="",ISNUMBER(SEARCH('Data Transfer'!$B$6,'Compliance Database'!$D563&amp;" "&amp;'Compliance Database'!$L563&amp;" "&amp;'Compliance Database'!$M563&amp;" "&amp;'Compliance Database'!$N563&amp;" "&amp;'Compliance Database'!$O563)))),1,0)</f>
        <v/>
      </c>
      <c r="B563">
        <f>IF($A563=1,SUM($A$2:$A563),"")</f>
        <v/>
      </c>
      <c r="C563">
        <f>IF($A563=1,SUM($A$2:$A563),0)</f>
        <v/>
      </c>
    </row>
    <row r="564">
      <c r="A564">
        <f>IF(AND(OR('Compliance Database'!$A564='Data Transfer'!$B$4,'Compliance Database'!$A564='Data Transfer'!$B$5),OR('Data Transfer'!$B$6="",ISNUMBER(SEARCH('Data Transfer'!$B$6,'Compliance Database'!$D564&amp;" "&amp;'Compliance Database'!$L564&amp;" "&amp;'Compliance Database'!$M564&amp;" "&amp;'Compliance Database'!$N564&amp;" "&amp;'Compliance Database'!$O564)))),1,0)</f>
        <v/>
      </c>
      <c r="B564">
        <f>IF($A564=1,SUM($A$2:$A564),"")</f>
        <v/>
      </c>
      <c r="C564">
        <f>IF($A564=1,SUM($A$2:$A564),0)</f>
        <v/>
      </c>
    </row>
    <row r="565">
      <c r="A565">
        <f>IF(AND(OR('Compliance Database'!$A565='Data Transfer'!$B$4,'Compliance Database'!$A565='Data Transfer'!$B$5),OR('Data Transfer'!$B$6="",ISNUMBER(SEARCH('Data Transfer'!$B$6,'Compliance Database'!$D565&amp;" "&amp;'Compliance Database'!$L565&amp;" "&amp;'Compliance Database'!$M565&amp;" "&amp;'Compliance Database'!$N565&amp;" "&amp;'Compliance Database'!$O565)))),1,0)</f>
        <v/>
      </c>
      <c r="B565">
        <f>IF($A565=1,SUM($A$2:$A565),"")</f>
        <v/>
      </c>
      <c r="C565">
        <f>IF($A565=1,SUM($A$2:$A565),0)</f>
        <v/>
      </c>
    </row>
    <row r="566">
      <c r="A566">
        <f>IF(AND(OR('Compliance Database'!$A566='Data Transfer'!$B$4,'Compliance Database'!$A566='Data Transfer'!$B$5),OR('Data Transfer'!$B$6="",ISNUMBER(SEARCH('Data Transfer'!$B$6,'Compliance Database'!$D566&amp;" "&amp;'Compliance Database'!$L566&amp;" "&amp;'Compliance Database'!$M566&amp;" "&amp;'Compliance Database'!$N566&amp;" "&amp;'Compliance Database'!$O566)))),1,0)</f>
        <v/>
      </c>
      <c r="B566">
        <f>IF($A566=1,SUM($A$2:$A566),"")</f>
        <v/>
      </c>
      <c r="C566">
        <f>IF($A566=1,SUM($A$2:$A566),0)</f>
        <v/>
      </c>
    </row>
    <row r="567">
      <c r="A567">
        <f>IF(AND(OR('Compliance Database'!$A567='Data Transfer'!$B$4,'Compliance Database'!$A567='Data Transfer'!$B$5),OR('Data Transfer'!$B$6="",ISNUMBER(SEARCH('Data Transfer'!$B$6,'Compliance Database'!$D567&amp;" "&amp;'Compliance Database'!$L567&amp;" "&amp;'Compliance Database'!$M567&amp;" "&amp;'Compliance Database'!$N567&amp;" "&amp;'Compliance Database'!$O567)))),1,0)</f>
        <v/>
      </c>
      <c r="B567">
        <f>IF($A567=1,SUM($A$2:$A567),"")</f>
        <v/>
      </c>
      <c r="C567">
        <f>IF($A567=1,SUM($A$2:$A567),0)</f>
        <v/>
      </c>
    </row>
    <row r="568">
      <c r="A568">
        <f>IF(AND(OR('Compliance Database'!$A568='Data Transfer'!$B$4,'Compliance Database'!$A568='Data Transfer'!$B$5),OR('Data Transfer'!$B$6="",ISNUMBER(SEARCH('Data Transfer'!$B$6,'Compliance Database'!$D568&amp;" "&amp;'Compliance Database'!$L568&amp;" "&amp;'Compliance Database'!$M568&amp;" "&amp;'Compliance Database'!$N568&amp;" "&amp;'Compliance Database'!$O568)))),1,0)</f>
        <v/>
      </c>
      <c r="B568">
        <f>IF($A568=1,SUM($A$2:$A568),"")</f>
        <v/>
      </c>
      <c r="C568">
        <f>IF($A568=1,SUM($A$2:$A568),0)</f>
        <v/>
      </c>
    </row>
    <row r="569">
      <c r="A569">
        <f>IF(AND(OR('Compliance Database'!$A569='Data Transfer'!$B$4,'Compliance Database'!$A569='Data Transfer'!$B$5),OR('Data Transfer'!$B$6="",ISNUMBER(SEARCH('Data Transfer'!$B$6,'Compliance Database'!$D569&amp;" "&amp;'Compliance Database'!$L569&amp;" "&amp;'Compliance Database'!$M569&amp;" "&amp;'Compliance Database'!$N569&amp;" "&amp;'Compliance Database'!$O569)))),1,0)</f>
        <v/>
      </c>
      <c r="B569">
        <f>IF($A569=1,SUM($A$2:$A569),"")</f>
        <v/>
      </c>
      <c r="C569">
        <f>IF($A569=1,SUM($A$2:$A569),0)</f>
        <v/>
      </c>
    </row>
    <row r="570">
      <c r="A570">
        <f>IF(AND(OR('Compliance Database'!$A570='Data Transfer'!$B$4,'Compliance Database'!$A570='Data Transfer'!$B$5),OR('Data Transfer'!$B$6="",ISNUMBER(SEARCH('Data Transfer'!$B$6,'Compliance Database'!$D570&amp;" "&amp;'Compliance Database'!$L570&amp;" "&amp;'Compliance Database'!$M570&amp;" "&amp;'Compliance Database'!$N570&amp;" "&amp;'Compliance Database'!$O570)))),1,0)</f>
        <v/>
      </c>
      <c r="B570">
        <f>IF($A570=1,SUM($A$2:$A570),"")</f>
        <v/>
      </c>
      <c r="C570">
        <f>IF($A570=1,SUM($A$2:$A570),0)</f>
        <v/>
      </c>
    </row>
    <row r="571">
      <c r="A571">
        <f>IF(AND(OR('Compliance Database'!$A571='Data Transfer'!$B$4,'Compliance Database'!$A571='Data Transfer'!$B$5),OR('Data Transfer'!$B$6="",ISNUMBER(SEARCH('Data Transfer'!$B$6,'Compliance Database'!$D571&amp;" "&amp;'Compliance Database'!$L571&amp;" "&amp;'Compliance Database'!$M571&amp;" "&amp;'Compliance Database'!$N571&amp;" "&amp;'Compliance Database'!$O571)))),1,0)</f>
        <v/>
      </c>
      <c r="B571">
        <f>IF($A571=1,SUM($A$2:$A571),"")</f>
        <v/>
      </c>
      <c r="C571">
        <f>IF($A571=1,SUM($A$2:$A571),0)</f>
        <v/>
      </c>
    </row>
    <row r="572">
      <c r="A572">
        <f>IF(AND(OR('Compliance Database'!$A572='Data Transfer'!$B$4,'Compliance Database'!$A572='Data Transfer'!$B$5),OR('Data Transfer'!$B$6="",ISNUMBER(SEARCH('Data Transfer'!$B$6,'Compliance Database'!$D572&amp;" "&amp;'Compliance Database'!$L572&amp;" "&amp;'Compliance Database'!$M572&amp;" "&amp;'Compliance Database'!$N572&amp;" "&amp;'Compliance Database'!$O572)))),1,0)</f>
        <v/>
      </c>
      <c r="B572">
        <f>IF($A572=1,SUM($A$2:$A572),"")</f>
        <v/>
      </c>
      <c r="C572">
        <f>IF($A572=1,SUM($A$2:$A572),0)</f>
        <v/>
      </c>
    </row>
    <row r="573">
      <c r="A573">
        <f>IF(AND(OR('Compliance Database'!$A573='Data Transfer'!$B$4,'Compliance Database'!$A573='Data Transfer'!$B$5),OR('Data Transfer'!$B$6="",ISNUMBER(SEARCH('Data Transfer'!$B$6,'Compliance Database'!$D573&amp;" "&amp;'Compliance Database'!$L573&amp;" "&amp;'Compliance Database'!$M573&amp;" "&amp;'Compliance Database'!$N573&amp;" "&amp;'Compliance Database'!$O573)))),1,0)</f>
        <v/>
      </c>
      <c r="B573">
        <f>IF($A573=1,SUM($A$2:$A573),"")</f>
        <v/>
      </c>
      <c r="C573">
        <f>IF($A573=1,SUM($A$2:$A573),0)</f>
        <v/>
      </c>
    </row>
    <row r="574">
      <c r="A574">
        <f>IF(AND(OR('Compliance Database'!$A574='Data Transfer'!$B$4,'Compliance Database'!$A574='Data Transfer'!$B$5),OR('Data Transfer'!$B$6="",ISNUMBER(SEARCH('Data Transfer'!$B$6,'Compliance Database'!$D574&amp;" "&amp;'Compliance Database'!$L574&amp;" "&amp;'Compliance Database'!$M574&amp;" "&amp;'Compliance Database'!$N574&amp;" "&amp;'Compliance Database'!$O574)))),1,0)</f>
        <v/>
      </c>
      <c r="B574">
        <f>IF($A574=1,SUM($A$2:$A574),"")</f>
        <v/>
      </c>
      <c r="C574">
        <f>IF($A574=1,SUM($A$2:$A574),0)</f>
        <v/>
      </c>
    </row>
    <row r="575">
      <c r="A575">
        <f>IF(AND(OR('Compliance Database'!$A575='Data Transfer'!$B$4,'Compliance Database'!$A575='Data Transfer'!$B$5),OR('Data Transfer'!$B$6="",ISNUMBER(SEARCH('Data Transfer'!$B$6,'Compliance Database'!$D575&amp;" "&amp;'Compliance Database'!$L575&amp;" "&amp;'Compliance Database'!$M575&amp;" "&amp;'Compliance Database'!$N575&amp;" "&amp;'Compliance Database'!$O575)))),1,0)</f>
        <v/>
      </c>
      <c r="B575">
        <f>IF($A575=1,SUM($A$2:$A575),"")</f>
        <v/>
      </c>
      <c r="C575">
        <f>IF($A575=1,SUM($A$2:$A575),0)</f>
        <v/>
      </c>
    </row>
    <row r="576">
      <c r="A576">
        <f>IF(AND(OR('Compliance Database'!$A576='Data Transfer'!$B$4,'Compliance Database'!$A576='Data Transfer'!$B$5),OR('Data Transfer'!$B$6="",ISNUMBER(SEARCH('Data Transfer'!$B$6,'Compliance Database'!$D576&amp;" "&amp;'Compliance Database'!$L576&amp;" "&amp;'Compliance Database'!$M576&amp;" "&amp;'Compliance Database'!$N576&amp;" "&amp;'Compliance Database'!$O576)))),1,0)</f>
        <v/>
      </c>
      <c r="B576">
        <f>IF($A576=1,SUM($A$2:$A576),"")</f>
        <v/>
      </c>
      <c r="C576">
        <f>IF($A576=1,SUM($A$2:$A576),0)</f>
        <v/>
      </c>
    </row>
    <row r="577">
      <c r="A577">
        <f>IF(AND(OR('Compliance Database'!$A577='Data Transfer'!$B$4,'Compliance Database'!$A577='Data Transfer'!$B$5),OR('Data Transfer'!$B$6="",ISNUMBER(SEARCH('Data Transfer'!$B$6,'Compliance Database'!$D577&amp;" "&amp;'Compliance Database'!$L577&amp;" "&amp;'Compliance Database'!$M577&amp;" "&amp;'Compliance Database'!$N577&amp;" "&amp;'Compliance Database'!$O577)))),1,0)</f>
        <v/>
      </c>
      <c r="B577">
        <f>IF($A577=1,SUM($A$2:$A577),"")</f>
        <v/>
      </c>
      <c r="C577">
        <f>IF($A577=1,SUM($A$2:$A577),0)</f>
        <v/>
      </c>
    </row>
    <row r="578">
      <c r="A578">
        <f>IF(AND(OR('Compliance Database'!$A578='Data Transfer'!$B$4,'Compliance Database'!$A578='Data Transfer'!$B$5),OR('Data Transfer'!$B$6="",ISNUMBER(SEARCH('Data Transfer'!$B$6,'Compliance Database'!$D578&amp;" "&amp;'Compliance Database'!$L578&amp;" "&amp;'Compliance Database'!$M578&amp;" "&amp;'Compliance Database'!$N578&amp;" "&amp;'Compliance Database'!$O578)))),1,0)</f>
        <v/>
      </c>
      <c r="B578">
        <f>IF($A578=1,SUM($A$2:$A578),"")</f>
        <v/>
      </c>
      <c r="C578">
        <f>IF($A578=1,SUM($A$2:$A578),0)</f>
        <v/>
      </c>
    </row>
    <row r="579">
      <c r="A579">
        <f>IF(AND(OR('Compliance Database'!$A579='Data Transfer'!$B$4,'Compliance Database'!$A579='Data Transfer'!$B$5),OR('Data Transfer'!$B$6="",ISNUMBER(SEARCH('Data Transfer'!$B$6,'Compliance Database'!$D579&amp;" "&amp;'Compliance Database'!$L579&amp;" "&amp;'Compliance Database'!$M579&amp;" "&amp;'Compliance Database'!$N579&amp;" "&amp;'Compliance Database'!$O579)))),1,0)</f>
        <v/>
      </c>
      <c r="B579">
        <f>IF($A579=1,SUM($A$2:$A579),"")</f>
        <v/>
      </c>
      <c r="C579">
        <f>IF($A579=1,SUM($A$2:$A579),0)</f>
        <v/>
      </c>
    </row>
    <row r="580">
      <c r="A580">
        <f>IF(AND(OR('Compliance Database'!$A580='Data Transfer'!$B$4,'Compliance Database'!$A580='Data Transfer'!$B$5),OR('Data Transfer'!$B$6="",ISNUMBER(SEARCH('Data Transfer'!$B$6,'Compliance Database'!$D580&amp;" "&amp;'Compliance Database'!$L580&amp;" "&amp;'Compliance Database'!$M580&amp;" "&amp;'Compliance Database'!$N580&amp;" "&amp;'Compliance Database'!$O580)))),1,0)</f>
        <v/>
      </c>
      <c r="B580">
        <f>IF($A580=1,SUM($A$2:$A580),"")</f>
        <v/>
      </c>
      <c r="C580">
        <f>IF($A580=1,SUM($A$2:$A580),0)</f>
        <v/>
      </c>
    </row>
    <row r="581">
      <c r="A581">
        <f>IF(AND(OR('Compliance Database'!$A581='Data Transfer'!$B$4,'Compliance Database'!$A581='Data Transfer'!$B$5),OR('Data Transfer'!$B$6="",ISNUMBER(SEARCH('Data Transfer'!$B$6,'Compliance Database'!$D581&amp;" "&amp;'Compliance Database'!$L581&amp;" "&amp;'Compliance Database'!$M581&amp;" "&amp;'Compliance Database'!$N581&amp;" "&amp;'Compliance Database'!$O581)))),1,0)</f>
        <v/>
      </c>
      <c r="B581">
        <f>IF($A581=1,SUM($A$2:$A581),"")</f>
        <v/>
      </c>
      <c r="C581">
        <f>IF($A581=1,SUM($A$2:$A581),0)</f>
        <v/>
      </c>
    </row>
    <row r="582">
      <c r="A582">
        <f>IF(AND(OR('Compliance Database'!$A582='Data Transfer'!$B$4,'Compliance Database'!$A582='Data Transfer'!$B$5),OR('Data Transfer'!$B$6="",ISNUMBER(SEARCH('Data Transfer'!$B$6,'Compliance Database'!$D582&amp;" "&amp;'Compliance Database'!$L582&amp;" "&amp;'Compliance Database'!$M582&amp;" "&amp;'Compliance Database'!$N582&amp;" "&amp;'Compliance Database'!$O582)))),1,0)</f>
        <v/>
      </c>
      <c r="B582">
        <f>IF($A582=1,SUM($A$2:$A582),"")</f>
        <v/>
      </c>
      <c r="C582">
        <f>IF($A582=1,SUM($A$2:$A582),0)</f>
        <v/>
      </c>
    </row>
    <row r="583">
      <c r="A583">
        <f>IF(AND(OR('Compliance Database'!$A583='Data Transfer'!$B$4,'Compliance Database'!$A583='Data Transfer'!$B$5),OR('Data Transfer'!$B$6="",ISNUMBER(SEARCH('Data Transfer'!$B$6,'Compliance Database'!$D583&amp;" "&amp;'Compliance Database'!$L583&amp;" "&amp;'Compliance Database'!$M583&amp;" "&amp;'Compliance Database'!$N583&amp;" "&amp;'Compliance Database'!$O583)))),1,0)</f>
        <v/>
      </c>
      <c r="B583">
        <f>IF($A583=1,SUM($A$2:$A583),"")</f>
        <v/>
      </c>
      <c r="C583">
        <f>IF($A583=1,SUM($A$2:$A583),0)</f>
        <v/>
      </c>
    </row>
    <row r="584">
      <c r="A584">
        <f>IF(AND(OR('Compliance Database'!$A584='Data Transfer'!$B$4,'Compliance Database'!$A584='Data Transfer'!$B$5),OR('Data Transfer'!$B$6="",ISNUMBER(SEARCH('Data Transfer'!$B$6,'Compliance Database'!$D584&amp;" "&amp;'Compliance Database'!$L584&amp;" "&amp;'Compliance Database'!$M584&amp;" "&amp;'Compliance Database'!$N584&amp;" "&amp;'Compliance Database'!$O584)))),1,0)</f>
        <v/>
      </c>
      <c r="B584">
        <f>IF($A584=1,SUM($A$2:$A584),"")</f>
        <v/>
      </c>
      <c r="C584">
        <f>IF($A584=1,SUM($A$2:$A584),0)</f>
        <v/>
      </c>
    </row>
    <row r="585">
      <c r="A585">
        <f>IF(AND(OR('Compliance Database'!$A585='Data Transfer'!$B$4,'Compliance Database'!$A585='Data Transfer'!$B$5),OR('Data Transfer'!$B$6="",ISNUMBER(SEARCH('Data Transfer'!$B$6,'Compliance Database'!$D585&amp;" "&amp;'Compliance Database'!$L585&amp;" "&amp;'Compliance Database'!$M585&amp;" "&amp;'Compliance Database'!$N585&amp;" "&amp;'Compliance Database'!$O585)))),1,0)</f>
        <v/>
      </c>
      <c r="B585">
        <f>IF($A585=1,SUM($A$2:$A585),"")</f>
        <v/>
      </c>
      <c r="C585">
        <f>IF($A585=1,SUM($A$2:$A585),0)</f>
        <v/>
      </c>
    </row>
    <row r="586">
      <c r="A586">
        <f>IF(AND(OR('Compliance Database'!$A586='Data Transfer'!$B$4,'Compliance Database'!$A586='Data Transfer'!$B$5),OR('Data Transfer'!$B$6="",ISNUMBER(SEARCH('Data Transfer'!$B$6,'Compliance Database'!$D586&amp;" "&amp;'Compliance Database'!$L586&amp;" "&amp;'Compliance Database'!$M586&amp;" "&amp;'Compliance Database'!$N586&amp;" "&amp;'Compliance Database'!$O586)))),1,0)</f>
        <v/>
      </c>
      <c r="B586">
        <f>IF($A586=1,SUM($A$2:$A586),"")</f>
        <v/>
      </c>
      <c r="C586">
        <f>IF($A586=1,SUM($A$2:$A586),0)</f>
        <v/>
      </c>
    </row>
    <row r="587">
      <c r="A587">
        <f>IF(AND(OR('Compliance Database'!$A587='Data Transfer'!$B$4,'Compliance Database'!$A587='Data Transfer'!$B$5),OR('Data Transfer'!$B$6="",ISNUMBER(SEARCH('Data Transfer'!$B$6,'Compliance Database'!$D587&amp;" "&amp;'Compliance Database'!$L587&amp;" "&amp;'Compliance Database'!$M587&amp;" "&amp;'Compliance Database'!$N587&amp;" "&amp;'Compliance Database'!$O587)))),1,0)</f>
        <v/>
      </c>
      <c r="B587">
        <f>IF($A587=1,SUM($A$2:$A587),"")</f>
        <v/>
      </c>
      <c r="C587">
        <f>IF($A587=1,SUM($A$2:$A587),0)</f>
        <v/>
      </c>
    </row>
    <row r="588">
      <c r="A588">
        <f>IF(AND(OR('Compliance Database'!$A588='Data Transfer'!$B$4,'Compliance Database'!$A588='Data Transfer'!$B$5),OR('Data Transfer'!$B$6="",ISNUMBER(SEARCH('Data Transfer'!$B$6,'Compliance Database'!$D588&amp;" "&amp;'Compliance Database'!$L588&amp;" "&amp;'Compliance Database'!$M588&amp;" "&amp;'Compliance Database'!$N588&amp;" "&amp;'Compliance Database'!$O588)))),1,0)</f>
        <v/>
      </c>
      <c r="B588">
        <f>IF($A588=1,SUM($A$2:$A588),"")</f>
        <v/>
      </c>
      <c r="C588">
        <f>IF($A588=1,SUM($A$2:$A588),0)</f>
        <v/>
      </c>
    </row>
    <row r="589">
      <c r="A589">
        <f>IF(AND(OR('Compliance Database'!$A589='Data Transfer'!$B$4,'Compliance Database'!$A589='Data Transfer'!$B$5),OR('Data Transfer'!$B$6="",ISNUMBER(SEARCH('Data Transfer'!$B$6,'Compliance Database'!$D589&amp;" "&amp;'Compliance Database'!$L589&amp;" "&amp;'Compliance Database'!$M589&amp;" "&amp;'Compliance Database'!$N589&amp;" "&amp;'Compliance Database'!$O589)))),1,0)</f>
        <v/>
      </c>
      <c r="B589">
        <f>IF($A589=1,SUM($A$2:$A589),"")</f>
        <v/>
      </c>
      <c r="C589">
        <f>IF($A589=1,SUM($A$2:$A589),0)</f>
        <v/>
      </c>
    </row>
    <row r="590">
      <c r="A590">
        <f>IF(AND(OR('Compliance Database'!$A590='Data Transfer'!$B$4,'Compliance Database'!$A590='Data Transfer'!$B$5),OR('Data Transfer'!$B$6="",ISNUMBER(SEARCH('Data Transfer'!$B$6,'Compliance Database'!$D590&amp;" "&amp;'Compliance Database'!$L590&amp;" "&amp;'Compliance Database'!$M590&amp;" "&amp;'Compliance Database'!$N590&amp;" "&amp;'Compliance Database'!$O590)))),1,0)</f>
        <v/>
      </c>
      <c r="B590">
        <f>IF($A590=1,SUM($A$2:$A590),"")</f>
        <v/>
      </c>
      <c r="C590">
        <f>IF($A590=1,SUM($A$2:$A590),0)</f>
        <v/>
      </c>
    </row>
    <row r="591">
      <c r="A591">
        <f>IF(AND(OR('Compliance Database'!$A591='Data Transfer'!$B$4,'Compliance Database'!$A591='Data Transfer'!$B$5),OR('Data Transfer'!$B$6="",ISNUMBER(SEARCH('Data Transfer'!$B$6,'Compliance Database'!$D591&amp;" "&amp;'Compliance Database'!$L591&amp;" "&amp;'Compliance Database'!$M591&amp;" "&amp;'Compliance Database'!$N591&amp;" "&amp;'Compliance Database'!$O591)))),1,0)</f>
        <v/>
      </c>
      <c r="B591">
        <f>IF($A591=1,SUM($A$2:$A591),"")</f>
        <v/>
      </c>
      <c r="C591">
        <f>IF($A591=1,SUM($A$2:$A591),0)</f>
        <v/>
      </c>
    </row>
    <row r="592">
      <c r="A592">
        <f>IF(AND(OR('Compliance Database'!$A592='Data Transfer'!$B$4,'Compliance Database'!$A592='Data Transfer'!$B$5),OR('Data Transfer'!$B$6="",ISNUMBER(SEARCH('Data Transfer'!$B$6,'Compliance Database'!$D592&amp;" "&amp;'Compliance Database'!$L592&amp;" "&amp;'Compliance Database'!$M592&amp;" "&amp;'Compliance Database'!$N592&amp;" "&amp;'Compliance Database'!$O592)))),1,0)</f>
        <v/>
      </c>
      <c r="B592">
        <f>IF($A592=1,SUM($A$2:$A592),"")</f>
        <v/>
      </c>
      <c r="C592">
        <f>IF($A592=1,SUM($A$2:$A592),0)</f>
        <v/>
      </c>
    </row>
    <row r="593">
      <c r="A593">
        <f>IF(AND(OR('Compliance Database'!$A593='Data Transfer'!$B$4,'Compliance Database'!$A593='Data Transfer'!$B$5),OR('Data Transfer'!$B$6="",ISNUMBER(SEARCH('Data Transfer'!$B$6,'Compliance Database'!$D593&amp;" "&amp;'Compliance Database'!$L593&amp;" "&amp;'Compliance Database'!$M593&amp;" "&amp;'Compliance Database'!$N593&amp;" "&amp;'Compliance Database'!$O593)))),1,0)</f>
        <v/>
      </c>
      <c r="B593">
        <f>IF($A593=1,SUM($A$2:$A593),"")</f>
        <v/>
      </c>
      <c r="C593">
        <f>IF($A593=1,SUM($A$2:$A593),0)</f>
        <v/>
      </c>
    </row>
    <row r="594">
      <c r="A594">
        <f>IF(AND(OR('Compliance Database'!$A594='Data Transfer'!$B$4,'Compliance Database'!$A594='Data Transfer'!$B$5),OR('Data Transfer'!$B$6="",ISNUMBER(SEARCH('Data Transfer'!$B$6,'Compliance Database'!$D594&amp;" "&amp;'Compliance Database'!$L594&amp;" "&amp;'Compliance Database'!$M594&amp;" "&amp;'Compliance Database'!$N594&amp;" "&amp;'Compliance Database'!$O594)))),1,0)</f>
        <v/>
      </c>
      <c r="B594">
        <f>IF($A594=1,SUM($A$2:$A594),"")</f>
        <v/>
      </c>
      <c r="C594">
        <f>IF($A594=1,SUM($A$2:$A594),0)</f>
        <v/>
      </c>
    </row>
    <row r="595">
      <c r="A595">
        <f>IF(AND(OR('Compliance Database'!$A595='Data Transfer'!$B$4,'Compliance Database'!$A595='Data Transfer'!$B$5),OR('Data Transfer'!$B$6="",ISNUMBER(SEARCH('Data Transfer'!$B$6,'Compliance Database'!$D595&amp;" "&amp;'Compliance Database'!$L595&amp;" "&amp;'Compliance Database'!$M595&amp;" "&amp;'Compliance Database'!$N595&amp;" "&amp;'Compliance Database'!$O595)))),1,0)</f>
        <v/>
      </c>
      <c r="B595">
        <f>IF($A595=1,SUM($A$2:$A595),"")</f>
        <v/>
      </c>
      <c r="C595">
        <f>IF($A595=1,SUM($A$2:$A595),0)</f>
        <v/>
      </c>
    </row>
    <row r="596">
      <c r="A596">
        <f>IF(AND(OR('Compliance Database'!$A596='Data Transfer'!$B$4,'Compliance Database'!$A596='Data Transfer'!$B$5),OR('Data Transfer'!$B$6="",ISNUMBER(SEARCH('Data Transfer'!$B$6,'Compliance Database'!$D596&amp;" "&amp;'Compliance Database'!$L596&amp;" "&amp;'Compliance Database'!$M596&amp;" "&amp;'Compliance Database'!$N596&amp;" "&amp;'Compliance Database'!$O596)))),1,0)</f>
        <v/>
      </c>
      <c r="B596">
        <f>IF($A596=1,SUM($A$2:$A596),"")</f>
        <v/>
      </c>
      <c r="C596">
        <f>IF($A596=1,SUM($A$2:$A596),0)</f>
        <v/>
      </c>
    </row>
    <row r="597">
      <c r="A597">
        <f>IF(AND(OR('Compliance Database'!$A597='Data Transfer'!$B$4,'Compliance Database'!$A597='Data Transfer'!$B$5),OR('Data Transfer'!$B$6="",ISNUMBER(SEARCH('Data Transfer'!$B$6,'Compliance Database'!$D597&amp;" "&amp;'Compliance Database'!$L597&amp;" "&amp;'Compliance Database'!$M597&amp;" "&amp;'Compliance Database'!$N597&amp;" "&amp;'Compliance Database'!$O597)))),1,0)</f>
        <v/>
      </c>
      <c r="B597">
        <f>IF($A597=1,SUM($A$2:$A597),"")</f>
        <v/>
      </c>
      <c r="C597">
        <f>IF($A597=1,SUM($A$2:$A597),0)</f>
        <v/>
      </c>
    </row>
    <row r="598">
      <c r="A598">
        <f>IF(AND(OR('Compliance Database'!$A598='Data Transfer'!$B$4,'Compliance Database'!$A598='Data Transfer'!$B$5),OR('Data Transfer'!$B$6="",ISNUMBER(SEARCH('Data Transfer'!$B$6,'Compliance Database'!$D598&amp;" "&amp;'Compliance Database'!$L598&amp;" "&amp;'Compliance Database'!$M598&amp;" "&amp;'Compliance Database'!$N598&amp;" "&amp;'Compliance Database'!$O598)))),1,0)</f>
        <v/>
      </c>
      <c r="B598">
        <f>IF($A598=1,SUM($A$2:$A598),"")</f>
        <v/>
      </c>
      <c r="C598">
        <f>IF($A598=1,SUM($A$2:$A598),0)</f>
        <v/>
      </c>
    </row>
    <row r="599">
      <c r="A599">
        <f>IF(AND(OR('Compliance Database'!$A599='Data Transfer'!$B$4,'Compliance Database'!$A599='Data Transfer'!$B$5),OR('Data Transfer'!$B$6="",ISNUMBER(SEARCH('Data Transfer'!$B$6,'Compliance Database'!$D599&amp;" "&amp;'Compliance Database'!$L599&amp;" "&amp;'Compliance Database'!$M599&amp;" "&amp;'Compliance Database'!$N599&amp;" "&amp;'Compliance Database'!$O599)))),1,0)</f>
        <v/>
      </c>
      <c r="B599">
        <f>IF($A599=1,SUM($A$2:$A599),"")</f>
        <v/>
      </c>
      <c r="C599">
        <f>IF($A599=1,SUM($A$2:$A599),0)</f>
        <v/>
      </c>
    </row>
    <row r="600">
      <c r="A600">
        <f>IF(AND(OR('Compliance Database'!$A600='Data Transfer'!$B$4,'Compliance Database'!$A600='Data Transfer'!$B$5),OR('Data Transfer'!$B$6="",ISNUMBER(SEARCH('Data Transfer'!$B$6,'Compliance Database'!$D600&amp;" "&amp;'Compliance Database'!$L600&amp;" "&amp;'Compliance Database'!$M600&amp;" "&amp;'Compliance Database'!$N600&amp;" "&amp;'Compliance Database'!$O600)))),1,0)</f>
        <v/>
      </c>
      <c r="B600">
        <f>IF($A600=1,SUM($A$2:$A600),"")</f>
        <v/>
      </c>
      <c r="C600">
        <f>IF($A600=1,SUM($A$2:$A600),0)</f>
        <v/>
      </c>
    </row>
    <row r="601">
      <c r="A601">
        <f>IF(AND(OR('Compliance Database'!$A601='Data Transfer'!$B$4,'Compliance Database'!$A601='Data Transfer'!$B$5),OR('Data Transfer'!$B$6="",ISNUMBER(SEARCH('Data Transfer'!$B$6,'Compliance Database'!$D601&amp;" "&amp;'Compliance Database'!$L601&amp;" "&amp;'Compliance Database'!$M601&amp;" "&amp;'Compliance Database'!$N601&amp;" "&amp;'Compliance Database'!$O601)))),1,0)</f>
        <v/>
      </c>
      <c r="B601">
        <f>IF($A601=1,SUM($A$2:$A601),"")</f>
        <v/>
      </c>
      <c r="C601">
        <f>IF($A601=1,SUM($A$2:$A601),0)</f>
        <v/>
      </c>
    </row>
    <row r="602">
      <c r="A602">
        <f>IF(AND(OR('Compliance Database'!$A602='Data Transfer'!$B$4,'Compliance Database'!$A602='Data Transfer'!$B$5),OR('Data Transfer'!$B$6="",ISNUMBER(SEARCH('Data Transfer'!$B$6,'Compliance Database'!$D602&amp;" "&amp;'Compliance Database'!$L602&amp;" "&amp;'Compliance Database'!$M602&amp;" "&amp;'Compliance Database'!$N602&amp;" "&amp;'Compliance Database'!$O602)))),1,0)</f>
        <v/>
      </c>
      <c r="B602">
        <f>IF($A602=1,SUM($A$2:$A602),"")</f>
        <v/>
      </c>
      <c r="C602">
        <f>IF($A602=1,SUM($A$2:$A602),0)</f>
        <v/>
      </c>
    </row>
    <row r="603">
      <c r="A603">
        <f>IF(AND(OR('Compliance Database'!$A603='Data Transfer'!$B$4,'Compliance Database'!$A603='Data Transfer'!$B$5),OR('Data Transfer'!$B$6="",ISNUMBER(SEARCH('Data Transfer'!$B$6,'Compliance Database'!$D603&amp;" "&amp;'Compliance Database'!$L603&amp;" "&amp;'Compliance Database'!$M603&amp;" "&amp;'Compliance Database'!$N603&amp;" "&amp;'Compliance Database'!$O603)))),1,0)</f>
        <v/>
      </c>
      <c r="B603">
        <f>IF($A603=1,SUM($A$2:$A603),"")</f>
        <v/>
      </c>
      <c r="C603">
        <f>IF($A603=1,SUM($A$2:$A603),0)</f>
        <v/>
      </c>
    </row>
    <row r="604">
      <c r="A604">
        <f>IF(AND(OR('Compliance Database'!$A604='Data Transfer'!$B$4,'Compliance Database'!$A604='Data Transfer'!$B$5),OR('Data Transfer'!$B$6="",ISNUMBER(SEARCH('Data Transfer'!$B$6,'Compliance Database'!$D604&amp;" "&amp;'Compliance Database'!$L604&amp;" "&amp;'Compliance Database'!$M604&amp;" "&amp;'Compliance Database'!$N604&amp;" "&amp;'Compliance Database'!$O604)))),1,0)</f>
        <v/>
      </c>
      <c r="B604">
        <f>IF($A604=1,SUM($A$2:$A604),"")</f>
        <v/>
      </c>
      <c r="C604">
        <f>IF($A604=1,SUM($A$2:$A604),0)</f>
        <v/>
      </c>
    </row>
    <row r="605">
      <c r="A605">
        <f>IF(AND(OR('Compliance Database'!$A605='Data Transfer'!$B$4,'Compliance Database'!$A605='Data Transfer'!$B$5),OR('Data Transfer'!$B$6="",ISNUMBER(SEARCH('Data Transfer'!$B$6,'Compliance Database'!$D605&amp;" "&amp;'Compliance Database'!$L605&amp;" "&amp;'Compliance Database'!$M605&amp;" "&amp;'Compliance Database'!$N605&amp;" "&amp;'Compliance Database'!$O605)))),1,0)</f>
        <v/>
      </c>
      <c r="B605">
        <f>IF($A605=1,SUM($A$2:$A605),"")</f>
        <v/>
      </c>
      <c r="C605">
        <f>IF($A605=1,SUM($A$2:$A605),0)</f>
        <v/>
      </c>
    </row>
    <row r="606">
      <c r="A606">
        <f>IF(AND(OR('Compliance Database'!$A606='Data Transfer'!$B$4,'Compliance Database'!$A606='Data Transfer'!$B$5),OR('Data Transfer'!$B$6="",ISNUMBER(SEARCH('Data Transfer'!$B$6,'Compliance Database'!$D606&amp;" "&amp;'Compliance Database'!$L606&amp;" "&amp;'Compliance Database'!$M606&amp;" "&amp;'Compliance Database'!$N606&amp;" "&amp;'Compliance Database'!$O606)))),1,0)</f>
        <v/>
      </c>
      <c r="B606">
        <f>IF($A606=1,SUM($A$2:$A606),"")</f>
        <v/>
      </c>
      <c r="C606">
        <f>IF($A606=1,SUM($A$2:$A606),0)</f>
        <v/>
      </c>
    </row>
    <row r="607">
      <c r="A607">
        <f>IF(AND(OR('Compliance Database'!$A607='Data Transfer'!$B$4,'Compliance Database'!$A607='Data Transfer'!$B$5),OR('Data Transfer'!$B$6="",ISNUMBER(SEARCH('Data Transfer'!$B$6,'Compliance Database'!$D607&amp;" "&amp;'Compliance Database'!$L607&amp;" "&amp;'Compliance Database'!$M607&amp;" "&amp;'Compliance Database'!$N607&amp;" "&amp;'Compliance Database'!$O607)))),1,0)</f>
        <v/>
      </c>
      <c r="B607">
        <f>IF($A607=1,SUM($A$2:$A607),"")</f>
        <v/>
      </c>
      <c r="C607">
        <f>IF($A607=1,SUM($A$2:$A607),0)</f>
        <v/>
      </c>
    </row>
    <row r="608">
      <c r="A608">
        <f>IF(AND(OR('Compliance Database'!$A608='Data Transfer'!$B$4,'Compliance Database'!$A608='Data Transfer'!$B$5),OR('Data Transfer'!$B$6="",ISNUMBER(SEARCH('Data Transfer'!$B$6,'Compliance Database'!$D608&amp;" "&amp;'Compliance Database'!$L608&amp;" "&amp;'Compliance Database'!$M608&amp;" "&amp;'Compliance Database'!$N608&amp;" "&amp;'Compliance Database'!$O608)))),1,0)</f>
        <v/>
      </c>
      <c r="B608">
        <f>IF($A608=1,SUM($A$2:$A608),"")</f>
        <v/>
      </c>
      <c r="C608">
        <f>IF($A608=1,SUM($A$2:$A608),0)</f>
        <v/>
      </c>
    </row>
    <row r="609">
      <c r="A609">
        <f>IF(AND(OR('Compliance Database'!$A609='Data Transfer'!$B$4,'Compliance Database'!$A609='Data Transfer'!$B$5),OR('Data Transfer'!$B$6="",ISNUMBER(SEARCH('Data Transfer'!$B$6,'Compliance Database'!$D609&amp;" "&amp;'Compliance Database'!$L609&amp;" "&amp;'Compliance Database'!$M609&amp;" "&amp;'Compliance Database'!$N609&amp;" "&amp;'Compliance Database'!$O609)))),1,0)</f>
        <v/>
      </c>
      <c r="B609">
        <f>IF($A609=1,SUM($A$2:$A609),"")</f>
        <v/>
      </c>
      <c r="C609">
        <f>IF($A609=1,SUM($A$2:$A609),0)</f>
        <v/>
      </c>
    </row>
    <row r="610">
      <c r="A610">
        <f>IF(AND(OR('Compliance Database'!$A610='Data Transfer'!$B$4,'Compliance Database'!$A610='Data Transfer'!$B$5),OR('Data Transfer'!$B$6="",ISNUMBER(SEARCH('Data Transfer'!$B$6,'Compliance Database'!$D610&amp;" "&amp;'Compliance Database'!$L610&amp;" "&amp;'Compliance Database'!$M610&amp;" "&amp;'Compliance Database'!$N610&amp;" "&amp;'Compliance Database'!$O610)))),1,0)</f>
        <v/>
      </c>
      <c r="B610">
        <f>IF($A610=1,SUM($A$2:$A610),"")</f>
        <v/>
      </c>
      <c r="C610">
        <f>IF($A610=1,SUM($A$2:$A610),0)</f>
        <v/>
      </c>
    </row>
    <row r="611">
      <c r="A611">
        <f>IF(AND(OR('Compliance Database'!$A611='Data Transfer'!$B$4,'Compliance Database'!$A611='Data Transfer'!$B$5),OR('Data Transfer'!$B$6="",ISNUMBER(SEARCH('Data Transfer'!$B$6,'Compliance Database'!$D611&amp;" "&amp;'Compliance Database'!$L611&amp;" "&amp;'Compliance Database'!$M611&amp;" "&amp;'Compliance Database'!$N611&amp;" "&amp;'Compliance Database'!$O611)))),1,0)</f>
        <v/>
      </c>
      <c r="B611">
        <f>IF($A611=1,SUM($A$2:$A611),"")</f>
        <v/>
      </c>
      <c r="C611">
        <f>IF($A611=1,SUM($A$2:$A611),0)</f>
        <v/>
      </c>
    </row>
    <row r="612">
      <c r="A612">
        <f>IF(AND(OR('Compliance Database'!$A612='Data Transfer'!$B$4,'Compliance Database'!$A612='Data Transfer'!$B$5),OR('Data Transfer'!$B$6="",ISNUMBER(SEARCH('Data Transfer'!$B$6,'Compliance Database'!$D612&amp;" "&amp;'Compliance Database'!$L612&amp;" "&amp;'Compliance Database'!$M612&amp;" "&amp;'Compliance Database'!$N612&amp;" "&amp;'Compliance Database'!$O612)))),1,0)</f>
        <v/>
      </c>
      <c r="B612">
        <f>IF($A612=1,SUM($A$2:$A612),"")</f>
        <v/>
      </c>
      <c r="C612">
        <f>IF($A612=1,SUM($A$2:$A612),0)</f>
        <v/>
      </c>
    </row>
    <row r="613">
      <c r="A613">
        <f>IF(AND(OR('Compliance Database'!$A613='Data Transfer'!$B$4,'Compliance Database'!$A613='Data Transfer'!$B$5),OR('Data Transfer'!$B$6="",ISNUMBER(SEARCH('Data Transfer'!$B$6,'Compliance Database'!$D613&amp;" "&amp;'Compliance Database'!$L613&amp;" "&amp;'Compliance Database'!$M613&amp;" "&amp;'Compliance Database'!$N613&amp;" "&amp;'Compliance Database'!$O613)))),1,0)</f>
        <v/>
      </c>
      <c r="B613">
        <f>IF($A613=1,SUM($A$2:$A613),"")</f>
        <v/>
      </c>
      <c r="C613">
        <f>IF($A613=1,SUM($A$2:$A613),0)</f>
        <v/>
      </c>
    </row>
    <row r="614">
      <c r="A614">
        <f>IF(AND(OR('Compliance Database'!$A614='Data Transfer'!$B$4,'Compliance Database'!$A614='Data Transfer'!$B$5),OR('Data Transfer'!$B$6="",ISNUMBER(SEARCH('Data Transfer'!$B$6,'Compliance Database'!$D614&amp;" "&amp;'Compliance Database'!$L614&amp;" "&amp;'Compliance Database'!$M614&amp;" "&amp;'Compliance Database'!$N614&amp;" "&amp;'Compliance Database'!$O614)))),1,0)</f>
        <v/>
      </c>
      <c r="B614">
        <f>IF($A614=1,SUM($A$2:$A614),"")</f>
        <v/>
      </c>
      <c r="C614">
        <f>IF($A614=1,SUM($A$2:$A614),0)</f>
        <v/>
      </c>
    </row>
    <row r="615">
      <c r="A615">
        <f>IF(AND(OR('Compliance Database'!$A615='Data Transfer'!$B$4,'Compliance Database'!$A615='Data Transfer'!$B$5),OR('Data Transfer'!$B$6="",ISNUMBER(SEARCH('Data Transfer'!$B$6,'Compliance Database'!$D615&amp;" "&amp;'Compliance Database'!$L615&amp;" "&amp;'Compliance Database'!$M615&amp;" "&amp;'Compliance Database'!$N615&amp;" "&amp;'Compliance Database'!$O615)))),1,0)</f>
        <v/>
      </c>
      <c r="B615">
        <f>IF($A615=1,SUM($A$2:$A615),"")</f>
        <v/>
      </c>
      <c r="C615">
        <f>IF($A615=1,SUM($A$2:$A615),0)</f>
        <v/>
      </c>
    </row>
    <row r="616">
      <c r="A616">
        <f>IF(AND(OR('Compliance Database'!$A616='Data Transfer'!$B$4,'Compliance Database'!$A616='Data Transfer'!$B$5),OR('Data Transfer'!$B$6="",ISNUMBER(SEARCH('Data Transfer'!$B$6,'Compliance Database'!$D616&amp;" "&amp;'Compliance Database'!$L616&amp;" "&amp;'Compliance Database'!$M616&amp;" "&amp;'Compliance Database'!$N616&amp;" "&amp;'Compliance Database'!$O616)))),1,0)</f>
        <v/>
      </c>
      <c r="B616">
        <f>IF($A616=1,SUM($A$2:$A616),"")</f>
        <v/>
      </c>
      <c r="C616">
        <f>IF($A616=1,SUM($A$2:$A616),0)</f>
        <v/>
      </c>
    </row>
    <row r="617">
      <c r="A617">
        <f>IF(AND(OR('Compliance Database'!$A617='Data Transfer'!$B$4,'Compliance Database'!$A617='Data Transfer'!$B$5),OR('Data Transfer'!$B$6="",ISNUMBER(SEARCH('Data Transfer'!$B$6,'Compliance Database'!$D617&amp;" "&amp;'Compliance Database'!$L617&amp;" "&amp;'Compliance Database'!$M617&amp;" "&amp;'Compliance Database'!$N617&amp;" "&amp;'Compliance Database'!$O617)))),1,0)</f>
        <v/>
      </c>
      <c r="B617">
        <f>IF($A617=1,SUM($A$2:$A617),"")</f>
        <v/>
      </c>
      <c r="C617">
        <f>IF($A617=1,SUM($A$2:$A617),0)</f>
        <v/>
      </c>
    </row>
    <row r="618">
      <c r="A618">
        <f>IF(AND(OR('Compliance Database'!$A618='Data Transfer'!$B$4,'Compliance Database'!$A618='Data Transfer'!$B$5),OR('Data Transfer'!$B$6="",ISNUMBER(SEARCH('Data Transfer'!$B$6,'Compliance Database'!$D618&amp;" "&amp;'Compliance Database'!$L618&amp;" "&amp;'Compliance Database'!$M618&amp;" "&amp;'Compliance Database'!$N618&amp;" "&amp;'Compliance Database'!$O618)))),1,0)</f>
        <v/>
      </c>
      <c r="B618">
        <f>IF($A618=1,SUM($A$2:$A618),"")</f>
        <v/>
      </c>
      <c r="C618">
        <f>IF($A618=1,SUM($A$2:$A618),0)</f>
        <v/>
      </c>
    </row>
    <row r="619">
      <c r="A619">
        <f>IF(AND(OR('Compliance Database'!$A619='Data Transfer'!$B$4,'Compliance Database'!$A619='Data Transfer'!$B$5),OR('Data Transfer'!$B$6="",ISNUMBER(SEARCH('Data Transfer'!$B$6,'Compliance Database'!$D619&amp;" "&amp;'Compliance Database'!$L619&amp;" "&amp;'Compliance Database'!$M619&amp;" "&amp;'Compliance Database'!$N619&amp;" "&amp;'Compliance Database'!$O619)))),1,0)</f>
        <v/>
      </c>
      <c r="B619">
        <f>IF($A619=1,SUM($A$2:$A619),"")</f>
        <v/>
      </c>
      <c r="C619">
        <f>IF($A619=1,SUM($A$2:$A619),0)</f>
        <v/>
      </c>
    </row>
    <row r="620">
      <c r="A620">
        <f>IF(AND(OR('Compliance Database'!$A620='Data Transfer'!$B$4,'Compliance Database'!$A620='Data Transfer'!$B$5),OR('Data Transfer'!$B$6="",ISNUMBER(SEARCH('Data Transfer'!$B$6,'Compliance Database'!$D620&amp;" "&amp;'Compliance Database'!$L620&amp;" "&amp;'Compliance Database'!$M620&amp;" "&amp;'Compliance Database'!$N620&amp;" "&amp;'Compliance Database'!$O620)))),1,0)</f>
        <v/>
      </c>
      <c r="B620">
        <f>IF($A620=1,SUM($A$2:$A620),"")</f>
        <v/>
      </c>
      <c r="C620">
        <f>IF($A620=1,SUM($A$2:$A620),0)</f>
        <v/>
      </c>
    </row>
    <row r="621">
      <c r="A621">
        <f>IF(AND(OR('Compliance Database'!$A621='Data Transfer'!$B$4,'Compliance Database'!$A621='Data Transfer'!$B$5),OR('Data Transfer'!$B$6="",ISNUMBER(SEARCH('Data Transfer'!$B$6,'Compliance Database'!$D621&amp;" "&amp;'Compliance Database'!$L621&amp;" "&amp;'Compliance Database'!$M621&amp;" "&amp;'Compliance Database'!$N621&amp;" "&amp;'Compliance Database'!$O621)))),1,0)</f>
        <v/>
      </c>
      <c r="B621">
        <f>IF($A621=1,SUM($A$2:$A621),"")</f>
        <v/>
      </c>
      <c r="C621">
        <f>IF($A621=1,SUM($A$2:$A621),0)</f>
        <v/>
      </c>
    </row>
    <row r="622">
      <c r="A622">
        <f>IF(AND(OR('Compliance Database'!$A622='Data Transfer'!$B$4,'Compliance Database'!$A622='Data Transfer'!$B$5),OR('Data Transfer'!$B$6="",ISNUMBER(SEARCH('Data Transfer'!$B$6,'Compliance Database'!$D622&amp;" "&amp;'Compliance Database'!$L622&amp;" "&amp;'Compliance Database'!$M622&amp;" "&amp;'Compliance Database'!$N622&amp;" "&amp;'Compliance Database'!$O622)))),1,0)</f>
        <v/>
      </c>
      <c r="B622">
        <f>IF($A622=1,SUM($A$2:$A622),"")</f>
        <v/>
      </c>
      <c r="C622">
        <f>IF($A622=1,SUM($A$2:$A622),0)</f>
        <v/>
      </c>
    </row>
    <row r="623">
      <c r="A623">
        <f>IF(AND(OR('Compliance Database'!$A623='Data Transfer'!$B$4,'Compliance Database'!$A623='Data Transfer'!$B$5),OR('Data Transfer'!$B$6="",ISNUMBER(SEARCH('Data Transfer'!$B$6,'Compliance Database'!$D623&amp;" "&amp;'Compliance Database'!$L623&amp;" "&amp;'Compliance Database'!$M623&amp;" "&amp;'Compliance Database'!$N623&amp;" "&amp;'Compliance Database'!$O623)))),1,0)</f>
        <v/>
      </c>
      <c r="B623">
        <f>IF($A623=1,SUM($A$2:$A623),"")</f>
        <v/>
      </c>
      <c r="C623">
        <f>IF($A623=1,SUM($A$2:$A623),0)</f>
        <v/>
      </c>
    </row>
    <row r="624">
      <c r="A624">
        <f>IF(AND(OR('Compliance Database'!$A624='Data Transfer'!$B$4,'Compliance Database'!$A624='Data Transfer'!$B$5),OR('Data Transfer'!$B$6="",ISNUMBER(SEARCH('Data Transfer'!$B$6,'Compliance Database'!$D624&amp;" "&amp;'Compliance Database'!$L624&amp;" "&amp;'Compliance Database'!$M624&amp;" "&amp;'Compliance Database'!$N624&amp;" "&amp;'Compliance Database'!$O624)))),1,0)</f>
        <v/>
      </c>
      <c r="B624">
        <f>IF($A624=1,SUM($A$2:$A624),"")</f>
        <v/>
      </c>
      <c r="C624">
        <f>IF($A624=1,SUM($A$2:$A624),0)</f>
        <v/>
      </c>
    </row>
    <row r="625">
      <c r="A625">
        <f>IF(AND(OR('Compliance Database'!$A625='Data Transfer'!$B$4,'Compliance Database'!$A625='Data Transfer'!$B$5),OR('Data Transfer'!$B$6="",ISNUMBER(SEARCH('Data Transfer'!$B$6,'Compliance Database'!$D625&amp;" "&amp;'Compliance Database'!$L625&amp;" "&amp;'Compliance Database'!$M625&amp;" "&amp;'Compliance Database'!$N625&amp;" "&amp;'Compliance Database'!$O625)))),1,0)</f>
        <v/>
      </c>
      <c r="B625">
        <f>IF($A625=1,SUM($A$2:$A625),"")</f>
        <v/>
      </c>
      <c r="C625">
        <f>IF($A625=1,SUM($A$2:$A625),0)</f>
        <v/>
      </c>
    </row>
    <row r="626">
      <c r="A626">
        <f>IF(AND(OR('Compliance Database'!$A626='Data Transfer'!$B$4,'Compliance Database'!$A626='Data Transfer'!$B$5),OR('Data Transfer'!$B$6="",ISNUMBER(SEARCH('Data Transfer'!$B$6,'Compliance Database'!$D626&amp;" "&amp;'Compliance Database'!$L626&amp;" "&amp;'Compliance Database'!$M626&amp;" "&amp;'Compliance Database'!$N626&amp;" "&amp;'Compliance Database'!$O626)))),1,0)</f>
        <v/>
      </c>
      <c r="B626">
        <f>IF($A626=1,SUM($A$2:$A626),"")</f>
        <v/>
      </c>
      <c r="C626">
        <f>IF($A626=1,SUM($A$2:$A626),0)</f>
        <v/>
      </c>
    </row>
    <row r="627">
      <c r="A627">
        <f>IF(AND(OR('Compliance Database'!$A627='Data Transfer'!$B$4,'Compliance Database'!$A627='Data Transfer'!$B$5),OR('Data Transfer'!$B$6="",ISNUMBER(SEARCH('Data Transfer'!$B$6,'Compliance Database'!$D627&amp;" "&amp;'Compliance Database'!$L627&amp;" "&amp;'Compliance Database'!$M627&amp;" "&amp;'Compliance Database'!$N627&amp;" "&amp;'Compliance Database'!$O627)))),1,0)</f>
        <v/>
      </c>
      <c r="B627">
        <f>IF($A627=1,SUM($A$2:$A627),"")</f>
        <v/>
      </c>
      <c r="C627">
        <f>IF($A627=1,SUM($A$2:$A627),0)</f>
        <v/>
      </c>
    </row>
    <row r="628">
      <c r="A628">
        <f>IF(AND(OR('Compliance Database'!$A628='Data Transfer'!$B$4,'Compliance Database'!$A628='Data Transfer'!$B$5),OR('Data Transfer'!$B$6="",ISNUMBER(SEARCH('Data Transfer'!$B$6,'Compliance Database'!$D628&amp;" "&amp;'Compliance Database'!$L628&amp;" "&amp;'Compliance Database'!$M628&amp;" "&amp;'Compliance Database'!$N628&amp;" "&amp;'Compliance Database'!$O628)))),1,0)</f>
        <v/>
      </c>
      <c r="B628">
        <f>IF($A628=1,SUM($A$2:$A628),"")</f>
        <v/>
      </c>
      <c r="C628">
        <f>IF($A628=1,SUM($A$2:$A628),0)</f>
        <v/>
      </c>
    </row>
    <row r="629">
      <c r="A629">
        <f>IF(AND(OR('Compliance Database'!$A629='Data Transfer'!$B$4,'Compliance Database'!$A629='Data Transfer'!$B$5),OR('Data Transfer'!$B$6="",ISNUMBER(SEARCH('Data Transfer'!$B$6,'Compliance Database'!$D629&amp;" "&amp;'Compliance Database'!$L629&amp;" "&amp;'Compliance Database'!$M629&amp;" "&amp;'Compliance Database'!$N629&amp;" "&amp;'Compliance Database'!$O629)))),1,0)</f>
        <v/>
      </c>
      <c r="B629">
        <f>IF($A629=1,SUM($A$2:$A629),"")</f>
        <v/>
      </c>
      <c r="C629">
        <f>IF($A629=1,SUM($A$2:$A629),0)</f>
        <v/>
      </c>
    </row>
    <row r="630">
      <c r="A630">
        <f>IF(AND(OR('Compliance Database'!$A630='Data Transfer'!$B$4,'Compliance Database'!$A630='Data Transfer'!$B$5),OR('Data Transfer'!$B$6="",ISNUMBER(SEARCH('Data Transfer'!$B$6,'Compliance Database'!$D630&amp;" "&amp;'Compliance Database'!$L630&amp;" "&amp;'Compliance Database'!$M630&amp;" "&amp;'Compliance Database'!$N630&amp;" "&amp;'Compliance Database'!$O630)))),1,0)</f>
        <v/>
      </c>
      <c r="B630">
        <f>IF($A630=1,SUM($A$2:$A630),"")</f>
        <v/>
      </c>
      <c r="C630">
        <f>IF($A630=1,SUM($A$2:$A630),0)</f>
        <v/>
      </c>
    </row>
    <row r="631">
      <c r="A631">
        <f>IF(AND(OR('Compliance Database'!$A631='Data Transfer'!$B$4,'Compliance Database'!$A631='Data Transfer'!$B$5),OR('Data Transfer'!$B$6="",ISNUMBER(SEARCH('Data Transfer'!$B$6,'Compliance Database'!$D631&amp;" "&amp;'Compliance Database'!$L631&amp;" "&amp;'Compliance Database'!$M631&amp;" "&amp;'Compliance Database'!$N631&amp;" "&amp;'Compliance Database'!$O631)))),1,0)</f>
        <v/>
      </c>
      <c r="B631">
        <f>IF($A631=1,SUM($A$2:$A631),"")</f>
        <v/>
      </c>
      <c r="C631">
        <f>IF($A631=1,SUM($A$2:$A631),0)</f>
        <v/>
      </c>
    </row>
    <row r="632">
      <c r="A632">
        <f>IF(AND(OR('Compliance Database'!$A632='Data Transfer'!$B$4,'Compliance Database'!$A632='Data Transfer'!$B$5),OR('Data Transfer'!$B$6="",ISNUMBER(SEARCH('Data Transfer'!$B$6,'Compliance Database'!$D632&amp;" "&amp;'Compliance Database'!$L632&amp;" "&amp;'Compliance Database'!$M632&amp;" "&amp;'Compliance Database'!$N632&amp;" "&amp;'Compliance Database'!$O632)))),1,0)</f>
        <v/>
      </c>
      <c r="B632">
        <f>IF($A632=1,SUM($A$2:$A632),"")</f>
        <v/>
      </c>
      <c r="C632">
        <f>IF($A632=1,SUM($A$2:$A632),0)</f>
        <v/>
      </c>
    </row>
    <row r="633">
      <c r="A633">
        <f>IF(AND(OR('Compliance Database'!$A633='Data Transfer'!$B$4,'Compliance Database'!$A633='Data Transfer'!$B$5),OR('Data Transfer'!$B$6="",ISNUMBER(SEARCH('Data Transfer'!$B$6,'Compliance Database'!$D633&amp;" "&amp;'Compliance Database'!$L633&amp;" "&amp;'Compliance Database'!$M633&amp;" "&amp;'Compliance Database'!$N633&amp;" "&amp;'Compliance Database'!$O633)))),1,0)</f>
        <v/>
      </c>
      <c r="B633">
        <f>IF($A633=1,SUM($A$2:$A633),"")</f>
        <v/>
      </c>
      <c r="C633">
        <f>IF($A633=1,SUM($A$2:$A633),0)</f>
        <v/>
      </c>
    </row>
    <row r="634">
      <c r="A634">
        <f>IF(AND(OR('Compliance Database'!$A634='Data Transfer'!$B$4,'Compliance Database'!$A634='Data Transfer'!$B$5),OR('Data Transfer'!$B$6="",ISNUMBER(SEARCH('Data Transfer'!$B$6,'Compliance Database'!$D634&amp;" "&amp;'Compliance Database'!$L634&amp;" "&amp;'Compliance Database'!$M634&amp;" "&amp;'Compliance Database'!$N634&amp;" "&amp;'Compliance Database'!$O634)))),1,0)</f>
        <v/>
      </c>
      <c r="B634">
        <f>IF($A634=1,SUM($A$2:$A634),"")</f>
        <v/>
      </c>
      <c r="C634">
        <f>IF($A634=1,SUM($A$2:$A634),0)</f>
        <v/>
      </c>
    </row>
    <row r="635">
      <c r="A635">
        <f>IF(AND(OR('Compliance Database'!$A635='Data Transfer'!$B$4,'Compliance Database'!$A635='Data Transfer'!$B$5),OR('Data Transfer'!$B$6="",ISNUMBER(SEARCH('Data Transfer'!$B$6,'Compliance Database'!$D635&amp;" "&amp;'Compliance Database'!$L635&amp;" "&amp;'Compliance Database'!$M635&amp;" "&amp;'Compliance Database'!$N635&amp;" "&amp;'Compliance Database'!$O635)))),1,0)</f>
        <v/>
      </c>
      <c r="B635">
        <f>IF($A635=1,SUM($A$2:$A635),"")</f>
        <v/>
      </c>
      <c r="C635">
        <f>IF($A635=1,SUM($A$2:$A635),0)</f>
        <v/>
      </c>
    </row>
    <row r="636">
      <c r="A636">
        <f>IF(AND(OR('Compliance Database'!$A636='Data Transfer'!$B$4,'Compliance Database'!$A636='Data Transfer'!$B$5),OR('Data Transfer'!$B$6="",ISNUMBER(SEARCH('Data Transfer'!$B$6,'Compliance Database'!$D636&amp;" "&amp;'Compliance Database'!$L636&amp;" "&amp;'Compliance Database'!$M636&amp;" "&amp;'Compliance Database'!$N636&amp;" "&amp;'Compliance Database'!$O636)))),1,0)</f>
        <v/>
      </c>
      <c r="B636">
        <f>IF($A636=1,SUM($A$2:$A636),"")</f>
        <v/>
      </c>
      <c r="C636">
        <f>IF($A636=1,SUM($A$2:$A636),0)</f>
        <v/>
      </c>
    </row>
    <row r="637">
      <c r="A637">
        <f>IF(AND(OR('Compliance Database'!$A637='Data Transfer'!$B$4,'Compliance Database'!$A637='Data Transfer'!$B$5),OR('Data Transfer'!$B$6="",ISNUMBER(SEARCH('Data Transfer'!$B$6,'Compliance Database'!$D637&amp;" "&amp;'Compliance Database'!$L637&amp;" "&amp;'Compliance Database'!$M637&amp;" "&amp;'Compliance Database'!$N637&amp;" "&amp;'Compliance Database'!$O637)))),1,0)</f>
        <v/>
      </c>
      <c r="B637">
        <f>IF($A637=1,SUM($A$2:$A637),"")</f>
        <v/>
      </c>
      <c r="C637">
        <f>IF($A637=1,SUM($A$2:$A637),0)</f>
        <v/>
      </c>
    </row>
    <row r="638">
      <c r="A638">
        <f>IF(AND(OR('Compliance Database'!$A638='Data Transfer'!$B$4,'Compliance Database'!$A638='Data Transfer'!$B$5),OR('Data Transfer'!$B$6="",ISNUMBER(SEARCH('Data Transfer'!$B$6,'Compliance Database'!$D638&amp;" "&amp;'Compliance Database'!$L638&amp;" "&amp;'Compliance Database'!$M638&amp;" "&amp;'Compliance Database'!$N638&amp;" "&amp;'Compliance Database'!$O638)))),1,0)</f>
        <v/>
      </c>
      <c r="B638">
        <f>IF($A638=1,SUM($A$2:$A638),"")</f>
        <v/>
      </c>
      <c r="C638">
        <f>IF($A638=1,SUM($A$2:$A638),0)</f>
        <v/>
      </c>
    </row>
    <row r="639">
      <c r="A639">
        <f>IF(AND(OR('Compliance Database'!$A639='Data Transfer'!$B$4,'Compliance Database'!$A639='Data Transfer'!$B$5),OR('Data Transfer'!$B$6="",ISNUMBER(SEARCH('Data Transfer'!$B$6,'Compliance Database'!$D639&amp;" "&amp;'Compliance Database'!$L639&amp;" "&amp;'Compliance Database'!$M639&amp;" "&amp;'Compliance Database'!$N639&amp;" "&amp;'Compliance Database'!$O639)))),1,0)</f>
        <v/>
      </c>
      <c r="B639">
        <f>IF($A639=1,SUM($A$2:$A639),"")</f>
        <v/>
      </c>
      <c r="C639">
        <f>IF($A639=1,SUM($A$2:$A639),0)</f>
        <v/>
      </c>
    </row>
    <row r="640">
      <c r="A640">
        <f>IF(AND(OR('Compliance Database'!$A640='Data Transfer'!$B$4,'Compliance Database'!$A640='Data Transfer'!$B$5),OR('Data Transfer'!$B$6="",ISNUMBER(SEARCH('Data Transfer'!$B$6,'Compliance Database'!$D640&amp;" "&amp;'Compliance Database'!$L640&amp;" "&amp;'Compliance Database'!$M640&amp;" "&amp;'Compliance Database'!$N640&amp;" "&amp;'Compliance Database'!$O640)))),1,0)</f>
        <v/>
      </c>
      <c r="B640">
        <f>IF($A640=1,SUM($A$2:$A640),"")</f>
        <v/>
      </c>
      <c r="C640">
        <f>IF($A640=1,SUM($A$2:$A640),0)</f>
        <v/>
      </c>
    </row>
    <row r="641">
      <c r="A641">
        <f>IF(AND(OR('Compliance Database'!$A641='Data Transfer'!$B$4,'Compliance Database'!$A641='Data Transfer'!$B$5),OR('Data Transfer'!$B$6="",ISNUMBER(SEARCH('Data Transfer'!$B$6,'Compliance Database'!$D641&amp;" "&amp;'Compliance Database'!$L641&amp;" "&amp;'Compliance Database'!$M641&amp;" "&amp;'Compliance Database'!$N641&amp;" "&amp;'Compliance Database'!$O641)))),1,0)</f>
        <v/>
      </c>
      <c r="B641">
        <f>IF($A641=1,SUM($A$2:$A641),"")</f>
        <v/>
      </c>
      <c r="C641">
        <f>IF($A641=1,SUM($A$2:$A641),0)</f>
        <v/>
      </c>
    </row>
    <row r="642">
      <c r="A642">
        <f>IF(AND(OR('Compliance Database'!$A642='Data Transfer'!$B$4,'Compliance Database'!$A642='Data Transfer'!$B$5),OR('Data Transfer'!$B$6="",ISNUMBER(SEARCH('Data Transfer'!$B$6,'Compliance Database'!$D642&amp;" "&amp;'Compliance Database'!$L642&amp;" "&amp;'Compliance Database'!$M642&amp;" "&amp;'Compliance Database'!$N642&amp;" "&amp;'Compliance Database'!$O642)))),1,0)</f>
        <v/>
      </c>
      <c r="B642">
        <f>IF($A642=1,SUM($A$2:$A642),"")</f>
        <v/>
      </c>
      <c r="C642">
        <f>IF($A642=1,SUM($A$2:$A642),0)</f>
        <v/>
      </c>
    </row>
    <row r="643">
      <c r="A643">
        <f>IF(AND(OR('Compliance Database'!$A643='Data Transfer'!$B$4,'Compliance Database'!$A643='Data Transfer'!$B$5),OR('Data Transfer'!$B$6="",ISNUMBER(SEARCH('Data Transfer'!$B$6,'Compliance Database'!$D643&amp;" "&amp;'Compliance Database'!$L643&amp;" "&amp;'Compliance Database'!$M643&amp;" "&amp;'Compliance Database'!$N643&amp;" "&amp;'Compliance Database'!$O643)))),1,0)</f>
        <v/>
      </c>
      <c r="B643">
        <f>IF($A643=1,SUM($A$2:$A643),"")</f>
        <v/>
      </c>
      <c r="C643">
        <f>IF($A643=1,SUM($A$2:$A643),0)</f>
        <v/>
      </c>
    </row>
    <row r="644">
      <c r="A644">
        <f>IF(AND(OR('Compliance Database'!$A644='Data Transfer'!$B$4,'Compliance Database'!$A644='Data Transfer'!$B$5),OR('Data Transfer'!$B$6="",ISNUMBER(SEARCH('Data Transfer'!$B$6,'Compliance Database'!$D644&amp;" "&amp;'Compliance Database'!$L644&amp;" "&amp;'Compliance Database'!$M644&amp;" "&amp;'Compliance Database'!$N644&amp;" "&amp;'Compliance Database'!$O644)))),1,0)</f>
        <v/>
      </c>
      <c r="B644">
        <f>IF($A644=1,SUM($A$2:$A644),"")</f>
        <v/>
      </c>
      <c r="C644">
        <f>IF($A644=1,SUM($A$2:$A644),0)</f>
        <v/>
      </c>
    </row>
    <row r="645">
      <c r="A645">
        <f>IF(AND(OR('Compliance Database'!$A645='Data Transfer'!$B$4,'Compliance Database'!$A645='Data Transfer'!$B$5),OR('Data Transfer'!$B$6="",ISNUMBER(SEARCH('Data Transfer'!$B$6,'Compliance Database'!$D645&amp;" "&amp;'Compliance Database'!$L645&amp;" "&amp;'Compliance Database'!$M645&amp;" "&amp;'Compliance Database'!$N645&amp;" "&amp;'Compliance Database'!$O645)))),1,0)</f>
        <v/>
      </c>
      <c r="B645">
        <f>IF($A645=1,SUM($A$2:$A645),"")</f>
        <v/>
      </c>
      <c r="C645">
        <f>IF($A645=1,SUM($A$2:$A645),0)</f>
        <v/>
      </c>
    </row>
    <row r="646">
      <c r="A646">
        <f>IF(AND(OR('Compliance Database'!$A646='Data Transfer'!$B$4,'Compliance Database'!$A646='Data Transfer'!$B$5),OR('Data Transfer'!$B$6="",ISNUMBER(SEARCH('Data Transfer'!$B$6,'Compliance Database'!$D646&amp;" "&amp;'Compliance Database'!$L646&amp;" "&amp;'Compliance Database'!$M646&amp;" "&amp;'Compliance Database'!$N646&amp;" "&amp;'Compliance Database'!$O646)))),1,0)</f>
        <v/>
      </c>
      <c r="B646">
        <f>IF($A646=1,SUM($A$2:$A646),"")</f>
        <v/>
      </c>
      <c r="C646">
        <f>IF($A646=1,SUM($A$2:$A646),0)</f>
        <v/>
      </c>
    </row>
    <row r="647">
      <c r="A647">
        <f>IF(AND(OR('Compliance Database'!$A647='Data Transfer'!$B$4,'Compliance Database'!$A647='Data Transfer'!$B$5),OR('Data Transfer'!$B$6="",ISNUMBER(SEARCH('Data Transfer'!$B$6,'Compliance Database'!$D647&amp;" "&amp;'Compliance Database'!$L647&amp;" "&amp;'Compliance Database'!$M647&amp;" "&amp;'Compliance Database'!$N647&amp;" "&amp;'Compliance Database'!$O647)))),1,0)</f>
        <v/>
      </c>
      <c r="B647">
        <f>IF($A647=1,SUM($A$2:$A647),"")</f>
        <v/>
      </c>
      <c r="C647">
        <f>IF($A647=1,SUM($A$2:$A647),0)</f>
        <v/>
      </c>
    </row>
    <row r="648">
      <c r="A648">
        <f>IF(AND(OR('Compliance Database'!$A648='Data Transfer'!$B$4,'Compliance Database'!$A648='Data Transfer'!$B$5),OR('Data Transfer'!$B$6="",ISNUMBER(SEARCH('Data Transfer'!$B$6,'Compliance Database'!$D648&amp;" "&amp;'Compliance Database'!$L648&amp;" "&amp;'Compliance Database'!$M648&amp;" "&amp;'Compliance Database'!$N648&amp;" "&amp;'Compliance Database'!$O648)))),1,0)</f>
        <v/>
      </c>
      <c r="B648">
        <f>IF($A648=1,SUM($A$2:$A648),"")</f>
        <v/>
      </c>
      <c r="C648">
        <f>IF($A648=1,SUM($A$2:$A648),0)</f>
        <v/>
      </c>
    </row>
    <row r="649">
      <c r="A649">
        <f>IF(AND(OR('Compliance Database'!$A649='Data Transfer'!$B$4,'Compliance Database'!$A649='Data Transfer'!$B$5),OR('Data Transfer'!$B$6="",ISNUMBER(SEARCH('Data Transfer'!$B$6,'Compliance Database'!$D649&amp;" "&amp;'Compliance Database'!$L649&amp;" "&amp;'Compliance Database'!$M649&amp;" "&amp;'Compliance Database'!$N649&amp;" "&amp;'Compliance Database'!$O649)))),1,0)</f>
        <v/>
      </c>
      <c r="B649">
        <f>IF($A649=1,SUM($A$2:$A649),"")</f>
        <v/>
      </c>
      <c r="C649">
        <f>IF($A649=1,SUM($A$2:$A649),0)</f>
        <v/>
      </c>
    </row>
    <row r="650">
      <c r="A650">
        <f>IF(AND(OR('Compliance Database'!$A650='Data Transfer'!$B$4,'Compliance Database'!$A650='Data Transfer'!$B$5),OR('Data Transfer'!$B$6="",ISNUMBER(SEARCH('Data Transfer'!$B$6,'Compliance Database'!$D650&amp;" "&amp;'Compliance Database'!$L650&amp;" "&amp;'Compliance Database'!$M650&amp;" "&amp;'Compliance Database'!$N650&amp;" "&amp;'Compliance Database'!$O650)))),1,0)</f>
        <v/>
      </c>
      <c r="B650">
        <f>IF($A650=1,SUM($A$2:$A650),"")</f>
        <v/>
      </c>
      <c r="C650">
        <f>IF($A650=1,SUM($A$2:$A650),0)</f>
        <v/>
      </c>
    </row>
    <row r="651">
      <c r="A651">
        <f>IF(AND(OR('Compliance Database'!$A651='Data Transfer'!$B$4,'Compliance Database'!$A651='Data Transfer'!$B$5),OR('Data Transfer'!$B$6="",ISNUMBER(SEARCH('Data Transfer'!$B$6,'Compliance Database'!$D651&amp;" "&amp;'Compliance Database'!$L651&amp;" "&amp;'Compliance Database'!$M651&amp;" "&amp;'Compliance Database'!$N651&amp;" "&amp;'Compliance Database'!$O651)))),1,0)</f>
        <v/>
      </c>
      <c r="B651">
        <f>IF($A651=1,SUM($A$2:$A651),"")</f>
        <v/>
      </c>
      <c r="C651">
        <f>IF($A651=1,SUM($A$2:$A651),0)</f>
        <v/>
      </c>
    </row>
    <row r="652">
      <c r="A652">
        <f>IF(AND(OR('Compliance Database'!$A652='Data Transfer'!$B$4,'Compliance Database'!$A652='Data Transfer'!$B$5),OR('Data Transfer'!$B$6="",ISNUMBER(SEARCH('Data Transfer'!$B$6,'Compliance Database'!$D652&amp;" "&amp;'Compliance Database'!$L652&amp;" "&amp;'Compliance Database'!$M652&amp;" "&amp;'Compliance Database'!$N652&amp;" "&amp;'Compliance Database'!$O652)))),1,0)</f>
        <v/>
      </c>
      <c r="B652">
        <f>IF($A652=1,SUM($A$2:$A652),"")</f>
        <v/>
      </c>
      <c r="C652">
        <f>IF($A652=1,SUM($A$2:$A652),0)</f>
        <v/>
      </c>
    </row>
    <row r="653">
      <c r="A653">
        <f>IF(AND(OR('Compliance Database'!$A653='Data Transfer'!$B$4,'Compliance Database'!$A653='Data Transfer'!$B$5),OR('Data Transfer'!$B$6="",ISNUMBER(SEARCH('Data Transfer'!$B$6,'Compliance Database'!$D653&amp;" "&amp;'Compliance Database'!$L653&amp;" "&amp;'Compliance Database'!$M653&amp;" "&amp;'Compliance Database'!$N653&amp;" "&amp;'Compliance Database'!$O653)))),1,0)</f>
        <v/>
      </c>
      <c r="B653">
        <f>IF($A653=1,SUM($A$2:$A653),"")</f>
        <v/>
      </c>
      <c r="C653">
        <f>IF($A653=1,SUM($A$2:$A653),0)</f>
        <v/>
      </c>
    </row>
    <row r="654">
      <c r="A654">
        <f>IF(AND(OR('Compliance Database'!$A654='Data Transfer'!$B$4,'Compliance Database'!$A654='Data Transfer'!$B$5),OR('Data Transfer'!$B$6="",ISNUMBER(SEARCH('Data Transfer'!$B$6,'Compliance Database'!$D654&amp;" "&amp;'Compliance Database'!$L654&amp;" "&amp;'Compliance Database'!$M654&amp;" "&amp;'Compliance Database'!$N654&amp;" "&amp;'Compliance Database'!$O654)))),1,0)</f>
        <v/>
      </c>
      <c r="B654">
        <f>IF($A654=1,SUM($A$2:$A654),"")</f>
        <v/>
      </c>
      <c r="C654">
        <f>IF($A654=1,SUM($A$2:$A654),0)</f>
        <v/>
      </c>
    </row>
    <row r="655">
      <c r="A655">
        <f>IF(AND(OR('Compliance Database'!$A655='Data Transfer'!$B$4,'Compliance Database'!$A655='Data Transfer'!$B$5),OR('Data Transfer'!$B$6="",ISNUMBER(SEARCH('Data Transfer'!$B$6,'Compliance Database'!$D655&amp;" "&amp;'Compliance Database'!$L655&amp;" "&amp;'Compliance Database'!$M655&amp;" "&amp;'Compliance Database'!$N655&amp;" "&amp;'Compliance Database'!$O655)))),1,0)</f>
        <v/>
      </c>
      <c r="B655">
        <f>IF($A655=1,SUM($A$2:$A655),"")</f>
        <v/>
      </c>
      <c r="C655">
        <f>IF($A655=1,SUM($A$2:$A655),0)</f>
        <v/>
      </c>
    </row>
    <row r="656">
      <c r="A656">
        <f>IF(AND(OR('Compliance Database'!$A656='Data Transfer'!$B$4,'Compliance Database'!$A656='Data Transfer'!$B$5),OR('Data Transfer'!$B$6="",ISNUMBER(SEARCH('Data Transfer'!$B$6,'Compliance Database'!$D656&amp;" "&amp;'Compliance Database'!$L656&amp;" "&amp;'Compliance Database'!$M656&amp;" "&amp;'Compliance Database'!$N656&amp;" "&amp;'Compliance Database'!$O656)))),1,0)</f>
        <v/>
      </c>
      <c r="B656">
        <f>IF($A656=1,SUM($A$2:$A656),"")</f>
        <v/>
      </c>
      <c r="C656">
        <f>IF($A656=1,SUM($A$2:$A656),0)</f>
        <v/>
      </c>
    </row>
    <row r="657">
      <c r="A657">
        <f>IF(AND(OR('Compliance Database'!$A657='Data Transfer'!$B$4,'Compliance Database'!$A657='Data Transfer'!$B$5),OR('Data Transfer'!$B$6="",ISNUMBER(SEARCH('Data Transfer'!$B$6,'Compliance Database'!$D657&amp;" "&amp;'Compliance Database'!$L657&amp;" "&amp;'Compliance Database'!$M657&amp;" "&amp;'Compliance Database'!$N657&amp;" "&amp;'Compliance Database'!$O657)))),1,0)</f>
        <v/>
      </c>
      <c r="B657">
        <f>IF($A657=1,SUM($A$2:$A657),"")</f>
        <v/>
      </c>
      <c r="C657">
        <f>IF($A657=1,SUM($A$2:$A657),0)</f>
        <v/>
      </c>
    </row>
    <row r="658">
      <c r="A658">
        <f>IF(AND(OR('Compliance Database'!$A658='Data Transfer'!$B$4,'Compliance Database'!$A658='Data Transfer'!$B$5),OR('Data Transfer'!$B$6="",ISNUMBER(SEARCH('Data Transfer'!$B$6,'Compliance Database'!$D658&amp;" "&amp;'Compliance Database'!$L658&amp;" "&amp;'Compliance Database'!$M658&amp;" "&amp;'Compliance Database'!$N658&amp;" "&amp;'Compliance Database'!$O658)))),1,0)</f>
        <v/>
      </c>
      <c r="B658">
        <f>IF($A658=1,SUM($A$2:$A658),"")</f>
        <v/>
      </c>
      <c r="C658">
        <f>IF($A658=1,SUM($A$2:$A658),0)</f>
        <v/>
      </c>
    </row>
    <row r="659">
      <c r="A659">
        <f>IF(AND(OR('Compliance Database'!$A659='Data Transfer'!$B$4,'Compliance Database'!$A659='Data Transfer'!$B$5),OR('Data Transfer'!$B$6="",ISNUMBER(SEARCH('Data Transfer'!$B$6,'Compliance Database'!$D659&amp;" "&amp;'Compliance Database'!$L659&amp;" "&amp;'Compliance Database'!$M659&amp;" "&amp;'Compliance Database'!$N659&amp;" "&amp;'Compliance Database'!$O659)))),1,0)</f>
        <v/>
      </c>
      <c r="B659">
        <f>IF($A659=1,SUM($A$2:$A659),"")</f>
        <v/>
      </c>
      <c r="C659">
        <f>IF($A659=1,SUM($A$2:$A659),0)</f>
        <v/>
      </c>
    </row>
    <row r="660">
      <c r="A660">
        <f>IF(AND(OR('Compliance Database'!$A660='Data Transfer'!$B$4,'Compliance Database'!$A660='Data Transfer'!$B$5),OR('Data Transfer'!$B$6="",ISNUMBER(SEARCH('Data Transfer'!$B$6,'Compliance Database'!$D660&amp;" "&amp;'Compliance Database'!$L660&amp;" "&amp;'Compliance Database'!$M660&amp;" "&amp;'Compliance Database'!$N660&amp;" "&amp;'Compliance Database'!$O660)))),1,0)</f>
        <v/>
      </c>
      <c r="B660">
        <f>IF($A660=1,SUM($A$2:$A660),"")</f>
        <v/>
      </c>
      <c r="C660">
        <f>IF($A660=1,SUM($A$2:$A660),0)</f>
        <v/>
      </c>
    </row>
    <row r="661">
      <c r="A661">
        <f>IF(AND(OR('Compliance Database'!$A661='Data Transfer'!$B$4,'Compliance Database'!$A661='Data Transfer'!$B$5),OR('Data Transfer'!$B$6="",ISNUMBER(SEARCH('Data Transfer'!$B$6,'Compliance Database'!$D661&amp;" "&amp;'Compliance Database'!$L661&amp;" "&amp;'Compliance Database'!$M661&amp;" "&amp;'Compliance Database'!$N661&amp;" "&amp;'Compliance Database'!$O661)))),1,0)</f>
        <v/>
      </c>
      <c r="B661">
        <f>IF($A661=1,SUM($A$2:$A661),"")</f>
        <v/>
      </c>
      <c r="C661">
        <f>IF($A661=1,SUM($A$2:$A661),0)</f>
        <v/>
      </c>
    </row>
    <row r="662">
      <c r="A662">
        <f>IF(AND(OR('Compliance Database'!$A662='Data Transfer'!$B$4,'Compliance Database'!$A662='Data Transfer'!$B$5),OR('Data Transfer'!$B$6="",ISNUMBER(SEARCH('Data Transfer'!$B$6,'Compliance Database'!$D662&amp;" "&amp;'Compliance Database'!$L662&amp;" "&amp;'Compliance Database'!$M662&amp;" "&amp;'Compliance Database'!$N662&amp;" "&amp;'Compliance Database'!$O662)))),1,0)</f>
        <v/>
      </c>
      <c r="B662">
        <f>IF($A662=1,SUM($A$2:$A662),"")</f>
        <v/>
      </c>
      <c r="C662">
        <f>IF($A662=1,SUM($A$2:$A662),0)</f>
        <v/>
      </c>
    </row>
    <row r="663">
      <c r="A663">
        <f>IF(AND(OR('Compliance Database'!$A663='Data Transfer'!$B$4,'Compliance Database'!$A663='Data Transfer'!$B$5),OR('Data Transfer'!$B$6="",ISNUMBER(SEARCH('Data Transfer'!$B$6,'Compliance Database'!$D663&amp;" "&amp;'Compliance Database'!$L663&amp;" "&amp;'Compliance Database'!$M663&amp;" "&amp;'Compliance Database'!$N663&amp;" "&amp;'Compliance Database'!$O663)))),1,0)</f>
        <v/>
      </c>
      <c r="B663">
        <f>IF($A663=1,SUM($A$2:$A663),"")</f>
        <v/>
      </c>
      <c r="C663">
        <f>IF($A663=1,SUM($A$2:$A663),0)</f>
        <v/>
      </c>
    </row>
    <row r="664">
      <c r="A664">
        <f>IF(AND(OR('Compliance Database'!$A664='Data Transfer'!$B$4,'Compliance Database'!$A664='Data Transfer'!$B$5),OR('Data Transfer'!$B$6="",ISNUMBER(SEARCH('Data Transfer'!$B$6,'Compliance Database'!$D664&amp;" "&amp;'Compliance Database'!$L664&amp;" "&amp;'Compliance Database'!$M664&amp;" "&amp;'Compliance Database'!$N664&amp;" "&amp;'Compliance Database'!$O664)))),1,0)</f>
        <v/>
      </c>
      <c r="B664">
        <f>IF($A664=1,SUM($A$2:$A664),"")</f>
        <v/>
      </c>
      <c r="C664">
        <f>IF($A664=1,SUM($A$2:$A664),0)</f>
        <v/>
      </c>
    </row>
    <row r="665">
      <c r="A665">
        <f>IF(AND(OR('Compliance Database'!$A665='Data Transfer'!$B$4,'Compliance Database'!$A665='Data Transfer'!$B$5),OR('Data Transfer'!$B$6="",ISNUMBER(SEARCH('Data Transfer'!$B$6,'Compliance Database'!$D665&amp;" "&amp;'Compliance Database'!$L665&amp;" "&amp;'Compliance Database'!$M665&amp;" "&amp;'Compliance Database'!$N665&amp;" "&amp;'Compliance Database'!$O665)))),1,0)</f>
        <v/>
      </c>
      <c r="B665">
        <f>IF($A665=1,SUM($A$2:$A665),"")</f>
        <v/>
      </c>
      <c r="C665">
        <f>IF($A665=1,SUM($A$2:$A665),0)</f>
        <v/>
      </c>
    </row>
    <row r="666">
      <c r="A666">
        <f>IF(AND(OR('Compliance Database'!$A666='Data Transfer'!$B$4,'Compliance Database'!$A666='Data Transfer'!$B$5),OR('Data Transfer'!$B$6="",ISNUMBER(SEARCH('Data Transfer'!$B$6,'Compliance Database'!$D666&amp;" "&amp;'Compliance Database'!$L666&amp;" "&amp;'Compliance Database'!$M666&amp;" "&amp;'Compliance Database'!$N666&amp;" "&amp;'Compliance Database'!$O666)))),1,0)</f>
        <v/>
      </c>
      <c r="B666">
        <f>IF($A666=1,SUM($A$2:$A666),"")</f>
        <v/>
      </c>
      <c r="C666">
        <f>IF($A666=1,SUM($A$2:$A666),0)</f>
        <v/>
      </c>
    </row>
    <row r="667">
      <c r="A667">
        <f>IF(AND(OR('Compliance Database'!$A667='Data Transfer'!$B$4,'Compliance Database'!$A667='Data Transfer'!$B$5),OR('Data Transfer'!$B$6="",ISNUMBER(SEARCH('Data Transfer'!$B$6,'Compliance Database'!$D667&amp;" "&amp;'Compliance Database'!$L667&amp;" "&amp;'Compliance Database'!$M667&amp;" "&amp;'Compliance Database'!$N667&amp;" "&amp;'Compliance Database'!$O667)))),1,0)</f>
        <v/>
      </c>
      <c r="B667">
        <f>IF($A667=1,SUM($A$2:$A667),"")</f>
        <v/>
      </c>
      <c r="C667">
        <f>IF($A667=1,SUM($A$2:$A667),0)</f>
        <v/>
      </c>
    </row>
    <row r="668">
      <c r="A668">
        <f>IF(AND(OR('Compliance Database'!$A668='Data Transfer'!$B$4,'Compliance Database'!$A668='Data Transfer'!$B$5),OR('Data Transfer'!$B$6="",ISNUMBER(SEARCH('Data Transfer'!$B$6,'Compliance Database'!$D668&amp;" "&amp;'Compliance Database'!$L668&amp;" "&amp;'Compliance Database'!$M668&amp;" "&amp;'Compliance Database'!$N668&amp;" "&amp;'Compliance Database'!$O668)))),1,0)</f>
        <v/>
      </c>
      <c r="B668">
        <f>IF($A668=1,SUM($A$2:$A668),"")</f>
        <v/>
      </c>
      <c r="C668">
        <f>IF($A668=1,SUM($A$2:$A668),0)</f>
        <v/>
      </c>
    </row>
    <row r="669">
      <c r="A669">
        <f>IF(AND(OR('Compliance Database'!$A669='Data Transfer'!$B$4,'Compliance Database'!$A669='Data Transfer'!$B$5),OR('Data Transfer'!$B$6="",ISNUMBER(SEARCH('Data Transfer'!$B$6,'Compliance Database'!$D669&amp;" "&amp;'Compliance Database'!$L669&amp;" "&amp;'Compliance Database'!$M669&amp;" "&amp;'Compliance Database'!$N669&amp;" "&amp;'Compliance Database'!$O669)))),1,0)</f>
        <v/>
      </c>
      <c r="B669">
        <f>IF($A669=1,SUM($A$2:$A669),"")</f>
        <v/>
      </c>
      <c r="C669">
        <f>IF($A669=1,SUM($A$2:$A669),0)</f>
        <v/>
      </c>
    </row>
    <row r="670">
      <c r="A670">
        <f>IF(AND(OR('Compliance Database'!$A670='Data Transfer'!$B$4,'Compliance Database'!$A670='Data Transfer'!$B$5),OR('Data Transfer'!$B$6="",ISNUMBER(SEARCH('Data Transfer'!$B$6,'Compliance Database'!$D670&amp;" "&amp;'Compliance Database'!$L670&amp;" "&amp;'Compliance Database'!$M670&amp;" "&amp;'Compliance Database'!$N670&amp;" "&amp;'Compliance Database'!$O670)))),1,0)</f>
        <v/>
      </c>
      <c r="B670">
        <f>IF($A670=1,SUM($A$2:$A670),"")</f>
        <v/>
      </c>
      <c r="C670">
        <f>IF($A670=1,SUM($A$2:$A670),0)</f>
        <v/>
      </c>
    </row>
    <row r="671">
      <c r="A671">
        <f>IF(AND(OR('Compliance Database'!$A671='Data Transfer'!$B$4,'Compliance Database'!$A671='Data Transfer'!$B$5),OR('Data Transfer'!$B$6="",ISNUMBER(SEARCH('Data Transfer'!$B$6,'Compliance Database'!$D671&amp;" "&amp;'Compliance Database'!$L671&amp;" "&amp;'Compliance Database'!$M671&amp;" "&amp;'Compliance Database'!$N671&amp;" "&amp;'Compliance Database'!$O671)))),1,0)</f>
        <v/>
      </c>
      <c r="B671">
        <f>IF($A671=1,SUM($A$2:$A671),"")</f>
        <v/>
      </c>
      <c r="C671">
        <f>IF($A671=1,SUM($A$2:$A671),0)</f>
        <v/>
      </c>
    </row>
    <row r="672">
      <c r="A672">
        <f>IF(AND(OR('Compliance Database'!$A672='Data Transfer'!$B$4,'Compliance Database'!$A672='Data Transfer'!$B$5),OR('Data Transfer'!$B$6="",ISNUMBER(SEARCH('Data Transfer'!$B$6,'Compliance Database'!$D672&amp;" "&amp;'Compliance Database'!$L672&amp;" "&amp;'Compliance Database'!$M672&amp;" "&amp;'Compliance Database'!$N672&amp;" "&amp;'Compliance Database'!$O672)))),1,0)</f>
        <v/>
      </c>
      <c r="B672">
        <f>IF($A672=1,SUM($A$2:$A672),"")</f>
        <v/>
      </c>
      <c r="C672">
        <f>IF($A672=1,SUM($A$2:$A672),0)</f>
        <v/>
      </c>
    </row>
    <row r="673">
      <c r="A673">
        <f>IF(AND(OR('Compliance Database'!$A673='Data Transfer'!$B$4,'Compliance Database'!$A673='Data Transfer'!$B$5),OR('Data Transfer'!$B$6="",ISNUMBER(SEARCH('Data Transfer'!$B$6,'Compliance Database'!$D673&amp;" "&amp;'Compliance Database'!$L673&amp;" "&amp;'Compliance Database'!$M673&amp;" "&amp;'Compliance Database'!$N673&amp;" "&amp;'Compliance Database'!$O673)))),1,0)</f>
        <v/>
      </c>
      <c r="B673">
        <f>IF($A673=1,SUM($A$2:$A673),"")</f>
        <v/>
      </c>
      <c r="C673">
        <f>IF($A673=1,SUM($A$2:$A673),0)</f>
        <v/>
      </c>
    </row>
    <row r="674">
      <c r="A674">
        <f>IF(AND(OR('Compliance Database'!$A674='Data Transfer'!$B$4,'Compliance Database'!$A674='Data Transfer'!$B$5),OR('Data Transfer'!$B$6="",ISNUMBER(SEARCH('Data Transfer'!$B$6,'Compliance Database'!$D674&amp;" "&amp;'Compliance Database'!$L674&amp;" "&amp;'Compliance Database'!$M674&amp;" "&amp;'Compliance Database'!$N674&amp;" "&amp;'Compliance Database'!$O674)))),1,0)</f>
        <v/>
      </c>
      <c r="B674">
        <f>IF($A674=1,SUM($A$2:$A674),"")</f>
        <v/>
      </c>
      <c r="C674">
        <f>IF($A674=1,SUM($A$2:$A674),0)</f>
        <v/>
      </c>
    </row>
    <row r="675">
      <c r="A675">
        <f>IF(AND(OR('Compliance Database'!$A675='Data Transfer'!$B$4,'Compliance Database'!$A675='Data Transfer'!$B$5),OR('Data Transfer'!$B$6="",ISNUMBER(SEARCH('Data Transfer'!$B$6,'Compliance Database'!$D675&amp;" "&amp;'Compliance Database'!$L675&amp;" "&amp;'Compliance Database'!$M675&amp;" "&amp;'Compliance Database'!$N675&amp;" "&amp;'Compliance Database'!$O675)))),1,0)</f>
        <v/>
      </c>
      <c r="B675">
        <f>IF($A675=1,SUM($A$2:$A675),"")</f>
        <v/>
      </c>
      <c r="C675">
        <f>IF($A675=1,SUM($A$2:$A675),0)</f>
        <v/>
      </c>
    </row>
    <row r="676">
      <c r="A676">
        <f>IF(AND(OR('Compliance Database'!$A676='Data Transfer'!$B$4,'Compliance Database'!$A676='Data Transfer'!$B$5),OR('Data Transfer'!$B$6="",ISNUMBER(SEARCH('Data Transfer'!$B$6,'Compliance Database'!$D676&amp;" "&amp;'Compliance Database'!$L676&amp;" "&amp;'Compliance Database'!$M676&amp;" "&amp;'Compliance Database'!$N676&amp;" "&amp;'Compliance Database'!$O676)))),1,0)</f>
        <v/>
      </c>
      <c r="B676">
        <f>IF($A676=1,SUM($A$2:$A676),"")</f>
        <v/>
      </c>
      <c r="C676">
        <f>IF($A676=1,SUM($A$2:$A676),0)</f>
        <v/>
      </c>
    </row>
    <row r="677">
      <c r="A677">
        <f>IF(AND(OR('Compliance Database'!$A677='Data Transfer'!$B$4,'Compliance Database'!$A677='Data Transfer'!$B$5),OR('Data Transfer'!$B$6="",ISNUMBER(SEARCH('Data Transfer'!$B$6,'Compliance Database'!$D677&amp;" "&amp;'Compliance Database'!$L677&amp;" "&amp;'Compliance Database'!$M677&amp;" "&amp;'Compliance Database'!$N677&amp;" "&amp;'Compliance Database'!$O677)))),1,0)</f>
        <v/>
      </c>
      <c r="B677">
        <f>IF($A677=1,SUM($A$2:$A677),"")</f>
        <v/>
      </c>
      <c r="C677">
        <f>IF($A677=1,SUM($A$2:$A677),0)</f>
        <v/>
      </c>
    </row>
    <row r="678">
      <c r="A678">
        <f>IF(AND(OR('Compliance Database'!$A678='Data Transfer'!$B$4,'Compliance Database'!$A678='Data Transfer'!$B$5),OR('Data Transfer'!$B$6="",ISNUMBER(SEARCH('Data Transfer'!$B$6,'Compliance Database'!$D678&amp;" "&amp;'Compliance Database'!$L678&amp;" "&amp;'Compliance Database'!$M678&amp;" "&amp;'Compliance Database'!$N678&amp;" "&amp;'Compliance Database'!$O678)))),1,0)</f>
        <v/>
      </c>
      <c r="B678">
        <f>IF($A678=1,SUM($A$2:$A678),"")</f>
        <v/>
      </c>
      <c r="C678">
        <f>IF($A678=1,SUM($A$2:$A678),0)</f>
        <v/>
      </c>
    </row>
    <row r="679">
      <c r="A679">
        <f>IF(AND(OR('Compliance Database'!$A679='Data Transfer'!$B$4,'Compliance Database'!$A679='Data Transfer'!$B$5),OR('Data Transfer'!$B$6="",ISNUMBER(SEARCH('Data Transfer'!$B$6,'Compliance Database'!$D679&amp;" "&amp;'Compliance Database'!$L679&amp;" "&amp;'Compliance Database'!$M679&amp;" "&amp;'Compliance Database'!$N679&amp;" "&amp;'Compliance Database'!$O679)))),1,0)</f>
        <v/>
      </c>
      <c r="B679">
        <f>IF($A679=1,SUM($A$2:$A679),"")</f>
        <v/>
      </c>
      <c r="C679">
        <f>IF($A679=1,SUM($A$2:$A679),0)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2026-07-15T17:06:00Z</dcterms:created>
  <dcterms:modified xmlns:dcterms="http://purl.org/dc/terms/" xmlns:xsi="http://www.w3.org/2001/XMLSchema-instance" xsi:type="dcterms:W3CDTF">2026-07-15T17:06:00Z</dcterms:modified>
</cp:coreProperties>
</file>